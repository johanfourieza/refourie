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0" windowWidth="27795" windowHeight="12405" firstSheet="1" activeTab="11"/>
  </bookViews>
  <sheets>
    <sheet name="EnlistmentChart" sheetId="4" r:id="rId1"/>
    <sheet name="Enlistment" sheetId="1" r:id="rId2"/>
    <sheet name="Personal characteristis" sheetId="2" r:id="rId3"/>
    <sheet name="Table" sheetId="3" r:id="rId4"/>
    <sheet name="Discharge" sheetId="5" r:id="rId5"/>
    <sheet name="Afrikaans" sheetId="6" r:id="rId6"/>
    <sheet name="Occupations" sheetId="7" r:id="rId7"/>
    <sheet name="Occu by region" sheetId="9" r:id="rId8"/>
    <sheet name="Wage regression" sheetId="8" r:id="rId9"/>
    <sheet name="Sheet2" sheetId="10" r:id="rId10"/>
    <sheet name="Oaxaca" sheetId="11" r:id="rId11"/>
    <sheet name="New Wage regression" sheetId="12" r:id="rId12"/>
  </sheets>
  <calcPr calcId="145621" concurrentCalc="0"/>
</workbook>
</file>

<file path=xl/calcChain.xml><?xml version="1.0" encoding="utf-8"?>
<calcChain xmlns="http://schemas.openxmlformats.org/spreadsheetml/2006/main">
  <c r="C15" i="10" l="1"/>
  <c r="D15" i="10"/>
  <c r="E15" i="10"/>
  <c r="F15" i="10"/>
  <c r="G15" i="10"/>
  <c r="H15" i="10"/>
  <c r="I15" i="10"/>
  <c r="J15" i="10"/>
  <c r="K15" i="10"/>
  <c r="L15" i="10"/>
  <c r="C16" i="10"/>
  <c r="D16" i="10"/>
  <c r="E16" i="10"/>
  <c r="F16" i="10"/>
  <c r="G16" i="10"/>
  <c r="H16" i="10"/>
  <c r="I16" i="10"/>
  <c r="J16" i="10"/>
  <c r="K16" i="10"/>
  <c r="L16" i="10"/>
  <c r="C17" i="10"/>
  <c r="D17" i="10"/>
  <c r="E17" i="10"/>
  <c r="F17" i="10"/>
  <c r="G17" i="10"/>
  <c r="H17" i="10"/>
  <c r="I17" i="10"/>
  <c r="J17" i="10"/>
  <c r="K17" i="10"/>
  <c r="L17" i="10"/>
  <c r="C18" i="10"/>
  <c r="D18" i="10"/>
  <c r="E18" i="10"/>
  <c r="F18" i="10"/>
  <c r="G18" i="10"/>
  <c r="H18" i="10"/>
  <c r="I18" i="10"/>
  <c r="J18" i="10"/>
  <c r="K18" i="10"/>
  <c r="L18" i="10"/>
  <c r="C19" i="10"/>
  <c r="D19" i="10"/>
  <c r="E19" i="10"/>
  <c r="F19" i="10"/>
  <c r="G19" i="10"/>
  <c r="H19" i="10"/>
  <c r="I19" i="10"/>
  <c r="J19" i="10"/>
  <c r="K19" i="10"/>
  <c r="L19" i="10"/>
  <c r="C20" i="10"/>
  <c r="D20" i="10"/>
  <c r="E20" i="10"/>
  <c r="F20" i="10"/>
  <c r="G20" i="10"/>
  <c r="H20" i="10"/>
  <c r="I20" i="10"/>
  <c r="J20" i="10"/>
  <c r="K20" i="10"/>
  <c r="L20" i="10"/>
  <c r="C21" i="10"/>
  <c r="D21" i="10"/>
  <c r="E21" i="10"/>
  <c r="F21" i="10"/>
  <c r="G21" i="10"/>
  <c r="H21" i="10"/>
  <c r="I21" i="10"/>
  <c r="J21" i="10"/>
  <c r="K21" i="10"/>
  <c r="L21" i="10"/>
  <c r="C22" i="10"/>
  <c r="D22" i="10"/>
  <c r="E22" i="10"/>
  <c r="F22" i="10"/>
  <c r="G22" i="10"/>
  <c r="H22" i="10"/>
  <c r="I22" i="10"/>
  <c r="J22" i="10"/>
  <c r="K22" i="10"/>
  <c r="L22" i="10"/>
  <c r="C23" i="10"/>
  <c r="D23" i="10"/>
  <c r="E23" i="10"/>
  <c r="F23" i="10"/>
  <c r="G23" i="10"/>
  <c r="H23" i="10"/>
  <c r="I23" i="10"/>
  <c r="J23" i="10"/>
  <c r="K23" i="10"/>
  <c r="L23" i="10"/>
  <c r="C24" i="10"/>
  <c r="D24" i="10"/>
  <c r="E24" i="10"/>
  <c r="F24" i="10"/>
  <c r="G24" i="10"/>
  <c r="H24" i="10"/>
  <c r="I24" i="10"/>
  <c r="J24" i="10"/>
  <c r="K24" i="10"/>
  <c r="L24" i="10"/>
  <c r="B16" i="10"/>
  <c r="B17" i="10"/>
  <c r="B18" i="10"/>
  <c r="B19" i="10"/>
  <c r="B20" i="10"/>
  <c r="B21" i="10"/>
  <c r="B22" i="10"/>
  <c r="B23" i="10"/>
  <c r="B24" i="10"/>
  <c r="B15" i="10"/>
  <c r="B75" i="9"/>
  <c r="C75" i="9"/>
  <c r="D75" i="9"/>
  <c r="E75" i="9"/>
  <c r="F75" i="9"/>
  <c r="G75" i="9"/>
  <c r="H75" i="9"/>
  <c r="I75" i="9"/>
  <c r="J75" i="9"/>
  <c r="K75" i="9"/>
  <c r="B76" i="9"/>
  <c r="C76" i="9"/>
  <c r="D76" i="9"/>
  <c r="E76" i="9"/>
  <c r="F76" i="9"/>
  <c r="G76" i="9"/>
  <c r="H76" i="9"/>
  <c r="I76" i="9"/>
  <c r="J76" i="9"/>
  <c r="K76" i="9"/>
  <c r="B77" i="9"/>
  <c r="C77" i="9"/>
  <c r="D77" i="9"/>
  <c r="E77" i="9"/>
  <c r="F77" i="9"/>
  <c r="G77" i="9"/>
  <c r="H77" i="9"/>
  <c r="I77" i="9"/>
  <c r="J77" i="9"/>
  <c r="K77" i="9"/>
  <c r="B78" i="9"/>
  <c r="C78" i="9"/>
  <c r="D78" i="9"/>
  <c r="E78" i="9"/>
  <c r="F78" i="9"/>
  <c r="G78" i="9"/>
  <c r="H78" i="9"/>
  <c r="I78" i="9"/>
  <c r="J78" i="9"/>
  <c r="K78" i="9"/>
  <c r="B79" i="9"/>
  <c r="C79" i="9"/>
  <c r="D79" i="9"/>
  <c r="E79" i="9"/>
  <c r="F79" i="9"/>
  <c r="G79" i="9"/>
  <c r="H79" i="9"/>
  <c r="I79" i="9"/>
  <c r="J79" i="9"/>
  <c r="K79" i="9"/>
  <c r="B80" i="9"/>
  <c r="C80" i="9"/>
  <c r="D80" i="9"/>
  <c r="E80" i="9"/>
  <c r="F80" i="9"/>
  <c r="G80" i="9"/>
  <c r="H80" i="9"/>
  <c r="I80" i="9"/>
  <c r="J80" i="9"/>
  <c r="K80" i="9"/>
  <c r="B81" i="9"/>
  <c r="C81" i="9"/>
  <c r="D81" i="9"/>
  <c r="E81" i="9"/>
  <c r="F81" i="9"/>
  <c r="G81" i="9"/>
  <c r="H81" i="9"/>
  <c r="I81" i="9"/>
  <c r="J81" i="9"/>
  <c r="K81" i="9"/>
  <c r="B82" i="9"/>
  <c r="C82" i="9"/>
  <c r="D82" i="9"/>
  <c r="E82" i="9"/>
  <c r="F82" i="9"/>
  <c r="G82" i="9"/>
  <c r="H82" i="9"/>
  <c r="I82" i="9"/>
  <c r="J82" i="9"/>
  <c r="K82" i="9"/>
  <c r="B83" i="9"/>
  <c r="C83" i="9"/>
  <c r="D83" i="9"/>
  <c r="E83" i="9"/>
  <c r="F83" i="9"/>
  <c r="G83" i="9"/>
  <c r="H83" i="9"/>
  <c r="I83" i="9"/>
  <c r="J83" i="9"/>
  <c r="K83" i="9"/>
  <c r="B84" i="9"/>
  <c r="C84" i="9"/>
  <c r="D84" i="9"/>
  <c r="E84" i="9"/>
  <c r="F84" i="9"/>
  <c r="G84" i="9"/>
  <c r="H84" i="9"/>
  <c r="I84" i="9"/>
  <c r="J84" i="9"/>
  <c r="K84" i="9"/>
  <c r="B85" i="9"/>
  <c r="C85" i="9"/>
  <c r="D85" i="9"/>
  <c r="E85" i="9"/>
  <c r="F85" i="9"/>
  <c r="G85" i="9"/>
  <c r="H85" i="9"/>
  <c r="I85" i="9"/>
  <c r="J85" i="9"/>
  <c r="K85" i="9"/>
  <c r="B86" i="9"/>
  <c r="C86" i="9"/>
  <c r="D86" i="9"/>
  <c r="E86" i="9"/>
  <c r="F86" i="9"/>
  <c r="G86" i="9"/>
  <c r="H86" i="9"/>
  <c r="I86" i="9"/>
  <c r="J86" i="9"/>
  <c r="K86" i="9"/>
  <c r="B87" i="9"/>
  <c r="C87" i="9"/>
  <c r="D87" i="9"/>
  <c r="E87" i="9"/>
  <c r="F87" i="9"/>
  <c r="G87" i="9"/>
  <c r="H87" i="9"/>
  <c r="I87" i="9"/>
  <c r="J87" i="9"/>
  <c r="K87" i="9"/>
  <c r="B88" i="9"/>
  <c r="C88" i="9"/>
  <c r="D88" i="9"/>
  <c r="E88" i="9"/>
  <c r="F88" i="9"/>
  <c r="G88" i="9"/>
  <c r="H88" i="9"/>
  <c r="I88" i="9"/>
  <c r="J88" i="9"/>
  <c r="K88" i="9"/>
  <c r="B89" i="9"/>
  <c r="C89" i="9"/>
  <c r="D89" i="9"/>
  <c r="E89" i="9"/>
  <c r="F89" i="9"/>
  <c r="G89" i="9"/>
  <c r="H89" i="9"/>
  <c r="I89" i="9"/>
  <c r="J89" i="9"/>
  <c r="K89" i="9"/>
  <c r="B90" i="9"/>
  <c r="C90" i="9"/>
  <c r="D90" i="9"/>
  <c r="E90" i="9"/>
  <c r="F90" i="9"/>
  <c r="G90" i="9"/>
  <c r="H90" i="9"/>
  <c r="I90" i="9"/>
  <c r="J90" i="9"/>
  <c r="K90" i="9"/>
  <c r="B91" i="9"/>
  <c r="C91" i="9"/>
  <c r="D91" i="9"/>
  <c r="E91" i="9"/>
  <c r="F91" i="9"/>
  <c r="G91" i="9"/>
  <c r="H91" i="9"/>
  <c r="I91" i="9"/>
  <c r="J91" i="9"/>
  <c r="K91" i="9"/>
  <c r="B92" i="9"/>
  <c r="C92" i="9"/>
  <c r="D92" i="9"/>
  <c r="E92" i="9"/>
  <c r="F92" i="9"/>
  <c r="G92" i="9"/>
  <c r="H92" i="9"/>
  <c r="I92" i="9"/>
  <c r="J92" i="9"/>
  <c r="K92" i="9"/>
  <c r="B93" i="9"/>
  <c r="C93" i="9"/>
  <c r="D93" i="9"/>
  <c r="E93" i="9"/>
  <c r="F93" i="9"/>
  <c r="G93" i="9"/>
  <c r="H93" i="9"/>
  <c r="I93" i="9"/>
  <c r="J93" i="9"/>
  <c r="K93" i="9"/>
  <c r="B94" i="9"/>
  <c r="C94" i="9"/>
  <c r="D94" i="9"/>
  <c r="E94" i="9"/>
  <c r="F94" i="9"/>
  <c r="G94" i="9"/>
  <c r="H94" i="9"/>
  <c r="I94" i="9"/>
  <c r="J94" i="9"/>
  <c r="K94" i="9"/>
  <c r="B95" i="9"/>
  <c r="C95" i="9"/>
  <c r="D95" i="9"/>
  <c r="E95" i="9"/>
  <c r="F95" i="9"/>
  <c r="G95" i="9"/>
  <c r="H95" i="9"/>
  <c r="I95" i="9"/>
  <c r="J95" i="9"/>
  <c r="K95" i="9"/>
  <c r="B96" i="9"/>
  <c r="C96" i="9"/>
  <c r="D96" i="9"/>
  <c r="E96" i="9"/>
  <c r="F96" i="9"/>
  <c r="G96" i="9"/>
  <c r="H96" i="9"/>
  <c r="I96" i="9"/>
  <c r="J96" i="9"/>
  <c r="K96" i="9"/>
  <c r="B97" i="9"/>
  <c r="C97" i="9"/>
  <c r="D97" i="9"/>
  <c r="E97" i="9"/>
  <c r="F97" i="9"/>
  <c r="G97" i="9"/>
  <c r="H97" i="9"/>
  <c r="I97" i="9"/>
  <c r="J97" i="9"/>
  <c r="K97" i="9"/>
  <c r="B98" i="9"/>
  <c r="C98" i="9"/>
  <c r="D98" i="9"/>
  <c r="E98" i="9"/>
  <c r="F98" i="9"/>
  <c r="G98" i="9"/>
  <c r="H98" i="9"/>
  <c r="I98" i="9"/>
  <c r="J98" i="9"/>
  <c r="K98" i="9"/>
  <c r="B99" i="9"/>
  <c r="C99" i="9"/>
  <c r="D99" i="9"/>
  <c r="E99" i="9"/>
  <c r="F99" i="9"/>
  <c r="G99" i="9"/>
  <c r="H99" i="9"/>
  <c r="I99" i="9"/>
  <c r="J99" i="9"/>
  <c r="K99" i="9"/>
  <c r="B100" i="9"/>
  <c r="C100" i="9"/>
  <c r="D100" i="9"/>
  <c r="E100" i="9"/>
  <c r="F100" i="9"/>
  <c r="G100" i="9"/>
  <c r="H100" i="9"/>
  <c r="I100" i="9"/>
  <c r="J100" i="9"/>
  <c r="K100" i="9"/>
  <c r="B101" i="9"/>
  <c r="C101" i="9"/>
  <c r="D101" i="9"/>
  <c r="E101" i="9"/>
  <c r="F101" i="9"/>
  <c r="G101" i="9"/>
  <c r="H101" i="9"/>
  <c r="I101" i="9"/>
  <c r="J101" i="9"/>
  <c r="K101" i="9"/>
  <c r="B102" i="9"/>
  <c r="C102" i="9"/>
  <c r="D102" i="9"/>
  <c r="E102" i="9"/>
  <c r="F102" i="9"/>
  <c r="G102" i="9"/>
  <c r="H102" i="9"/>
  <c r="I102" i="9"/>
  <c r="J102" i="9"/>
  <c r="K102" i="9"/>
  <c r="B103" i="9"/>
  <c r="C103" i="9"/>
  <c r="D103" i="9"/>
  <c r="E103" i="9"/>
  <c r="F103" i="9"/>
  <c r="G103" i="9"/>
  <c r="H103" i="9"/>
  <c r="I103" i="9"/>
  <c r="J103" i="9"/>
  <c r="K103" i="9"/>
  <c r="B104" i="9"/>
  <c r="C104" i="9"/>
  <c r="D104" i="9"/>
  <c r="E104" i="9"/>
  <c r="F104" i="9"/>
  <c r="G104" i="9"/>
  <c r="H104" i="9"/>
  <c r="I104" i="9"/>
  <c r="J104" i="9"/>
  <c r="K104" i="9"/>
  <c r="B105" i="9"/>
  <c r="C105" i="9"/>
  <c r="D105" i="9"/>
  <c r="E105" i="9"/>
  <c r="F105" i="9"/>
  <c r="G105" i="9"/>
  <c r="H105" i="9"/>
  <c r="I105" i="9"/>
  <c r="J105" i="9"/>
  <c r="K105" i="9"/>
  <c r="B106" i="9"/>
  <c r="C106" i="9"/>
  <c r="D106" i="9"/>
  <c r="E106" i="9"/>
  <c r="F106" i="9"/>
  <c r="G106" i="9"/>
  <c r="H106" i="9"/>
  <c r="I106" i="9"/>
  <c r="J106" i="9"/>
  <c r="K106" i="9"/>
  <c r="B107" i="9"/>
  <c r="C107" i="9"/>
  <c r="D107" i="9"/>
  <c r="E107" i="9"/>
  <c r="F107" i="9"/>
  <c r="G107" i="9"/>
  <c r="H107" i="9"/>
  <c r="I107" i="9"/>
  <c r="J107" i="9"/>
  <c r="K107" i="9"/>
  <c r="B108" i="9"/>
  <c r="C108" i="9"/>
  <c r="D108" i="9"/>
  <c r="E108" i="9"/>
  <c r="F108" i="9"/>
  <c r="G108" i="9"/>
  <c r="H108" i="9"/>
  <c r="I108" i="9"/>
  <c r="J108" i="9"/>
  <c r="K108" i="9"/>
  <c r="B109" i="9"/>
  <c r="C109" i="9"/>
  <c r="D109" i="9"/>
  <c r="E109" i="9"/>
  <c r="F109" i="9"/>
  <c r="G109" i="9"/>
  <c r="H109" i="9"/>
  <c r="I109" i="9"/>
  <c r="J109" i="9"/>
  <c r="K109" i="9"/>
  <c r="B110" i="9"/>
  <c r="C110" i="9"/>
  <c r="D110" i="9"/>
  <c r="E110" i="9"/>
  <c r="F110" i="9"/>
  <c r="G110" i="9"/>
  <c r="H110" i="9"/>
  <c r="I110" i="9"/>
  <c r="J110" i="9"/>
  <c r="K110" i="9"/>
  <c r="B111" i="9"/>
  <c r="C111" i="9"/>
  <c r="D111" i="9"/>
  <c r="E111" i="9"/>
  <c r="F111" i="9"/>
  <c r="G111" i="9"/>
  <c r="H111" i="9"/>
  <c r="I111" i="9"/>
  <c r="J111" i="9"/>
  <c r="K111" i="9"/>
  <c r="B112" i="9"/>
  <c r="C112" i="9"/>
  <c r="D112" i="9"/>
  <c r="E112" i="9"/>
  <c r="F112" i="9"/>
  <c r="G112" i="9"/>
  <c r="H112" i="9"/>
  <c r="I112" i="9"/>
  <c r="J112" i="9"/>
  <c r="K112" i="9"/>
  <c r="B113" i="9"/>
  <c r="C113" i="9"/>
  <c r="D113" i="9"/>
  <c r="E113" i="9"/>
  <c r="F113" i="9"/>
  <c r="G113" i="9"/>
  <c r="H113" i="9"/>
  <c r="I113" i="9"/>
  <c r="J113" i="9"/>
  <c r="K113" i="9"/>
  <c r="B114" i="9"/>
  <c r="C114" i="9"/>
  <c r="D114" i="9"/>
  <c r="E114" i="9"/>
  <c r="F114" i="9"/>
  <c r="G114" i="9"/>
  <c r="H114" i="9"/>
  <c r="I114" i="9"/>
  <c r="J114" i="9"/>
  <c r="K114" i="9"/>
  <c r="B115" i="9"/>
  <c r="C115" i="9"/>
  <c r="D115" i="9"/>
  <c r="E115" i="9"/>
  <c r="F115" i="9"/>
  <c r="G115" i="9"/>
  <c r="H115" i="9"/>
  <c r="I115" i="9"/>
  <c r="J115" i="9"/>
  <c r="K115" i="9"/>
  <c r="B116" i="9"/>
  <c r="C116" i="9"/>
  <c r="D116" i="9"/>
  <c r="E116" i="9"/>
  <c r="F116" i="9"/>
  <c r="G116" i="9"/>
  <c r="H116" i="9"/>
  <c r="I116" i="9"/>
  <c r="J116" i="9"/>
  <c r="K116" i="9"/>
  <c r="B117" i="9"/>
  <c r="C117" i="9"/>
  <c r="D117" i="9"/>
  <c r="E117" i="9"/>
  <c r="F117" i="9"/>
  <c r="G117" i="9"/>
  <c r="H117" i="9"/>
  <c r="I117" i="9"/>
  <c r="J117" i="9"/>
  <c r="K117" i="9"/>
  <c r="B118" i="9"/>
  <c r="C118" i="9"/>
  <c r="D118" i="9"/>
  <c r="E118" i="9"/>
  <c r="F118" i="9"/>
  <c r="G118" i="9"/>
  <c r="H118" i="9"/>
  <c r="I118" i="9"/>
  <c r="J118" i="9"/>
  <c r="K118" i="9"/>
  <c r="B119" i="9"/>
  <c r="C119" i="9"/>
  <c r="D119" i="9"/>
  <c r="E119" i="9"/>
  <c r="F119" i="9"/>
  <c r="G119" i="9"/>
  <c r="H119" i="9"/>
  <c r="I119" i="9"/>
  <c r="J119" i="9"/>
  <c r="K119" i="9"/>
  <c r="B120" i="9"/>
  <c r="C120" i="9"/>
  <c r="D120" i="9"/>
  <c r="E120" i="9"/>
  <c r="F120" i="9"/>
  <c r="G120" i="9"/>
  <c r="H120" i="9"/>
  <c r="I120" i="9"/>
  <c r="J120" i="9"/>
  <c r="K120" i="9"/>
  <c r="B121" i="9"/>
  <c r="C121" i="9"/>
  <c r="D121" i="9"/>
  <c r="E121" i="9"/>
  <c r="F121" i="9"/>
  <c r="G121" i="9"/>
  <c r="H121" i="9"/>
  <c r="I121" i="9"/>
  <c r="J121" i="9"/>
  <c r="K121" i="9"/>
  <c r="B122" i="9"/>
  <c r="C122" i="9"/>
  <c r="D122" i="9"/>
  <c r="E122" i="9"/>
  <c r="F122" i="9"/>
  <c r="G122" i="9"/>
  <c r="H122" i="9"/>
  <c r="I122" i="9"/>
  <c r="J122" i="9"/>
  <c r="K122" i="9"/>
  <c r="B123" i="9"/>
  <c r="C123" i="9"/>
  <c r="D123" i="9"/>
  <c r="E123" i="9"/>
  <c r="F123" i="9"/>
  <c r="G123" i="9"/>
  <c r="H123" i="9"/>
  <c r="I123" i="9"/>
  <c r="J123" i="9"/>
  <c r="K123" i="9"/>
  <c r="B124" i="9"/>
  <c r="C124" i="9"/>
  <c r="D124" i="9"/>
  <c r="E124" i="9"/>
  <c r="F124" i="9"/>
  <c r="G124" i="9"/>
  <c r="H124" i="9"/>
  <c r="I124" i="9"/>
  <c r="J124" i="9"/>
  <c r="K124" i="9"/>
  <c r="B125" i="9"/>
  <c r="C125" i="9"/>
  <c r="D125" i="9"/>
  <c r="E125" i="9"/>
  <c r="F125" i="9"/>
  <c r="G125" i="9"/>
  <c r="H125" i="9"/>
  <c r="I125" i="9"/>
  <c r="J125" i="9"/>
  <c r="K125" i="9"/>
  <c r="B126" i="9"/>
  <c r="C126" i="9"/>
  <c r="D126" i="9"/>
  <c r="E126" i="9"/>
  <c r="F126" i="9"/>
  <c r="G126" i="9"/>
  <c r="H126" i="9"/>
  <c r="I126" i="9"/>
  <c r="J126" i="9"/>
  <c r="K126" i="9"/>
  <c r="B127" i="9"/>
  <c r="C127" i="9"/>
  <c r="D127" i="9"/>
  <c r="E127" i="9"/>
  <c r="F127" i="9"/>
  <c r="G127" i="9"/>
  <c r="H127" i="9"/>
  <c r="I127" i="9"/>
  <c r="J127" i="9"/>
  <c r="K127" i="9"/>
  <c r="B128" i="9"/>
  <c r="C128" i="9"/>
  <c r="D128" i="9"/>
  <c r="E128" i="9"/>
  <c r="F128" i="9"/>
  <c r="G128" i="9"/>
  <c r="H128" i="9"/>
  <c r="I128" i="9"/>
  <c r="J128" i="9"/>
  <c r="K128" i="9"/>
  <c r="B129" i="9"/>
  <c r="C129" i="9"/>
  <c r="D129" i="9"/>
  <c r="E129" i="9"/>
  <c r="F129" i="9"/>
  <c r="G129" i="9"/>
  <c r="H129" i="9"/>
  <c r="I129" i="9"/>
  <c r="J129" i="9"/>
  <c r="K129" i="9"/>
  <c r="B130" i="9"/>
  <c r="C130" i="9"/>
  <c r="D130" i="9"/>
  <c r="E130" i="9"/>
  <c r="F130" i="9"/>
  <c r="G130" i="9"/>
  <c r="H130" i="9"/>
  <c r="I130" i="9"/>
  <c r="J130" i="9"/>
  <c r="K130" i="9"/>
  <c r="B131" i="9"/>
  <c r="C131" i="9"/>
  <c r="D131" i="9"/>
  <c r="E131" i="9"/>
  <c r="F131" i="9"/>
  <c r="G131" i="9"/>
  <c r="H131" i="9"/>
  <c r="I131" i="9"/>
  <c r="J131" i="9"/>
  <c r="K131" i="9"/>
  <c r="B132" i="9"/>
  <c r="C132" i="9"/>
  <c r="D132" i="9"/>
  <c r="E132" i="9"/>
  <c r="F132" i="9"/>
  <c r="G132" i="9"/>
  <c r="H132" i="9"/>
  <c r="I132" i="9"/>
  <c r="J132" i="9"/>
  <c r="K132" i="9"/>
  <c r="B133" i="9"/>
  <c r="C133" i="9"/>
  <c r="D133" i="9"/>
  <c r="E133" i="9"/>
  <c r="F133" i="9"/>
  <c r="G133" i="9"/>
  <c r="H133" i="9"/>
  <c r="I133" i="9"/>
  <c r="J133" i="9"/>
  <c r="K133" i="9"/>
  <c r="B134" i="9"/>
  <c r="C134" i="9"/>
  <c r="D134" i="9"/>
  <c r="E134" i="9"/>
  <c r="F134" i="9"/>
  <c r="G134" i="9"/>
  <c r="H134" i="9"/>
  <c r="I134" i="9"/>
  <c r="J134" i="9"/>
  <c r="K134" i="9"/>
  <c r="B135" i="9"/>
  <c r="C135" i="9"/>
  <c r="D135" i="9"/>
  <c r="E135" i="9"/>
  <c r="F135" i="9"/>
  <c r="G135" i="9"/>
  <c r="H135" i="9"/>
  <c r="I135" i="9"/>
  <c r="J135" i="9"/>
  <c r="K135" i="9"/>
  <c r="B136" i="9"/>
  <c r="C136" i="9"/>
  <c r="D136" i="9"/>
  <c r="E136" i="9"/>
  <c r="F136" i="9"/>
  <c r="G136" i="9"/>
  <c r="H136" i="9"/>
  <c r="I136" i="9"/>
  <c r="J136" i="9"/>
  <c r="K136" i="9"/>
  <c r="B137" i="9"/>
  <c r="C137" i="9"/>
  <c r="D137" i="9"/>
  <c r="E137" i="9"/>
  <c r="F137" i="9"/>
  <c r="G137" i="9"/>
  <c r="H137" i="9"/>
  <c r="I137" i="9"/>
  <c r="J137" i="9"/>
  <c r="K137" i="9"/>
  <c r="B138" i="9"/>
  <c r="C138" i="9"/>
  <c r="D138" i="9"/>
  <c r="E138" i="9"/>
  <c r="F138" i="9"/>
  <c r="G138" i="9"/>
  <c r="H138" i="9"/>
  <c r="I138" i="9"/>
  <c r="J138" i="9"/>
  <c r="K138" i="9"/>
  <c r="B139" i="9"/>
  <c r="C139" i="9"/>
  <c r="D139" i="9"/>
  <c r="E139" i="9"/>
  <c r="F139" i="9"/>
  <c r="G139" i="9"/>
  <c r="H139" i="9"/>
  <c r="I139" i="9"/>
  <c r="J139" i="9"/>
  <c r="K139" i="9"/>
  <c r="B140" i="9"/>
  <c r="C140" i="9"/>
  <c r="D140" i="9"/>
  <c r="E140" i="9"/>
  <c r="F140" i="9"/>
  <c r="G140" i="9"/>
  <c r="H140" i="9"/>
  <c r="I140" i="9"/>
  <c r="J140" i="9"/>
  <c r="K140" i="9"/>
  <c r="B141" i="9"/>
  <c r="C141" i="9"/>
  <c r="D141" i="9"/>
  <c r="E141" i="9"/>
  <c r="F141" i="9"/>
  <c r="G141" i="9"/>
  <c r="H141" i="9"/>
  <c r="I141" i="9"/>
  <c r="J141" i="9"/>
  <c r="K141" i="9"/>
  <c r="B142" i="9"/>
  <c r="C142" i="9"/>
  <c r="D142" i="9"/>
  <c r="E142" i="9"/>
  <c r="F142" i="9"/>
  <c r="G142" i="9"/>
  <c r="H142" i="9"/>
  <c r="I142" i="9"/>
  <c r="J142" i="9"/>
  <c r="K142" i="9"/>
  <c r="C74" i="9"/>
  <c r="D74" i="9"/>
  <c r="E74" i="9"/>
  <c r="F74" i="9"/>
  <c r="G74" i="9"/>
  <c r="H74" i="9"/>
  <c r="I74" i="9"/>
  <c r="J74" i="9"/>
  <c r="K74" i="9"/>
  <c r="B74" i="9"/>
  <c r="O58" i="7"/>
  <c r="P58" i="7"/>
  <c r="Q58" i="7"/>
  <c r="R58" i="7"/>
  <c r="O59" i="7"/>
  <c r="P59" i="7"/>
  <c r="Q59" i="7"/>
  <c r="R59" i="7"/>
  <c r="O60" i="7"/>
  <c r="P60" i="7"/>
  <c r="Q60" i="7"/>
  <c r="R60" i="7"/>
  <c r="O61" i="7"/>
  <c r="P61" i="7"/>
  <c r="Q61" i="7"/>
  <c r="R61" i="7"/>
  <c r="O62" i="7"/>
  <c r="P62" i="7"/>
  <c r="Q62" i="7"/>
  <c r="R62" i="7"/>
  <c r="N59" i="7"/>
  <c r="N60" i="7"/>
  <c r="N61" i="7"/>
  <c r="N62" i="7"/>
  <c r="N58" i="7"/>
  <c r="O55" i="7"/>
  <c r="P55" i="7"/>
  <c r="Q55" i="7"/>
  <c r="R55" i="7"/>
  <c r="N55" i="7"/>
  <c r="O41" i="7"/>
  <c r="P41" i="7"/>
  <c r="Q41" i="7"/>
  <c r="R41" i="7"/>
  <c r="S41" i="7"/>
  <c r="T41" i="7"/>
  <c r="U41" i="7"/>
  <c r="V41" i="7"/>
  <c r="W41" i="7"/>
  <c r="X41" i="7"/>
  <c r="O42" i="7"/>
  <c r="P42" i="7"/>
  <c r="Q42" i="7"/>
  <c r="R42" i="7"/>
  <c r="S42" i="7"/>
  <c r="T42" i="7"/>
  <c r="U42" i="7"/>
  <c r="V42" i="7"/>
  <c r="W42" i="7"/>
  <c r="X42" i="7"/>
  <c r="O43" i="7"/>
  <c r="P43" i="7"/>
  <c r="Q43" i="7"/>
  <c r="R43" i="7"/>
  <c r="S43" i="7"/>
  <c r="T43" i="7"/>
  <c r="U43" i="7"/>
  <c r="V43" i="7"/>
  <c r="W43" i="7"/>
  <c r="X43" i="7"/>
  <c r="N42" i="7"/>
  <c r="N43" i="7"/>
  <c r="N41" i="7"/>
  <c r="O26" i="7"/>
  <c r="O27" i="7"/>
  <c r="O28" i="7"/>
  <c r="H27" i="7"/>
  <c r="I27" i="7"/>
  <c r="J27" i="7"/>
  <c r="K27" i="7"/>
  <c r="L27" i="7"/>
  <c r="M27" i="7"/>
  <c r="N27" i="7"/>
  <c r="H28" i="7"/>
  <c r="I28" i="7"/>
  <c r="J28" i="7"/>
  <c r="K28" i="7"/>
  <c r="L28" i="7"/>
  <c r="M28" i="7"/>
  <c r="N28" i="7"/>
  <c r="I26" i="7"/>
  <c r="J26" i="7"/>
  <c r="K26" i="7"/>
  <c r="L26" i="7"/>
  <c r="M26" i="7"/>
  <c r="N26" i="7"/>
  <c r="H26" i="7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2" i="5"/>
  <c r="I7" i="2"/>
  <c r="J7" i="2"/>
  <c r="K7" i="2"/>
  <c r="H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2" i="2"/>
  <c r="N23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6" i="1"/>
  <c r="F4" i="1"/>
</calcChain>
</file>

<file path=xl/sharedStrings.xml><?xml version="1.0" encoding="utf-8"?>
<sst xmlns="http://schemas.openxmlformats.org/spreadsheetml/2006/main" count="2170" uniqueCount="1774">
  <si>
    <t>Place</t>
  </si>
  <si>
    <t>Freq.</t>
  </si>
  <si>
    <t>Percent</t>
  </si>
  <si>
    <t>Cum.</t>
  </si>
  <si>
    <t>.</t>
  </si>
  <si>
    <t>Auckland Park</t>
  </si>
  <si>
    <t>Barberspan</t>
  </si>
  <si>
    <t>Barberton</t>
  </si>
  <si>
    <t>Bloemfontein</t>
  </si>
  <si>
    <t>Braamfontein</t>
  </si>
  <si>
    <t>Brakfontein</t>
  </si>
  <si>
    <t>Bramfontein</t>
  </si>
  <si>
    <t>Brekfontein</t>
  </si>
  <si>
    <t>Christiana</t>
  </si>
  <si>
    <t>Ermelo</t>
  </si>
  <si>
    <t>Heidelberg</t>
  </si>
  <si>
    <t>Johannesburg</t>
  </si>
  <si>
    <t>Klerksdorp</t>
  </si>
  <si>
    <t>Krugersdorp</t>
  </si>
  <si>
    <t>Lichtenburg</t>
  </si>
  <si>
    <t>Lydenberg</t>
  </si>
  <si>
    <t>Lydenburg</t>
  </si>
  <si>
    <t>Mbabane</t>
  </si>
  <si>
    <t>Middelburg</t>
  </si>
  <si>
    <t>Modderfontein</t>
  </si>
  <si>
    <t>Naauwpoort</t>
  </si>
  <si>
    <t>Namahasha</t>
  </si>
  <si>
    <t>Nomahasha</t>
  </si>
  <si>
    <t>Ottawa</t>
  </si>
  <si>
    <t>Ottoshoop</t>
  </si>
  <si>
    <t>Piet Retief</t>
  </si>
  <si>
    <t>Pietersburg</t>
  </si>
  <si>
    <t>Piggs Peak</t>
  </si>
  <si>
    <t>Potchefstroom</t>
  </si>
  <si>
    <t>Pretoria</t>
  </si>
  <si>
    <t>Prince Albert</t>
  </si>
  <si>
    <t>Rustenburg</t>
  </si>
  <si>
    <t>Standerton</t>
  </si>
  <si>
    <t>Stein Koppies</t>
  </si>
  <si>
    <t>Stemkoppies</t>
  </si>
  <si>
    <t>Swaziland</t>
  </si>
  <si>
    <t>Sydenham</t>
  </si>
  <si>
    <t>Sydenham, ORC</t>
  </si>
  <si>
    <t>Sydenham.ORC</t>
  </si>
  <si>
    <t>Tigerpoort</t>
  </si>
  <si>
    <t>Transvaal</t>
  </si>
  <si>
    <t>Tweefontein</t>
  </si>
  <si>
    <t>Van Wyks Rust</t>
  </si>
  <si>
    <t>Vanwyksrust</t>
  </si>
  <si>
    <t>Ventersdorp</t>
  </si>
  <si>
    <t>Volksrust</t>
  </si>
  <si>
    <t>Wakkerstroom</t>
  </si>
  <si>
    <t>Waterburg</t>
  </si>
  <si>
    <t>Wolmaransstad</t>
  </si>
  <si>
    <t>Zeerust</t>
  </si>
  <si>
    <t>Zoutpansberg</t>
  </si>
  <si>
    <t>Zuurfontein</t>
  </si>
  <si>
    <t>Total</t>
  </si>
  <si>
    <t>YearEnlist</t>
  </si>
  <si>
    <t>SAC recruits</t>
  </si>
  <si>
    <t>Months</t>
  </si>
  <si>
    <t>Country</t>
  </si>
  <si>
    <t>Argentina</t>
  </si>
  <si>
    <t>Australia</t>
  </si>
  <si>
    <t>Belgium</t>
  </si>
  <si>
    <t>Canada</t>
  </si>
  <si>
    <t>Cape Colony</t>
  </si>
  <si>
    <t>Ceylon</t>
  </si>
  <si>
    <t>Channel Islands</t>
  </si>
  <si>
    <t>China</t>
  </si>
  <si>
    <t>Denmark</t>
  </si>
  <si>
    <t>England</t>
  </si>
  <si>
    <t>France</t>
  </si>
  <si>
    <t>Germany</t>
  </si>
  <si>
    <t>Gibraltar</t>
  </si>
  <si>
    <t>Guernsey</t>
  </si>
  <si>
    <t>Hungary</t>
  </si>
  <si>
    <t>Iceland</t>
  </si>
  <si>
    <t>India</t>
  </si>
  <si>
    <t>Ireland</t>
  </si>
  <si>
    <t>Isle of Man</t>
  </si>
  <si>
    <t>Isle of Wight</t>
  </si>
  <si>
    <t>Japan</t>
  </si>
  <si>
    <t>Jersey</t>
  </si>
  <si>
    <t>Malta</t>
  </si>
  <si>
    <t>Mauritius</t>
  </si>
  <si>
    <t>Natal</t>
  </si>
  <si>
    <t>New Zealand</t>
  </si>
  <si>
    <t>Norway</t>
  </si>
  <si>
    <t>Orange River Colony</t>
  </si>
  <si>
    <t>Rhodesia</t>
  </si>
  <si>
    <t>Russia</t>
  </si>
  <si>
    <t>Scotland</t>
  </si>
  <si>
    <t>Shetland Island</t>
  </si>
  <si>
    <t>South Africa</t>
  </si>
  <si>
    <t>South America</t>
  </si>
  <si>
    <t>Sweden</t>
  </si>
  <si>
    <t>Switzerland</t>
  </si>
  <si>
    <t>Turkey</t>
  </si>
  <si>
    <t>USA</t>
  </si>
  <si>
    <t>Wales</t>
  </si>
  <si>
    <t>West Indies</t>
  </si>
  <si>
    <t>Unknown</t>
  </si>
  <si>
    <t>Number</t>
  </si>
  <si>
    <t>agen</t>
  </si>
  <si>
    <t>region</t>
  </si>
  <si>
    <t>wage</t>
  </si>
  <si>
    <t>agen1</t>
  </si>
  <si>
    <t>height</t>
  </si>
  <si>
    <t>weight</t>
  </si>
  <si>
    <t>married</t>
  </si>
  <si>
    <t>farmer</t>
  </si>
  <si>
    <t>chestave</t>
  </si>
  <si>
    <t>ride</t>
  </si>
  <si>
    <t>shoot</t>
  </si>
  <si>
    <t>swim</t>
  </si>
  <si>
    <t>tattoo</t>
  </si>
  <si>
    <t>dieddum</t>
  </si>
  <si>
    <t>length</t>
  </si>
  <si>
    <t>Americas</t>
  </si>
  <si>
    <t>Asia</t>
  </si>
  <si>
    <t>Australasia</t>
  </si>
  <si>
    <t>Boer Republics</t>
  </si>
  <si>
    <t>Europe</t>
  </si>
  <si>
    <t>Southern Africa</t>
  </si>
  <si>
    <t>Wage</t>
  </si>
  <si>
    <t>Age</t>
  </si>
  <si>
    <t>Height</t>
  </si>
  <si>
    <t>Weight</t>
  </si>
  <si>
    <t>Married</t>
  </si>
  <si>
    <t>Farmer</t>
  </si>
  <si>
    <t>Chest</t>
  </si>
  <si>
    <t>Ride</t>
  </si>
  <si>
    <t>Shoot</t>
  </si>
  <si>
    <t>Swim</t>
  </si>
  <si>
    <t>Tattoo</t>
  </si>
  <si>
    <t>Died</t>
  </si>
  <si>
    <t>Tenure</t>
  </si>
  <si>
    <t>catholic</t>
  </si>
  <si>
    <t>Catholic</t>
  </si>
  <si>
    <t>Total (n)</t>
  </si>
  <si>
    <t>Cause of discharge</t>
  </si>
  <si>
    <t>Deceased</t>
  </si>
  <si>
    <t>Deserted</t>
  </si>
  <si>
    <t>Dismissed</t>
  </si>
  <si>
    <t>Free discharge</t>
  </si>
  <si>
    <t>Medically Unfit</t>
  </si>
  <si>
    <t>Misconduct</t>
  </si>
  <si>
    <t>New conditions</t>
  </si>
  <si>
    <t>Promoted</t>
  </si>
  <si>
    <t>Purchase</t>
  </si>
  <si>
    <t>Resigned</t>
  </si>
  <si>
    <t>Retrenched</t>
  </si>
  <si>
    <t>Time expired</t>
  </si>
  <si>
    <t>Transfer</t>
  </si>
  <si>
    <t>Under GO98 para 8b</t>
  </si>
  <si>
    <t>blue</t>
  </si>
  <si>
    <t>ruddy</t>
  </si>
  <si>
    <t>black</t>
  </si>
  <si>
    <t>french</t>
  </si>
  <si>
    <t>Blue eyes</t>
  </si>
  <si>
    <t>Red or ruddy hair</t>
  </si>
  <si>
    <t>Speak black language</t>
  </si>
  <si>
    <t>Speak French</t>
  </si>
  <si>
    <t>Have tattoo</t>
  </si>
  <si>
    <t>Can ride</t>
  </si>
  <si>
    <t>Can shoot</t>
  </si>
  <si>
    <t>Can swim</t>
  </si>
  <si>
    <t>English</t>
  </si>
  <si>
    <t>Dutch</t>
  </si>
  <si>
    <t>(Boot) Traveller</t>
  </si>
  <si>
    <t>(Grocer) N.W.M. Police</t>
  </si>
  <si>
    <t>(Loco) Fireman</t>
  </si>
  <si>
    <t>2nd Mate (Mercantile Marine)</t>
  </si>
  <si>
    <t>Accountant</t>
  </si>
  <si>
    <t>Actor</t>
  </si>
  <si>
    <t>Advertising Contractor</t>
  </si>
  <si>
    <t>Agent</t>
  </si>
  <si>
    <t>Agent Grocer</t>
  </si>
  <si>
    <t>Agricultural student</t>
  </si>
  <si>
    <t>Agriculturalist</t>
  </si>
  <si>
    <t>Agriculture</t>
  </si>
  <si>
    <t>Agriculturist</t>
  </si>
  <si>
    <t>Aluminium Furnaceman</t>
  </si>
  <si>
    <t>Amalgamator</t>
  </si>
  <si>
    <t>Ammunition Column</t>
  </si>
  <si>
    <t>Analyst</t>
  </si>
  <si>
    <t>Apprentice</t>
  </si>
  <si>
    <t>Apprentice Fitter</t>
  </si>
  <si>
    <t>Apprentice Shipbuilder</t>
  </si>
  <si>
    <t>Apprentice, screw &amp; rivet works</t>
  </si>
  <si>
    <t>Architect</t>
  </si>
  <si>
    <t>Architect &amp; Draughtsman</t>
  </si>
  <si>
    <t>Architect - Art Pupil</t>
  </si>
  <si>
    <t>Architect Asst. &amp; Clerk</t>
  </si>
  <si>
    <t>Architect's Assistant</t>
  </si>
  <si>
    <t>Architect's Pupil</t>
  </si>
  <si>
    <t>Architectural Draughtsman</t>
  </si>
  <si>
    <t>Armourer</t>
  </si>
  <si>
    <t>Armourer &amp; Cycle Fitter</t>
  </si>
  <si>
    <t>Arms Smith</t>
  </si>
  <si>
    <t>Army</t>
  </si>
  <si>
    <t>Art</t>
  </si>
  <si>
    <t>Art Editor</t>
  </si>
  <si>
    <t>Art Student</t>
  </si>
  <si>
    <t>Art in Trans (?)</t>
  </si>
  <si>
    <t>Artist</t>
  </si>
  <si>
    <t>Assayer</t>
  </si>
  <si>
    <t>Assayer &amp; Chemist</t>
  </si>
  <si>
    <t>Assayer Chemist</t>
  </si>
  <si>
    <t>Assistant Draper</t>
  </si>
  <si>
    <t>Assistant Electrician</t>
  </si>
  <si>
    <t>Assistant Farrier</t>
  </si>
  <si>
    <t>Assistant Grocer</t>
  </si>
  <si>
    <t>Assistant Rigger</t>
  </si>
  <si>
    <t>Assistant Salesman</t>
  </si>
  <si>
    <t>Assistant Sanitary Surveyor</t>
  </si>
  <si>
    <t>Assistant Schoolmaster</t>
  </si>
  <si>
    <t>Assistant Storekeeper</t>
  </si>
  <si>
    <t>Assistant Tea Planter</t>
  </si>
  <si>
    <t>Assistant to Veterinary Surgeon</t>
  </si>
  <si>
    <t>Assistant, Linen Warehouse</t>
  </si>
  <si>
    <t>Asylum &amp; Hospital Attendant</t>
  </si>
  <si>
    <t>Asylum Attendant</t>
  </si>
  <si>
    <t>Asylum Warder</t>
  </si>
  <si>
    <t>Athlete (pro)</t>
  </si>
  <si>
    <t>Attendant</t>
  </si>
  <si>
    <t>Attendant (Asylum)</t>
  </si>
  <si>
    <t>Attendant Asylum</t>
  </si>
  <si>
    <t>Auctioneer</t>
  </si>
  <si>
    <t>Auctioneer &amp; Surveyor</t>
  </si>
  <si>
    <t>Auctioneer Clerk</t>
  </si>
  <si>
    <t>Auctioneer's Clerk</t>
  </si>
  <si>
    <t>Australian Bushman</t>
  </si>
  <si>
    <t>Author &amp; Composer</t>
  </si>
  <si>
    <t>Bailiff</t>
  </si>
  <si>
    <t>Baiter Fitter</t>
  </si>
  <si>
    <t>Baker</t>
  </si>
  <si>
    <t>Baker &amp; Confectioner</t>
  </si>
  <si>
    <t>Baker &amp; Cook</t>
  </si>
  <si>
    <t>Baker and Confectioner</t>
  </si>
  <si>
    <t>Baker/Groom</t>
  </si>
  <si>
    <t>Bandsman</t>
  </si>
  <si>
    <t>Bank Accountant</t>
  </si>
  <si>
    <t>Bank Cashier</t>
  </si>
  <si>
    <t>Bank Clerk</t>
  </si>
  <si>
    <t>Bank Manager</t>
  </si>
  <si>
    <t>Banker</t>
  </si>
  <si>
    <t>Bar Manager</t>
  </si>
  <si>
    <t>Barber</t>
  </si>
  <si>
    <t>Barman</t>
  </si>
  <si>
    <t>Barrister</t>
  </si>
  <si>
    <t>Barrister at Law</t>
  </si>
  <si>
    <t>Bartender</t>
  </si>
  <si>
    <t>Basket Maker</t>
  </si>
  <si>
    <t>Batman</t>
  </si>
  <si>
    <t>Beamer</t>
  </si>
  <si>
    <t>Beer Bottler</t>
  </si>
  <si>
    <t>Bicycle Maker</t>
  </si>
  <si>
    <t>Bicycle Mechanic</t>
  </si>
  <si>
    <t>Bicycle Worker</t>
  </si>
  <si>
    <t>Billiard Marker</t>
  </si>
  <si>
    <t>Billiard Master</t>
  </si>
  <si>
    <t>Binder</t>
  </si>
  <si>
    <t>Biscuit Baker</t>
  </si>
  <si>
    <t>Blacksmith</t>
  </si>
  <si>
    <t>Blacksmith (Shoeing)</t>
  </si>
  <si>
    <t>Blaster</t>
  </si>
  <si>
    <t>Bleacher</t>
  </si>
  <si>
    <t>Bleacher &amp; Dyer</t>
  </si>
  <si>
    <t>Bleeder</t>
  </si>
  <si>
    <t>Boat Builder</t>
  </si>
  <si>
    <t>Boat-Swain</t>
  </si>
  <si>
    <t>Boer</t>
  </si>
  <si>
    <t>Boiler Maker</t>
  </si>
  <si>
    <t>Boiler Smith</t>
  </si>
  <si>
    <t>Boiler maker assistant</t>
  </si>
  <si>
    <t>Boilermaker</t>
  </si>
  <si>
    <t>Book Seller</t>
  </si>
  <si>
    <t>Bookbinder</t>
  </si>
  <si>
    <t>Bookbinder (Soldier)</t>
  </si>
  <si>
    <t>Bookbinding</t>
  </si>
  <si>
    <t>Booker</t>
  </si>
  <si>
    <t>Bookkeeper</t>
  </si>
  <si>
    <t>Bookkeeper &amp; Clerk</t>
  </si>
  <si>
    <t>Bookkeeper &amp; Telegraphist</t>
  </si>
  <si>
    <t>Bookmaker</t>
  </si>
  <si>
    <t>Bookseller</t>
  </si>
  <si>
    <t>Bookseller's Assistant</t>
  </si>
  <si>
    <t>Boot &amp; Shoe Maker</t>
  </si>
  <si>
    <t>Boot Cutter</t>
  </si>
  <si>
    <t>Boot Finisher (Soldier)</t>
  </si>
  <si>
    <t>Boot Maker</t>
  </si>
  <si>
    <t>Boot Manufacturer</t>
  </si>
  <si>
    <t>Boot Salesman</t>
  </si>
  <si>
    <t>Boot Trade</t>
  </si>
  <si>
    <t>Boot and Leather Assistant</t>
  </si>
  <si>
    <t>Boot and shoe manufacturer</t>
  </si>
  <si>
    <t>Boot maker</t>
  </si>
  <si>
    <t>Boot trade (Manager)</t>
  </si>
  <si>
    <t>Bootmaker</t>
  </si>
  <si>
    <t>Bootmaker/Postman</t>
  </si>
  <si>
    <t>Boots</t>
  </si>
  <si>
    <t>Boots (Hotel)</t>
  </si>
  <si>
    <t>Bottler</t>
  </si>
  <si>
    <t>Boundary Rider</t>
  </si>
  <si>
    <t>Boy Servant/Labourer</t>
  </si>
  <si>
    <t>Brakesman</t>
  </si>
  <si>
    <t>Brass Finisher</t>
  </si>
  <si>
    <t>Brass Founder</t>
  </si>
  <si>
    <t>Brass Moulder</t>
  </si>
  <si>
    <t>Brass Moulder &amp; Finisher</t>
  </si>
  <si>
    <t>Brass Trimmer</t>
  </si>
  <si>
    <t>Breadsman</t>
  </si>
  <si>
    <t>Brewer</t>
  </si>
  <si>
    <t>Brewer's Traveller</t>
  </si>
  <si>
    <t>Brick Burner</t>
  </si>
  <si>
    <t>Brick Maker</t>
  </si>
  <si>
    <t>Bricklayer</t>
  </si>
  <si>
    <t>Bricklayer &amp; Carpenter</t>
  </si>
  <si>
    <t>Bricklayer's Labourer</t>
  </si>
  <si>
    <t>Brickmaker</t>
  </si>
  <si>
    <t>Brickmaker's Foreman</t>
  </si>
  <si>
    <t>Bridge Carpenter</t>
  </si>
  <si>
    <t>Broker</t>
  </si>
  <si>
    <t>Brush Maker</t>
  </si>
  <si>
    <t>Builder</t>
  </si>
  <si>
    <t>Builder's Assistant</t>
  </si>
  <si>
    <t>Builder's Clerk</t>
  </si>
  <si>
    <t>Bus Conductor</t>
  </si>
  <si>
    <t>Bus Driver</t>
  </si>
  <si>
    <t>Bus Proprietor</t>
  </si>
  <si>
    <t>Bushman</t>
  </si>
  <si>
    <t>Butcher</t>
  </si>
  <si>
    <t>Butcher &amp; Clerk</t>
  </si>
  <si>
    <t>Butcher/Farmer</t>
  </si>
  <si>
    <t>Butler</t>
  </si>
  <si>
    <t>Butler &amp; Valet</t>
  </si>
  <si>
    <t>Butter Maker</t>
  </si>
  <si>
    <t>C.E.</t>
  </si>
  <si>
    <t>C.M. Rifles</t>
  </si>
  <si>
    <t>C.S. Clerk</t>
  </si>
  <si>
    <t>Cab Proprietor</t>
  </si>
  <si>
    <t>Cabdriver</t>
  </si>
  <si>
    <t>Cabinet Draftsman</t>
  </si>
  <si>
    <t>Cabinet Maker</t>
  </si>
  <si>
    <t>Cabman</t>
  </si>
  <si>
    <t>Callico Printer</t>
  </si>
  <si>
    <t>Cambridge Undergrad</t>
  </si>
  <si>
    <t>Canteen Inspector</t>
  </si>
  <si>
    <t>Canteen Manager</t>
  </si>
  <si>
    <t>Canteen Steward</t>
  </si>
  <si>
    <t>Canvasser</t>
  </si>
  <si>
    <t>Captain - Reserves</t>
  </si>
  <si>
    <t>Captain's Steward in Royal Navy</t>
  </si>
  <si>
    <t>Car Conductor</t>
  </si>
  <si>
    <t>Car Driver</t>
  </si>
  <si>
    <t>Careman</t>
  </si>
  <si>
    <t>Carman</t>
  </si>
  <si>
    <t>Carpenter</t>
  </si>
  <si>
    <t>Carpenter &amp; Farmer</t>
  </si>
  <si>
    <t>Carpenter &amp; Joiner</t>
  </si>
  <si>
    <t>Carpenter &amp; Machineman</t>
  </si>
  <si>
    <t>Carpenter &amp; Wood Carver</t>
  </si>
  <si>
    <t>Carpenter and Joiner</t>
  </si>
  <si>
    <t>Carpenter/Joiner</t>
  </si>
  <si>
    <t>Carpet Finisher</t>
  </si>
  <si>
    <t>Carpet Planner</t>
  </si>
  <si>
    <t>Carriage Builder</t>
  </si>
  <si>
    <t>Carriage Finisher</t>
  </si>
  <si>
    <t>Carriage Smith</t>
  </si>
  <si>
    <t>Carrier</t>
  </si>
  <si>
    <t>Carrier (Groom)</t>
  </si>
  <si>
    <t>Carter</t>
  </si>
  <si>
    <t>Cartwright</t>
  </si>
  <si>
    <t>Cashier</t>
  </si>
  <si>
    <t>Caster</t>
  </si>
  <si>
    <t>Caterer</t>
  </si>
  <si>
    <t>Cattle Dealer</t>
  </si>
  <si>
    <t>Cattle Rancher</t>
  </si>
  <si>
    <t>Cattle musterer</t>
  </si>
  <si>
    <t>Cattleman</t>
  </si>
  <si>
    <t>Cellar man</t>
  </si>
  <si>
    <t>Cellarman</t>
  </si>
  <si>
    <t>Cellerman</t>
  </si>
  <si>
    <t>Cement Labourer</t>
  </si>
  <si>
    <t>Chain Maker</t>
  </si>
  <si>
    <t>Chair Maker</t>
  </si>
  <si>
    <t>Chartered Accountant</t>
  </si>
  <si>
    <t>Chauffeur</t>
  </si>
  <si>
    <t>Checker</t>
  </si>
  <si>
    <t>Checker (books)</t>
  </si>
  <si>
    <t>Checking Clerk</t>
  </si>
  <si>
    <t>Cheese Maker</t>
  </si>
  <si>
    <t>Cheesemonger</t>
  </si>
  <si>
    <t>Chef</t>
  </si>
  <si>
    <t>Chemical Student</t>
  </si>
  <si>
    <t>Chemist</t>
  </si>
  <si>
    <t>Chemist &amp; Druggist</t>
  </si>
  <si>
    <t>Chemist Apprentice</t>
  </si>
  <si>
    <t>Chemist's Assistant</t>
  </si>
  <si>
    <t>Chemist's Storeman</t>
  </si>
  <si>
    <t>China Painter</t>
  </si>
  <si>
    <t>Cigar Box Maker</t>
  </si>
  <si>
    <t>Civil Engineer</t>
  </si>
  <si>
    <t>Civil Service Clerk</t>
  </si>
  <si>
    <t>Civil Service Clerk (Legal Dept)</t>
  </si>
  <si>
    <t>Cleaner (Railway)</t>
  </si>
  <si>
    <t>Clerk</t>
  </si>
  <si>
    <t>Clerk &amp; Assistant Accountant</t>
  </si>
  <si>
    <t>Clerk &amp; Cyclemaker</t>
  </si>
  <si>
    <t>Clerk &amp; Gymnastics Instructor</t>
  </si>
  <si>
    <t>Clerk &amp; Soldier</t>
  </si>
  <si>
    <t>Clerk &amp; Storekeeper</t>
  </si>
  <si>
    <t>Clerk &amp; Telegraphist</t>
  </si>
  <si>
    <t>Clerk &amp; Traveller</t>
  </si>
  <si>
    <t>Clerk &amp; Typewriter</t>
  </si>
  <si>
    <t>Clerk &amp; Typist</t>
  </si>
  <si>
    <t>Clerk (Clothing)</t>
  </si>
  <si>
    <t>Clerk (Telegraph)</t>
  </si>
  <si>
    <t>Clerk - Railway</t>
  </si>
  <si>
    <t>Clerk Internal Revenue</t>
  </si>
  <si>
    <t>Clerk Shorthand Typer</t>
  </si>
  <si>
    <t>Clerk Solicitor</t>
  </si>
  <si>
    <t>Clerk and Marine Surveyor</t>
  </si>
  <si>
    <t>Clicker (Boot &amp; Shoe)</t>
  </si>
  <si>
    <t>Clicker (Boot Trade)</t>
  </si>
  <si>
    <t>Clockmaker</t>
  </si>
  <si>
    <t>Cloth Finisher</t>
  </si>
  <si>
    <t>Cloth Lapper</t>
  </si>
  <si>
    <t>Clothier</t>
  </si>
  <si>
    <t>Clothier (Salesman)</t>
  </si>
  <si>
    <t>Clothier's Assistant</t>
  </si>
  <si>
    <t>Coach</t>
  </si>
  <si>
    <t>Coach Builder</t>
  </si>
  <si>
    <t>Coach Business</t>
  </si>
  <si>
    <t>Coach Driver</t>
  </si>
  <si>
    <t>Coach Painter</t>
  </si>
  <si>
    <t>Coach Smith</t>
  </si>
  <si>
    <t>Coach-body Maker</t>
  </si>
  <si>
    <t>Coachbuilder</t>
  </si>
  <si>
    <t>Coachman</t>
  </si>
  <si>
    <t>Coachman &amp; Groom</t>
  </si>
  <si>
    <t>Coachsmith</t>
  </si>
  <si>
    <t>Coal Carter</t>
  </si>
  <si>
    <t>Coal Foreman</t>
  </si>
  <si>
    <t>Coal Merchant</t>
  </si>
  <si>
    <t>Coal Miner</t>
  </si>
  <si>
    <t>Coal Porter</t>
  </si>
  <si>
    <t>Coalminer</t>
  </si>
  <si>
    <t>Cocoa Planter</t>
  </si>
  <si>
    <t>Coffee Planter</t>
  </si>
  <si>
    <t>Coin Chandler</t>
  </si>
  <si>
    <t>Collector</t>
  </si>
  <si>
    <t>Collerman</t>
  </si>
  <si>
    <t>Collier</t>
  </si>
  <si>
    <t>Colliery Agent</t>
  </si>
  <si>
    <t>Colonial Broker</t>
  </si>
  <si>
    <t>Colour Mixer</t>
  </si>
  <si>
    <t>Colourman</t>
  </si>
  <si>
    <t>Colt Breaker</t>
  </si>
  <si>
    <t>Commercial</t>
  </si>
  <si>
    <t>Commercial Clerk</t>
  </si>
  <si>
    <t>Commercial Traveller</t>
  </si>
  <si>
    <t>Commission Agent</t>
  </si>
  <si>
    <t>Composer of Music</t>
  </si>
  <si>
    <t>Compositor</t>
  </si>
  <si>
    <t>Compounder</t>
  </si>
  <si>
    <t>Compounder - Chemistry</t>
  </si>
  <si>
    <t>Conductor</t>
  </si>
  <si>
    <t>Confectioner</t>
  </si>
  <si>
    <t>Constable</t>
  </si>
  <si>
    <t>Constable (Dundee Met. Police)</t>
  </si>
  <si>
    <t>Constable (R.I.C.)</t>
  </si>
  <si>
    <t>Constable R.I.C.</t>
  </si>
  <si>
    <t>Constable in NWMP</t>
  </si>
  <si>
    <t>Contractor</t>
  </si>
  <si>
    <t>Contractor's Foreman</t>
  </si>
  <si>
    <t>Conveyancer</t>
  </si>
  <si>
    <t>Cook</t>
  </si>
  <si>
    <t>Cooper</t>
  </si>
  <si>
    <t>Copper Smelter</t>
  </si>
  <si>
    <t>Coppersmith</t>
  </si>
  <si>
    <t>Coremaker</t>
  </si>
  <si>
    <t>Corker</t>
  </si>
  <si>
    <t>Corn &amp; Forage Merchant</t>
  </si>
  <si>
    <t>Corn Merchant</t>
  </si>
  <si>
    <t>Correspondence Clerk</t>
  </si>
  <si>
    <t>Costumier</t>
  </si>
  <si>
    <t>Cotton Dyer</t>
  </si>
  <si>
    <t>Cotton Manufacturer</t>
  </si>
  <si>
    <t>Cowboy</t>
  </si>
  <si>
    <t>Cowboy Rancher</t>
  </si>
  <si>
    <t>Crane Driver</t>
  </si>
  <si>
    <t>Craneman</t>
  </si>
  <si>
    <t>Creamery Manager</t>
  </si>
  <si>
    <t>Creamery agent</t>
  </si>
  <si>
    <t>Creeler (?)</t>
  </si>
  <si>
    <t>Crown Labourer</t>
  </si>
  <si>
    <t>Crown Law</t>
  </si>
  <si>
    <t>Currier</t>
  </si>
  <si>
    <t>Currier &amp; Tanner</t>
  </si>
  <si>
    <t>Cutter (Tailors)</t>
  </si>
  <si>
    <t>Cyanide Shiftsman</t>
  </si>
  <si>
    <t>Cycle Agent</t>
  </si>
  <si>
    <t>Cycle Builder</t>
  </si>
  <si>
    <t>Cycle Engineer</t>
  </si>
  <si>
    <t>Cycle Examiner</t>
  </si>
  <si>
    <t>Cycle Fitter</t>
  </si>
  <si>
    <t>Cycle Machinist</t>
  </si>
  <si>
    <t>Cycle Maker</t>
  </si>
  <si>
    <t>Cycle Mechanic</t>
  </si>
  <si>
    <t>Cycle Repairer</t>
  </si>
  <si>
    <t>Cycle Salesman</t>
  </si>
  <si>
    <t>Cycle Smith</t>
  </si>
  <si>
    <t>Cycle Worker</t>
  </si>
  <si>
    <t>Dairy Farmer</t>
  </si>
  <si>
    <t>Dairyman</t>
  </si>
  <si>
    <t>Dealer</t>
  </si>
  <si>
    <t>Decorator</t>
  </si>
  <si>
    <t>Decorator/Painter</t>
  </si>
  <si>
    <t>Deer Stalker</t>
  </si>
  <si>
    <t>Deliverer</t>
  </si>
  <si>
    <t>Dental Instrument Maker</t>
  </si>
  <si>
    <t>Dental Student</t>
  </si>
  <si>
    <t>Dental Surgeon</t>
  </si>
  <si>
    <t>Dentist</t>
  </si>
  <si>
    <t>Diamond Digger/Butcher</t>
  </si>
  <si>
    <t>Diamond Drill Foreman</t>
  </si>
  <si>
    <t>Diamond Worker</t>
  </si>
  <si>
    <t>Digger</t>
  </si>
  <si>
    <t>Dispatch Rider</t>
  </si>
  <si>
    <t>Dispenser</t>
  </si>
  <si>
    <t>Distiller</t>
  </si>
  <si>
    <t>Doctor of Medicine</t>
  </si>
  <si>
    <t>Draper</t>
  </si>
  <si>
    <t>Draper &amp; Farmer</t>
  </si>
  <si>
    <t>Draper's Assistant</t>
  </si>
  <si>
    <t>Draper's Traveller</t>
  </si>
  <si>
    <t>Drapers Assistant</t>
  </si>
  <si>
    <t>Drapery</t>
  </si>
  <si>
    <t>Drapery &amp; Furnishing</t>
  </si>
  <si>
    <t>Draughtsman</t>
  </si>
  <si>
    <t>Draughtsman and Elec. Engineer</t>
  </si>
  <si>
    <t>Drayman</t>
  </si>
  <si>
    <t>Drill Instructor</t>
  </si>
  <si>
    <t>Driller</t>
  </si>
  <si>
    <t>Driver</t>
  </si>
  <si>
    <t>Driver-Groom</t>
  </si>
  <si>
    <t>Drover</t>
  </si>
  <si>
    <t>Drover (?)</t>
  </si>
  <si>
    <t>Druggist</t>
  </si>
  <si>
    <t>Dyer</t>
  </si>
  <si>
    <t>Dyer (Miner)</t>
  </si>
  <si>
    <t>Dyer's Labourer</t>
  </si>
  <si>
    <t>Elec. Machinist</t>
  </si>
  <si>
    <t>Electric Engineer</t>
  </si>
  <si>
    <t>Electrical Engineer</t>
  </si>
  <si>
    <t>Electrical Fitter</t>
  </si>
  <si>
    <t>Electrician</t>
  </si>
  <si>
    <t>Electrician/Salesman</t>
  </si>
  <si>
    <t>Electroplater</t>
  </si>
  <si>
    <t>Engine Attendant</t>
  </si>
  <si>
    <t>Engine Cleaner</t>
  </si>
  <si>
    <t>Engine Driver</t>
  </si>
  <si>
    <t>Engine Driver (Loco)</t>
  </si>
  <si>
    <t>Engine Fitter</t>
  </si>
  <si>
    <t>Engine Fitters Clerk</t>
  </si>
  <si>
    <t>Engine Man</t>
  </si>
  <si>
    <t>Engine driver</t>
  </si>
  <si>
    <t>Engine-Fitter</t>
  </si>
  <si>
    <t>Engineer</t>
  </si>
  <si>
    <t>Engineer &amp; Practical Machinist</t>
  </si>
  <si>
    <t>Engineer &amp; Surveyor</t>
  </si>
  <si>
    <t>Engineer (Building)</t>
  </si>
  <si>
    <t>Engineer (Loco)</t>
  </si>
  <si>
    <t>Engineer (telephone)</t>
  </si>
  <si>
    <t>Engineer Assistant</t>
  </si>
  <si>
    <t>Engineer Draughtsman</t>
  </si>
  <si>
    <t>Engineer Student</t>
  </si>
  <si>
    <t>Engineer apprentice</t>
  </si>
  <si>
    <t>Engineer's Assistant</t>
  </si>
  <si>
    <t>Engineer's Turner</t>
  </si>
  <si>
    <t>Engineer/Fitter</t>
  </si>
  <si>
    <t>Engineering</t>
  </si>
  <si>
    <t>Engineering Student</t>
  </si>
  <si>
    <t>Engraver</t>
  </si>
  <si>
    <t>Estate Agent</t>
  </si>
  <si>
    <t>Estate Agent's Assistant</t>
  </si>
  <si>
    <t>Etcher</t>
  </si>
  <si>
    <t>Ex-Cavalryman</t>
  </si>
  <si>
    <t>Explosive Expert</t>
  </si>
  <si>
    <t>Fallsman</t>
  </si>
  <si>
    <t>Family Grocer &amp; Wine Merchant</t>
  </si>
  <si>
    <t>Fareman</t>
  </si>
  <si>
    <t>Farm &amp; Land Agent</t>
  </si>
  <si>
    <t>Farm Bailiff</t>
  </si>
  <si>
    <t>Farm Hand</t>
  </si>
  <si>
    <t>Farm Labourer</t>
  </si>
  <si>
    <t>Farm Labourer/Policeman</t>
  </si>
  <si>
    <t>Farm Overseer</t>
  </si>
  <si>
    <t>Farm Pupil</t>
  </si>
  <si>
    <t>Farm Servant</t>
  </si>
  <si>
    <t>Farm Steward</t>
  </si>
  <si>
    <t>Farm hand</t>
  </si>
  <si>
    <t>Farm hand (Ploughman)</t>
  </si>
  <si>
    <t>Farm labourer</t>
  </si>
  <si>
    <t>Farm-Pupil</t>
  </si>
  <si>
    <t>Farmer &amp; Butcher</t>
  </si>
  <si>
    <t>Farmer &amp; Engineer</t>
  </si>
  <si>
    <t>Farmer &amp; Gardener</t>
  </si>
  <si>
    <t>Farmer &amp; Horse Breaker</t>
  </si>
  <si>
    <t>Farmer &amp; Musician</t>
  </si>
  <si>
    <t>Farmer &amp; Police</t>
  </si>
  <si>
    <t>Farmer &amp; Pro-Cricketer</t>
  </si>
  <si>
    <t>Farmer &amp; Staats Artillery</t>
  </si>
  <si>
    <t>Farmer &amp; Store Keeper</t>
  </si>
  <si>
    <t>Farmer &amp; Swazi Police</t>
  </si>
  <si>
    <t>Farmer &amp; Traveller</t>
  </si>
  <si>
    <t>Farmer's Son</t>
  </si>
  <si>
    <t>Farmer, Mechanical Engineer</t>
  </si>
  <si>
    <t>Farmer/Draper</t>
  </si>
  <si>
    <t>Farmer/Horse Breaker</t>
  </si>
  <si>
    <t>Farmer/Soldier</t>
  </si>
  <si>
    <t>Farmer/Swazi Police</t>
  </si>
  <si>
    <t>Farming</t>
  </si>
  <si>
    <t>Farming Cattle</t>
  </si>
  <si>
    <t>Farrier</t>
  </si>
  <si>
    <t>Farrier - Shoeing</t>
  </si>
  <si>
    <t>Ferrier</t>
  </si>
  <si>
    <t>Fetler</t>
  </si>
  <si>
    <t>Fibrous Plasterer</t>
  </si>
  <si>
    <t>Filer</t>
  </si>
  <si>
    <t>Fine Art</t>
  </si>
  <si>
    <t>Fine Art Trade</t>
  </si>
  <si>
    <t>Fire Brigade Instructor</t>
  </si>
  <si>
    <t>Fireman</t>
  </si>
  <si>
    <t>Fireman &amp; Butcher</t>
  </si>
  <si>
    <t>Fireman (Loco)</t>
  </si>
  <si>
    <t>Fireman (Locomotive)</t>
  </si>
  <si>
    <t>Fireman/Soldier</t>
  </si>
  <si>
    <t>Fish Hook Maker</t>
  </si>
  <si>
    <t>Fisherman</t>
  </si>
  <si>
    <t>Fishing Rod Maker</t>
  </si>
  <si>
    <t>Fishmonger</t>
  </si>
  <si>
    <t>Fishmonger &amp; Horse Dealing</t>
  </si>
  <si>
    <t>Fishmonger's Assistant</t>
  </si>
  <si>
    <t>Fishmonger/Poulterer</t>
  </si>
  <si>
    <t>Fitter</t>
  </si>
  <si>
    <t>Fitter &amp; Turner</t>
  </si>
  <si>
    <t>Fitter and Turner</t>
  </si>
  <si>
    <t>Fitter's Labourer</t>
  </si>
  <si>
    <t>Fitter's Manager</t>
  </si>
  <si>
    <t>Fitter/Armourer</t>
  </si>
  <si>
    <t>Florist</t>
  </si>
  <si>
    <t>Footman</t>
  </si>
  <si>
    <t>Footman Valet</t>
  </si>
  <si>
    <t>Foreman</t>
  </si>
  <si>
    <t>Foreman A.O.D.</t>
  </si>
  <si>
    <t>Foreman Bean Curer</t>
  </si>
  <si>
    <t>Foreman of Mines</t>
  </si>
  <si>
    <t>Forestry</t>
  </si>
  <si>
    <t>Forrester</t>
  </si>
  <si>
    <t>French Correspondent</t>
  </si>
  <si>
    <t>French Polisher</t>
  </si>
  <si>
    <t>Fruit Growing</t>
  </si>
  <si>
    <t>Fruit Merchant</t>
  </si>
  <si>
    <t>Fruit Salesman</t>
  </si>
  <si>
    <t>Fruiterer</t>
  </si>
  <si>
    <t>Fruiterer/Florist</t>
  </si>
  <si>
    <t>Fur Draper</t>
  </si>
  <si>
    <t>Furnaceman</t>
  </si>
  <si>
    <t>Furnishman</t>
  </si>
  <si>
    <t>Furniture Porter</t>
  </si>
  <si>
    <t>Furniture Remover</t>
  </si>
  <si>
    <t>Furniture Salesman</t>
  </si>
  <si>
    <t>Furrier</t>
  </si>
  <si>
    <t>Game Keeper</t>
  </si>
  <si>
    <t>Game Keeper &amp; Deer Stalker</t>
  </si>
  <si>
    <t>Gamekeeper</t>
  </si>
  <si>
    <t>Gaoler</t>
  </si>
  <si>
    <t>Gardener</t>
  </si>
  <si>
    <t>Gardener &amp; Farming</t>
  </si>
  <si>
    <t>Gardener/Soldier</t>
  </si>
  <si>
    <t>Gardiner</t>
  </si>
  <si>
    <t>Gas Fitter</t>
  </si>
  <si>
    <t>Gas Worker</t>
  </si>
  <si>
    <t>Gasfitter</t>
  </si>
  <si>
    <t>Gen Decorator</t>
  </si>
  <si>
    <t>General Clerk &amp; Bookkeeper</t>
  </si>
  <si>
    <t>General Dealer</t>
  </si>
  <si>
    <t>General Fitter</t>
  </si>
  <si>
    <t>General Porter</t>
  </si>
  <si>
    <t>General Smith</t>
  </si>
  <si>
    <t>General Wholesaler</t>
  </si>
  <si>
    <t>Gent's Outfitter</t>
  </si>
  <si>
    <t>Gentleman</t>
  </si>
  <si>
    <t>Gentleman Rider</t>
  </si>
  <si>
    <t>Glass Blower</t>
  </si>
  <si>
    <t>Glass Trade</t>
  </si>
  <si>
    <t>Glazier</t>
  </si>
  <si>
    <t>Glove Manufacturer</t>
  </si>
  <si>
    <t>Gold Refiner</t>
  </si>
  <si>
    <t>Golf Club Maker</t>
  </si>
  <si>
    <t>Golf Professional</t>
  </si>
  <si>
    <t>Golfer</t>
  </si>
  <si>
    <t>Govt Servant</t>
  </si>
  <si>
    <t>Grain Trade</t>
  </si>
  <si>
    <t>Grazier</t>
  </si>
  <si>
    <t>Greengrocer</t>
  </si>
  <si>
    <t>Grocer</t>
  </si>
  <si>
    <t>Grocer &amp; Baker</t>
  </si>
  <si>
    <t>Grocer &amp; Provision Merchant</t>
  </si>
  <si>
    <t>Grocer (Fitter)</t>
  </si>
  <si>
    <t>Grocer Assistant</t>
  </si>
  <si>
    <t>Grocer assistant</t>
  </si>
  <si>
    <t>Grocer's Assistant</t>
  </si>
  <si>
    <t>Grocer's Clerk</t>
  </si>
  <si>
    <t>Grocer's Van Driver</t>
  </si>
  <si>
    <t>Grocering</t>
  </si>
  <si>
    <t>Grocers Assistant</t>
  </si>
  <si>
    <t>Grocers Porter</t>
  </si>
  <si>
    <t>Grocery Assistant</t>
  </si>
  <si>
    <t>Groom</t>
  </si>
  <si>
    <t>Groom &amp; Coachman</t>
  </si>
  <si>
    <t>Groom &amp; Gardener</t>
  </si>
  <si>
    <t>Groom &amp; Soldier</t>
  </si>
  <si>
    <t>Groom/Servant</t>
  </si>
  <si>
    <t>Groundsman</t>
  </si>
  <si>
    <t>Guard</t>
  </si>
  <si>
    <t>Gun Browner</t>
  </si>
  <si>
    <t>Gun Maker</t>
  </si>
  <si>
    <t>Gun Trade</t>
  </si>
  <si>
    <t>Gunmaker</t>
  </si>
  <si>
    <t>Gymnast</t>
  </si>
  <si>
    <t>Gymnastic Instructor</t>
  </si>
  <si>
    <t>Hair Dresser</t>
  </si>
  <si>
    <t>Hairdresser</t>
  </si>
  <si>
    <t>Hall Porter</t>
  </si>
  <si>
    <t>Hammerman</t>
  </si>
  <si>
    <t>Handyman</t>
  </si>
  <si>
    <t>Hardware Merchant</t>
  </si>
  <si>
    <t>Hardwarehouseman's Assistant</t>
  </si>
  <si>
    <t>Harness Maker</t>
  </si>
  <si>
    <t>Hatter</t>
  </si>
  <si>
    <t>Hawker</t>
  </si>
  <si>
    <t>Hay and Straw Dealer</t>
  </si>
  <si>
    <t>Heater (Iron)</t>
  </si>
  <si>
    <t>Helper</t>
  </si>
  <si>
    <t>Horse &amp; Cattle Dealer</t>
  </si>
  <si>
    <t>Horse Breaker</t>
  </si>
  <si>
    <t>Horse Breeder</t>
  </si>
  <si>
    <t>Horse Dealer</t>
  </si>
  <si>
    <t>Horse Hirer</t>
  </si>
  <si>
    <t>Horse Keeper</t>
  </si>
  <si>
    <t>Horse Trainer</t>
  </si>
  <si>
    <t>Horsebreaker</t>
  </si>
  <si>
    <t>Horticulturist</t>
  </si>
  <si>
    <t>Hosepipe Weaver</t>
  </si>
  <si>
    <t>Hosier</t>
  </si>
  <si>
    <t>Hosier Shirt Cutter</t>
  </si>
  <si>
    <t>Hosier's Assistant</t>
  </si>
  <si>
    <t>Hospital Attendant</t>
  </si>
  <si>
    <t>Hospital Orderly</t>
  </si>
  <si>
    <t>Hot-Water Fitter</t>
  </si>
  <si>
    <t>Hotel Attendant</t>
  </si>
  <si>
    <t>Hotel Boots</t>
  </si>
  <si>
    <t>Hotel Clerk</t>
  </si>
  <si>
    <t>Hotel Keeper</t>
  </si>
  <si>
    <t>Hotel Manager</t>
  </si>
  <si>
    <t>Hotel Porter</t>
  </si>
  <si>
    <t>Hotel Proprietor</t>
  </si>
  <si>
    <t>Hotelkeeper</t>
  </si>
  <si>
    <t>House Decorator</t>
  </si>
  <si>
    <t>House Furnisher</t>
  </si>
  <si>
    <t>House Painter</t>
  </si>
  <si>
    <t>House-Painter</t>
  </si>
  <si>
    <t>Hunter &amp; Tea Planter</t>
  </si>
  <si>
    <t>Huntsman</t>
  </si>
  <si>
    <t>Ice Worker</t>
  </si>
  <si>
    <t>Improver</t>
  </si>
  <si>
    <t>In C.M.R</t>
  </si>
  <si>
    <t>Independent</t>
  </si>
  <si>
    <t>India Rubber Manufacturer</t>
  </si>
  <si>
    <t>Indigo Planter</t>
  </si>
  <si>
    <t>Indoor Postman</t>
  </si>
  <si>
    <t>Indoor Servant</t>
  </si>
  <si>
    <t>Inquiry Agent</t>
  </si>
  <si>
    <t>Inspector of Claims</t>
  </si>
  <si>
    <t>Insurance</t>
  </si>
  <si>
    <t>Insurance Agent</t>
  </si>
  <si>
    <t>Insurance Broker</t>
  </si>
  <si>
    <t>Interpreter</t>
  </si>
  <si>
    <t>Iron &amp; Steel Worker</t>
  </si>
  <si>
    <t>Iron Founder</t>
  </si>
  <si>
    <t>Iron Machinist</t>
  </si>
  <si>
    <t>Iron Moulder</t>
  </si>
  <si>
    <t>Iron Turner</t>
  </si>
  <si>
    <t>Iron Worker</t>
  </si>
  <si>
    <t>Ironmonger</t>
  </si>
  <si>
    <t>Ironmonger Asst</t>
  </si>
  <si>
    <t>Ironmonger's Assistant</t>
  </si>
  <si>
    <t>Ironmongers Asst</t>
  </si>
  <si>
    <t>Ironmoulder</t>
  </si>
  <si>
    <t>Ironplate Worker</t>
  </si>
  <si>
    <t>Ironwork Erector</t>
  </si>
  <si>
    <t>J.B. Mounted Police</t>
  </si>
  <si>
    <t>Jeweller</t>
  </si>
  <si>
    <t>Jewellers Traveller</t>
  </si>
  <si>
    <t>Job Master</t>
  </si>
  <si>
    <t>Jobbing Engineer</t>
  </si>
  <si>
    <t>Jobmaster</t>
  </si>
  <si>
    <t>Jobmaster/Foreman</t>
  </si>
  <si>
    <t>Jockey</t>
  </si>
  <si>
    <t>Joiner</t>
  </si>
  <si>
    <t>Joiner &amp; Cabinet Maker</t>
  </si>
  <si>
    <t>Joiner &amp; Carpenter</t>
  </si>
  <si>
    <t>Joiner and Carpenter</t>
  </si>
  <si>
    <t>Journalist</t>
  </si>
  <si>
    <t>Journalist &amp; Artist</t>
  </si>
  <si>
    <t>Keeper</t>
  </si>
  <si>
    <t>Kitchen Porter</t>
  </si>
  <si>
    <t>Labeller</t>
  </si>
  <si>
    <t>Laborer</t>
  </si>
  <si>
    <t>Labourer</t>
  </si>
  <si>
    <t>Labourer in Cement Works</t>
  </si>
  <si>
    <t>Lace Maker</t>
  </si>
  <si>
    <t>Lace Manufacturer</t>
  </si>
  <si>
    <t>Lace Trade</t>
  </si>
  <si>
    <t>Laceman</t>
  </si>
  <si>
    <t>Lamplighter</t>
  </si>
  <si>
    <t>Land Agency &amp; Farming</t>
  </si>
  <si>
    <t>Land Agent</t>
  </si>
  <si>
    <t>Land Agent's Assistant</t>
  </si>
  <si>
    <t>Land Steward</t>
  </si>
  <si>
    <t>Land Surveyor</t>
  </si>
  <si>
    <t>Land surveyor</t>
  </si>
  <si>
    <t>Landowner</t>
  </si>
  <si>
    <t>Lands Agent</t>
  </si>
  <si>
    <t>Lap Piecer</t>
  </si>
  <si>
    <t>Late Staats Artillery</t>
  </si>
  <si>
    <t>Lather</t>
  </si>
  <si>
    <t>Launderer</t>
  </si>
  <si>
    <t>Laundry</t>
  </si>
  <si>
    <t>Laundry man</t>
  </si>
  <si>
    <t>Laundryman</t>
  </si>
  <si>
    <t>Law Clerk</t>
  </si>
  <si>
    <t>Law Clerk &amp; Shorthand Writer</t>
  </si>
  <si>
    <t>Law Student</t>
  </si>
  <si>
    <t>Law Student &amp; Soldier</t>
  </si>
  <si>
    <t>Lawyer</t>
  </si>
  <si>
    <t>Layman</t>
  </si>
  <si>
    <t>Lead Glazier</t>
  </si>
  <si>
    <t>Leather Worker</t>
  </si>
  <si>
    <t>Letter Press Printer</t>
  </si>
  <si>
    <t>Library Assistant</t>
  </si>
  <si>
    <t>Licensed Retailer</t>
  </si>
  <si>
    <t>Licensed Victualler</t>
  </si>
  <si>
    <t>Lieutenant - Volunteer Rifles</t>
  </si>
  <si>
    <t>Lift Attendant</t>
  </si>
  <si>
    <t>Lighterman</t>
  </si>
  <si>
    <t>Lineman</t>
  </si>
  <si>
    <t>Linen Finisher</t>
  </si>
  <si>
    <t>Linen Manufacturer</t>
  </si>
  <si>
    <t>Linesman</t>
  </si>
  <si>
    <t>Linoleum Printer</t>
  </si>
  <si>
    <t>Linotype Cleaner</t>
  </si>
  <si>
    <t>Lithographer</t>
  </si>
  <si>
    <t>Liveryman</t>
  </si>
  <si>
    <t>Lobster Packer</t>
  </si>
  <si>
    <t>Loco (Engineer)</t>
  </si>
  <si>
    <t>Loco Cleaner</t>
  </si>
  <si>
    <t>Loco Engineer</t>
  </si>
  <si>
    <t>Loco Fireman</t>
  </si>
  <si>
    <t>Loco. Fireman</t>
  </si>
  <si>
    <t>Locomotive Fireman</t>
  </si>
  <si>
    <t>Locomotive Fitter</t>
  </si>
  <si>
    <t>Lorryman</t>
  </si>
  <si>
    <t>Lumber man</t>
  </si>
  <si>
    <t>Lumberman</t>
  </si>
  <si>
    <t>M.f'.H.</t>
  </si>
  <si>
    <t>Machine Hand</t>
  </si>
  <si>
    <t>Machine Operator</t>
  </si>
  <si>
    <t>Machine hand</t>
  </si>
  <si>
    <t>Machinist</t>
  </si>
  <si>
    <t>Mail Courier</t>
  </si>
  <si>
    <t>Male Nurse</t>
  </si>
  <si>
    <t>Malster</t>
  </si>
  <si>
    <t>Malts man</t>
  </si>
  <si>
    <t>Maltster</t>
  </si>
  <si>
    <t>Man Servant</t>
  </si>
  <si>
    <t>Manager</t>
  </si>
  <si>
    <t>Manager Creamery</t>
  </si>
  <si>
    <t>Manager of Ferry</t>
  </si>
  <si>
    <t>Manservant</t>
  </si>
  <si>
    <t>Manufacturer</t>
  </si>
  <si>
    <t>Manufacturing Chemist</t>
  </si>
  <si>
    <t>Marble Mason &amp; Clerk</t>
  </si>
  <si>
    <t>Marble Polisher</t>
  </si>
  <si>
    <t>Marine Engineer</t>
  </si>
  <si>
    <t>Marine Fireman</t>
  </si>
  <si>
    <t>Marine Insurance Assistant</t>
  </si>
  <si>
    <t>Mariner</t>
  </si>
  <si>
    <t>Market Gardener</t>
  </si>
  <si>
    <t>Market Gardiner</t>
  </si>
  <si>
    <t>Mason</t>
  </si>
  <si>
    <t>Mason &amp; Bricklayer</t>
  </si>
  <si>
    <t>Mason &amp; Builder</t>
  </si>
  <si>
    <t>Master Carman</t>
  </si>
  <si>
    <t>Master Cook</t>
  </si>
  <si>
    <t>Master Mariner</t>
  </si>
  <si>
    <t>Master Tailor</t>
  </si>
  <si>
    <t>Mate: Merchant Service</t>
  </si>
  <si>
    <t>Mattress Maker</t>
  </si>
  <si>
    <t>Mechanic</t>
  </si>
  <si>
    <t>Mechanic Fitter</t>
  </si>
  <si>
    <t>Mechanic/Blacksmith</t>
  </si>
  <si>
    <t>Mechanical Engineer</t>
  </si>
  <si>
    <t>Medical Assistant</t>
  </si>
  <si>
    <t>Medical Assistant &amp; Clerk</t>
  </si>
  <si>
    <t>Medical Attendant &amp; Compounder of Med..</t>
  </si>
  <si>
    <t>Medical Nurse</t>
  </si>
  <si>
    <t>Medical Student</t>
  </si>
  <si>
    <t>Mercantile</t>
  </si>
  <si>
    <t>Merchant</t>
  </si>
  <si>
    <t>Merchant Navy</t>
  </si>
  <si>
    <t>Merchant Seaman</t>
  </si>
  <si>
    <t>Merchant Service</t>
  </si>
  <si>
    <t>Merchant's Assistant</t>
  </si>
  <si>
    <t>Met. Police</t>
  </si>
  <si>
    <t>Metal Pipe Maker</t>
  </si>
  <si>
    <t>Metal Polisher</t>
  </si>
  <si>
    <t>Metal Roller</t>
  </si>
  <si>
    <t>Metal Spinner</t>
  </si>
  <si>
    <t>Metal Worker</t>
  </si>
  <si>
    <t>Metropolitan Police</t>
  </si>
  <si>
    <t>Military</t>
  </si>
  <si>
    <t>Militia Officer</t>
  </si>
  <si>
    <t>Milk Dealer</t>
  </si>
  <si>
    <t>Milkman</t>
  </si>
  <si>
    <t>Milkman &amp; Soldier</t>
  </si>
  <si>
    <t>Mill hand</t>
  </si>
  <si>
    <t>Miller</t>
  </si>
  <si>
    <t>Millhand</t>
  </si>
  <si>
    <t>Millier</t>
  </si>
  <si>
    <t>Millwright</t>
  </si>
  <si>
    <t>Millwright Engineer</t>
  </si>
  <si>
    <t>Mine Contractor</t>
  </si>
  <si>
    <t>Mine Fitter</t>
  </si>
  <si>
    <t>Miner</t>
  </si>
  <si>
    <t>Miner &amp; Clerk</t>
  </si>
  <si>
    <t>Miner's Labourer</t>
  </si>
  <si>
    <t>Miner/Soldier</t>
  </si>
  <si>
    <t>Mineral Water Maker</t>
  </si>
  <si>
    <t>Mineral Water Works</t>
  </si>
  <si>
    <t>Mineral Water manufacturer</t>
  </si>
  <si>
    <t>Mining</t>
  </si>
  <si>
    <t>Mining Agent</t>
  </si>
  <si>
    <t>Mining Contractor</t>
  </si>
  <si>
    <t>Mining Engineer</t>
  </si>
  <si>
    <t>Mining Prospector</t>
  </si>
  <si>
    <t>Mining Student</t>
  </si>
  <si>
    <t>Mole Catcher</t>
  </si>
  <si>
    <t>Monumental Mason</t>
  </si>
  <si>
    <t>Motor Engineer</t>
  </si>
  <si>
    <t>Motor Mechanic</t>
  </si>
  <si>
    <t>Motor-Man</t>
  </si>
  <si>
    <t>Motorman</t>
  </si>
  <si>
    <t>Mould Maker</t>
  </si>
  <si>
    <t>Moulder</t>
  </si>
  <si>
    <t>Mounted Constable</t>
  </si>
  <si>
    <t>Mounted Messenger</t>
  </si>
  <si>
    <t>Mounted Police</t>
  </si>
  <si>
    <t>Mounted Policeman</t>
  </si>
  <si>
    <t>Music Trade</t>
  </si>
  <si>
    <t>Musician</t>
  </si>
  <si>
    <t>Musician (bandmaster)</t>
  </si>
  <si>
    <t>N.S.M. Police</t>
  </si>
  <si>
    <t>N.W. Mounted Police</t>
  </si>
  <si>
    <t>N.W.M. Police</t>
  </si>
  <si>
    <t>NWN Police</t>
  </si>
  <si>
    <t>Natal Police</t>
  </si>
  <si>
    <t>Naturalist</t>
  </si>
  <si>
    <t>Nautical Instructor</t>
  </si>
  <si>
    <t>Nil</t>
  </si>
  <si>
    <t>No Occupation</t>
  </si>
  <si>
    <t>No Profession</t>
  </si>
  <si>
    <t>No trade or calling</t>
  </si>
  <si>
    <t>None</t>
  </si>
  <si>
    <t>None (Surveyor)</t>
  </si>
  <si>
    <t>None - Gentleman</t>
  </si>
  <si>
    <t>Nothing</t>
  </si>
  <si>
    <t>Nurse</t>
  </si>
  <si>
    <t>Nurse Valet</t>
  </si>
  <si>
    <t>Nurseryman</t>
  </si>
  <si>
    <t>Nursing Attendant</t>
  </si>
  <si>
    <t>Officer R.N. Reserve</t>
  </si>
  <si>
    <t>Officer R.N.R.</t>
  </si>
  <si>
    <t>Officer RNR</t>
  </si>
  <si>
    <t>Officer's Servant</t>
  </si>
  <si>
    <t>Oil Blender</t>
  </si>
  <si>
    <t>Optician</t>
  </si>
  <si>
    <t>Organ Builder</t>
  </si>
  <si>
    <t>Organist</t>
  </si>
  <si>
    <t>Ostler</t>
  </si>
  <si>
    <t>Outfitter</t>
  </si>
  <si>
    <t>Outfitter's Assistant</t>
  </si>
  <si>
    <t>Overlooker in Mill</t>
  </si>
  <si>
    <t>Overseer</t>
  </si>
  <si>
    <t>Overseer on Sugar Estate</t>
  </si>
  <si>
    <t>P.O. Clerk (Telegraphist)</t>
  </si>
  <si>
    <t>Packer</t>
  </si>
  <si>
    <t>Packer &amp; Shoeing Smith</t>
  </si>
  <si>
    <t>Packing Case Maker</t>
  </si>
  <si>
    <t>Painter</t>
  </si>
  <si>
    <t>Painter &amp; Decorator</t>
  </si>
  <si>
    <t>Painter &amp; Glazier</t>
  </si>
  <si>
    <t>Painter &amp; Writer</t>
  </si>
  <si>
    <t>Paper Cutter</t>
  </si>
  <si>
    <t>Paper Finisher</t>
  </si>
  <si>
    <t>Paper Hanger</t>
  </si>
  <si>
    <t>Paper Ruler/Soldier</t>
  </si>
  <si>
    <t>Paper Warehouseman</t>
  </si>
  <si>
    <t>Parliamentary Clerk</t>
  </si>
  <si>
    <t>Pattern Maker</t>
  </si>
  <si>
    <t>Pattern Maker (Engineer)</t>
  </si>
  <si>
    <t>Pawn Broker</t>
  </si>
  <si>
    <t>Pawnbroker</t>
  </si>
  <si>
    <t>Pay Clerk</t>
  </si>
  <si>
    <t>Petty Officer, Royal Navy</t>
  </si>
  <si>
    <t>Photographer</t>
  </si>
  <si>
    <t>Photographer, Carpenter</t>
  </si>
  <si>
    <t>Physician</t>
  </si>
  <si>
    <t>Physician and Surgeon</t>
  </si>
  <si>
    <t>Piano Maker</t>
  </si>
  <si>
    <t>Piano Tuner</t>
  </si>
  <si>
    <t>Piano maker</t>
  </si>
  <si>
    <t>Pianoforte Maker</t>
  </si>
  <si>
    <t>Pile Driver</t>
  </si>
  <si>
    <t>Pilot</t>
  </si>
  <si>
    <t>Pilot Apprentice</t>
  </si>
  <si>
    <t>Pipe Fitter</t>
  </si>
  <si>
    <t>Pipe Layer</t>
  </si>
  <si>
    <t>Pipe Maker</t>
  </si>
  <si>
    <t>Pipemounter</t>
  </si>
  <si>
    <t>Piper</t>
  </si>
  <si>
    <t>Pit Sinker</t>
  </si>
  <si>
    <t>Planter</t>
  </si>
  <si>
    <t>Plasterer</t>
  </si>
  <si>
    <t>Plasterer &amp; Painter</t>
  </si>
  <si>
    <t>Plate Layer</t>
  </si>
  <si>
    <t>Plate Moulder</t>
  </si>
  <si>
    <t>Plate layer</t>
  </si>
  <si>
    <t>Platelayer</t>
  </si>
  <si>
    <t>Plateman</t>
  </si>
  <si>
    <t>Plater</t>
  </si>
  <si>
    <t>Ploughman</t>
  </si>
  <si>
    <t>Ploughman/Farmer</t>
  </si>
  <si>
    <t>Plumber</t>
  </si>
  <si>
    <t>Plumber &amp; Electrical Fitter</t>
  </si>
  <si>
    <t>Plumber &amp; Gas Fitter</t>
  </si>
  <si>
    <t>Plumber &amp; Painter</t>
  </si>
  <si>
    <t>Plumber/Electrical Wireman</t>
  </si>
  <si>
    <t>Police</t>
  </si>
  <si>
    <t>Police Clerk</t>
  </si>
  <si>
    <t>Police Constable</t>
  </si>
  <si>
    <t>Police Constable (NWMP)</t>
  </si>
  <si>
    <t>Police Force</t>
  </si>
  <si>
    <t>Police Officer</t>
  </si>
  <si>
    <t>Police Trooper</t>
  </si>
  <si>
    <t>Policeman</t>
  </si>
  <si>
    <t>Policeman (Army Reservist)</t>
  </si>
  <si>
    <t>Policeman (R.I.C.)</t>
  </si>
  <si>
    <t>Policeman R.I.C.</t>
  </si>
  <si>
    <t>Pork Butcher</t>
  </si>
  <si>
    <t>Porter</t>
  </si>
  <si>
    <t>Portmanteau Maker</t>
  </si>
  <si>
    <t>Post Office Porter</t>
  </si>
  <si>
    <t>Post-Boy</t>
  </si>
  <si>
    <t>Posting Master</t>
  </si>
  <si>
    <t>Postman</t>
  </si>
  <si>
    <t>Potter</t>
  </si>
  <si>
    <t>Potter's Placer</t>
  </si>
  <si>
    <t>Poulterer</t>
  </si>
  <si>
    <t>Poultry Dresser</t>
  </si>
  <si>
    <t>Power Loom Tenter</t>
  </si>
  <si>
    <t>Press</t>
  </si>
  <si>
    <t>Pressman</t>
  </si>
  <si>
    <t>Printer</t>
  </si>
  <si>
    <t>Printer compositor</t>
  </si>
  <si>
    <t>Printer's Reader</t>
  </si>
  <si>
    <t>Prison Warder</t>
  </si>
  <si>
    <t>Process Engineer</t>
  </si>
  <si>
    <t>Professional Golfer</t>
  </si>
  <si>
    <t>Professional Interpreter</t>
  </si>
  <si>
    <t>Professional Nurse</t>
  </si>
  <si>
    <t>Professional Swimmer</t>
  </si>
  <si>
    <t>Prospector</t>
  </si>
  <si>
    <t>Provision Dealer</t>
  </si>
  <si>
    <t>Provision Merchant</t>
  </si>
  <si>
    <t>Publican</t>
  </si>
  <si>
    <t>Publisher</t>
  </si>
  <si>
    <t>Publisher's Assistant</t>
  </si>
  <si>
    <t>Pumpman</t>
  </si>
  <si>
    <t>Quarryman</t>
  </si>
  <si>
    <t>Quarryman (Police Sergeant)</t>
  </si>
  <si>
    <t>R.I.C.</t>
  </si>
  <si>
    <t>Rabbit Trapper</t>
  </si>
  <si>
    <t>Rail Servant</t>
  </si>
  <si>
    <t>Railroad Engineer</t>
  </si>
  <si>
    <t>Railroading</t>
  </si>
  <si>
    <t>Railway</t>
  </si>
  <si>
    <t>Railway Brakesman</t>
  </si>
  <si>
    <t>Railway Carr Joiner</t>
  </si>
  <si>
    <t>Railway Checker</t>
  </si>
  <si>
    <t>Railway Clerk</t>
  </si>
  <si>
    <t>Railway Coach Builder</t>
  </si>
  <si>
    <t>Railway Employee</t>
  </si>
  <si>
    <t>Railway Engineer</t>
  </si>
  <si>
    <t>Railway Fireman</t>
  </si>
  <si>
    <t>Railway Fireman &amp; Porter</t>
  </si>
  <si>
    <t>Railway Ganger</t>
  </si>
  <si>
    <t>Railway Guard</t>
  </si>
  <si>
    <t>Railway Joiner</t>
  </si>
  <si>
    <t>Railway Policeman</t>
  </si>
  <si>
    <t>Railway Porter</t>
  </si>
  <si>
    <t>Railway Servant</t>
  </si>
  <si>
    <t>Railway Shunter</t>
  </si>
  <si>
    <t>Railway Signalman</t>
  </si>
  <si>
    <t>Railway Staff Clerk</t>
  </si>
  <si>
    <t>Railway Ticket Collector</t>
  </si>
  <si>
    <t>Railway Ticket Inspector</t>
  </si>
  <si>
    <t>Railway Wagon Builder</t>
  </si>
  <si>
    <t>Railwayman</t>
  </si>
  <si>
    <t>Ranch Overseer</t>
  </si>
  <si>
    <t>Rancher</t>
  </si>
  <si>
    <t>Rancher &amp; Miner</t>
  </si>
  <si>
    <t>Rancher (Canada)</t>
  </si>
  <si>
    <t>Ranching</t>
  </si>
  <si>
    <t>Ranchman</t>
  </si>
  <si>
    <t>Range Rider</t>
  </si>
  <si>
    <t>Ref Guard ?</t>
  </si>
  <si>
    <t>Reporter</t>
  </si>
  <si>
    <t>Rigger</t>
  </si>
  <si>
    <t>Rigger &amp; Tent Repairer</t>
  </si>
  <si>
    <t>River Bailiff</t>
  </si>
  <si>
    <t>River Police</t>
  </si>
  <si>
    <t>Riveter</t>
  </si>
  <si>
    <t>Rivetter</t>
  </si>
  <si>
    <t>Rivitter</t>
  </si>
  <si>
    <t>Road Making</t>
  </si>
  <si>
    <t>Road Surveyor</t>
  </si>
  <si>
    <t>Roll Turner</t>
  </si>
  <si>
    <t>Rollerman</t>
  </si>
  <si>
    <t>Rough Rider</t>
  </si>
  <si>
    <t>Royal Irish Constabulary</t>
  </si>
  <si>
    <t>Rubber Stamp Maker</t>
  </si>
  <si>
    <t>Ruler</t>
  </si>
  <si>
    <t>Saddle Tree Maker</t>
  </si>
  <si>
    <t>Saddler</t>
  </si>
  <si>
    <t>Saddler &amp; Harness Maker</t>
  </si>
  <si>
    <t>Saddler &amp; Traveller</t>
  </si>
  <si>
    <t>Sadler</t>
  </si>
  <si>
    <t>Safe Making</t>
  </si>
  <si>
    <t>Sail maker</t>
  </si>
  <si>
    <t>Sailmaker</t>
  </si>
  <si>
    <t>Sailor</t>
  </si>
  <si>
    <t>Sailor (Merchant Service)</t>
  </si>
  <si>
    <t>Saleman</t>
  </si>
  <si>
    <t>Salesman</t>
  </si>
  <si>
    <t>Sanitary Engineer</t>
  </si>
  <si>
    <t>Sanitary Inspector</t>
  </si>
  <si>
    <t>Saw Mill Manager</t>
  </si>
  <si>
    <t>Sawyer</t>
  </si>
  <si>
    <t>Scaffolder</t>
  </si>
  <si>
    <t>Scholar</t>
  </si>
  <si>
    <t>School Master</t>
  </si>
  <si>
    <t>School Teacher</t>
  </si>
  <si>
    <t>School teacher</t>
  </si>
  <si>
    <t>Schoolmaster</t>
  </si>
  <si>
    <t>Scout</t>
  </si>
  <si>
    <t>Scout - Intelligence</t>
  </si>
  <si>
    <t>Seafaring</t>
  </si>
  <si>
    <t>Sealer</t>
  </si>
  <si>
    <t>Seaman</t>
  </si>
  <si>
    <t>Seaman &amp; Soldier</t>
  </si>
  <si>
    <t>Seaman Gunner</t>
  </si>
  <si>
    <t>Secretarial Clerk</t>
  </si>
  <si>
    <t>Secretary</t>
  </si>
  <si>
    <t>Seed Merchant</t>
  </si>
  <si>
    <t>Seedsman</t>
  </si>
  <si>
    <t>Seedsman (Florist)</t>
  </si>
  <si>
    <t>Servant</t>
  </si>
  <si>
    <t>Served in Natal Police</t>
  </si>
  <si>
    <t>Shearer</t>
  </si>
  <si>
    <t>Sheep Farmer</t>
  </si>
  <si>
    <t>Sheep Station Hand</t>
  </si>
  <si>
    <t>Sheep/Cattle Manager</t>
  </si>
  <si>
    <t>Shell Moulder</t>
  </si>
  <si>
    <t>Shepherd</t>
  </si>
  <si>
    <t>Sheriff</t>
  </si>
  <si>
    <t>Ship Builder</t>
  </si>
  <si>
    <t>Ship Carpenter</t>
  </si>
  <si>
    <t>Ship Painter</t>
  </si>
  <si>
    <t>Ship Steward</t>
  </si>
  <si>
    <t>Ship steward</t>
  </si>
  <si>
    <t>Ship's Plater</t>
  </si>
  <si>
    <t>Ship's Steward</t>
  </si>
  <si>
    <t>Shipbuilder</t>
  </si>
  <si>
    <t>Shipping</t>
  </si>
  <si>
    <t>Shipping Clerk</t>
  </si>
  <si>
    <t>Ships Chandler</t>
  </si>
  <si>
    <t>Ships Steward</t>
  </si>
  <si>
    <t>Ships Store Merchant</t>
  </si>
  <si>
    <t>Shipwright</t>
  </si>
  <si>
    <t>Shirt Cutter</t>
  </si>
  <si>
    <t>Shirt Maker</t>
  </si>
  <si>
    <t>Shoe Laster</t>
  </si>
  <si>
    <t>Shoe Maker</t>
  </si>
  <si>
    <t>Shoeing Farrier</t>
  </si>
  <si>
    <t>Shoeing Smith</t>
  </si>
  <si>
    <t>Shoeing Smith &amp; Farrier Student</t>
  </si>
  <si>
    <t>Shoemaker</t>
  </si>
  <si>
    <t>Shoemaker/Soldier</t>
  </si>
  <si>
    <t>Shop Assistant</t>
  </si>
  <si>
    <t>Shop Keeper</t>
  </si>
  <si>
    <t>Shop Porter</t>
  </si>
  <si>
    <t>Shopkeeper</t>
  </si>
  <si>
    <t>Shopman</t>
  </si>
  <si>
    <t>Shorthand Clerk</t>
  </si>
  <si>
    <t>Shorthand Clerk &amp; Typist</t>
  </si>
  <si>
    <t>Shorthand Writer</t>
  </si>
  <si>
    <t>Shorthand, Writer &amp; Typist</t>
  </si>
  <si>
    <t>Shunter</t>
  </si>
  <si>
    <t>Shunter &amp; Carman</t>
  </si>
  <si>
    <t>Shunter N.E.R.</t>
  </si>
  <si>
    <t>Sick Attendant</t>
  </si>
  <si>
    <t>Sicknurse</t>
  </si>
  <si>
    <t>Sight Spring Maker</t>
  </si>
  <si>
    <t>Sign Writer</t>
  </si>
  <si>
    <t>Sign Writer &amp; Coach Painter</t>
  </si>
  <si>
    <t>Sign writer</t>
  </si>
  <si>
    <t>Signal Man</t>
  </si>
  <si>
    <t>Signal-Man</t>
  </si>
  <si>
    <t>Signaller</t>
  </si>
  <si>
    <t>Signalman</t>
  </si>
  <si>
    <t>Signalman (Railway)</t>
  </si>
  <si>
    <t>Silk Cutter</t>
  </si>
  <si>
    <t>Silk Mercer</t>
  </si>
  <si>
    <t>Silver Polisher</t>
  </si>
  <si>
    <t>Silversmith</t>
  </si>
  <si>
    <t>Silversmith Improver</t>
  </si>
  <si>
    <t>Sink &amp; Bath Maker</t>
  </si>
  <si>
    <t>Skilled Labourer</t>
  </si>
  <si>
    <t>Skilled labourer</t>
  </si>
  <si>
    <t>Slate Layer</t>
  </si>
  <si>
    <t>Slater</t>
  </si>
  <si>
    <t>Slater and Plumber</t>
  </si>
  <si>
    <t>Slating and Draining</t>
  </si>
  <si>
    <t>Small Arms Examiner</t>
  </si>
  <si>
    <t>Smelter</t>
  </si>
  <si>
    <t>Smith</t>
  </si>
  <si>
    <t>Soap Maker</t>
  </si>
  <si>
    <t>Soda Water Manufacturer</t>
  </si>
  <si>
    <t>Soldier</t>
  </si>
  <si>
    <t>Soldier &amp; Butcher</t>
  </si>
  <si>
    <t>Soldier &amp; Chemist</t>
  </si>
  <si>
    <t>Soldier &amp; Clerk</t>
  </si>
  <si>
    <t>Soldier &amp; Groom</t>
  </si>
  <si>
    <t>Soldier &amp; Litho Printer</t>
  </si>
  <si>
    <t>Soldier &amp; Musician</t>
  </si>
  <si>
    <t>Soldier &amp; Plumber</t>
  </si>
  <si>
    <t>Soldier &amp; Tailor</t>
  </si>
  <si>
    <t>Soldier (Baker)</t>
  </si>
  <si>
    <t>Soldier (Builder)</t>
  </si>
  <si>
    <t>Soldier (Engineer)</t>
  </si>
  <si>
    <t>Soldier (Plumber)</t>
  </si>
  <si>
    <t>Soldier (Signaller)</t>
  </si>
  <si>
    <t>Soldier (Tailor)</t>
  </si>
  <si>
    <t>Soldier (Valet)</t>
  </si>
  <si>
    <t>Soldier Civil Engineer</t>
  </si>
  <si>
    <t>Soldier, Telegraphist</t>
  </si>
  <si>
    <t>Soldier/Barman</t>
  </si>
  <si>
    <t>Soldier/Butcher</t>
  </si>
  <si>
    <t>Soldier/Engine Driver</t>
  </si>
  <si>
    <t>Soldiering</t>
  </si>
  <si>
    <t>Solicitor</t>
  </si>
  <si>
    <t>Solicitor's Apprentice</t>
  </si>
  <si>
    <t>Solicitor's Assistant</t>
  </si>
  <si>
    <t>Solicitor's Clerk</t>
  </si>
  <si>
    <t>Solicitors Clerk</t>
  </si>
  <si>
    <t>Spinning Overlooker</t>
  </si>
  <si>
    <t>Spirit Salesman</t>
  </si>
  <si>
    <t>Spirit Trade</t>
  </si>
  <si>
    <t>Splicer</t>
  </si>
  <si>
    <t>Spring Smith</t>
  </si>
  <si>
    <t>Staats Artillerie</t>
  </si>
  <si>
    <t>Staats Artillerie Corporal</t>
  </si>
  <si>
    <t>Staats Artillerie, Telegraphist</t>
  </si>
  <si>
    <t>Staats Artillery</t>
  </si>
  <si>
    <t>Staats Srt. (?)</t>
  </si>
  <si>
    <t>Stable Boy</t>
  </si>
  <si>
    <t>Stableman</t>
  </si>
  <si>
    <t>Stableman/Groom</t>
  </si>
  <si>
    <t>Staff Clerk</t>
  </si>
  <si>
    <t>Stage Driver</t>
  </si>
  <si>
    <t>State nurse</t>
  </si>
  <si>
    <t>Station Hand</t>
  </si>
  <si>
    <t>Station Manager</t>
  </si>
  <si>
    <t>Station hand</t>
  </si>
  <si>
    <t>Stationary Engineer</t>
  </si>
  <si>
    <t>Stationer</t>
  </si>
  <si>
    <t>Steam Crane Driver</t>
  </si>
  <si>
    <t>Steam Fitter</t>
  </si>
  <si>
    <t>Steam Winch Driver</t>
  </si>
  <si>
    <t>Steel Smelter</t>
  </si>
  <si>
    <t>Steel Worker</t>
  </si>
  <si>
    <t>Steelworker</t>
  </si>
  <si>
    <t>Steeplechase Jockey</t>
  </si>
  <si>
    <t>Stenographer</t>
  </si>
  <si>
    <t>Stenographer (Shorthand)</t>
  </si>
  <si>
    <t>Stereotyper</t>
  </si>
  <si>
    <t>Stevedore</t>
  </si>
  <si>
    <t>Steward</t>
  </si>
  <si>
    <t>Stiker - Blacksmith</t>
  </si>
  <si>
    <t>Stock Broker</t>
  </si>
  <si>
    <t>Stock Broker's Clerk</t>
  </si>
  <si>
    <t>Stock Cutter - Tartan Tailor</t>
  </si>
  <si>
    <t>Stock Dealer</t>
  </si>
  <si>
    <t>Stock Driver</t>
  </si>
  <si>
    <t>Stock Exchange</t>
  </si>
  <si>
    <t>Stock Exchange Clerk</t>
  </si>
  <si>
    <t>Stock Keeper</t>
  </si>
  <si>
    <t>Stock Raising</t>
  </si>
  <si>
    <t>Stock Rider</t>
  </si>
  <si>
    <t>Stock Riding</t>
  </si>
  <si>
    <t>Stockbroker</t>
  </si>
  <si>
    <t>Stockman</t>
  </si>
  <si>
    <t>Stockrider</t>
  </si>
  <si>
    <t>Stoker</t>
  </si>
  <si>
    <t>Stoker - Locomotive</t>
  </si>
  <si>
    <t>Stoker Loco</t>
  </si>
  <si>
    <t>Stone &amp; Marble Mason</t>
  </si>
  <si>
    <t>Stone Cutter</t>
  </si>
  <si>
    <t>Stone Driller</t>
  </si>
  <si>
    <t>Stone Mason</t>
  </si>
  <si>
    <t>Stonebreaker</t>
  </si>
  <si>
    <t>Stonecutter</t>
  </si>
  <si>
    <t>Stonemason</t>
  </si>
  <si>
    <t>Store Keeper</t>
  </si>
  <si>
    <t>Store Manager</t>
  </si>
  <si>
    <t>Store man</t>
  </si>
  <si>
    <t>Storekeeper</t>
  </si>
  <si>
    <t>Storekeeper &amp; Time Keeper</t>
  </si>
  <si>
    <t>Storekeeper's Clerk</t>
  </si>
  <si>
    <t>Storeman</t>
  </si>
  <si>
    <t>Striker</t>
  </si>
  <si>
    <t>Stud Groom</t>
  </si>
  <si>
    <t>Student</t>
  </si>
  <si>
    <t>Student at Law</t>
  </si>
  <si>
    <t>Sub-Editor (Press)</t>
  </si>
  <si>
    <t>Sub-Mgr &amp; Accountant Railways</t>
  </si>
  <si>
    <t>Sub. Telegraphist</t>
  </si>
  <si>
    <t>Supply Store Manager</t>
  </si>
  <si>
    <t>Surveyor</t>
  </si>
  <si>
    <t>Surveyor &amp; Land Agent</t>
  </si>
  <si>
    <t>Surveyor's Assistant</t>
  </si>
  <si>
    <t>Surveyor's Chainman</t>
  </si>
  <si>
    <t>Swazi Police</t>
  </si>
  <si>
    <t>Swimmer</t>
  </si>
  <si>
    <t>Swimming Instructor</t>
  </si>
  <si>
    <t>Tailor</t>
  </si>
  <si>
    <t>Tailor &amp; Hosier's Assistant</t>
  </si>
  <si>
    <t>Tailor &amp; Musician</t>
  </si>
  <si>
    <t>Tailor &amp; Outfitter</t>
  </si>
  <si>
    <t>Tailor (Soldier)</t>
  </si>
  <si>
    <t>Tailor and Cutter</t>
  </si>
  <si>
    <t>Tailor's Cutter</t>
  </si>
  <si>
    <t>Tanner</t>
  </si>
  <si>
    <t>Tapster</t>
  </si>
  <si>
    <t>Tattooist</t>
  </si>
  <si>
    <t>Taylor</t>
  </si>
  <si>
    <t>Tea Broker's Apprentice</t>
  </si>
  <si>
    <t>Tea Planter</t>
  </si>
  <si>
    <t>Tea Planter &amp; Clerk</t>
  </si>
  <si>
    <t>Tea trade</t>
  </si>
  <si>
    <t>Teacher</t>
  </si>
  <si>
    <t>Teamster</t>
  </si>
  <si>
    <t>Telegraph Clerk</t>
  </si>
  <si>
    <t>Telegraph Linesman</t>
  </si>
  <si>
    <t>Telegraph Operator</t>
  </si>
  <si>
    <t>Telegrapher</t>
  </si>
  <si>
    <t>Telegraphist</t>
  </si>
  <si>
    <t>Telegraphist &amp; Signaller</t>
  </si>
  <si>
    <t>Telephone Engineer</t>
  </si>
  <si>
    <t>Telephone Jointer &amp; Seaman</t>
  </si>
  <si>
    <t>Telephonist</t>
  </si>
  <si>
    <t>Tent &amp; Sail Maker</t>
  </si>
  <si>
    <t>Tenter</t>
  </si>
  <si>
    <t>Terracotta Maker</t>
  </si>
  <si>
    <t>Thatcher</t>
  </si>
  <si>
    <t>Theatrical</t>
  </si>
  <si>
    <t>Theatrical Profession</t>
  </si>
  <si>
    <t>Ticket Collector</t>
  </si>
  <si>
    <t>Ticket Inspector</t>
  </si>
  <si>
    <t>Tilemaker</t>
  </si>
  <si>
    <t>Tiler</t>
  </si>
  <si>
    <t>Timber Clerk</t>
  </si>
  <si>
    <t>Timber Merchant</t>
  </si>
  <si>
    <t>Timber Porter</t>
  </si>
  <si>
    <t>Timber Salesman</t>
  </si>
  <si>
    <t>Time Keeper</t>
  </si>
  <si>
    <t>Tin Smith</t>
  </si>
  <si>
    <t>Tin Worker</t>
  </si>
  <si>
    <t>Tinker</t>
  </si>
  <si>
    <t>Tinplater</t>
  </si>
  <si>
    <t>Tinsmith</t>
  </si>
  <si>
    <t>Tinsmith/Gas Fitter</t>
  </si>
  <si>
    <t>Tobacco Operator</t>
  </si>
  <si>
    <t>Tobacconist</t>
  </si>
  <si>
    <t>Tool Forger</t>
  </si>
  <si>
    <t>Tool Maker</t>
  </si>
  <si>
    <t>Tool Sharpener</t>
  </si>
  <si>
    <t>Toy Maker</t>
  </si>
  <si>
    <t>Trackman</t>
  </si>
  <si>
    <t>Trader</t>
  </si>
  <si>
    <t>Tradesman</t>
  </si>
  <si>
    <t>Traffic Manager</t>
  </si>
  <si>
    <t>Train Conductor</t>
  </si>
  <si>
    <t>Trained Nurse</t>
  </si>
  <si>
    <t>Trainer</t>
  </si>
  <si>
    <t>Trainer (Steeplechase Jockey)</t>
  </si>
  <si>
    <t>Tramcar Driver</t>
  </si>
  <si>
    <t>Transport</t>
  </si>
  <si>
    <t>Transport Conductor</t>
  </si>
  <si>
    <t>Transport Driver</t>
  </si>
  <si>
    <t>Transport Rider</t>
  </si>
  <si>
    <t>Transportation</t>
  </si>
  <si>
    <t>Traveller</t>
  </si>
  <si>
    <t>Traveller &amp; Clerk</t>
  </si>
  <si>
    <t>Traveller (Leatherware)</t>
  </si>
  <si>
    <t>Trench Polisher</t>
  </si>
  <si>
    <t>Trooper B.S.A.P.</t>
  </si>
  <si>
    <t>Trucker</t>
  </si>
  <si>
    <t>Trumpeter</t>
  </si>
  <si>
    <t>Trussman</t>
  </si>
  <si>
    <t>Turner</t>
  </si>
  <si>
    <t>Turner &amp; Engineer</t>
  </si>
  <si>
    <t>Turner &amp; Fitter</t>
  </si>
  <si>
    <t>Turner/Fitter (Engineer)</t>
  </si>
  <si>
    <t>Tutor</t>
  </si>
  <si>
    <t>Umbrella Maker</t>
  </si>
  <si>
    <t>Unqualified Chemist</t>
  </si>
  <si>
    <t>Upholsterer</t>
  </si>
  <si>
    <t>Usher</t>
  </si>
  <si>
    <t>Valet</t>
  </si>
  <si>
    <t>Van Driver</t>
  </si>
  <si>
    <t>Van Man</t>
  </si>
  <si>
    <t>Van Traveller</t>
  </si>
  <si>
    <t>Van man</t>
  </si>
  <si>
    <t>Vanman</t>
  </si>
  <si>
    <t>Vanman &amp; Boat Repairer</t>
  </si>
  <si>
    <t>Veterinary</t>
  </si>
  <si>
    <t>Veterinary Assistant</t>
  </si>
  <si>
    <t>Veterinary Profession</t>
  </si>
  <si>
    <t>Veterinary Student</t>
  </si>
  <si>
    <t>Veterinary Surgeon</t>
  </si>
  <si>
    <t>Veterinary Surgeon Pupil</t>
  </si>
  <si>
    <t>Veterinary surgeon</t>
  </si>
  <si>
    <t>Victoria Rifles</t>
  </si>
  <si>
    <t>Wagon Repairer</t>
  </si>
  <si>
    <t>Waiter</t>
  </si>
  <si>
    <t>War Office Clerk &amp; Elec. Engineer</t>
  </si>
  <si>
    <t>Warder</t>
  </si>
  <si>
    <t>Warehouse Clerk</t>
  </si>
  <si>
    <t>Warehouse Foreman</t>
  </si>
  <si>
    <t>Warehouse Manager</t>
  </si>
  <si>
    <t>Warehouse Salesman</t>
  </si>
  <si>
    <t>Warehouseman</t>
  </si>
  <si>
    <t>Warehouseman &amp; Clerk</t>
  </si>
  <si>
    <t>Warp Dresser</t>
  </si>
  <si>
    <t>Warpdresser</t>
  </si>
  <si>
    <t>Watch &amp; Clock Trade</t>
  </si>
  <si>
    <t>Watch Case Manufacturer</t>
  </si>
  <si>
    <t>Watch Maker</t>
  </si>
  <si>
    <t>Watchmaker</t>
  </si>
  <si>
    <t>Watchman</t>
  </si>
  <si>
    <t>Watchman/Vanman</t>
  </si>
  <si>
    <t>Waterman</t>
  </si>
  <si>
    <t>Weaver</t>
  </si>
  <si>
    <t>Weigh Master</t>
  </si>
  <si>
    <t>Well Sinker</t>
  </si>
  <si>
    <t>Wheelwright</t>
  </si>
  <si>
    <t>Whip</t>
  </si>
  <si>
    <t>Whip maker</t>
  </si>
  <si>
    <t>White Smith</t>
  </si>
  <si>
    <t>Whitesmith</t>
  </si>
  <si>
    <t>Wholesale Chemist</t>
  </si>
  <si>
    <t>Wholesale Confectioner</t>
  </si>
  <si>
    <t>Window Dresser</t>
  </si>
  <si>
    <t>Wine &amp; Spirit Merchant</t>
  </si>
  <si>
    <t>Wine Cellarman</t>
  </si>
  <si>
    <t>Wine Merchant</t>
  </si>
  <si>
    <t>Wine Porter</t>
  </si>
  <si>
    <t>Wire Rope Splicer</t>
  </si>
  <si>
    <t>Wire Worker</t>
  </si>
  <si>
    <t>Wood Burner</t>
  </si>
  <si>
    <t>Wood Carter</t>
  </si>
  <si>
    <t>Wood Carver</t>
  </si>
  <si>
    <t>Wood Mechanic</t>
  </si>
  <si>
    <t>Wood Moulder</t>
  </si>
  <si>
    <t>Wood Turner</t>
  </si>
  <si>
    <t>Woodcarver</t>
  </si>
  <si>
    <t>Woodman</t>
  </si>
  <si>
    <t>Woodranger</t>
  </si>
  <si>
    <t>Wool Classer</t>
  </si>
  <si>
    <t>Wool Merchant</t>
  </si>
  <si>
    <t>Wool Sorter</t>
  </si>
  <si>
    <t>Wool Stapler</t>
  </si>
  <si>
    <t>Woollen Carder</t>
  </si>
  <si>
    <t>Woollen Manufacturer</t>
  </si>
  <si>
    <t>Woollen Trade</t>
  </si>
  <si>
    <t>Woollen Warehouseman</t>
  </si>
  <si>
    <t>Worsted Spinner</t>
  </si>
  <si>
    <t>Yeoman</t>
  </si>
  <si>
    <t>Z.A.R.P. Standerton</t>
  </si>
  <si>
    <t>ZaR Mounted Police</t>
  </si>
  <si>
    <t>farrier</t>
  </si>
  <si>
    <t>groom</t>
  </si>
  <si>
    <t>labourer</t>
  </si>
  <si>
    <t>none</t>
  </si>
  <si>
    <t>-</t>
  </si>
  <si>
    <t>Occupations</t>
  </si>
  <si>
    <t>Farmer share</t>
  </si>
  <si>
    <t>Class</t>
  </si>
  <si>
    <t>est1</t>
  </si>
  <si>
    <t>est2</t>
  </si>
  <si>
    <t>est3</t>
  </si>
  <si>
    <t>est4</t>
  </si>
  <si>
    <t>-0.108***</t>
  </si>
  <si>
    <t>-0.114***</t>
  </si>
  <si>
    <t>-0.067***</t>
  </si>
  <si>
    <t>-0.051***</t>
  </si>
  <si>
    <t>(-9.83)</t>
  </si>
  <si>
    <t>(-38.38)</t>
  </si>
  <si>
    <t>(-12.82)</t>
  </si>
  <si>
    <t>(-12.19)</t>
  </si>
  <si>
    <t>-0.001***</t>
  </si>
  <si>
    <t>(-0.02)</t>
  </si>
  <si>
    <t>(-0.94)</t>
  </si>
  <si>
    <t>(-6.18)</t>
  </si>
  <si>
    <t>0.000*</t>
  </si>
  <si>
    <t>(-0.60)</t>
  </si>
  <si>
    <t>-0.000**</t>
  </si>
  <si>
    <t>-0.000*</t>
  </si>
  <si>
    <t>(-2.90)</t>
  </si>
  <si>
    <t>(-2.06)</t>
  </si>
  <si>
    <t>0.006***</t>
  </si>
  <si>
    <t>0.007***</t>
  </si>
  <si>
    <t>(-1.08)</t>
  </si>
  <si>
    <t>(-1.01)</t>
  </si>
  <si>
    <t>-0.064***</t>
  </si>
  <si>
    <t>-0.086***</t>
  </si>
  <si>
    <t>(-12.32)</t>
  </si>
  <si>
    <t>(-20.20)</t>
  </si>
  <si>
    <t>-0.019**</t>
  </si>
  <si>
    <t>(-2.74)</t>
  </si>
  <si>
    <t>(-0.09)</t>
  </si>
  <si>
    <t>-0.004**</t>
  </si>
  <si>
    <t>(-2.60)</t>
  </si>
  <si>
    <t>(-2.96)</t>
  </si>
  <si>
    <t>0.010**</t>
  </si>
  <si>
    <t>-0.019***</t>
  </si>
  <si>
    <t>(-6.41)</t>
  </si>
  <si>
    <t>(-0.19)</t>
  </si>
  <si>
    <t>(-1.12)</t>
  </si>
  <si>
    <t>(-1.76)</t>
  </si>
  <si>
    <t>-0.022**</t>
  </si>
  <si>
    <t>(-2.65)</t>
  </si>
  <si>
    <t>(-1.23)</t>
  </si>
  <si>
    <t>(-0.89)</t>
  </si>
  <si>
    <t>0.110***</t>
  </si>
  <si>
    <t>0.245***</t>
  </si>
  <si>
    <t>1.601***</t>
  </si>
  <si>
    <t>1.585***</t>
  </si>
  <si>
    <t>1.588***</t>
  </si>
  <si>
    <t>1.639***</t>
  </si>
  <si>
    <t>N</t>
  </si>
  <si>
    <t>Upper class</t>
  </si>
  <si>
    <t>Lower class</t>
  </si>
  <si>
    <t>Constant</t>
  </si>
  <si>
    <t>R-squared</t>
  </si>
  <si>
    <t>Afrikaans</t>
  </si>
  <si>
    <t>Spec (1)</t>
  </si>
  <si>
    <t>Spec (2)</t>
  </si>
  <si>
    <t>Spec (3)</t>
  </si>
  <si>
    <t>Spec (4)</t>
  </si>
  <si>
    <t>Southern African</t>
  </si>
  <si>
    <t>Farmers</t>
  </si>
  <si>
    <t>Lower</t>
  </si>
  <si>
    <t>Upper, middle</t>
  </si>
  <si>
    <t>Professional</t>
  </si>
  <si>
    <t>Domestic</t>
  </si>
  <si>
    <t>Agricultural</t>
  </si>
  <si>
    <t>Industrial</t>
  </si>
  <si>
    <t>Indefinite</t>
  </si>
  <si>
    <t>Dependents</t>
  </si>
  <si>
    <t>Unspecified</t>
  </si>
  <si>
    <t>Cape of Good Hope</t>
  </si>
  <si>
    <t>Orange Free State</t>
  </si>
  <si>
    <t>Share</t>
  </si>
  <si>
    <t>HISCO2</t>
  </si>
  <si>
    <t>Physical Scientists And Related Technicians</t>
  </si>
  <si>
    <t>Architects, Engineers And Related Technicians</t>
  </si>
  <si>
    <t>Aircraft And Ships' Officers</t>
  </si>
  <si>
    <t>Medical, Dental, Veterinary And Related Workers</t>
  </si>
  <si>
    <t>Accountants</t>
  </si>
  <si>
    <t>Jurists</t>
  </si>
  <si>
    <t>Teachers</t>
  </si>
  <si>
    <t>Authors, Journalists And Related Writers</t>
  </si>
  <si>
    <t>Sculptors, Painters, Photographers And Related Creative Artists</t>
  </si>
  <si>
    <t>Composers And Performing Artists</t>
  </si>
  <si>
    <t>Athletes, Sportsmen And Related Workers</t>
  </si>
  <si>
    <t>Professional, Technical And Related Workers Not Elsewhere Classified</t>
  </si>
  <si>
    <t>Students</t>
  </si>
  <si>
    <t>Gentlement / No occupation specified</t>
  </si>
  <si>
    <t>Managers</t>
  </si>
  <si>
    <t>Supervisors, Foremen And Inspectors</t>
  </si>
  <si>
    <t>Clerical And Related Workers, Specialisation Unknown</t>
  </si>
  <si>
    <t>Government Executive Officials</t>
  </si>
  <si>
    <t>Stenographers, Typists And Card- And Tape-Punching Machine Operators</t>
  </si>
  <si>
    <t>Bookkeepers, Cashiers And Related Workers</t>
  </si>
  <si>
    <t>Transport Conductors</t>
  </si>
  <si>
    <t>Mail Distribution Clerks</t>
  </si>
  <si>
    <t>Telephone And Telegraph Operators</t>
  </si>
  <si>
    <t>Clerical And Related Workers Not Elsewhere Classified</t>
  </si>
  <si>
    <t>Working Proprietors (Wholesale And Retail Trade)</t>
  </si>
  <si>
    <t>Buyers</t>
  </si>
  <si>
    <t>Technical Salesmen, Commercial Travellers And Manufacturers Agents</t>
  </si>
  <si>
    <t>Insurance, Real Estate, Securities And Business Services Salesmen And Auctioneers</t>
  </si>
  <si>
    <t>Salesmen, Shop Assistants And Related Workers</t>
  </si>
  <si>
    <t>Working Proprietors (Catering, Lodging And Leisure Services)</t>
  </si>
  <si>
    <t>Cooks, Waiters, Bartenders And Related Workers</t>
  </si>
  <si>
    <t>Maids And Related Housekeeping Service Workers Not Elsewhere Classified</t>
  </si>
  <si>
    <t>Building Caretakers, Charworkers, Cleaners And Related Workers</t>
  </si>
  <si>
    <t>Launderers, Dry-Cleaners And Pressers</t>
  </si>
  <si>
    <t>Hairdressers, Barbers, Beauticians And Related Workers</t>
  </si>
  <si>
    <t>Protective Service Workers</t>
  </si>
  <si>
    <t>Service Workers Not Elsewhere Classified</t>
  </si>
  <si>
    <t>Agricultural And Animal Husbandry Workers</t>
  </si>
  <si>
    <t>Forestry Workers</t>
  </si>
  <si>
    <t>Fishermen, Hunters And Related Workers</t>
  </si>
  <si>
    <t>Miners, Quarrymen, Well-Drillers And Related Workers</t>
  </si>
  <si>
    <t>Metal Processors</t>
  </si>
  <si>
    <t>Wood Preparation Workers And Paper Makers</t>
  </si>
  <si>
    <t>Chemical Processors And Related Workers</t>
  </si>
  <si>
    <t>Spinners, Weavers, Knitters, Dyers And Related Workers</t>
  </si>
  <si>
    <t>Tanners, Fellmongers And Pelt Dressers</t>
  </si>
  <si>
    <t>Food And Beverage Processors</t>
  </si>
  <si>
    <t>Tobacco Preparers And Tobacco Product Makers</t>
  </si>
  <si>
    <t>Tailors, Dressmakers, Sewers, Upholsterers And Related Workers</t>
  </si>
  <si>
    <t>Shoemakers And Leather Goods Makers</t>
  </si>
  <si>
    <t>Cabinetmakers And Related Woodworkers</t>
  </si>
  <si>
    <t>Stone Cutters And Carvers</t>
  </si>
  <si>
    <t>Blacksmiths, Toolmakers And Machine-Tool Operators</t>
  </si>
  <si>
    <t>Machinery Fitters, Machine Assemblers And Precision-Instrument Makers (Except Electrical)</t>
  </si>
  <si>
    <t>Electrical Fitters And Related Electrical And Electronics Workers</t>
  </si>
  <si>
    <t>Plumbers, Welders, Sheet-Metal, And Structural Metal Preparers And Erectors</t>
  </si>
  <si>
    <t>Jewellers And Precious Metal Workers</t>
  </si>
  <si>
    <t>Glass Formers, Potters And Related Workers</t>
  </si>
  <si>
    <t>Rubber And Plastics Product Makers</t>
  </si>
  <si>
    <t>Paper And Paperboard Products Makers</t>
  </si>
  <si>
    <t>Printers And Related Workers</t>
  </si>
  <si>
    <t>Painters</t>
  </si>
  <si>
    <t>Production And Related Workers Not Elsewhere Classified</t>
  </si>
  <si>
    <t>Bricklayers, Carpenters And Other Construction Workers</t>
  </si>
  <si>
    <t>Stationary Engine And Related Equipment Operators</t>
  </si>
  <si>
    <t>Material Handling And Related Equipment Operators, Dockers And Freight Handlers</t>
  </si>
  <si>
    <t>Transport Equipment Operators</t>
  </si>
  <si>
    <t>Workers Not Elsewhere Classified</t>
  </si>
  <si>
    <t>HISCO</t>
  </si>
  <si>
    <t>Austral..</t>
  </si>
  <si>
    <t>Re..</t>
  </si>
  <si>
    <t>Souther..</t>
  </si>
  <si>
    <t>Cape Colony &amp; Natal</t>
  </si>
  <si>
    <t>by(sa)</t>
  </si>
  <si>
    <t>Blinder-Oaxaca decomposition</t>
  </si>
  <si>
    <t>linear</t>
  </si>
  <si>
    <t>Group 1: sa = 0</t>
  </si>
  <si>
    <t>Group 2: sa = 1</t>
  </si>
  <si>
    <t>Interval]</t>
  </si>
  <si>
    <t>lwage</t>
  </si>
  <si>
    <t>Coef.</t>
  </si>
  <si>
    <t>Std. Err.</t>
  </si>
  <si>
    <t>z</t>
  </si>
  <si>
    <t>P&gt;z</t>
  </si>
  <si>
    <t>[95% Conf.</t>
  </si>
  <si>
    <t>overall</t>
  </si>
  <si>
    <t>group_1</t>
  </si>
  <si>
    <t>group_2</t>
  </si>
  <si>
    <t>difference</t>
  </si>
  <si>
    <t>endowments</t>
  </si>
  <si>
    <t>coefficients</t>
  </si>
  <si>
    <t>interaction</t>
  </si>
  <si>
    <t>age</t>
  </si>
  <si>
    <t>_cons</t>
  </si>
  <si>
    <t>. oaxaca lwage age height weight</t>
  </si>
  <si>
    <t>marrie,</t>
  </si>
  <si>
    <t>Number of obs</t>
  </si>
  <si>
    <t>=</t>
  </si>
  <si>
    <t>Model</t>
  </si>
  <si>
    <t>N of obs 1</t>
  </si>
  <si>
    <t>N of obs 2</t>
  </si>
  <si>
    <t>-0.101***</t>
  </si>
  <si>
    <t>-0.072***</t>
  </si>
  <si>
    <t>-0.057***</t>
  </si>
  <si>
    <t>(-26.73)</t>
  </si>
  <si>
    <t>(-12.27)</t>
  </si>
  <si>
    <t>(-12.45)</t>
  </si>
  <si>
    <t>0.000**</t>
  </si>
  <si>
    <t>-0.000***</t>
  </si>
  <si>
    <t>(-3.89)</t>
  </si>
  <si>
    <t>(-0.49)</t>
  </si>
  <si>
    <t>(-4.03)</t>
  </si>
  <si>
    <t>(-2.97)</t>
  </si>
  <si>
    <t>-0.011***</t>
  </si>
  <si>
    <t>(-4.23)</t>
  </si>
  <si>
    <t>(-4.25)</t>
  </si>
  <si>
    <t>(-1.28)</t>
  </si>
  <si>
    <t>(-0.38)</t>
  </si>
  <si>
    <t>0.004*</t>
  </si>
  <si>
    <t>(-1.92)</t>
  </si>
  <si>
    <t>0.006**</t>
  </si>
  <si>
    <t>0.003*</t>
  </si>
  <si>
    <t>-0.004*</t>
  </si>
  <si>
    <t>(-2.55)</t>
  </si>
  <si>
    <t>(.)</t>
  </si>
  <si>
    <t>0.005*</t>
  </si>
  <si>
    <t>0.047***</t>
  </si>
  <si>
    <t>0.078***</t>
  </si>
  <si>
    <t>0.044***</t>
  </si>
  <si>
    <t>0.076***</t>
  </si>
  <si>
    <t>0.063***</t>
  </si>
  <si>
    <t>0.083***</t>
  </si>
  <si>
    <t>0.050***</t>
  </si>
  <si>
    <t>0.075***</t>
  </si>
  <si>
    <t>0.053***</t>
  </si>
  <si>
    <t>0.057***</t>
  </si>
  <si>
    <t>0.048***</t>
  </si>
  <si>
    <t>0.043***</t>
  </si>
  <si>
    <t>0.074***</t>
  </si>
  <si>
    <t>0.066***</t>
  </si>
  <si>
    <t>0.059***</t>
  </si>
  <si>
    <t>0.045***</t>
  </si>
  <si>
    <t>0.073***</t>
  </si>
  <si>
    <t>-0.019*</t>
  </si>
  <si>
    <t>(-2.00)</t>
  </si>
  <si>
    <t>-0.024*</t>
  </si>
  <si>
    <t>(-1.65)</t>
  </si>
  <si>
    <t>(-1.26)</t>
  </si>
  <si>
    <t>0.102***</t>
  </si>
  <si>
    <t>0.240***</t>
  </si>
  <si>
    <t>1.587***</t>
  </si>
  <si>
    <t>1.539***</t>
  </si>
  <si>
    <t>1.565***</t>
  </si>
  <si>
    <t>HISCO 0</t>
  </si>
  <si>
    <t>HISCO 1</t>
  </si>
  <si>
    <t>HISCO 2</t>
  </si>
  <si>
    <t>HISCO 3</t>
  </si>
  <si>
    <t>HISCO 4</t>
  </si>
  <si>
    <t>HISCO 5</t>
  </si>
  <si>
    <t>HISCO 7</t>
  </si>
  <si>
    <t>HISCO 8</t>
  </si>
  <si>
    <t>HISCO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</si>
</sst>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Enlistment!$J$5</c:f>
              <c:strCache>
                <c:ptCount val="1"/>
                <c:pt idx="0">
                  <c:v>SAC recruits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Enlistment!$I$6:$I$16</c:f>
              <c:numCache>
                <c:formatCode>General</c:formatCode>
                <c:ptCount val="11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</c:numCache>
            </c:numRef>
          </c:cat>
          <c:val>
            <c:numRef>
              <c:f>Enlistment!$J$6:$J$15</c:f>
              <c:numCache>
                <c:formatCode>General</c:formatCode>
                <c:ptCount val="10"/>
                <c:pt idx="0">
                  <c:v>247</c:v>
                </c:pt>
                <c:pt idx="1">
                  <c:v>5413</c:v>
                </c:pt>
                <c:pt idx="2">
                  <c:v>2009</c:v>
                </c:pt>
                <c:pt idx="3">
                  <c:v>355</c:v>
                </c:pt>
                <c:pt idx="4">
                  <c:v>1296</c:v>
                </c:pt>
                <c:pt idx="5">
                  <c:v>600</c:v>
                </c:pt>
                <c:pt idx="6">
                  <c:v>402</c:v>
                </c:pt>
                <c:pt idx="7">
                  <c:v>42</c:v>
                </c:pt>
                <c:pt idx="8">
                  <c:v>2</c:v>
                </c:pt>
                <c:pt idx="9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4179200"/>
        <c:axId val="84189184"/>
      </c:barChart>
      <c:catAx>
        <c:axId val="8417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189184"/>
        <c:crosses val="autoZero"/>
        <c:auto val="1"/>
        <c:lblAlgn val="ctr"/>
        <c:lblOffset val="100"/>
        <c:noMultiLvlLbl val="0"/>
      </c:catAx>
      <c:valAx>
        <c:axId val="8418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17920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0872" cy="608418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opLeftCell="B1" workbookViewId="0">
      <selection activeCell="I21" sqref="I2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</row>
    <row r="3" spans="1:12" x14ac:dyDescent="0.25">
      <c r="A3" t="s">
        <v>4</v>
      </c>
      <c r="B3">
        <v>5173</v>
      </c>
      <c r="C3">
        <v>49.75</v>
      </c>
      <c r="D3">
        <v>49.75</v>
      </c>
    </row>
    <row r="4" spans="1:12" x14ac:dyDescent="0.25">
      <c r="A4" t="s">
        <v>5</v>
      </c>
      <c r="B4">
        <v>2</v>
      </c>
      <c r="C4">
        <v>0.02</v>
      </c>
      <c r="D4">
        <v>49.76</v>
      </c>
      <c r="F4">
        <f>B57-B3</f>
        <v>5226</v>
      </c>
      <c r="I4" t="s">
        <v>58</v>
      </c>
      <c r="J4" t="s">
        <v>1</v>
      </c>
      <c r="K4" t="s">
        <v>2</v>
      </c>
      <c r="L4" t="s">
        <v>3</v>
      </c>
    </row>
    <row r="5" spans="1:12" x14ac:dyDescent="0.25">
      <c r="A5" t="s">
        <v>6</v>
      </c>
      <c r="B5">
        <v>4</v>
      </c>
      <c r="C5">
        <v>0.04</v>
      </c>
      <c r="D5">
        <v>49.8</v>
      </c>
      <c r="J5" t="s">
        <v>59</v>
      </c>
    </row>
    <row r="6" spans="1:12" x14ac:dyDescent="0.25">
      <c r="A6" t="s">
        <v>7</v>
      </c>
      <c r="B6">
        <v>11</v>
      </c>
      <c r="C6">
        <v>0.11</v>
      </c>
      <c r="D6">
        <v>49.91</v>
      </c>
      <c r="F6" s="1">
        <f>B6/$F$4</f>
        <v>2.1048603138155379E-3</v>
      </c>
      <c r="I6">
        <v>1900</v>
      </c>
      <c r="J6">
        <v>247</v>
      </c>
      <c r="K6">
        <v>2.38</v>
      </c>
      <c r="L6">
        <v>2.38</v>
      </c>
    </row>
    <row r="7" spans="1:12" x14ac:dyDescent="0.25">
      <c r="A7" t="s">
        <v>8</v>
      </c>
      <c r="B7">
        <v>76</v>
      </c>
      <c r="C7">
        <v>0.73</v>
      </c>
      <c r="D7">
        <v>50.64</v>
      </c>
      <c r="F7" s="1">
        <f t="shared" ref="F7:F55" si="0">B7/$F$4</f>
        <v>1.454267125908917E-2</v>
      </c>
      <c r="I7">
        <v>1901</v>
      </c>
      <c r="J7">
        <v>5413</v>
      </c>
      <c r="K7">
        <v>52.19</v>
      </c>
      <c r="L7">
        <v>54.58</v>
      </c>
    </row>
    <row r="8" spans="1:12" x14ac:dyDescent="0.25">
      <c r="A8" t="s">
        <v>9</v>
      </c>
      <c r="B8">
        <v>1</v>
      </c>
      <c r="C8">
        <v>0.01</v>
      </c>
      <c r="D8">
        <v>50.65</v>
      </c>
      <c r="F8" s="1">
        <f t="shared" si="0"/>
        <v>1.9135093761959434E-4</v>
      </c>
      <c r="I8">
        <v>1902</v>
      </c>
      <c r="J8">
        <v>2009</v>
      </c>
      <c r="K8">
        <v>19.37</v>
      </c>
      <c r="L8">
        <v>73.95</v>
      </c>
    </row>
    <row r="9" spans="1:12" x14ac:dyDescent="0.25">
      <c r="A9" t="s">
        <v>10</v>
      </c>
      <c r="B9">
        <v>1</v>
      </c>
      <c r="C9">
        <v>0.01</v>
      </c>
      <c r="D9">
        <v>50.66</v>
      </c>
      <c r="F9" s="1">
        <f t="shared" si="0"/>
        <v>1.9135093761959434E-4</v>
      </c>
      <c r="I9">
        <v>1903</v>
      </c>
      <c r="J9">
        <v>355</v>
      </c>
      <c r="K9">
        <v>3.42</v>
      </c>
      <c r="L9">
        <v>77.37</v>
      </c>
    </row>
    <row r="10" spans="1:12" x14ac:dyDescent="0.25">
      <c r="A10" t="s">
        <v>11</v>
      </c>
      <c r="B10">
        <v>1</v>
      </c>
      <c r="C10">
        <v>0.01</v>
      </c>
      <c r="D10">
        <v>50.67</v>
      </c>
      <c r="F10" s="1">
        <f t="shared" si="0"/>
        <v>1.9135093761959434E-4</v>
      </c>
      <c r="I10">
        <v>1904</v>
      </c>
      <c r="J10">
        <v>1296</v>
      </c>
      <c r="K10">
        <v>12.5</v>
      </c>
      <c r="L10">
        <v>89.87</v>
      </c>
    </row>
    <row r="11" spans="1:12" x14ac:dyDescent="0.25">
      <c r="A11" t="s">
        <v>12</v>
      </c>
      <c r="B11">
        <v>1</v>
      </c>
      <c r="C11">
        <v>0.01</v>
      </c>
      <c r="D11">
        <v>50.68</v>
      </c>
      <c r="F11" s="1">
        <f t="shared" si="0"/>
        <v>1.9135093761959434E-4</v>
      </c>
      <c r="I11">
        <v>1905</v>
      </c>
      <c r="J11">
        <v>600</v>
      </c>
      <c r="K11">
        <v>5.79</v>
      </c>
      <c r="L11">
        <v>95.65</v>
      </c>
    </row>
    <row r="12" spans="1:12" x14ac:dyDescent="0.25">
      <c r="A12" t="s">
        <v>13</v>
      </c>
      <c r="B12">
        <v>17</v>
      </c>
      <c r="C12">
        <v>0.16</v>
      </c>
      <c r="D12">
        <v>50.84</v>
      </c>
      <c r="F12" s="1">
        <f t="shared" si="0"/>
        <v>3.2529659395331037E-3</v>
      </c>
      <c r="I12">
        <v>1906</v>
      </c>
      <c r="J12">
        <v>402</v>
      </c>
      <c r="K12">
        <v>3.88</v>
      </c>
      <c r="L12">
        <v>99.53</v>
      </c>
    </row>
    <row r="13" spans="1:12" x14ac:dyDescent="0.25">
      <c r="A13" t="s">
        <v>14</v>
      </c>
      <c r="B13">
        <v>12</v>
      </c>
      <c r="C13">
        <v>0.12</v>
      </c>
      <c r="D13">
        <v>50.96</v>
      </c>
      <c r="F13" s="1">
        <f t="shared" si="0"/>
        <v>2.2962112514351321E-3</v>
      </c>
      <c r="I13">
        <v>1907</v>
      </c>
      <c r="J13">
        <v>42</v>
      </c>
      <c r="K13">
        <v>0.4</v>
      </c>
      <c r="L13">
        <v>99.93</v>
      </c>
    </row>
    <row r="14" spans="1:12" x14ac:dyDescent="0.25">
      <c r="A14" t="s">
        <v>15</v>
      </c>
      <c r="B14">
        <v>1716</v>
      </c>
      <c r="C14">
        <v>16.5</v>
      </c>
      <c r="D14">
        <v>67.459999999999994</v>
      </c>
      <c r="F14" s="1">
        <f t="shared" si="0"/>
        <v>0.32835820895522388</v>
      </c>
      <c r="I14">
        <v>1908</v>
      </c>
      <c r="J14">
        <v>2</v>
      </c>
      <c r="K14">
        <v>0.02</v>
      </c>
      <c r="L14">
        <v>99.95</v>
      </c>
    </row>
    <row r="15" spans="1:12" x14ac:dyDescent="0.25">
      <c r="A15" t="s">
        <v>16</v>
      </c>
      <c r="B15">
        <v>354</v>
      </c>
      <c r="C15">
        <v>3.4</v>
      </c>
      <c r="D15">
        <v>70.86</v>
      </c>
      <c r="F15" s="1">
        <f t="shared" si="0"/>
        <v>6.7738231917336397E-2</v>
      </c>
      <c r="I15">
        <v>1909</v>
      </c>
      <c r="J15">
        <v>4</v>
      </c>
      <c r="K15">
        <v>0.04</v>
      </c>
      <c r="L15">
        <v>99.99</v>
      </c>
    </row>
    <row r="16" spans="1:12" x14ac:dyDescent="0.25">
      <c r="A16" t="s">
        <v>17</v>
      </c>
      <c r="B16">
        <v>6</v>
      </c>
      <c r="C16">
        <v>0.06</v>
      </c>
      <c r="D16">
        <v>70.92</v>
      </c>
      <c r="F16" s="1">
        <f t="shared" si="0"/>
        <v>1.148105625717566E-3</v>
      </c>
    </row>
    <row r="17" spans="1:14" x14ac:dyDescent="0.25">
      <c r="A17" t="s">
        <v>18</v>
      </c>
      <c r="B17">
        <v>229</v>
      </c>
      <c r="C17">
        <v>2.2000000000000002</v>
      </c>
      <c r="D17">
        <v>73.12</v>
      </c>
      <c r="F17" s="1">
        <f t="shared" si="0"/>
        <v>4.38193647148871E-2</v>
      </c>
    </row>
    <row r="18" spans="1:14" x14ac:dyDescent="0.25">
      <c r="A18" t="s">
        <v>19</v>
      </c>
      <c r="B18">
        <v>2</v>
      </c>
      <c r="C18">
        <v>0.02</v>
      </c>
      <c r="D18">
        <v>73.14</v>
      </c>
      <c r="F18" s="1">
        <f t="shared" si="0"/>
        <v>3.8270187523918868E-4</v>
      </c>
    </row>
    <row r="19" spans="1:14" x14ac:dyDescent="0.25">
      <c r="A19" t="s">
        <v>20</v>
      </c>
      <c r="B19">
        <v>1</v>
      </c>
      <c r="C19">
        <v>0.01</v>
      </c>
      <c r="D19">
        <v>73.150000000000006</v>
      </c>
      <c r="F19" s="1">
        <f t="shared" si="0"/>
        <v>1.9135093761959434E-4</v>
      </c>
    </row>
    <row r="20" spans="1:14" x14ac:dyDescent="0.25">
      <c r="A20" t="s">
        <v>21</v>
      </c>
      <c r="B20">
        <v>23</v>
      </c>
      <c r="C20">
        <v>0.22</v>
      </c>
      <c r="D20">
        <v>73.37</v>
      </c>
      <c r="F20" s="1">
        <f t="shared" si="0"/>
        <v>4.4010715652506695E-3</v>
      </c>
      <c r="I20" t="s">
        <v>60</v>
      </c>
    </row>
    <row r="21" spans="1:14" x14ac:dyDescent="0.25">
      <c r="A21" t="s">
        <v>22</v>
      </c>
      <c r="B21">
        <v>4</v>
      </c>
      <c r="C21">
        <v>0.04</v>
      </c>
      <c r="D21">
        <v>73.41</v>
      </c>
      <c r="F21" s="1">
        <f t="shared" si="0"/>
        <v>7.6540375047837736E-4</v>
      </c>
      <c r="I21">
        <v>1</v>
      </c>
      <c r="J21">
        <v>777</v>
      </c>
      <c r="K21">
        <v>7.49</v>
      </c>
      <c r="L21">
        <v>7.49</v>
      </c>
    </row>
    <row r="22" spans="1:14" x14ac:dyDescent="0.25">
      <c r="A22" t="s">
        <v>23</v>
      </c>
      <c r="B22">
        <v>4</v>
      </c>
      <c r="C22">
        <v>0.04</v>
      </c>
      <c r="D22">
        <v>73.45</v>
      </c>
      <c r="F22" s="1">
        <f t="shared" si="0"/>
        <v>7.6540375047837736E-4</v>
      </c>
      <c r="I22">
        <v>2</v>
      </c>
      <c r="J22">
        <v>920</v>
      </c>
      <c r="K22">
        <v>8.8699999999999992</v>
      </c>
      <c r="L22">
        <v>16.36</v>
      </c>
    </row>
    <row r="23" spans="1:14" x14ac:dyDescent="0.25">
      <c r="A23" t="s">
        <v>24</v>
      </c>
      <c r="B23">
        <v>702</v>
      </c>
      <c r="C23">
        <v>6.75</v>
      </c>
      <c r="D23">
        <v>80.2</v>
      </c>
      <c r="F23" s="1">
        <f t="shared" si="0"/>
        <v>0.13432835820895522</v>
      </c>
      <c r="I23">
        <v>3</v>
      </c>
      <c r="J23">
        <v>1063</v>
      </c>
      <c r="K23">
        <v>10.25</v>
      </c>
      <c r="L23">
        <v>26.62</v>
      </c>
      <c r="N23">
        <f>SUM(K23:K25)</f>
        <v>43.12</v>
      </c>
    </row>
    <row r="24" spans="1:14" x14ac:dyDescent="0.25">
      <c r="A24" t="s">
        <v>25</v>
      </c>
      <c r="B24">
        <v>1</v>
      </c>
      <c r="C24">
        <v>0.01</v>
      </c>
      <c r="D24">
        <v>80.209999999999994</v>
      </c>
      <c r="F24" s="1">
        <f t="shared" si="0"/>
        <v>1.9135093761959434E-4</v>
      </c>
      <c r="I24">
        <v>4</v>
      </c>
      <c r="J24">
        <v>1995</v>
      </c>
      <c r="K24">
        <v>19.239999999999998</v>
      </c>
      <c r="L24">
        <v>45.85</v>
      </c>
    </row>
    <row r="25" spans="1:14" x14ac:dyDescent="0.25">
      <c r="A25" t="s">
        <v>26</v>
      </c>
      <c r="B25">
        <v>1</v>
      </c>
      <c r="C25">
        <v>0.01</v>
      </c>
      <c r="D25">
        <v>80.22</v>
      </c>
      <c r="F25" s="1">
        <f t="shared" si="0"/>
        <v>1.9135093761959434E-4</v>
      </c>
      <c r="I25">
        <v>5</v>
      </c>
      <c r="J25">
        <v>1413</v>
      </c>
      <c r="K25">
        <v>13.63</v>
      </c>
      <c r="L25">
        <v>59.48</v>
      </c>
    </row>
    <row r="26" spans="1:14" x14ac:dyDescent="0.25">
      <c r="A26" t="s">
        <v>27</v>
      </c>
      <c r="B26">
        <v>36</v>
      </c>
      <c r="C26">
        <v>0.35</v>
      </c>
      <c r="D26">
        <v>80.569999999999993</v>
      </c>
      <c r="F26" s="1">
        <f t="shared" si="0"/>
        <v>6.8886337543053958E-3</v>
      </c>
      <c r="I26">
        <v>6</v>
      </c>
      <c r="J26">
        <v>1023</v>
      </c>
      <c r="K26">
        <v>9.86</v>
      </c>
      <c r="L26">
        <v>69.34</v>
      </c>
    </row>
    <row r="27" spans="1:14" x14ac:dyDescent="0.25">
      <c r="A27" t="s">
        <v>28</v>
      </c>
      <c r="B27">
        <v>1</v>
      </c>
      <c r="C27">
        <v>0.01</v>
      </c>
      <c r="D27">
        <v>80.58</v>
      </c>
      <c r="F27" s="1">
        <f t="shared" si="0"/>
        <v>1.9135093761959434E-4</v>
      </c>
      <c r="I27">
        <v>7</v>
      </c>
      <c r="J27">
        <v>723</v>
      </c>
      <c r="K27">
        <v>6.97</v>
      </c>
      <c r="L27">
        <v>76.319999999999993</v>
      </c>
    </row>
    <row r="28" spans="1:14" x14ac:dyDescent="0.25">
      <c r="A28" t="s">
        <v>29</v>
      </c>
      <c r="B28">
        <v>4</v>
      </c>
      <c r="C28">
        <v>0.04</v>
      </c>
      <c r="D28">
        <v>80.61</v>
      </c>
      <c r="F28" s="1">
        <f t="shared" si="0"/>
        <v>7.6540375047837736E-4</v>
      </c>
      <c r="I28">
        <v>8</v>
      </c>
      <c r="J28">
        <v>487</v>
      </c>
      <c r="K28">
        <v>4.7</v>
      </c>
      <c r="L28">
        <v>81.010000000000005</v>
      </c>
    </row>
    <row r="29" spans="1:14" x14ac:dyDescent="0.25">
      <c r="A29" t="s">
        <v>30</v>
      </c>
      <c r="B29">
        <v>1</v>
      </c>
      <c r="C29">
        <v>0.01</v>
      </c>
      <c r="D29">
        <v>80.62</v>
      </c>
      <c r="F29" s="1">
        <f t="shared" si="0"/>
        <v>1.9135093761959434E-4</v>
      </c>
      <c r="I29">
        <v>9</v>
      </c>
      <c r="J29">
        <v>448</v>
      </c>
      <c r="K29">
        <v>4.32</v>
      </c>
      <c r="L29">
        <v>85.33</v>
      </c>
    </row>
    <row r="30" spans="1:14" x14ac:dyDescent="0.25">
      <c r="A30" t="s">
        <v>31</v>
      </c>
      <c r="B30">
        <v>1</v>
      </c>
      <c r="C30">
        <v>0.01</v>
      </c>
      <c r="D30">
        <v>80.63</v>
      </c>
      <c r="F30" s="1">
        <f t="shared" si="0"/>
        <v>1.9135093761959434E-4</v>
      </c>
      <c r="I30">
        <v>10</v>
      </c>
      <c r="J30">
        <v>364</v>
      </c>
      <c r="K30">
        <v>3.51</v>
      </c>
      <c r="L30">
        <v>88.84</v>
      </c>
    </row>
    <row r="31" spans="1:14" x14ac:dyDescent="0.25">
      <c r="A31" t="s">
        <v>32</v>
      </c>
      <c r="B31">
        <v>1</v>
      </c>
      <c r="C31">
        <v>0.01</v>
      </c>
      <c r="D31">
        <v>80.64</v>
      </c>
      <c r="F31" s="1">
        <f t="shared" si="0"/>
        <v>1.9135093761959434E-4</v>
      </c>
      <c r="I31">
        <v>11</v>
      </c>
      <c r="J31">
        <v>552</v>
      </c>
      <c r="K31">
        <v>5.32</v>
      </c>
      <c r="L31">
        <v>94.17</v>
      </c>
    </row>
    <row r="32" spans="1:14" x14ac:dyDescent="0.25">
      <c r="A32" t="s">
        <v>33</v>
      </c>
      <c r="B32">
        <v>474</v>
      </c>
      <c r="C32">
        <v>4.5599999999999996</v>
      </c>
      <c r="D32">
        <v>85.2</v>
      </c>
      <c r="F32" s="1">
        <f t="shared" si="0"/>
        <v>9.0700344431687716E-2</v>
      </c>
      <c r="I32">
        <v>12</v>
      </c>
      <c r="J32">
        <v>601</v>
      </c>
      <c r="K32">
        <v>5.8</v>
      </c>
      <c r="L32">
        <v>99.96</v>
      </c>
    </row>
    <row r="33" spans="1:6" x14ac:dyDescent="0.25">
      <c r="A33" t="s">
        <v>34</v>
      </c>
      <c r="B33">
        <v>1247</v>
      </c>
      <c r="C33">
        <v>11.99</v>
      </c>
      <c r="D33">
        <v>97.19</v>
      </c>
      <c r="F33" s="1">
        <f t="shared" si="0"/>
        <v>0.23861461921163413</v>
      </c>
    </row>
    <row r="34" spans="1:6" x14ac:dyDescent="0.25">
      <c r="A34" t="s">
        <v>35</v>
      </c>
      <c r="B34">
        <v>1</v>
      </c>
      <c r="C34">
        <v>0.01</v>
      </c>
      <c r="D34">
        <v>97.2</v>
      </c>
      <c r="F34" s="1">
        <f t="shared" si="0"/>
        <v>1.9135093761959434E-4</v>
      </c>
    </row>
    <row r="35" spans="1:6" x14ac:dyDescent="0.25">
      <c r="A35" t="s">
        <v>36</v>
      </c>
      <c r="B35">
        <v>13</v>
      </c>
      <c r="C35">
        <v>0.13</v>
      </c>
      <c r="D35">
        <v>97.33</v>
      </c>
      <c r="F35" s="1">
        <f t="shared" si="0"/>
        <v>2.4875621890547263E-3</v>
      </c>
    </row>
    <row r="36" spans="1:6" x14ac:dyDescent="0.25">
      <c r="A36" t="s">
        <v>37</v>
      </c>
      <c r="B36">
        <v>13</v>
      </c>
      <c r="C36">
        <v>0.13</v>
      </c>
      <c r="D36">
        <v>97.45</v>
      </c>
      <c r="F36" s="1">
        <f t="shared" si="0"/>
        <v>2.4875621890547263E-3</v>
      </c>
    </row>
    <row r="37" spans="1:6" x14ac:dyDescent="0.25">
      <c r="A37" t="s">
        <v>38</v>
      </c>
      <c r="B37">
        <v>2</v>
      </c>
      <c r="C37">
        <v>0.02</v>
      </c>
      <c r="D37">
        <v>97.47</v>
      </c>
      <c r="F37" s="1">
        <f t="shared" si="0"/>
        <v>3.8270187523918868E-4</v>
      </c>
    </row>
    <row r="38" spans="1:6" x14ac:dyDescent="0.25">
      <c r="A38" t="s">
        <v>39</v>
      </c>
      <c r="B38">
        <v>1</v>
      </c>
      <c r="C38">
        <v>0.01</v>
      </c>
      <c r="D38">
        <v>97.48</v>
      </c>
      <c r="F38" s="1">
        <f t="shared" si="0"/>
        <v>1.9135093761959434E-4</v>
      </c>
    </row>
    <row r="39" spans="1:6" x14ac:dyDescent="0.25">
      <c r="A39" t="s">
        <v>40</v>
      </c>
      <c r="B39">
        <v>3</v>
      </c>
      <c r="C39">
        <v>0.03</v>
      </c>
      <c r="D39">
        <v>97.51</v>
      </c>
      <c r="F39" s="1">
        <f t="shared" si="0"/>
        <v>5.7405281285878302E-4</v>
      </c>
    </row>
    <row r="40" spans="1:6" x14ac:dyDescent="0.25">
      <c r="A40" t="s">
        <v>41</v>
      </c>
      <c r="B40">
        <v>1</v>
      </c>
      <c r="C40">
        <v>0.01</v>
      </c>
      <c r="D40">
        <v>97.52</v>
      </c>
      <c r="F40" s="1">
        <f t="shared" si="0"/>
        <v>1.9135093761959434E-4</v>
      </c>
    </row>
    <row r="41" spans="1:6" x14ac:dyDescent="0.25">
      <c r="A41" t="s">
        <v>42</v>
      </c>
      <c r="B41">
        <v>1</v>
      </c>
      <c r="C41">
        <v>0.01</v>
      </c>
      <c r="D41">
        <v>97.53</v>
      </c>
      <c r="F41" s="1">
        <f t="shared" si="0"/>
        <v>1.9135093761959434E-4</v>
      </c>
    </row>
    <row r="42" spans="1:6" x14ac:dyDescent="0.25">
      <c r="A42" t="s">
        <v>43</v>
      </c>
      <c r="B42">
        <v>1</v>
      </c>
      <c r="C42">
        <v>0.01</v>
      </c>
      <c r="D42">
        <v>97.54</v>
      </c>
      <c r="F42" s="1">
        <f t="shared" si="0"/>
        <v>1.9135093761959434E-4</v>
      </c>
    </row>
    <row r="43" spans="1:6" x14ac:dyDescent="0.25">
      <c r="A43" t="s">
        <v>44</v>
      </c>
      <c r="B43">
        <v>3</v>
      </c>
      <c r="C43">
        <v>0.03</v>
      </c>
      <c r="D43">
        <v>97.57</v>
      </c>
      <c r="F43" s="1">
        <f t="shared" si="0"/>
        <v>5.7405281285878302E-4</v>
      </c>
    </row>
    <row r="44" spans="1:6" x14ac:dyDescent="0.25">
      <c r="A44" t="s">
        <v>45</v>
      </c>
      <c r="B44">
        <v>1</v>
      </c>
      <c r="C44">
        <v>0.01</v>
      </c>
      <c r="D44">
        <v>97.58</v>
      </c>
      <c r="F44" s="1">
        <f t="shared" si="0"/>
        <v>1.9135093761959434E-4</v>
      </c>
    </row>
    <row r="45" spans="1:6" x14ac:dyDescent="0.25">
      <c r="A45" t="s">
        <v>46</v>
      </c>
      <c r="B45">
        <v>1</v>
      </c>
      <c r="C45">
        <v>0.01</v>
      </c>
      <c r="D45">
        <v>97.59</v>
      </c>
      <c r="F45" s="1">
        <f t="shared" si="0"/>
        <v>1.9135093761959434E-4</v>
      </c>
    </row>
    <row r="46" spans="1:6" x14ac:dyDescent="0.25">
      <c r="A46" t="s">
        <v>47</v>
      </c>
      <c r="B46">
        <v>3</v>
      </c>
      <c r="C46">
        <v>0.03</v>
      </c>
      <c r="D46">
        <v>97.62</v>
      </c>
      <c r="F46" s="1">
        <f t="shared" si="0"/>
        <v>5.7405281285878302E-4</v>
      </c>
    </row>
    <row r="47" spans="1:6" x14ac:dyDescent="0.25">
      <c r="A47" t="s">
        <v>48</v>
      </c>
      <c r="B47">
        <v>1</v>
      </c>
      <c r="C47">
        <v>0.01</v>
      </c>
      <c r="D47">
        <v>97.62</v>
      </c>
      <c r="F47" s="1">
        <f t="shared" si="0"/>
        <v>1.9135093761959434E-4</v>
      </c>
    </row>
    <row r="48" spans="1:6" x14ac:dyDescent="0.25">
      <c r="A48" t="s">
        <v>49</v>
      </c>
      <c r="B48">
        <v>1</v>
      </c>
      <c r="C48">
        <v>0.01</v>
      </c>
      <c r="D48">
        <v>97.63</v>
      </c>
      <c r="F48" s="1">
        <f t="shared" si="0"/>
        <v>1.9135093761959434E-4</v>
      </c>
    </row>
    <row r="49" spans="1:6" x14ac:dyDescent="0.25">
      <c r="A49" t="s">
        <v>50</v>
      </c>
      <c r="B49">
        <v>15</v>
      </c>
      <c r="C49">
        <v>0.14000000000000001</v>
      </c>
      <c r="D49">
        <v>97.78</v>
      </c>
      <c r="F49" s="1">
        <f t="shared" si="0"/>
        <v>2.8702640642939152E-3</v>
      </c>
    </row>
    <row r="50" spans="1:6" x14ac:dyDescent="0.25">
      <c r="A50" t="s">
        <v>51</v>
      </c>
      <c r="B50">
        <v>20</v>
      </c>
      <c r="C50">
        <v>0.19</v>
      </c>
      <c r="D50">
        <v>97.97</v>
      </c>
      <c r="F50" s="1">
        <f t="shared" si="0"/>
        <v>3.8270187523918868E-3</v>
      </c>
    </row>
    <row r="51" spans="1:6" x14ac:dyDescent="0.25">
      <c r="A51" t="s">
        <v>52</v>
      </c>
      <c r="B51">
        <v>9</v>
      </c>
      <c r="C51">
        <v>0.09</v>
      </c>
      <c r="D51">
        <v>98.06</v>
      </c>
      <c r="F51" s="1">
        <f t="shared" si="0"/>
        <v>1.722158438576349E-3</v>
      </c>
    </row>
    <row r="52" spans="1:6" x14ac:dyDescent="0.25">
      <c r="A52" t="s">
        <v>53</v>
      </c>
      <c r="B52">
        <v>6</v>
      </c>
      <c r="C52">
        <v>0.06</v>
      </c>
      <c r="D52">
        <v>98.12</v>
      </c>
      <c r="F52" s="1">
        <f t="shared" si="0"/>
        <v>1.148105625717566E-3</v>
      </c>
    </row>
    <row r="53" spans="1:6" x14ac:dyDescent="0.25">
      <c r="A53" t="s">
        <v>54</v>
      </c>
      <c r="B53">
        <v>11</v>
      </c>
      <c r="C53">
        <v>0.11</v>
      </c>
      <c r="D53">
        <v>98.22</v>
      </c>
      <c r="F53" s="1">
        <f t="shared" si="0"/>
        <v>2.1048603138155379E-3</v>
      </c>
    </row>
    <row r="54" spans="1:6" x14ac:dyDescent="0.25">
      <c r="A54" t="s">
        <v>55</v>
      </c>
      <c r="B54">
        <v>10</v>
      </c>
      <c r="C54">
        <v>0.1</v>
      </c>
      <c r="D54">
        <v>98.32</v>
      </c>
      <c r="F54" s="1">
        <f t="shared" si="0"/>
        <v>1.9135093761959434E-3</v>
      </c>
    </row>
    <row r="55" spans="1:6" x14ac:dyDescent="0.25">
      <c r="A55" t="s">
        <v>56</v>
      </c>
      <c r="B55">
        <v>175</v>
      </c>
      <c r="C55">
        <v>1.68</v>
      </c>
      <c r="D55">
        <v>100</v>
      </c>
      <c r="F55" s="1">
        <f t="shared" si="0"/>
        <v>3.3486414083429006E-2</v>
      </c>
    </row>
    <row r="57" spans="1:6" x14ac:dyDescent="0.25">
      <c r="A57" t="s">
        <v>57</v>
      </c>
      <c r="B57">
        <v>10399</v>
      </c>
      <c r="C57">
        <v>100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selection activeCell="J10" sqref="J10"/>
    </sheetView>
  </sheetViews>
  <sheetFormatPr defaultRowHeight="15" x14ac:dyDescent="0.25"/>
  <cols>
    <col min="1" max="1" width="18.5703125" customWidth="1"/>
    <col min="7" max="7" width="11.5703125" customWidth="1"/>
  </cols>
  <sheetData>
    <row r="1" spans="1:11" x14ac:dyDescent="0.25">
      <c r="A1" t="s">
        <v>61</v>
      </c>
      <c r="B1" t="s">
        <v>103</v>
      </c>
      <c r="C1" t="s">
        <v>2</v>
      </c>
    </row>
    <row r="2" spans="1:11" x14ac:dyDescent="0.25">
      <c r="A2" t="s">
        <v>62</v>
      </c>
      <c r="B2">
        <v>1</v>
      </c>
      <c r="C2" s="1">
        <f>D2/100</f>
        <v>1E-4</v>
      </c>
      <c r="D2">
        <v>0.01</v>
      </c>
    </row>
    <row r="3" spans="1:11" x14ac:dyDescent="0.25">
      <c r="A3" t="s">
        <v>63</v>
      </c>
      <c r="B3">
        <v>213</v>
      </c>
      <c r="C3" s="1">
        <f t="shared" ref="C3:C45" si="0">D3/100</f>
        <v>2.4199999999999999E-2</v>
      </c>
      <c r="D3">
        <v>2.42</v>
      </c>
    </row>
    <row r="4" spans="1:11" x14ac:dyDescent="0.25">
      <c r="A4" t="s">
        <v>64</v>
      </c>
      <c r="B4">
        <v>1</v>
      </c>
      <c r="C4" s="1">
        <f t="shared" si="0"/>
        <v>1E-4</v>
      </c>
      <c r="D4">
        <v>0.01</v>
      </c>
    </row>
    <row r="5" spans="1:11" x14ac:dyDescent="0.25">
      <c r="A5" t="s">
        <v>65</v>
      </c>
      <c r="B5">
        <v>545</v>
      </c>
      <c r="C5" s="1">
        <f t="shared" si="0"/>
        <v>6.1900000000000004E-2</v>
      </c>
      <c r="D5">
        <v>6.19</v>
      </c>
    </row>
    <row r="6" spans="1:11" x14ac:dyDescent="0.25">
      <c r="A6" t="s">
        <v>66</v>
      </c>
      <c r="B6">
        <v>159</v>
      </c>
      <c r="C6" s="1">
        <f t="shared" si="0"/>
        <v>1.8000000000000002E-2</v>
      </c>
      <c r="D6">
        <v>1.8</v>
      </c>
      <c r="G6" t="s">
        <v>104</v>
      </c>
      <c r="H6">
        <v>5248</v>
      </c>
      <c r="I6">
        <v>19258</v>
      </c>
      <c r="J6">
        <v>8558</v>
      </c>
      <c r="K6">
        <v>8987.6859999999997</v>
      </c>
    </row>
    <row r="7" spans="1:11" x14ac:dyDescent="0.25">
      <c r="A7" t="s">
        <v>67</v>
      </c>
      <c r="B7">
        <v>3</v>
      </c>
      <c r="C7" s="1">
        <f t="shared" si="0"/>
        <v>2.9999999999999997E-4</v>
      </c>
      <c r="D7">
        <v>0.03</v>
      </c>
      <c r="G7">
        <v>365</v>
      </c>
      <c r="H7">
        <f>H6/$G$7</f>
        <v>14.378082191780821</v>
      </c>
      <c r="I7">
        <f>I6/$G$7</f>
        <v>52.761643835616439</v>
      </c>
      <c r="J7">
        <f>J6/$G$7</f>
        <v>23.446575342465753</v>
      </c>
      <c r="K7">
        <f>K6/$G$7</f>
        <v>24.623797260273971</v>
      </c>
    </row>
    <row r="8" spans="1:11" x14ac:dyDescent="0.25">
      <c r="A8" t="s">
        <v>68</v>
      </c>
      <c r="B8">
        <v>1</v>
      </c>
      <c r="C8" s="1">
        <f t="shared" si="0"/>
        <v>1E-4</v>
      </c>
      <c r="D8">
        <v>0.01</v>
      </c>
    </row>
    <row r="9" spans="1:11" x14ac:dyDescent="0.25">
      <c r="A9" t="s">
        <v>69</v>
      </c>
      <c r="B9">
        <v>1</v>
      </c>
      <c r="C9" s="1">
        <f t="shared" si="0"/>
        <v>1E-4</v>
      </c>
      <c r="D9">
        <v>0.01</v>
      </c>
    </row>
    <row r="10" spans="1:11" x14ac:dyDescent="0.25">
      <c r="A10" t="s">
        <v>70</v>
      </c>
      <c r="B10">
        <v>3</v>
      </c>
      <c r="C10" s="1">
        <f t="shared" si="0"/>
        <v>2.9999999999999997E-4</v>
      </c>
      <c r="D10">
        <v>0.03</v>
      </c>
    </row>
    <row r="11" spans="1:11" x14ac:dyDescent="0.25">
      <c r="A11" t="s">
        <v>71</v>
      </c>
      <c r="B11">
        <v>5089</v>
      </c>
      <c r="C11" s="1">
        <f t="shared" si="0"/>
        <v>0.5776</v>
      </c>
      <c r="D11">
        <v>57.76</v>
      </c>
    </row>
    <row r="12" spans="1:11" x14ac:dyDescent="0.25">
      <c r="A12" t="s">
        <v>72</v>
      </c>
      <c r="B12">
        <v>3</v>
      </c>
      <c r="C12" s="1">
        <f t="shared" si="0"/>
        <v>2.9999999999999997E-4</v>
      </c>
      <c r="D12">
        <v>0.03</v>
      </c>
    </row>
    <row r="13" spans="1:11" x14ac:dyDescent="0.25">
      <c r="A13" t="s">
        <v>73</v>
      </c>
      <c r="B13">
        <v>9</v>
      </c>
      <c r="C13" s="1">
        <f t="shared" si="0"/>
        <v>1E-3</v>
      </c>
      <c r="D13">
        <v>0.1</v>
      </c>
    </row>
    <row r="14" spans="1:11" x14ac:dyDescent="0.25">
      <c r="A14" t="s">
        <v>74</v>
      </c>
      <c r="B14">
        <v>2</v>
      </c>
      <c r="C14" s="1">
        <f t="shared" si="0"/>
        <v>2.0000000000000001E-4</v>
      </c>
      <c r="D14">
        <v>0.02</v>
      </c>
    </row>
    <row r="15" spans="1:11" x14ac:dyDescent="0.25">
      <c r="A15" t="s">
        <v>75</v>
      </c>
      <c r="B15">
        <v>1</v>
      </c>
      <c r="C15" s="1">
        <f t="shared" si="0"/>
        <v>1E-4</v>
      </c>
      <c r="D15">
        <v>0.01</v>
      </c>
    </row>
    <row r="16" spans="1:11" x14ac:dyDescent="0.25">
      <c r="A16" t="s">
        <v>76</v>
      </c>
      <c r="B16">
        <v>1</v>
      </c>
      <c r="C16" s="1">
        <f t="shared" si="0"/>
        <v>1E-4</v>
      </c>
      <c r="D16">
        <v>0.01</v>
      </c>
    </row>
    <row r="17" spans="1:4" x14ac:dyDescent="0.25">
      <c r="A17" t="s">
        <v>77</v>
      </c>
      <c r="B17">
        <v>2</v>
      </c>
      <c r="C17" s="1">
        <f t="shared" si="0"/>
        <v>2.0000000000000001E-4</v>
      </c>
      <c r="D17">
        <v>0.02</v>
      </c>
    </row>
    <row r="18" spans="1:4" x14ac:dyDescent="0.25">
      <c r="A18" t="s">
        <v>78</v>
      </c>
      <c r="B18">
        <v>36</v>
      </c>
      <c r="C18" s="1">
        <f t="shared" si="0"/>
        <v>4.0999999999999995E-3</v>
      </c>
      <c r="D18">
        <v>0.41</v>
      </c>
    </row>
    <row r="19" spans="1:4" x14ac:dyDescent="0.25">
      <c r="A19" t="s">
        <v>79</v>
      </c>
      <c r="B19">
        <v>949</v>
      </c>
      <c r="C19" s="1">
        <f t="shared" si="0"/>
        <v>0.10769999999999999</v>
      </c>
      <c r="D19">
        <v>10.77</v>
      </c>
    </row>
    <row r="20" spans="1:4" x14ac:dyDescent="0.25">
      <c r="A20" t="s">
        <v>80</v>
      </c>
      <c r="B20">
        <v>3</v>
      </c>
      <c r="C20" s="1">
        <f t="shared" si="0"/>
        <v>2.9999999999999997E-4</v>
      </c>
      <c r="D20">
        <v>0.03</v>
      </c>
    </row>
    <row r="21" spans="1:4" x14ac:dyDescent="0.25">
      <c r="A21" t="s">
        <v>81</v>
      </c>
      <c r="B21">
        <v>4</v>
      </c>
      <c r="C21" s="1">
        <f t="shared" si="0"/>
        <v>5.0000000000000001E-4</v>
      </c>
      <c r="D21">
        <v>0.05</v>
      </c>
    </row>
    <row r="22" spans="1:4" x14ac:dyDescent="0.25">
      <c r="A22" t="s">
        <v>82</v>
      </c>
      <c r="B22">
        <v>3</v>
      </c>
      <c r="C22" s="1">
        <f t="shared" si="0"/>
        <v>2.9999999999999997E-4</v>
      </c>
      <c r="D22">
        <v>0.03</v>
      </c>
    </row>
    <row r="23" spans="1:4" x14ac:dyDescent="0.25">
      <c r="A23" t="s">
        <v>83</v>
      </c>
      <c r="B23">
        <v>3</v>
      </c>
      <c r="C23" s="1">
        <f t="shared" si="0"/>
        <v>2.9999999999999997E-4</v>
      </c>
      <c r="D23">
        <v>0.03</v>
      </c>
    </row>
    <row r="24" spans="1:4" x14ac:dyDescent="0.25">
      <c r="A24" t="s">
        <v>84</v>
      </c>
      <c r="B24">
        <v>2</v>
      </c>
      <c r="C24" s="1">
        <f t="shared" si="0"/>
        <v>2.0000000000000001E-4</v>
      </c>
      <c r="D24">
        <v>0.02</v>
      </c>
    </row>
    <row r="25" spans="1:4" x14ac:dyDescent="0.25">
      <c r="A25" t="s">
        <v>85</v>
      </c>
      <c r="B25">
        <v>2</v>
      </c>
      <c r="C25" s="1">
        <f t="shared" si="0"/>
        <v>2.0000000000000001E-4</v>
      </c>
      <c r="D25">
        <v>0.02</v>
      </c>
    </row>
    <row r="26" spans="1:4" x14ac:dyDescent="0.25">
      <c r="A26" t="s">
        <v>86</v>
      </c>
      <c r="B26">
        <v>37</v>
      </c>
      <c r="C26" s="1">
        <f t="shared" si="0"/>
        <v>4.1999999999999997E-3</v>
      </c>
      <c r="D26">
        <v>0.42</v>
      </c>
    </row>
    <row r="27" spans="1:4" x14ac:dyDescent="0.25">
      <c r="A27" t="s">
        <v>87</v>
      </c>
      <c r="B27">
        <v>31</v>
      </c>
      <c r="C27" s="1">
        <f t="shared" si="0"/>
        <v>3.4999999999999996E-3</v>
      </c>
      <c r="D27">
        <v>0.35</v>
      </c>
    </row>
    <row r="28" spans="1:4" x14ac:dyDescent="0.25">
      <c r="A28" t="s">
        <v>88</v>
      </c>
      <c r="B28">
        <v>2</v>
      </c>
      <c r="C28" s="1">
        <f t="shared" si="0"/>
        <v>2.0000000000000001E-4</v>
      </c>
      <c r="D28">
        <v>0.02</v>
      </c>
    </row>
    <row r="29" spans="1:4" x14ac:dyDescent="0.25">
      <c r="A29" t="s">
        <v>89</v>
      </c>
      <c r="B29">
        <v>44</v>
      </c>
      <c r="C29" s="1">
        <f t="shared" si="0"/>
        <v>5.0000000000000001E-3</v>
      </c>
      <c r="D29">
        <v>0.5</v>
      </c>
    </row>
    <row r="30" spans="1:4" x14ac:dyDescent="0.25">
      <c r="A30" t="s">
        <v>90</v>
      </c>
      <c r="B30">
        <v>2</v>
      </c>
      <c r="C30" s="1">
        <f t="shared" si="0"/>
        <v>2.0000000000000001E-4</v>
      </c>
      <c r="D30">
        <v>0.02</v>
      </c>
    </row>
    <row r="31" spans="1:4" x14ac:dyDescent="0.25">
      <c r="A31" t="s">
        <v>91</v>
      </c>
      <c r="B31">
        <v>2</v>
      </c>
      <c r="C31" s="1">
        <f t="shared" si="0"/>
        <v>2.0000000000000001E-4</v>
      </c>
      <c r="D31">
        <v>0.02</v>
      </c>
    </row>
    <row r="32" spans="1:4" x14ac:dyDescent="0.25">
      <c r="A32" t="s">
        <v>92</v>
      </c>
      <c r="B32">
        <v>1160</v>
      </c>
      <c r="C32" s="1">
        <f t="shared" si="0"/>
        <v>0.13170000000000001</v>
      </c>
      <c r="D32">
        <v>13.17</v>
      </c>
    </row>
    <row r="33" spans="1:8" x14ac:dyDescent="0.25">
      <c r="A33" t="s">
        <v>93</v>
      </c>
      <c r="B33">
        <v>1</v>
      </c>
      <c r="C33" s="1">
        <f t="shared" si="0"/>
        <v>1E-4</v>
      </c>
      <c r="D33">
        <v>0.01</v>
      </c>
    </row>
    <row r="34" spans="1:8" x14ac:dyDescent="0.25">
      <c r="A34" t="s">
        <v>94</v>
      </c>
      <c r="B34">
        <v>69</v>
      </c>
      <c r="C34" s="1">
        <f t="shared" si="0"/>
        <v>7.8000000000000005E-3</v>
      </c>
      <c r="D34">
        <v>0.78</v>
      </c>
    </row>
    <row r="35" spans="1:8" x14ac:dyDescent="0.25">
      <c r="A35" t="s">
        <v>95</v>
      </c>
      <c r="B35">
        <v>3</v>
      </c>
      <c r="C35" s="1">
        <f t="shared" si="0"/>
        <v>2.9999999999999997E-4</v>
      </c>
      <c r="D35">
        <v>0.03</v>
      </c>
    </row>
    <row r="36" spans="1:8" x14ac:dyDescent="0.25">
      <c r="A36" t="s">
        <v>40</v>
      </c>
      <c r="B36">
        <v>1</v>
      </c>
      <c r="C36" s="1">
        <f t="shared" si="0"/>
        <v>1E-4</v>
      </c>
      <c r="D36">
        <v>0.01</v>
      </c>
    </row>
    <row r="37" spans="1:8" x14ac:dyDescent="0.25">
      <c r="A37" t="s">
        <v>96</v>
      </c>
      <c r="B37">
        <v>3</v>
      </c>
      <c r="C37" s="1">
        <f t="shared" si="0"/>
        <v>2.9999999999999997E-4</v>
      </c>
      <c r="D37">
        <v>0.03</v>
      </c>
    </row>
    <row r="38" spans="1:8" x14ac:dyDescent="0.25">
      <c r="A38" t="s">
        <v>97</v>
      </c>
      <c r="B38">
        <v>1</v>
      </c>
      <c r="C38" s="1">
        <f t="shared" si="0"/>
        <v>1E-4</v>
      </c>
      <c r="D38">
        <v>0.01</v>
      </c>
    </row>
    <row r="39" spans="1:8" x14ac:dyDescent="0.25">
      <c r="A39" t="s">
        <v>45</v>
      </c>
      <c r="B39">
        <v>254</v>
      </c>
      <c r="C39" s="1">
        <f t="shared" si="0"/>
        <v>2.8799999999999999E-2</v>
      </c>
      <c r="D39">
        <v>2.88</v>
      </c>
    </row>
    <row r="40" spans="1:8" x14ac:dyDescent="0.25">
      <c r="A40" t="s">
        <v>98</v>
      </c>
      <c r="B40">
        <v>2</v>
      </c>
      <c r="C40" s="1">
        <f t="shared" si="0"/>
        <v>2.0000000000000001E-4</v>
      </c>
      <c r="D40">
        <v>0.02</v>
      </c>
    </row>
    <row r="41" spans="1:8" x14ac:dyDescent="0.25">
      <c r="A41" t="s">
        <v>99</v>
      </c>
      <c r="B41">
        <v>31</v>
      </c>
      <c r="C41" s="1">
        <f t="shared" si="0"/>
        <v>3.4999999999999996E-3</v>
      </c>
      <c r="D41">
        <v>0.35</v>
      </c>
    </row>
    <row r="42" spans="1:8" x14ac:dyDescent="0.25">
      <c r="A42" t="s">
        <v>100</v>
      </c>
      <c r="B42">
        <v>124</v>
      </c>
      <c r="C42" s="1">
        <f t="shared" si="0"/>
        <v>1.41E-2</v>
      </c>
      <c r="D42">
        <v>1.41</v>
      </c>
      <c r="G42" s="2"/>
      <c r="H42" s="1"/>
    </row>
    <row r="43" spans="1:8" x14ac:dyDescent="0.25">
      <c r="A43" t="s">
        <v>101</v>
      </c>
      <c r="B43">
        <v>6</v>
      </c>
      <c r="C43" s="1">
        <f t="shared" si="0"/>
        <v>7.000000000000001E-4</v>
      </c>
      <c r="D43">
        <v>7.0000000000000007E-2</v>
      </c>
    </row>
    <row r="44" spans="1:8" x14ac:dyDescent="0.25">
      <c r="A44" t="s">
        <v>102</v>
      </c>
      <c r="B44">
        <v>2</v>
      </c>
      <c r="C44" s="1">
        <f t="shared" si="0"/>
        <v>2.0000000000000001E-4</v>
      </c>
      <c r="D44">
        <v>0.02</v>
      </c>
    </row>
    <row r="45" spans="1:8" x14ac:dyDescent="0.25">
      <c r="A45" t="s">
        <v>57</v>
      </c>
      <c r="B45">
        <v>8811</v>
      </c>
      <c r="C45" s="1">
        <f t="shared" si="0"/>
        <v>1</v>
      </c>
      <c r="D4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4"/>
  <sheetViews>
    <sheetView workbookViewId="0">
      <selection activeCell="F39" sqref="F39"/>
    </sheetView>
  </sheetViews>
  <sheetFormatPr defaultRowHeight="15" x14ac:dyDescent="0.25"/>
  <cols>
    <col min="3" max="4" width="9.28515625" bestFit="1" customWidth="1"/>
    <col min="5" max="5" width="9.5703125" bestFit="1" customWidth="1"/>
    <col min="6" max="14" width="9.28515625" bestFit="1" customWidth="1"/>
    <col min="15" max="15" width="9.5703125" bestFit="1" customWidth="1"/>
  </cols>
  <sheetData>
    <row r="3" spans="2:16" x14ac:dyDescent="0.25"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139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</row>
    <row r="4" spans="2:16" x14ac:dyDescent="0.25">
      <c r="B4" t="s">
        <v>119</v>
      </c>
      <c r="C4" s="3">
        <v>5.012842</v>
      </c>
      <c r="D4" s="3">
        <v>24.0092</v>
      </c>
      <c r="E4" s="3">
        <v>174.99279999999999</v>
      </c>
      <c r="F4" s="3">
        <v>70.792469999999994</v>
      </c>
      <c r="G4" s="3">
        <v>1.5358399999999999E-2</v>
      </c>
      <c r="H4" s="3">
        <v>0.23630139999999999</v>
      </c>
      <c r="I4" s="3">
        <v>0.1040956</v>
      </c>
      <c r="J4" s="3">
        <v>36.063630000000003</v>
      </c>
      <c r="K4" s="3">
        <v>0.99586779999999997</v>
      </c>
      <c r="L4" s="3">
        <v>1</v>
      </c>
      <c r="M4" s="3">
        <v>0.92243189999999997</v>
      </c>
      <c r="N4" s="3">
        <v>0.15286620000000001</v>
      </c>
      <c r="O4" s="3">
        <v>8.1136000000000003E-3</v>
      </c>
      <c r="P4" s="3">
        <v>628.14020000000005</v>
      </c>
    </row>
    <row r="5" spans="2:16" x14ac:dyDescent="0.25">
      <c r="B5" t="s">
        <v>120</v>
      </c>
      <c r="C5" s="3">
        <v>5.1046509999999996</v>
      </c>
      <c r="D5" s="3">
        <v>25.9071</v>
      </c>
      <c r="E5" s="3">
        <v>176.26419999999999</v>
      </c>
      <c r="F5" s="3">
        <v>67.163989999999998</v>
      </c>
      <c r="G5" s="3">
        <v>6.9767399999999993E-2</v>
      </c>
      <c r="H5" s="3">
        <v>9.5238100000000006E-2</v>
      </c>
      <c r="I5" s="3">
        <v>0.13953489999999999</v>
      </c>
      <c r="J5" s="3">
        <v>35.354170000000003</v>
      </c>
      <c r="K5" s="3">
        <v>0.83333330000000005</v>
      </c>
      <c r="L5" s="3">
        <v>0.96666669999999999</v>
      </c>
      <c r="M5" s="3">
        <v>0.92</v>
      </c>
      <c r="N5" s="3">
        <v>0.23076920000000001</v>
      </c>
      <c r="O5" s="3">
        <v>0</v>
      </c>
      <c r="P5" s="3">
        <v>562</v>
      </c>
    </row>
    <row r="6" spans="2:16" x14ac:dyDescent="0.25">
      <c r="B6" t="s">
        <v>121</v>
      </c>
      <c r="C6" s="3">
        <v>5.0532789999999999</v>
      </c>
      <c r="D6" s="3">
        <v>25.819120000000002</v>
      </c>
      <c r="E6" s="3">
        <v>174.41550000000001</v>
      </c>
      <c r="F6" s="3">
        <v>69.121870000000001</v>
      </c>
      <c r="G6" s="3">
        <v>5.3278699999999998E-2</v>
      </c>
      <c r="H6" s="3">
        <v>0.1481481</v>
      </c>
      <c r="I6" s="3">
        <v>0.17213110000000001</v>
      </c>
      <c r="J6" s="3">
        <v>36.431820000000002</v>
      </c>
      <c r="K6" s="3">
        <v>0.97777780000000003</v>
      </c>
      <c r="L6" s="3">
        <v>0.97777780000000003</v>
      </c>
      <c r="M6" s="3">
        <v>0.86301369999999999</v>
      </c>
      <c r="N6" s="3">
        <v>0.2162162</v>
      </c>
      <c r="O6" s="3">
        <v>5.0761000000000001E-3</v>
      </c>
      <c r="P6" s="3">
        <v>496.97449999999998</v>
      </c>
    </row>
    <row r="7" spans="2:16" x14ac:dyDescent="0.25">
      <c r="B7" t="s">
        <v>122</v>
      </c>
      <c r="C7" s="3">
        <v>4.4630869999999998</v>
      </c>
      <c r="D7" s="3">
        <v>23.479320000000001</v>
      </c>
      <c r="E7" s="3">
        <v>174.65780000000001</v>
      </c>
      <c r="F7" s="3">
        <v>70.346630000000005</v>
      </c>
      <c r="G7" s="3">
        <v>0.18120810000000001</v>
      </c>
      <c r="H7" s="3">
        <v>0.64163820000000005</v>
      </c>
      <c r="I7" s="3">
        <v>1.34228E-2</v>
      </c>
      <c r="J7" s="3">
        <v>36.167340000000003</v>
      </c>
      <c r="K7" s="3">
        <v>1</v>
      </c>
      <c r="L7" s="3">
        <v>1</v>
      </c>
      <c r="M7" s="3">
        <v>1</v>
      </c>
      <c r="N7" s="3">
        <v>0.21590909999999999</v>
      </c>
      <c r="O7" s="3">
        <v>0</v>
      </c>
      <c r="P7" s="3">
        <v>415.87110000000001</v>
      </c>
    </row>
    <row r="8" spans="2:16" x14ac:dyDescent="0.25">
      <c r="B8" t="s">
        <v>71</v>
      </c>
      <c r="C8" s="3">
        <v>5.0320900000000002</v>
      </c>
      <c r="D8" s="3">
        <v>24.51643</v>
      </c>
      <c r="E8" s="3">
        <v>172.91059999999999</v>
      </c>
      <c r="F8" s="3">
        <v>65.970510000000004</v>
      </c>
      <c r="G8" s="3">
        <v>6.1004299999999997E-2</v>
      </c>
      <c r="H8" s="3">
        <v>9.0317499999999995E-2</v>
      </c>
      <c r="I8" s="3">
        <v>4.23363E-2</v>
      </c>
      <c r="J8" s="3">
        <v>35.83914</v>
      </c>
      <c r="K8" s="3">
        <v>0.93079100000000004</v>
      </c>
      <c r="L8" s="3">
        <v>0.94583139999999999</v>
      </c>
      <c r="M8" s="3">
        <v>0.75227379999999999</v>
      </c>
      <c r="N8" s="3">
        <v>0.2288557</v>
      </c>
      <c r="O8" s="3">
        <v>1.36192E-2</v>
      </c>
      <c r="P8" s="3">
        <v>655.66579999999999</v>
      </c>
    </row>
    <row r="9" spans="2:16" x14ac:dyDescent="0.25">
      <c r="B9" t="s">
        <v>123</v>
      </c>
      <c r="C9" s="3">
        <v>5.0454549999999996</v>
      </c>
      <c r="D9" s="3">
        <v>25.161639999999998</v>
      </c>
      <c r="E9" s="3">
        <v>174.73079999999999</v>
      </c>
      <c r="F9" s="3">
        <v>71.085430000000002</v>
      </c>
      <c r="G9" s="3">
        <v>6.0606100000000003E-2</v>
      </c>
      <c r="H9" s="3">
        <v>0.15625</v>
      </c>
      <c r="I9" s="3">
        <v>0.27272730000000001</v>
      </c>
      <c r="J9" s="3">
        <v>35.967109999999998</v>
      </c>
      <c r="K9" s="3">
        <v>1</v>
      </c>
      <c r="L9" s="3">
        <v>1</v>
      </c>
      <c r="M9" s="3">
        <v>0.88888889999999998</v>
      </c>
      <c r="N9" s="3">
        <v>0.18181820000000001</v>
      </c>
      <c r="O9" s="3">
        <v>0</v>
      </c>
      <c r="P9" s="3">
        <v>520.9</v>
      </c>
    </row>
    <row r="10" spans="2:16" x14ac:dyDescent="0.25">
      <c r="B10" t="s">
        <v>79</v>
      </c>
      <c r="C10" s="3">
        <v>5.0332280000000003</v>
      </c>
      <c r="D10" s="3">
        <v>25.35023</v>
      </c>
      <c r="E10" s="3">
        <v>174.65379999999999</v>
      </c>
      <c r="F10" s="3">
        <v>68.115229999999997</v>
      </c>
      <c r="G10" s="3">
        <v>4.7468400000000001E-2</v>
      </c>
      <c r="H10" s="3">
        <v>0.17215730000000001</v>
      </c>
      <c r="I10" s="3">
        <v>0.3192835</v>
      </c>
      <c r="J10" s="3">
        <v>36.506050000000002</v>
      </c>
      <c r="K10" s="3">
        <v>0.96070460000000002</v>
      </c>
      <c r="L10" s="3">
        <v>0.97146739999999998</v>
      </c>
      <c r="M10" s="3">
        <v>0.74099720000000002</v>
      </c>
      <c r="N10" s="3">
        <v>0.19897960000000001</v>
      </c>
      <c r="O10" s="3">
        <v>2.0028600000000001E-2</v>
      </c>
      <c r="P10" s="3">
        <v>624.61130000000003</v>
      </c>
    </row>
    <row r="11" spans="2:16" x14ac:dyDescent="0.25">
      <c r="B11" t="s">
        <v>92</v>
      </c>
      <c r="C11" s="3">
        <v>5.0094909999999997</v>
      </c>
      <c r="D11" s="3">
        <v>24.57686</v>
      </c>
      <c r="E11" s="3">
        <v>173.12739999999999</v>
      </c>
      <c r="F11" s="3">
        <v>67.51437</v>
      </c>
      <c r="G11" s="3">
        <v>4.6591899999999999E-2</v>
      </c>
      <c r="H11" s="3">
        <v>0.1076389</v>
      </c>
      <c r="I11" s="3">
        <v>3.3620700000000003E-2</v>
      </c>
      <c r="J11" s="3">
        <v>36.473700000000001</v>
      </c>
      <c r="K11" s="3">
        <v>0.93258430000000003</v>
      </c>
      <c r="L11" s="3">
        <v>0.94387759999999998</v>
      </c>
      <c r="M11" s="3">
        <v>0.62916669999999997</v>
      </c>
      <c r="N11" s="3">
        <v>0.19913420000000001</v>
      </c>
      <c r="O11" s="3">
        <v>9.9118999999999995E-3</v>
      </c>
      <c r="P11" s="3">
        <v>668.10860000000002</v>
      </c>
    </row>
    <row r="12" spans="2:16" x14ac:dyDescent="0.25">
      <c r="B12" t="s">
        <v>124</v>
      </c>
      <c r="C12" s="3">
        <v>4.9832710000000002</v>
      </c>
      <c r="D12" s="3">
        <v>24.548760000000001</v>
      </c>
      <c r="E12" s="3">
        <v>175.0284</v>
      </c>
      <c r="F12" s="3">
        <v>68.526750000000007</v>
      </c>
      <c r="G12" s="3">
        <v>0.1444444</v>
      </c>
      <c r="H12" s="3">
        <v>0.25373129999999999</v>
      </c>
      <c r="I12" s="3">
        <v>8.5185200000000003E-2</v>
      </c>
      <c r="J12" s="3">
        <v>35.905079999999998</v>
      </c>
      <c r="K12" s="3">
        <v>0.96385540000000003</v>
      </c>
      <c r="L12" s="3">
        <v>0.98780489999999999</v>
      </c>
      <c r="M12" s="3">
        <v>0.875</v>
      </c>
      <c r="N12" s="3">
        <v>0.2142857</v>
      </c>
      <c r="O12" s="3">
        <v>4.3860000000000001E-3</v>
      </c>
      <c r="P12" s="3">
        <v>490.6123</v>
      </c>
    </row>
    <row r="13" spans="2:16" x14ac:dyDescent="0.25">
      <c r="B13" t="s">
        <v>100</v>
      </c>
      <c r="C13" s="3">
        <v>5.0241939999999996</v>
      </c>
      <c r="D13" s="3">
        <v>25.51642</v>
      </c>
      <c r="E13" s="3">
        <v>171.69900000000001</v>
      </c>
      <c r="F13" s="3">
        <v>66.013509999999997</v>
      </c>
      <c r="G13" s="3">
        <v>3.2520300000000002E-2</v>
      </c>
      <c r="H13" s="3">
        <v>9.7560999999999995E-2</v>
      </c>
      <c r="I13" s="3">
        <v>6.4516100000000007E-2</v>
      </c>
      <c r="J13" s="3">
        <v>36.049759999999999</v>
      </c>
      <c r="K13" s="3">
        <v>0.92631580000000002</v>
      </c>
      <c r="L13" s="3">
        <v>0.93684210000000001</v>
      </c>
      <c r="M13" s="3">
        <v>0.78494620000000004</v>
      </c>
      <c r="N13" s="3">
        <v>0.29032259999999999</v>
      </c>
      <c r="O13" s="3">
        <v>3.125E-2</v>
      </c>
      <c r="P13" s="3">
        <v>573.15049999999997</v>
      </c>
    </row>
    <row r="14" spans="2:16" x14ac:dyDescent="0.25">
      <c r="B14" t="s">
        <v>57</v>
      </c>
      <c r="C14" s="3">
        <v>5.0079549999999999</v>
      </c>
      <c r="D14" s="3">
        <v>24.606470000000002</v>
      </c>
      <c r="E14" s="3">
        <v>173.43270000000001</v>
      </c>
      <c r="F14" s="3">
        <v>67.065460000000002</v>
      </c>
      <c r="G14" s="3">
        <v>6.0654199999999998E-2</v>
      </c>
      <c r="H14" s="3">
        <v>0.13667009999999999</v>
      </c>
      <c r="I14" s="3">
        <v>8.0694600000000005E-2</v>
      </c>
      <c r="J14" s="3">
        <v>36.036929999999998</v>
      </c>
      <c r="K14" s="3">
        <v>0.93989389999999995</v>
      </c>
      <c r="L14" s="3">
        <v>0.95341980000000004</v>
      </c>
      <c r="M14" s="3">
        <v>0.75018830000000003</v>
      </c>
      <c r="N14" s="3">
        <v>0.2147239</v>
      </c>
      <c r="O14" s="3">
        <v>1.2443900000000001E-2</v>
      </c>
      <c r="P14" s="3">
        <v>630.91629999999998</v>
      </c>
    </row>
    <row r="15" spans="2:16" x14ac:dyDescent="0.25">
      <c r="B15" t="s">
        <v>140</v>
      </c>
      <c r="C15">
        <v>8799</v>
      </c>
      <c r="D15">
        <v>8724</v>
      </c>
      <c r="E15">
        <v>8771</v>
      </c>
      <c r="F15">
        <v>8170</v>
      </c>
      <c r="G15">
        <v>8804</v>
      </c>
      <c r="H15">
        <v>8751</v>
      </c>
      <c r="I15">
        <v>8811</v>
      </c>
      <c r="J15">
        <v>7261</v>
      </c>
      <c r="K15">
        <v>6788</v>
      </c>
      <c r="L15">
        <v>6784</v>
      </c>
      <c r="M15">
        <v>6637</v>
      </c>
      <c r="N15">
        <v>1956</v>
      </c>
      <c r="O15">
        <v>6911</v>
      </c>
      <c r="P15">
        <v>6822</v>
      </c>
    </row>
    <row r="17" spans="2:16" x14ac:dyDescent="0.25"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138</v>
      </c>
      <c r="J17" t="s">
        <v>112</v>
      </c>
      <c r="K17" t="s">
        <v>113</v>
      </c>
      <c r="L17" t="s">
        <v>114</v>
      </c>
      <c r="M17" t="s">
        <v>115</v>
      </c>
      <c r="N17" t="s">
        <v>116</v>
      </c>
      <c r="O17" t="s">
        <v>117</v>
      </c>
      <c r="P17" t="s">
        <v>118</v>
      </c>
    </row>
    <row r="19" spans="2:16" x14ac:dyDescent="0.25">
      <c r="B19" t="s">
        <v>4</v>
      </c>
      <c r="C19">
        <v>4.5</v>
      </c>
      <c r="D19">
        <v>28.567119999999999</v>
      </c>
      <c r="E19">
        <v>170.815</v>
      </c>
      <c r="F19">
        <v>65.317260000000005</v>
      </c>
      <c r="G19">
        <v>0</v>
      </c>
      <c r="H19">
        <v>0.5</v>
      </c>
      <c r="I19">
        <v>0</v>
      </c>
      <c r="J19" t="s">
        <v>4</v>
      </c>
      <c r="K19" t="s">
        <v>4</v>
      </c>
      <c r="L19" t="s">
        <v>4</v>
      </c>
      <c r="M19" t="s">
        <v>4</v>
      </c>
      <c r="N19">
        <v>0</v>
      </c>
      <c r="O19">
        <v>0</v>
      </c>
      <c r="P19">
        <v>384</v>
      </c>
    </row>
    <row r="20" spans="2:16" x14ac:dyDescent="0.25">
      <c r="B20" t="s">
        <v>119</v>
      </c>
      <c r="C20">
        <v>5.012842</v>
      </c>
      <c r="D20">
        <v>24.0092</v>
      </c>
      <c r="E20">
        <v>174.99279999999999</v>
      </c>
      <c r="F20">
        <v>70.792469999999994</v>
      </c>
      <c r="G20">
        <v>1.5358399999999999E-2</v>
      </c>
      <c r="H20">
        <v>0.23630139999999999</v>
      </c>
      <c r="I20">
        <v>0.1040956</v>
      </c>
      <c r="J20">
        <v>36.063630000000003</v>
      </c>
      <c r="K20">
        <v>0.99586779999999997</v>
      </c>
      <c r="L20">
        <v>1</v>
      </c>
      <c r="M20">
        <v>0.92243189999999997</v>
      </c>
      <c r="N20">
        <v>0.15286620000000001</v>
      </c>
      <c r="O20">
        <v>8.1136000000000003E-3</v>
      </c>
      <c r="P20">
        <v>628.14020000000005</v>
      </c>
    </row>
    <row r="21" spans="2:16" x14ac:dyDescent="0.25">
      <c r="B21" t="s">
        <v>120</v>
      </c>
      <c r="C21">
        <v>5.1046509999999996</v>
      </c>
      <c r="D21">
        <v>25.9071</v>
      </c>
      <c r="E21">
        <v>176.26419999999999</v>
      </c>
      <c r="F21">
        <v>67.163989999999998</v>
      </c>
      <c r="G21">
        <v>6.9767399999999993E-2</v>
      </c>
      <c r="H21">
        <v>9.5238100000000006E-2</v>
      </c>
      <c r="I21">
        <v>0.13953489999999999</v>
      </c>
      <c r="J21">
        <v>35.354170000000003</v>
      </c>
      <c r="K21">
        <v>0.83333330000000005</v>
      </c>
      <c r="L21">
        <v>0.96666669999999999</v>
      </c>
      <c r="M21">
        <v>0.92</v>
      </c>
      <c r="N21">
        <v>0.23076920000000001</v>
      </c>
      <c r="O21">
        <v>0</v>
      </c>
      <c r="P21">
        <v>562</v>
      </c>
    </row>
    <row r="22" spans="2:16" x14ac:dyDescent="0.25">
      <c r="B22" t="s">
        <v>121</v>
      </c>
      <c r="C22">
        <v>5.0532789999999999</v>
      </c>
      <c r="D22">
        <v>25.819120000000002</v>
      </c>
      <c r="E22">
        <v>174.41550000000001</v>
      </c>
      <c r="F22">
        <v>69.121870000000001</v>
      </c>
      <c r="G22">
        <v>5.3278699999999998E-2</v>
      </c>
      <c r="H22">
        <v>0.1481481</v>
      </c>
      <c r="I22">
        <v>0.17213110000000001</v>
      </c>
      <c r="J22">
        <v>36.431820000000002</v>
      </c>
      <c r="K22">
        <v>0.97777780000000003</v>
      </c>
      <c r="L22">
        <v>0.97777780000000003</v>
      </c>
      <c r="M22">
        <v>0.86301369999999999</v>
      </c>
      <c r="N22">
        <v>0.2162162</v>
      </c>
      <c r="O22">
        <v>5.0761000000000001E-3</v>
      </c>
      <c r="P22">
        <v>496.97449999999998</v>
      </c>
    </row>
    <row r="23" spans="2:16" x14ac:dyDescent="0.25">
      <c r="B23" t="s">
        <v>122</v>
      </c>
      <c r="C23">
        <v>4.4630869999999998</v>
      </c>
      <c r="D23">
        <v>23.479320000000001</v>
      </c>
      <c r="E23">
        <v>174.65780000000001</v>
      </c>
      <c r="F23">
        <v>70.346630000000005</v>
      </c>
      <c r="G23">
        <v>0.18120810000000001</v>
      </c>
      <c r="H23">
        <v>0.64163820000000005</v>
      </c>
      <c r="I23">
        <v>1.34228E-2</v>
      </c>
      <c r="J23">
        <v>36.167340000000003</v>
      </c>
      <c r="K23">
        <v>1</v>
      </c>
      <c r="L23">
        <v>1</v>
      </c>
      <c r="M23">
        <v>1</v>
      </c>
      <c r="N23">
        <v>0.21590909999999999</v>
      </c>
      <c r="O23">
        <v>0</v>
      </c>
      <c r="P23">
        <v>415.87110000000001</v>
      </c>
    </row>
    <row r="24" spans="2:16" x14ac:dyDescent="0.25">
      <c r="B24" t="s">
        <v>71</v>
      </c>
      <c r="C24">
        <v>5.0320900000000002</v>
      </c>
      <c r="D24">
        <v>24.51643</v>
      </c>
      <c r="E24">
        <v>172.91059999999999</v>
      </c>
      <c r="F24">
        <v>65.970510000000004</v>
      </c>
      <c r="G24">
        <v>6.1004299999999997E-2</v>
      </c>
      <c r="H24">
        <v>9.0317499999999995E-2</v>
      </c>
      <c r="I24">
        <v>4.23363E-2</v>
      </c>
      <c r="J24">
        <v>35.83914</v>
      </c>
      <c r="K24">
        <v>0.93079100000000004</v>
      </c>
      <c r="L24">
        <v>0.94583139999999999</v>
      </c>
      <c r="M24">
        <v>0.75227379999999999</v>
      </c>
      <c r="N24">
        <v>0.2288557</v>
      </c>
      <c r="O24">
        <v>1.36192E-2</v>
      </c>
      <c r="P24">
        <v>655.66579999999999</v>
      </c>
    </row>
    <row r="25" spans="2:16" x14ac:dyDescent="0.25">
      <c r="B25" t="s">
        <v>123</v>
      </c>
      <c r="C25">
        <v>5.0454549999999996</v>
      </c>
      <c r="D25">
        <v>25.161639999999998</v>
      </c>
      <c r="E25">
        <v>174.73079999999999</v>
      </c>
      <c r="F25">
        <v>71.085430000000002</v>
      </c>
      <c r="G25">
        <v>6.0606100000000003E-2</v>
      </c>
      <c r="H25">
        <v>0.15625</v>
      </c>
      <c r="I25">
        <v>0.27272730000000001</v>
      </c>
      <c r="J25">
        <v>35.967109999999998</v>
      </c>
      <c r="K25">
        <v>1</v>
      </c>
      <c r="L25">
        <v>1</v>
      </c>
      <c r="M25">
        <v>0.88888889999999998</v>
      </c>
      <c r="N25">
        <v>0.18181820000000001</v>
      </c>
      <c r="O25">
        <v>0</v>
      </c>
      <c r="P25">
        <v>520.9</v>
      </c>
    </row>
    <row r="26" spans="2:16" x14ac:dyDescent="0.25">
      <c r="B26" t="s">
        <v>79</v>
      </c>
      <c r="C26">
        <v>5.0332280000000003</v>
      </c>
      <c r="D26">
        <v>25.35023</v>
      </c>
      <c r="E26">
        <v>174.65379999999999</v>
      </c>
      <c r="F26">
        <v>68.115229999999997</v>
      </c>
      <c r="G26">
        <v>4.7468400000000001E-2</v>
      </c>
      <c r="H26">
        <v>0.17215730000000001</v>
      </c>
      <c r="I26">
        <v>0.3192835</v>
      </c>
      <c r="J26">
        <v>36.506050000000002</v>
      </c>
      <c r="K26">
        <v>0.96070460000000002</v>
      </c>
      <c r="L26">
        <v>0.97146739999999998</v>
      </c>
      <c r="M26">
        <v>0.74099720000000002</v>
      </c>
      <c r="N26">
        <v>0.19897960000000001</v>
      </c>
      <c r="O26">
        <v>2.0028600000000001E-2</v>
      </c>
      <c r="P26">
        <v>624.61130000000003</v>
      </c>
    </row>
    <row r="27" spans="2:16" x14ac:dyDescent="0.25">
      <c r="B27" t="s">
        <v>92</v>
      </c>
      <c r="C27">
        <v>5.0094909999999997</v>
      </c>
      <c r="D27">
        <v>24.57686</v>
      </c>
      <c r="E27">
        <v>173.12739999999999</v>
      </c>
      <c r="F27">
        <v>67.51437</v>
      </c>
      <c r="G27">
        <v>4.6591899999999999E-2</v>
      </c>
      <c r="H27">
        <v>0.1076389</v>
      </c>
      <c r="I27">
        <v>3.3620700000000003E-2</v>
      </c>
      <c r="J27">
        <v>36.473700000000001</v>
      </c>
      <c r="K27">
        <v>0.93258430000000003</v>
      </c>
      <c r="L27">
        <v>0.94387759999999998</v>
      </c>
      <c r="M27">
        <v>0.62916669999999997</v>
      </c>
      <c r="N27">
        <v>0.19913420000000001</v>
      </c>
      <c r="O27">
        <v>9.9118999999999995E-3</v>
      </c>
      <c r="P27">
        <v>668.10860000000002</v>
      </c>
    </row>
    <row r="28" spans="2:16" x14ac:dyDescent="0.25">
      <c r="B28" t="s">
        <v>124</v>
      </c>
      <c r="C28">
        <v>4.9832710000000002</v>
      </c>
      <c r="D28">
        <v>24.548760000000001</v>
      </c>
      <c r="E28">
        <v>175.0284</v>
      </c>
      <c r="F28">
        <v>68.526750000000007</v>
      </c>
      <c r="G28">
        <v>0.1444444</v>
      </c>
      <c r="H28">
        <v>0.25373129999999999</v>
      </c>
      <c r="I28">
        <v>8.5185200000000003E-2</v>
      </c>
      <c r="J28">
        <v>35.905079999999998</v>
      </c>
      <c r="K28">
        <v>0.96385540000000003</v>
      </c>
      <c r="L28">
        <v>0.98780489999999999</v>
      </c>
      <c r="M28">
        <v>0.875</v>
      </c>
      <c r="N28">
        <v>0.2142857</v>
      </c>
      <c r="O28">
        <v>4.3860000000000001E-3</v>
      </c>
      <c r="P28">
        <v>490.6123</v>
      </c>
    </row>
    <row r="29" spans="2:16" x14ac:dyDescent="0.25">
      <c r="B29" t="s">
        <v>100</v>
      </c>
      <c r="C29">
        <v>5.0241939999999996</v>
      </c>
      <c r="D29">
        <v>25.51642</v>
      </c>
      <c r="E29">
        <v>171.69900000000001</v>
      </c>
      <c r="F29">
        <v>66.013509999999997</v>
      </c>
      <c r="G29">
        <v>3.2520300000000002E-2</v>
      </c>
      <c r="H29">
        <v>9.7560999999999995E-2</v>
      </c>
      <c r="I29">
        <v>6.4516100000000007E-2</v>
      </c>
      <c r="J29">
        <v>36.049759999999999</v>
      </c>
      <c r="K29">
        <v>0.92631580000000002</v>
      </c>
      <c r="L29">
        <v>0.93684210000000001</v>
      </c>
      <c r="M29">
        <v>0.78494620000000004</v>
      </c>
      <c r="N29">
        <v>0.29032259999999999</v>
      </c>
      <c r="O29">
        <v>3.125E-2</v>
      </c>
      <c r="P29">
        <v>573.15049999999997</v>
      </c>
    </row>
    <row r="31" spans="2:16" x14ac:dyDescent="0.25">
      <c r="B31" t="s">
        <v>57</v>
      </c>
      <c r="C31">
        <v>5.0079549999999999</v>
      </c>
      <c r="D31">
        <v>24.606470000000002</v>
      </c>
      <c r="E31">
        <v>173.43270000000001</v>
      </c>
      <c r="F31">
        <v>67.065460000000002</v>
      </c>
      <c r="G31">
        <v>6.0654199999999998E-2</v>
      </c>
      <c r="H31">
        <v>0.13667009999999999</v>
      </c>
      <c r="I31">
        <v>8.0694600000000005E-2</v>
      </c>
      <c r="J31">
        <v>36.036929999999998</v>
      </c>
      <c r="K31">
        <v>0.93989389999999995</v>
      </c>
      <c r="L31">
        <v>0.95341980000000004</v>
      </c>
      <c r="M31">
        <v>0.75018830000000003</v>
      </c>
      <c r="N31">
        <v>0.2147239</v>
      </c>
      <c r="O31">
        <v>1.2443900000000001E-2</v>
      </c>
      <c r="P31">
        <v>630.91629999999998</v>
      </c>
    </row>
    <row r="34" spans="2:16" x14ac:dyDescent="0.25">
      <c r="B34" t="s">
        <v>57</v>
      </c>
      <c r="C34">
        <v>8799</v>
      </c>
      <c r="D34">
        <v>8724</v>
      </c>
      <c r="E34">
        <v>8771</v>
      </c>
      <c r="F34">
        <v>8170</v>
      </c>
      <c r="G34">
        <v>8804</v>
      </c>
      <c r="H34">
        <v>8751</v>
      </c>
      <c r="I34">
        <v>8811</v>
      </c>
      <c r="J34">
        <v>7261</v>
      </c>
      <c r="K34">
        <v>6788</v>
      </c>
      <c r="L34">
        <v>6784</v>
      </c>
      <c r="M34">
        <v>6637</v>
      </c>
      <c r="N34">
        <v>1956</v>
      </c>
      <c r="O34">
        <v>6911</v>
      </c>
      <c r="P34">
        <v>6822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7"/>
  <sheetViews>
    <sheetView workbookViewId="0">
      <selection activeCell="F22" sqref="F22"/>
    </sheetView>
  </sheetViews>
  <sheetFormatPr defaultRowHeight="15" x14ac:dyDescent="0.25"/>
  <sheetData>
    <row r="1" spans="2:17" x14ac:dyDescent="0.25">
      <c r="B1" t="s">
        <v>141</v>
      </c>
      <c r="C1" t="s">
        <v>1</v>
      </c>
      <c r="D1" t="s">
        <v>2</v>
      </c>
    </row>
    <row r="2" spans="2:17" x14ac:dyDescent="0.25">
      <c r="B2" t="s">
        <v>142</v>
      </c>
      <c r="C2">
        <v>95</v>
      </c>
      <c r="D2" s="1">
        <v>1.1299999999999999E-2</v>
      </c>
      <c r="E2">
        <f>F2/100</f>
        <v>1.1299999999999999E-2</v>
      </c>
      <c r="F2">
        <v>1.1299999999999999</v>
      </c>
    </row>
    <row r="3" spans="2:17" x14ac:dyDescent="0.25">
      <c r="B3" t="s">
        <v>143</v>
      </c>
      <c r="C3">
        <v>36</v>
      </c>
      <c r="D3" s="1">
        <v>4.3E-3</v>
      </c>
      <c r="E3">
        <f t="shared" ref="E3:E17" si="0">F3/100</f>
        <v>4.3E-3</v>
      </c>
      <c r="F3">
        <v>0.43</v>
      </c>
      <c r="I3" t="s">
        <v>105</v>
      </c>
      <c r="J3" s="3" t="s">
        <v>156</v>
      </c>
      <c r="K3" s="3" t="s">
        <v>157</v>
      </c>
      <c r="L3" s="3" t="s">
        <v>158</v>
      </c>
      <c r="M3" s="3" t="s">
        <v>159</v>
      </c>
      <c r="N3" s="3" t="s">
        <v>116</v>
      </c>
      <c r="O3" s="3" t="s">
        <v>113</v>
      </c>
      <c r="P3" s="3" t="s">
        <v>114</v>
      </c>
      <c r="Q3" s="3" t="s">
        <v>115</v>
      </c>
    </row>
    <row r="4" spans="2:17" x14ac:dyDescent="0.25">
      <c r="B4" t="s">
        <v>144</v>
      </c>
      <c r="C4">
        <v>1094</v>
      </c>
      <c r="D4" s="1">
        <v>0.12960000000000002</v>
      </c>
      <c r="E4">
        <f t="shared" si="0"/>
        <v>0.12960000000000002</v>
      </c>
      <c r="F4">
        <v>12.96</v>
      </c>
      <c r="I4" t="s">
        <v>119</v>
      </c>
      <c r="J4" s="3">
        <v>0.49743589999999999</v>
      </c>
      <c r="K4" s="3">
        <v>6.8259000000000002E-3</v>
      </c>
      <c r="L4" s="3">
        <v>6.6666699999999995E-2</v>
      </c>
      <c r="M4" s="3">
        <v>0.30476189999999997</v>
      </c>
      <c r="N4" s="3">
        <v>0.15286620000000001</v>
      </c>
      <c r="O4" s="3">
        <v>0.99586779999999997</v>
      </c>
      <c r="P4" s="3">
        <v>1</v>
      </c>
      <c r="Q4" s="3">
        <v>0.92243189999999997</v>
      </c>
    </row>
    <row r="5" spans="2:17" x14ac:dyDescent="0.25">
      <c r="B5" t="s">
        <v>145</v>
      </c>
      <c r="C5">
        <v>1679</v>
      </c>
      <c r="D5" s="1">
        <v>0.19889999999999999</v>
      </c>
      <c r="E5">
        <f t="shared" si="0"/>
        <v>0.19889999999999999</v>
      </c>
      <c r="F5">
        <v>19.89</v>
      </c>
      <c r="I5" t="s">
        <v>120</v>
      </c>
      <c r="J5" s="3">
        <v>0.44186049999999999</v>
      </c>
      <c r="K5" s="3">
        <v>2.32558E-2</v>
      </c>
      <c r="L5" s="3">
        <v>0.1578947</v>
      </c>
      <c r="M5" s="3">
        <v>0.4736842</v>
      </c>
      <c r="N5" s="3">
        <v>0.23076920000000001</v>
      </c>
      <c r="O5" s="3">
        <v>0.83333330000000005</v>
      </c>
      <c r="P5" s="3">
        <v>0.96666669999999999</v>
      </c>
      <c r="Q5" s="3">
        <v>0.92</v>
      </c>
    </row>
    <row r="6" spans="2:17" x14ac:dyDescent="0.25">
      <c r="B6" t="s">
        <v>146</v>
      </c>
      <c r="C6">
        <v>551</v>
      </c>
      <c r="D6" s="1">
        <v>6.5299999999999997E-2</v>
      </c>
      <c r="E6">
        <f t="shared" si="0"/>
        <v>6.5299999999999997E-2</v>
      </c>
      <c r="F6">
        <v>6.53</v>
      </c>
      <c r="I6" t="s">
        <v>121</v>
      </c>
      <c r="J6" s="3">
        <v>0.44262299999999999</v>
      </c>
      <c r="K6" s="3">
        <v>1.6393399999999999E-2</v>
      </c>
      <c r="L6" s="3">
        <v>0.37931029999999999</v>
      </c>
      <c r="M6" s="3">
        <v>0.137931</v>
      </c>
      <c r="N6" s="3">
        <v>0.2162162</v>
      </c>
      <c r="O6" s="3">
        <v>0.97777780000000003</v>
      </c>
      <c r="P6" s="3">
        <v>0.97777780000000003</v>
      </c>
      <c r="Q6" s="3">
        <v>0.86301369999999999</v>
      </c>
    </row>
    <row r="7" spans="2:17" x14ac:dyDescent="0.25">
      <c r="B7" t="s">
        <v>147</v>
      </c>
      <c r="C7">
        <v>33</v>
      </c>
      <c r="D7" s="1">
        <v>3.9000000000000003E-3</v>
      </c>
      <c r="E7">
        <f t="shared" si="0"/>
        <v>3.9000000000000003E-3</v>
      </c>
      <c r="F7">
        <v>0.39</v>
      </c>
      <c r="I7" t="s">
        <v>122</v>
      </c>
      <c r="J7" s="3">
        <v>0.32214769999999998</v>
      </c>
      <c r="K7" s="3">
        <v>2.3569E-2</v>
      </c>
      <c r="L7" s="3">
        <v>0.3684211</v>
      </c>
      <c r="M7" s="3">
        <v>0</v>
      </c>
      <c r="N7" s="3">
        <v>0.21590909999999999</v>
      </c>
      <c r="O7" s="3">
        <v>1</v>
      </c>
      <c r="P7" s="3">
        <v>1</v>
      </c>
      <c r="Q7" s="3">
        <v>1</v>
      </c>
    </row>
    <row r="8" spans="2:17" x14ac:dyDescent="0.25">
      <c r="B8" t="s">
        <v>148</v>
      </c>
      <c r="C8">
        <v>106</v>
      </c>
      <c r="D8" s="1">
        <v>1.26E-2</v>
      </c>
      <c r="E8">
        <f t="shared" si="0"/>
        <v>1.26E-2</v>
      </c>
      <c r="F8">
        <v>1.26</v>
      </c>
      <c r="I8" t="s">
        <v>71</v>
      </c>
      <c r="J8" s="3">
        <v>0.39262599999999998</v>
      </c>
      <c r="K8" s="3">
        <v>1.09804E-2</v>
      </c>
      <c r="L8" s="3">
        <v>0.14385149999999999</v>
      </c>
      <c r="M8" s="3">
        <v>0.31786540000000002</v>
      </c>
      <c r="N8" s="3">
        <v>0.2288557</v>
      </c>
      <c r="O8" s="3">
        <v>0.93079100000000004</v>
      </c>
      <c r="P8" s="3">
        <v>0.94583139999999999</v>
      </c>
      <c r="Q8" s="3">
        <v>0.75227379999999999</v>
      </c>
    </row>
    <row r="9" spans="2:17" x14ac:dyDescent="0.25">
      <c r="B9" t="s">
        <v>149</v>
      </c>
      <c r="C9">
        <v>2</v>
      </c>
      <c r="D9" s="1">
        <v>2.0000000000000001E-4</v>
      </c>
      <c r="E9">
        <f t="shared" si="0"/>
        <v>2.0000000000000001E-4</v>
      </c>
      <c r="F9">
        <v>0.02</v>
      </c>
      <c r="I9" t="s">
        <v>123</v>
      </c>
      <c r="J9" s="3">
        <v>0.45454549999999999</v>
      </c>
      <c r="K9" s="3">
        <v>0</v>
      </c>
      <c r="L9" s="3">
        <v>0.23809520000000001</v>
      </c>
      <c r="M9" s="3">
        <v>0.19047620000000001</v>
      </c>
      <c r="N9" s="3">
        <v>0.18181820000000001</v>
      </c>
      <c r="O9" s="3">
        <v>1</v>
      </c>
      <c r="P9" s="3">
        <v>1</v>
      </c>
      <c r="Q9" s="3">
        <v>0.88888889999999998</v>
      </c>
    </row>
    <row r="10" spans="2:17" x14ac:dyDescent="0.25">
      <c r="B10" t="s">
        <v>150</v>
      </c>
      <c r="C10">
        <v>1829</v>
      </c>
      <c r="D10" s="1">
        <v>0.2167</v>
      </c>
      <c r="E10">
        <f t="shared" si="0"/>
        <v>0.2167</v>
      </c>
      <c r="F10">
        <v>21.67</v>
      </c>
      <c r="I10" t="s">
        <v>79</v>
      </c>
      <c r="J10" s="3">
        <v>0.47207589999999999</v>
      </c>
      <c r="K10" s="3">
        <v>1.6859900000000001E-2</v>
      </c>
      <c r="L10" s="3">
        <v>0.14207649999999999</v>
      </c>
      <c r="M10" s="3">
        <v>0.43169400000000002</v>
      </c>
      <c r="N10" s="3">
        <v>0.19897960000000001</v>
      </c>
      <c r="O10" s="3">
        <v>0.96070460000000002</v>
      </c>
      <c r="P10" s="3">
        <v>0.97146739999999998</v>
      </c>
      <c r="Q10" s="3">
        <v>0.74099720000000002</v>
      </c>
    </row>
    <row r="11" spans="2:17" x14ac:dyDescent="0.25">
      <c r="B11" t="s">
        <v>151</v>
      </c>
      <c r="C11">
        <v>4</v>
      </c>
      <c r="D11" s="1">
        <v>5.0000000000000001E-4</v>
      </c>
      <c r="E11">
        <f t="shared" si="0"/>
        <v>5.0000000000000001E-4</v>
      </c>
      <c r="F11">
        <v>0.05</v>
      </c>
      <c r="I11" t="s">
        <v>92</v>
      </c>
      <c r="J11" s="3">
        <v>0.43879309999999999</v>
      </c>
      <c r="K11" s="3">
        <v>1.6379299999999999E-2</v>
      </c>
      <c r="L11" s="3">
        <v>0.1184211</v>
      </c>
      <c r="M11" s="3">
        <v>0.1842105</v>
      </c>
      <c r="N11" s="3">
        <v>0.19913420000000001</v>
      </c>
      <c r="O11" s="3">
        <v>0.93258430000000003</v>
      </c>
      <c r="P11" s="3">
        <v>0.94387759999999998</v>
      </c>
      <c r="Q11" s="3">
        <v>0.62916669999999997</v>
      </c>
    </row>
    <row r="12" spans="2:17" x14ac:dyDescent="0.25">
      <c r="B12" t="s">
        <v>152</v>
      </c>
      <c r="C12">
        <v>353</v>
      </c>
      <c r="D12" s="1">
        <v>4.1799999999999997E-2</v>
      </c>
      <c r="E12">
        <f t="shared" si="0"/>
        <v>4.1799999999999997E-2</v>
      </c>
      <c r="F12">
        <v>4.18</v>
      </c>
      <c r="I12" t="s">
        <v>124</v>
      </c>
      <c r="J12" s="3">
        <v>0.27777780000000002</v>
      </c>
      <c r="K12" s="3">
        <v>1.11524E-2</v>
      </c>
      <c r="L12" s="3">
        <v>0.45945950000000002</v>
      </c>
      <c r="M12" s="3">
        <v>2.7026999999999999E-2</v>
      </c>
      <c r="N12" s="3">
        <v>0.2142857</v>
      </c>
      <c r="O12" s="3">
        <v>0.96385540000000003</v>
      </c>
      <c r="P12" s="3">
        <v>0.98780489999999999</v>
      </c>
      <c r="Q12" s="3">
        <v>0.875</v>
      </c>
    </row>
    <row r="13" spans="2:17" x14ac:dyDescent="0.25">
      <c r="B13" t="s">
        <v>153</v>
      </c>
      <c r="C13">
        <v>2097</v>
      </c>
      <c r="D13" s="1">
        <v>0.24840000000000001</v>
      </c>
      <c r="E13">
        <f t="shared" si="0"/>
        <v>0.24840000000000001</v>
      </c>
      <c r="F13">
        <v>24.84</v>
      </c>
      <c r="I13" t="s">
        <v>100</v>
      </c>
      <c r="J13" s="3">
        <v>0.31451610000000002</v>
      </c>
      <c r="K13" s="3">
        <v>8.0645000000000005E-3</v>
      </c>
      <c r="L13" s="3">
        <v>0.13043479999999999</v>
      </c>
      <c r="M13" s="3">
        <v>8.6956500000000006E-2</v>
      </c>
      <c r="N13" s="3">
        <v>0.29032259999999999</v>
      </c>
      <c r="O13" s="3">
        <v>0.92631580000000002</v>
      </c>
      <c r="P13" s="3">
        <v>0.93684210000000001</v>
      </c>
      <c r="Q13" s="3">
        <v>0.78494620000000004</v>
      </c>
    </row>
    <row r="14" spans="2:17" x14ac:dyDescent="0.25">
      <c r="B14" t="s">
        <v>154</v>
      </c>
      <c r="C14">
        <v>432</v>
      </c>
      <c r="D14" s="1">
        <v>5.1200000000000002E-2</v>
      </c>
      <c r="E14">
        <f t="shared" si="0"/>
        <v>5.1200000000000002E-2</v>
      </c>
      <c r="F14">
        <v>5.12</v>
      </c>
      <c r="I14" t="s">
        <v>57</v>
      </c>
      <c r="J14" s="3">
        <v>0.40921990000000003</v>
      </c>
      <c r="K14" s="3">
        <v>1.26036E-2</v>
      </c>
      <c r="L14" s="3">
        <v>0.15468519999999999</v>
      </c>
      <c r="M14" s="3">
        <v>0.29102630000000002</v>
      </c>
      <c r="N14" s="3">
        <v>0.2147239</v>
      </c>
      <c r="O14" s="3">
        <v>0.93989389999999995</v>
      </c>
      <c r="P14" s="3">
        <v>0.95341980000000004</v>
      </c>
      <c r="Q14" s="3">
        <v>0.75018830000000003</v>
      </c>
    </row>
    <row r="15" spans="2:17" x14ac:dyDescent="0.25">
      <c r="B15" t="s">
        <v>155</v>
      </c>
      <c r="C15">
        <v>67</v>
      </c>
      <c r="D15" s="1">
        <v>7.9000000000000008E-3</v>
      </c>
      <c r="E15">
        <f t="shared" si="0"/>
        <v>7.9000000000000008E-3</v>
      </c>
      <c r="F15">
        <v>0.79</v>
      </c>
    </row>
    <row r="16" spans="2:17" x14ac:dyDescent="0.25">
      <c r="B16" t="s">
        <v>102</v>
      </c>
      <c r="C16">
        <v>63</v>
      </c>
      <c r="D16" s="1">
        <v>7.4000000000000003E-3</v>
      </c>
      <c r="E16">
        <f t="shared" si="0"/>
        <v>7.4000000000000003E-3</v>
      </c>
      <c r="F16">
        <v>0.74</v>
      </c>
      <c r="J16" s="3" t="s">
        <v>160</v>
      </c>
      <c r="K16" s="3" t="s">
        <v>161</v>
      </c>
      <c r="L16" s="3" t="s">
        <v>162</v>
      </c>
      <c r="M16" s="3" t="s">
        <v>163</v>
      </c>
      <c r="N16" s="3" t="s">
        <v>164</v>
      </c>
      <c r="O16" s="3" t="s">
        <v>165</v>
      </c>
      <c r="P16" s="3" t="s">
        <v>166</v>
      </c>
      <c r="Q16" s="3" t="s">
        <v>167</v>
      </c>
    </row>
    <row r="17" spans="2:17" x14ac:dyDescent="0.25">
      <c r="B17" t="s">
        <v>57</v>
      </c>
      <c r="C17">
        <v>8441</v>
      </c>
      <c r="D17" s="1">
        <v>1</v>
      </c>
      <c r="E17">
        <f t="shared" si="0"/>
        <v>1</v>
      </c>
      <c r="F17">
        <v>100</v>
      </c>
      <c r="I17" t="s">
        <v>119</v>
      </c>
      <c r="J17" s="4">
        <v>0.49743589999999999</v>
      </c>
      <c r="K17" s="4">
        <v>6.8259000000000002E-3</v>
      </c>
      <c r="L17" s="4">
        <v>6.6666699999999995E-2</v>
      </c>
      <c r="M17" s="4">
        <v>0.30476189999999997</v>
      </c>
      <c r="N17" s="4">
        <v>0.15286620000000001</v>
      </c>
      <c r="O17" s="4">
        <v>0.99586779999999997</v>
      </c>
      <c r="P17" s="4">
        <v>1</v>
      </c>
      <c r="Q17" s="4">
        <v>0.92243189999999997</v>
      </c>
    </row>
    <row r="18" spans="2:17" x14ac:dyDescent="0.25">
      <c r="I18" t="s">
        <v>120</v>
      </c>
      <c r="J18" s="4">
        <v>0.44186049999999999</v>
      </c>
      <c r="K18" s="4">
        <v>2.32558E-2</v>
      </c>
      <c r="L18" s="4">
        <v>0.1578947</v>
      </c>
      <c r="M18" s="4">
        <v>0.4736842</v>
      </c>
      <c r="N18" s="4">
        <v>0.23076920000000001</v>
      </c>
      <c r="O18" s="4">
        <v>0.83333330000000005</v>
      </c>
      <c r="P18" s="4">
        <v>0.96666669999999999</v>
      </c>
      <c r="Q18" s="4">
        <v>0.92</v>
      </c>
    </row>
    <row r="19" spans="2:17" x14ac:dyDescent="0.25">
      <c r="I19" t="s">
        <v>121</v>
      </c>
      <c r="J19" s="4">
        <v>0.44262299999999999</v>
      </c>
      <c r="K19" s="4">
        <v>1.6393399999999999E-2</v>
      </c>
      <c r="L19" s="4">
        <v>0.37931029999999999</v>
      </c>
      <c r="M19" s="4">
        <v>0.137931</v>
      </c>
      <c r="N19" s="4">
        <v>0.2162162</v>
      </c>
      <c r="O19" s="4">
        <v>0.97777780000000003</v>
      </c>
      <c r="P19" s="4">
        <v>0.97777780000000003</v>
      </c>
      <c r="Q19" s="4">
        <v>0.86301369999999999</v>
      </c>
    </row>
    <row r="20" spans="2:17" x14ac:dyDescent="0.25">
      <c r="I20" t="s">
        <v>122</v>
      </c>
      <c r="J20" s="4">
        <v>0.32214769999999998</v>
      </c>
      <c r="K20" s="4">
        <v>2.3569E-2</v>
      </c>
      <c r="L20" s="4">
        <v>0.3684211</v>
      </c>
      <c r="M20" s="4">
        <v>0</v>
      </c>
      <c r="N20" s="4">
        <v>0.21590909999999999</v>
      </c>
      <c r="O20" s="4">
        <v>1</v>
      </c>
      <c r="P20" s="4">
        <v>1</v>
      </c>
      <c r="Q20" s="4">
        <v>1</v>
      </c>
    </row>
    <row r="21" spans="2:17" x14ac:dyDescent="0.25">
      <c r="I21" t="s">
        <v>71</v>
      </c>
      <c r="J21" s="4">
        <v>0.39262599999999998</v>
      </c>
      <c r="K21" s="4">
        <v>1.09804E-2</v>
      </c>
      <c r="L21" s="4">
        <v>0.14385149999999999</v>
      </c>
      <c r="M21" s="4">
        <v>0.31786540000000002</v>
      </c>
      <c r="N21" s="4">
        <v>0.2288557</v>
      </c>
      <c r="O21" s="4">
        <v>0.93079100000000004</v>
      </c>
      <c r="P21" s="4">
        <v>0.94583139999999999</v>
      </c>
      <c r="Q21" s="4">
        <v>0.75227379999999999</v>
      </c>
    </row>
    <row r="22" spans="2:17" x14ac:dyDescent="0.25">
      <c r="I22" t="s">
        <v>123</v>
      </c>
      <c r="J22" s="4">
        <v>0.45454549999999999</v>
      </c>
      <c r="K22" s="4">
        <v>0</v>
      </c>
      <c r="L22" s="4">
        <v>0.23809520000000001</v>
      </c>
      <c r="M22" s="4">
        <v>0.19047620000000001</v>
      </c>
      <c r="N22" s="4">
        <v>0.18181820000000001</v>
      </c>
      <c r="O22" s="4">
        <v>1</v>
      </c>
      <c r="P22" s="4">
        <v>1</v>
      </c>
      <c r="Q22" s="4">
        <v>0.88888889999999998</v>
      </c>
    </row>
    <row r="23" spans="2:17" x14ac:dyDescent="0.25">
      <c r="I23" t="s">
        <v>79</v>
      </c>
      <c r="J23" s="4">
        <v>0.47207589999999999</v>
      </c>
      <c r="K23" s="4">
        <v>1.6859900000000001E-2</v>
      </c>
      <c r="L23" s="4">
        <v>0.14207649999999999</v>
      </c>
      <c r="M23" s="4">
        <v>0.43169400000000002</v>
      </c>
      <c r="N23" s="4">
        <v>0.19897960000000001</v>
      </c>
      <c r="O23" s="4">
        <v>0.96070460000000002</v>
      </c>
      <c r="P23" s="4">
        <v>0.97146739999999998</v>
      </c>
      <c r="Q23" s="4">
        <v>0.74099720000000002</v>
      </c>
    </row>
    <row r="24" spans="2:17" x14ac:dyDescent="0.25">
      <c r="I24" t="s">
        <v>92</v>
      </c>
      <c r="J24" s="4">
        <v>0.43879309999999999</v>
      </c>
      <c r="K24" s="4">
        <v>1.6379299999999999E-2</v>
      </c>
      <c r="L24" s="4">
        <v>0.1184211</v>
      </c>
      <c r="M24" s="4">
        <v>0.1842105</v>
      </c>
      <c r="N24" s="4">
        <v>0.19913420000000001</v>
      </c>
      <c r="O24" s="4">
        <v>0.93258430000000003</v>
      </c>
      <c r="P24" s="4">
        <v>0.94387759999999998</v>
      </c>
      <c r="Q24" s="4">
        <v>0.62916669999999997</v>
      </c>
    </row>
    <row r="25" spans="2:17" x14ac:dyDescent="0.25">
      <c r="I25" t="s">
        <v>124</v>
      </c>
      <c r="J25" s="4">
        <v>0.27777780000000002</v>
      </c>
      <c r="K25" s="4">
        <v>1.11524E-2</v>
      </c>
      <c r="L25" s="4">
        <v>0.45945950000000002</v>
      </c>
      <c r="M25" s="4">
        <v>2.7026999999999999E-2</v>
      </c>
      <c r="N25" s="4">
        <v>0.2142857</v>
      </c>
      <c r="O25" s="4">
        <v>0.96385540000000003</v>
      </c>
      <c r="P25" s="4">
        <v>0.98780489999999999</v>
      </c>
      <c r="Q25" s="4">
        <v>0.875</v>
      </c>
    </row>
    <row r="26" spans="2:17" x14ac:dyDescent="0.25">
      <c r="I26" t="s">
        <v>100</v>
      </c>
      <c r="J26" s="4">
        <v>0.31451610000000002</v>
      </c>
      <c r="K26" s="4">
        <v>8.0645000000000005E-3</v>
      </c>
      <c r="L26" s="4">
        <v>0.13043479999999999</v>
      </c>
      <c r="M26" s="4">
        <v>8.6956500000000006E-2</v>
      </c>
      <c r="N26" s="4">
        <v>0.29032259999999999</v>
      </c>
      <c r="O26" s="4">
        <v>0.92631580000000002</v>
      </c>
      <c r="P26" s="4">
        <v>0.93684210000000001</v>
      </c>
      <c r="Q26" s="4">
        <v>0.78494620000000004</v>
      </c>
    </row>
    <row r="27" spans="2:17" x14ac:dyDescent="0.25">
      <c r="I27" t="s">
        <v>57</v>
      </c>
      <c r="J27" s="4">
        <v>0.40921990000000003</v>
      </c>
      <c r="K27" s="4">
        <v>1.26036E-2</v>
      </c>
      <c r="L27" s="4">
        <v>0.15468519999999999</v>
      </c>
      <c r="M27" s="4">
        <v>0.29102630000000002</v>
      </c>
      <c r="N27" s="4">
        <v>0.2147239</v>
      </c>
      <c r="O27" s="4">
        <v>0.93989389999999995</v>
      </c>
      <c r="P27" s="4">
        <v>0.95341980000000004</v>
      </c>
      <c r="Q27" s="4">
        <v>0.75018830000000003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8"/>
  <sheetViews>
    <sheetView workbookViewId="0">
      <selection activeCell="C6" sqref="C6:C8"/>
    </sheetView>
  </sheetViews>
  <sheetFormatPr defaultRowHeight="15" x14ac:dyDescent="0.25"/>
  <sheetData>
    <row r="5" spans="2:3" x14ac:dyDescent="0.25">
      <c r="C5" t="s">
        <v>127</v>
      </c>
    </row>
    <row r="6" spans="2:3" x14ac:dyDescent="0.25">
      <c r="B6" t="s">
        <v>168</v>
      </c>
      <c r="C6" s="3">
        <v>174.7687</v>
      </c>
    </row>
    <row r="7" spans="2:3" x14ac:dyDescent="0.25">
      <c r="B7" t="s">
        <v>169</v>
      </c>
      <c r="C7" s="3">
        <v>174.97970000000001</v>
      </c>
    </row>
    <row r="8" spans="2:3" x14ac:dyDescent="0.25">
      <c r="B8" t="s">
        <v>57</v>
      </c>
      <c r="C8" s="3">
        <v>174.88509999999999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75"/>
  <sheetViews>
    <sheetView workbookViewId="0">
      <selection activeCell="J69" sqref="J69:J137"/>
    </sheetView>
  </sheetViews>
  <sheetFormatPr defaultRowHeight="15" x14ac:dyDescent="0.25"/>
  <cols>
    <col min="1" max="1" width="29.28515625" customWidth="1"/>
  </cols>
  <sheetData>
    <row r="1" spans="1:8" x14ac:dyDescent="0.25">
      <c r="A1" t="s">
        <v>1532</v>
      </c>
      <c r="B1" t="s">
        <v>103</v>
      </c>
      <c r="C1" t="s">
        <v>1610</v>
      </c>
    </row>
    <row r="2" spans="1:8" x14ac:dyDescent="0.25">
      <c r="A2" t="s">
        <v>130</v>
      </c>
      <c r="B2">
        <v>907</v>
      </c>
      <c r="C2">
        <v>10.32</v>
      </c>
    </row>
    <row r="3" spans="1:8" x14ac:dyDescent="0.25">
      <c r="A3" t="s">
        <v>408</v>
      </c>
      <c r="B3">
        <v>762</v>
      </c>
      <c r="C3">
        <v>8.67</v>
      </c>
    </row>
    <row r="4" spans="1:8" x14ac:dyDescent="0.25">
      <c r="A4" t="s">
        <v>1264</v>
      </c>
      <c r="B4">
        <v>417</v>
      </c>
      <c r="C4">
        <v>4.74</v>
      </c>
    </row>
    <row r="5" spans="1:8" x14ac:dyDescent="0.25">
      <c r="A5" t="s">
        <v>723</v>
      </c>
      <c r="B5">
        <v>303</v>
      </c>
      <c r="C5">
        <v>3.45</v>
      </c>
      <c r="H5" t="s">
        <v>1533</v>
      </c>
    </row>
    <row r="6" spans="1:8" x14ac:dyDescent="0.25">
      <c r="A6" t="s">
        <v>333</v>
      </c>
      <c r="B6">
        <v>296</v>
      </c>
      <c r="C6">
        <v>3.37</v>
      </c>
      <c r="G6">
        <v>1900</v>
      </c>
      <c r="H6">
        <v>6.0975599999999998E-2</v>
      </c>
    </row>
    <row r="7" spans="1:8" x14ac:dyDescent="0.25">
      <c r="A7" t="s">
        <v>824</v>
      </c>
      <c r="B7">
        <v>233</v>
      </c>
      <c r="C7">
        <v>2.65</v>
      </c>
      <c r="G7">
        <v>1901</v>
      </c>
      <c r="H7">
        <v>0.13066469999999999</v>
      </c>
    </row>
    <row r="8" spans="1:8" x14ac:dyDescent="0.25">
      <c r="A8" t="s">
        <v>359</v>
      </c>
      <c r="B8">
        <v>194</v>
      </c>
      <c r="C8">
        <v>2.21</v>
      </c>
      <c r="G8">
        <v>1902</v>
      </c>
      <c r="H8">
        <v>0.2001048</v>
      </c>
    </row>
    <row r="9" spans="1:8" x14ac:dyDescent="0.25">
      <c r="A9" t="s">
        <v>571</v>
      </c>
      <c r="B9">
        <v>147</v>
      </c>
      <c r="C9">
        <v>1.67</v>
      </c>
      <c r="G9">
        <v>1903</v>
      </c>
      <c r="H9">
        <v>0.1188811</v>
      </c>
    </row>
    <row r="10" spans="1:8" x14ac:dyDescent="0.25">
      <c r="A10" t="s">
        <v>984</v>
      </c>
      <c r="B10">
        <v>126</v>
      </c>
      <c r="C10">
        <v>1.43</v>
      </c>
      <c r="G10">
        <v>1904</v>
      </c>
      <c r="H10">
        <v>7.8328999999999996E-2</v>
      </c>
    </row>
    <row r="11" spans="1:8" x14ac:dyDescent="0.25">
      <c r="A11" t="s">
        <v>710</v>
      </c>
      <c r="B11">
        <v>125</v>
      </c>
      <c r="C11">
        <v>1.42</v>
      </c>
      <c r="G11">
        <v>1905</v>
      </c>
      <c r="H11">
        <v>7.9037800000000005E-2</v>
      </c>
    </row>
    <row r="12" spans="1:8" x14ac:dyDescent="0.25">
      <c r="A12" t="s">
        <v>949</v>
      </c>
      <c r="B12">
        <v>121</v>
      </c>
      <c r="C12">
        <v>1.38</v>
      </c>
      <c r="G12">
        <v>1906</v>
      </c>
      <c r="H12">
        <v>6.8862300000000001E-2</v>
      </c>
    </row>
    <row r="13" spans="1:8" x14ac:dyDescent="0.25">
      <c r="A13" t="s">
        <v>988</v>
      </c>
      <c r="B13">
        <v>112</v>
      </c>
      <c r="C13">
        <v>1.27</v>
      </c>
      <c r="G13">
        <v>1907</v>
      </c>
      <c r="H13">
        <v>0.1875</v>
      </c>
    </row>
    <row r="14" spans="1:8" x14ac:dyDescent="0.25">
      <c r="A14" t="s">
        <v>1135</v>
      </c>
      <c r="B14">
        <v>103</v>
      </c>
      <c r="C14">
        <v>1.17</v>
      </c>
      <c r="G14" t="s">
        <v>57</v>
      </c>
      <c r="H14">
        <v>0.13719890000000001</v>
      </c>
    </row>
    <row r="15" spans="1:8" x14ac:dyDescent="0.25">
      <c r="A15" t="s">
        <v>1070</v>
      </c>
      <c r="B15">
        <v>98</v>
      </c>
      <c r="C15">
        <v>1.1100000000000001</v>
      </c>
    </row>
    <row r="16" spans="1:8" x14ac:dyDescent="0.25">
      <c r="A16" t="s">
        <v>627</v>
      </c>
      <c r="B16">
        <v>88</v>
      </c>
      <c r="C16">
        <v>1</v>
      </c>
    </row>
    <row r="17" spans="1:16" x14ac:dyDescent="0.25">
      <c r="A17" t="s">
        <v>318</v>
      </c>
      <c r="B17">
        <v>85</v>
      </c>
      <c r="C17">
        <v>0.97</v>
      </c>
    </row>
    <row r="18" spans="1:16" x14ac:dyDescent="0.25">
      <c r="A18" t="s">
        <v>237</v>
      </c>
      <c r="B18">
        <v>84</v>
      </c>
      <c r="C18">
        <v>0.96</v>
      </c>
    </row>
    <row r="19" spans="1:16" x14ac:dyDescent="0.25">
      <c r="A19" t="s">
        <v>441</v>
      </c>
      <c r="B19">
        <v>79</v>
      </c>
      <c r="C19">
        <v>0.9</v>
      </c>
      <c r="G19" t="s">
        <v>1534</v>
      </c>
      <c r="H19">
        <v>1900</v>
      </c>
      <c r="I19">
        <v>1901</v>
      </c>
      <c r="J19">
        <v>1902</v>
      </c>
      <c r="K19">
        <v>1903</v>
      </c>
      <c r="L19">
        <v>1904</v>
      </c>
      <c r="M19">
        <v>1905</v>
      </c>
      <c r="N19">
        <v>1906</v>
      </c>
      <c r="O19">
        <v>1907</v>
      </c>
      <c r="P19" t="s">
        <v>57</v>
      </c>
    </row>
    <row r="20" spans="1:16" x14ac:dyDescent="0.25">
      <c r="A20" t="s">
        <v>265</v>
      </c>
      <c r="B20">
        <v>77</v>
      </c>
      <c r="C20">
        <v>0.88</v>
      </c>
      <c r="G20">
        <v>1</v>
      </c>
      <c r="H20">
        <v>15</v>
      </c>
      <c r="I20">
        <v>692</v>
      </c>
      <c r="J20">
        <v>382</v>
      </c>
      <c r="K20">
        <v>34</v>
      </c>
      <c r="L20">
        <v>30</v>
      </c>
      <c r="M20">
        <v>23</v>
      </c>
      <c r="N20">
        <v>23</v>
      </c>
      <c r="O20">
        <v>3</v>
      </c>
      <c r="P20">
        <v>1202</v>
      </c>
    </row>
    <row r="21" spans="1:16" x14ac:dyDescent="0.25">
      <c r="A21" t="s">
        <v>535</v>
      </c>
      <c r="B21">
        <v>77</v>
      </c>
      <c r="C21">
        <v>0.88</v>
      </c>
      <c r="G21">
        <v>2</v>
      </c>
      <c r="H21">
        <v>161</v>
      </c>
      <c r="I21">
        <v>3357</v>
      </c>
      <c r="J21">
        <v>1092</v>
      </c>
      <c r="K21">
        <v>185</v>
      </c>
      <c r="L21">
        <v>233</v>
      </c>
      <c r="M21">
        <v>153</v>
      </c>
      <c r="N21">
        <v>199</v>
      </c>
      <c r="O21">
        <v>7</v>
      </c>
      <c r="P21">
        <v>5387</v>
      </c>
    </row>
    <row r="22" spans="1:16" x14ac:dyDescent="0.25">
      <c r="A22" t="s">
        <v>681</v>
      </c>
      <c r="B22">
        <v>68</v>
      </c>
      <c r="C22">
        <v>0.77</v>
      </c>
      <c r="G22">
        <v>3</v>
      </c>
      <c r="H22">
        <v>70</v>
      </c>
      <c r="I22">
        <v>1247</v>
      </c>
      <c r="J22">
        <v>435</v>
      </c>
      <c r="K22">
        <v>67</v>
      </c>
      <c r="L22">
        <v>120</v>
      </c>
      <c r="M22">
        <v>115</v>
      </c>
      <c r="N22">
        <v>112</v>
      </c>
      <c r="O22">
        <v>6</v>
      </c>
      <c r="P22">
        <v>2172</v>
      </c>
    </row>
    <row r="23" spans="1:16" x14ac:dyDescent="0.25">
      <c r="A23" t="s">
        <v>1159</v>
      </c>
      <c r="B23">
        <v>67</v>
      </c>
      <c r="C23">
        <v>0.76</v>
      </c>
      <c r="G23" t="s">
        <v>57</v>
      </c>
      <c r="H23">
        <v>246</v>
      </c>
      <c r="I23">
        <v>5296</v>
      </c>
      <c r="J23">
        <v>1909</v>
      </c>
      <c r="K23">
        <v>286</v>
      </c>
      <c r="L23">
        <v>383</v>
      </c>
      <c r="M23">
        <v>291</v>
      </c>
      <c r="N23">
        <v>334</v>
      </c>
      <c r="O23">
        <v>16</v>
      </c>
      <c r="P23">
        <v>8761</v>
      </c>
    </row>
    <row r="24" spans="1:16" x14ac:dyDescent="0.25">
      <c r="A24" t="s">
        <v>1058</v>
      </c>
      <c r="B24">
        <v>64</v>
      </c>
      <c r="C24">
        <v>0.73</v>
      </c>
    </row>
    <row r="25" spans="1:16" x14ac:dyDescent="0.25">
      <c r="A25" t="s">
        <v>975</v>
      </c>
      <c r="B25">
        <v>63</v>
      </c>
      <c r="C25">
        <v>0.72</v>
      </c>
      <c r="G25" t="s">
        <v>1534</v>
      </c>
      <c r="H25">
        <v>1900</v>
      </c>
      <c r="I25">
        <v>1901</v>
      </c>
      <c r="J25">
        <v>1902</v>
      </c>
      <c r="K25">
        <v>1903</v>
      </c>
      <c r="L25">
        <v>1904</v>
      </c>
      <c r="M25">
        <v>1905</v>
      </c>
      <c r="N25">
        <v>1906</v>
      </c>
      <c r="O25" t="s">
        <v>57</v>
      </c>
    </row>
    <row r="26" spans="1:16" x14ac:dyDescent="0.25">
      <c r="A26" t="s">
        <v>1014</v>
      </c>
      <c r="B26">
        <v>61</v>
      </c>
      <c r="C26">
        <v>0.69</v>
      </c>
      <c r="G26">
        <v>1</v>
      </c>
      <c r="H26" s="4">
        <f t="shared" ref="H26:N28" si="0">H20/H$23</f>
        <v>6.097560975609756E-2</v>
      </c>
      <c r="I26" s="4">
        <f t="shared" si="0"/>
        <v>0.13066465256797583</v>
      </c>
      <c r="J26" s="4">
        <f t="shared" si="0"/>
        <v>0.20010476689366161</v>
      </c>
      <c r="K26" s="4">
        <f t="shared" si="0"/>
        <v>0.11888111888111888</v>
      </c>
      <c r="L26" s="4">
        <f t="shared" si="0"/>
        <v>7.8328981723237601E-2</v>
      </c>
      <c r="M26" s="4">
        <f t="shared" si="0"/>
        <v>7.903780068728522E-2</v>
      </c>
      <c r="N26" s="4">
        <f t="shared" si="0"/>
        <v>6.8862275449101798E-2</v>
      </c>
      <c r="O26" s="4">
        <f>P20/P$23</f>
        <v>0.13719894989156489</v>
      </c>
    </row>
    <row r="27" spans="1:16" x14ac:dyDescent="0.25">
      <c r="A27" t="s">
        <v>1371</v>
      </c>
      <c r="B27">
        <v>56</v>
      </c>
      <c r="C27">
        <v>0.64</v>
      </c>
      <c r="G27">
        <v>2</v>
      </c>
      <c r="H27" s="4">
        <f t="shared" si="0"/>
        <v>0.65447154471544711</v>
      </c>
      <c r="I27" s="4">
        <f t="shared" si="0"/>
        <v>0.6338746223564955</v>
      </c>
      <c r="J27" s="4">
        <f t="shared" si="0"/>
        <v>0.572027239392352</v>
      </c>
      <c r="K27" s="4">
        <f t="shared" si="0"/>
        <v>0.64685314685314688</v>
      </c>
      <c r="L27" s="4">
        <f t="shared" si="0"/>
        <v>0.60835509138381205</v>
      </c>
      <c r="M27" s="4">
        <f t="shared" si="0"/>
        <v>0.52577319587628868</v>
      </c>
      <c r="N27" s="4">
        <f t="shared" si="0"/>
        <v>0.59580838323353291</v>
      </c>
      <c r="O27" s="4">
        <f>P21/P$23</f>
        <v>0.61488414564547422</v>
      </c>
    </row>
    <row r="28" spans="1:16" x14ac:dyDescent="0.25">
      <c r="A28" t="s">
        <v>814</v>
      </c>
      <c r="B28">
        <v>53</v>
      </c>
      <c r="C28">
        <v>0.6</v>
      </c>
      <c r="G28">
        <v>3</v>
      </c>
      <c r="H28" s="4">
        <f t="shared" si="0"/>
        <v>0.28455284552845528</v>
      </c>
      <c r="I28" s="4">
        <f t="shared" si="0"/>
        <v>0.2354607250755287</v>
      </c>
      <c r="J28" s="4">
        <f t="shared" si="0"/>
        <v>0.22786799371398639</v>
      </c>
      <c r="K28" s="4">
        <f t="shared" si="0"/>
        <v>0.23426573426573427</v>
      </c>
      <c r="L28" s="4">
        <f t="shared" si="0"/>
        <v>0.3133159268929504</v>
      </c>
      <c r="M28" s="4">
        <f t="shared" si="0"/>
        <v>0.3951890034364261</v>
      </c>
      <c r="N28" s="4">
        <f t="shared" si="0"/>
        <v>0.33532934131736525</v>
      </c>
      <c r="O28" s="4">
        <f>P22/P$23</f>
        <v>0.24791690446296086</v>
      </c>
    </row>
    <row r="29" spans="1:16" x14ac:dyDescent="0.25">
      <c r="A29" t="s">
        <v>250</v>
      </c>
      <c r="B29">
        <v>52</v>
      </c>
      <c r="C29">
        <v>0.59</v>
      </c>
    </row>
    <row r="30" spans="1:16" x14ac:dyDescent="0.25">
      <c r="A30" t="s">
        <v>1166</v>
      </c>
      <c r="B30">
        <v>50</v>
      </c>
      <c r="C30">
        <v>0.56999999999999995</v>
      </c>
    </row>
    <row r="31" spans="1:16" x14ac:dyDescent="0.25">
      <c r="A31" t="s">
        <v>1220</v>
      </c>
      <c r="B31">
        <v>48</v>
      </c>
      <c r="C31">
        <v>0.55000000000000004</v>
      </c>
    </row>
    <row r="32" spans="1:16" x14ac:dyDescent="0.25">
      <c r="A32" t="s">
        <v>1478</v>
      </c>
      <c r="B32">
        <v>48</v>
      </c>
      <c r="C32">
        <v>0.55000000000000004</v>
      </c>
      <c r="G32" t="s">
        <v>125</v>
      </c>
      <c r="H32" t="s">
        <v>1</v>
      </c>
      <c r="I32" t="s">
        <v>2</v>
      </c>
    </row>
    <row r="33" spans="1:24" x14ac:dyDescent="0.25">
      <c r="A33" t="s">
        <v>636</v>
      </c>
      <c r="B33">
        <v>46</v>
      </c>
      <c r="C33">
        <v>0.52</v>
      </c>
      <c r="G33">
        <v>3</v>
      </c>
      <c r="H33">
        <v>3</v>
      </c>
      <c r="I33">
        <v>0.03</v>
      </c>
    </row>
    <row r="34" spans="1:24" x14ac:dyDescent="0.25">
      <c r="A34" t="s">
        <v>648</v>
      </c>
      <c r="B34">
        <v>45</v>
      </c>
      <c r="C34">
        <v>0.51</v>
      </c>
      <c r="G34">
        <v>4</v>
      </c>
      <c r="H34">
        <v>222</v>
      </c>
      <c r="I34">
        <v>2.5099999999999998</v>
      </c>
      <c r="M34" t="s">
        <v>1534</v>
      </c>
      <c r="N34" t="s">
        <v>119</v>
      </c>
      <c r="O34" t="s">
        <v>120</v>
      </c>
      <c r="P34" t="s">
        <v>121</v>
      </c>
      <c r="Q34" t="s">
        <v>122</v>
      </c>
      <c r="R34" t="s">
        <v>71</v>
      </c>
      <c r="S34" t="s">
        <v>123</v>
      </c>
      <c r="T34" t="s">
        <v>79</v>
      </c>
      <c r="U34" t="s">
        <v>92</v>
      </c>
      <c r="V34" t="s">
        <v>1597</v>
      </c>
      <c r="W34" t="s">
        <v>100</v>
      </c>
      <c r="X34" t="s">
        <v>57</v>
      </c>
    </row>
    <row r="35" spans="1:24" x14ac:dyDescent="0.25">
      <c r="A35" t="s">
        <v>559</v>
      </c>
      <c r="B35">
        <v>43</v>
      </c>
      <c r="C35">
        <v>0.49</v>
      </c>
      <c r="G35">
        <v>5</v>
      </c>
      <c r="H35">
        <v>8395</v>
      </c>
      <c r="I35">
        <v>94.89</v>
      </c>
      <c r="M35">
        <v>1</v>
      </c>
      <c r="N35">
        <v>138</v>
      </c>
      <c r="O35">
        <v>4</v>
      </c>
      <c r="P35">
        <v>37</v>
      </c>
      <c r="Q35">
        <v>191</v>
      </c>
      <c r="R35">
        <v>460</v>
      </c>
      <c r="S35">
        <v>5</v>
      </c>
      <c r="T35">
        <v>163</v>
      </c>
      <c r="U35">
        <v>125</v>
      </c>
      <c r="V35">
        <v>69</v>
      </c>
      <c r="W35">
        <v>12</v>
      </c>
      <c r="X35">
        <v>1205</v>
      </c>
    </row>
    <row r="36" spans="1:24" x14ac:dyDescent="0.25">
      <c r="A36" t="s">
        <v>1455</v>
      </c>
      <c r="B36">
        <v>42</v>
      </c>
      <c r="C36">
        <v>0.48</v>
      </c>
      <c r="G36">
        <v>5.25</v>
      </c>
      <c r="H36">
        <v>22</v>
      </c>
      <c r="I36">
        <v>0.25</v>
      </c>
      <c r="M36">
        <v>2</v>
      </c>
      <c r="N36">
        <v>319</v>
      </c>
      <c r="O36">
        <v>17</v>
      </c>
      <c r="P36">
        <v>144</v>
      </c>
      <c r="Q36">
        <v>89</v>
      </c>
      <c r="R36">
        <v>3355</v>
      </c>
      <c r="S36">
        <v>21</v>
      </c>
      <c r="T36">
        <v>467</v>
      </c>
      <c r="U36">
        <v>815</v>
      </c>
      <c r="V36">
        <v>117</v>
      </c>
      <c r="W36">
        <v>83</v>
      </c>
      <c r="X36">
        <v>5428</v>
      </c>
    </row>
    <row r="37" spans="1:24" x14ac:dyDescent="0.25">
      <c r="A37" t="s">
        <v>905</v>
      </c>
      <c r="B37">
        <v>41</v>
      </c>
      <c r="C37">
        <v>0.47</v>
      </c>
      <c r="G37">
        <v>5.5</v>
      </c>
      <c r="H37">
        <v>7</v>
      </c>
      <c r="I37">
        <v>0.08</v>
      </c>
      <c r="M37">
        <v>3</v>
      </c>
      <c r="N37">
        <v>129</v>
      </c>
      <c r="O37">
        <v>21</v>
      </c>
      <c r="P37">
        <v>63</v>
      </c>
      <c r="Q37">
        <v>16</v>
      </c>
      <c r="R37">
        <v>1299</v>
      </c>
      <c r="S37">
        <v>6</v>
      </c>
      <c r="T37">
        <v>318</v>
      </c>
      <c r="U37">
        <v>219</v>
      </c>
      <c r="V37">
        <v>85</v>
      </c>
      <c r="W37">
        <v>29</v>
      </c>
      <c r="X37">
        <v>2185</v>
      </c>
    </row>
    <row r="38" spans="1:24" x14ac:dyDescent="0.25">
      <c r="A38" t="s">
        <v>174</v>
      </c>
      <c r="B38">
        <v>39</v>
      </c>
      <c r="C38">
        <v>0.44</v>
      </c>
      <c r="G38">
        <v>6</v>
      </c>
      <c r="H38">
        <v>27</v>
      </c>
      <c r="I38">
        <v>0.31</v>
      </c>
      <c r="M38" t="s">
        <v>57</v>
      </c>
      <c r="N38">
        <v>586</v>
      </c>
      <c r="O38">
        <v>42</v>
      </c>
      <c r="P38">
        <v>244</v>
      </c>
      <c r="Q38">
        <v>296</v>
      </c>
      <c r="R38">
        <v>5114</v>
      </c>
      <c r="S38">
        <v>32</v>
      </c>
      <c r="T38">
        <v>948</v>
      </c>
      <c r="U38">
        <v>1159</v>
      </c>
      <c r="V38">
        <v>271</v>
      </c>
      <c r="W38">
        <v>124</v>
      </c>
      <c r="X38">
        <v>8818</v>
      </c>
    </row>
    <row r="39" spans="1:24" x14ac:dyDescent="0.25">
      <c r="A39" t="s">
        <v>245</v>
      </c>
      <c r="B39">
        <v>37</v>
      </c>
      <c r="C39">
        <v>0.42</v>
      </c>
      <c r="G39">
        <v>6.25</v>
      </c>
      <c r="H39">
        <v>1</v>
      </c>
      <c r="I39">
        <v>0.01</v>
      </c>
    </row>
    <row r="40" spans="1:24" x14ac:dyDescent="0.25">
      <c r="A40" t="s">
        <v>283</v>
      </c>
      <c r="B40">
        <v>37</v>
      </c>
      <c r="C40">
        <v>0.42</v>
      </c>
      <c r="G40">
        <v>6.5</v>
      </c>
      <c r="H40">
        <v>166</v>
      </c>
      <c r="I40">
        <v>1.88</v>
      </c>
      <c r="N40" t="s">
        <v>119</v>
      </c>
      <c r="O40" t="s">
        <v>120</v>
      </c>
      <c r="P40" t="s">
        <v>121</v>
      </c>
      <c r="Q40" t="s">
        <v>122</v>
      </c>
      <c r="R40" t="s">
        <v>71</v>
      </c>
      <c r="S40" t="s">
        <v>123</v>
      </c>
      <c r="T40" t="s">
        <v>79</v>
      </c>
      <c r="U40" t="s">
        <v>92</v>
      </c>
      <c r="V40" t="s">
        <v>1597</v>
      </c>
      <c r="W40" t="s">
        <v>100</v>
      </c>
      <c r="X40" t="s">
        <v>57</v>
      </c>
    </row>
    <row r="41" spans="1:24" x14ac:dyDescent="0.25">
      <c r="A41" t="s">
        <v>1088</v>
      </c>
      <c r="B41">
        <v>37</v>
      </c>
      <c r="C41">
        <v>0.42</v>
      </c>
      <c r="G41">
        <v>8</v>
      </c>
      <c r="H41">
        <v>1</v>
      </c>
      <c r="I41">
        <v>0.01</v>
      </c>
      <c r="M41" t="s">
        <v>1598</v>
      </c>
      <c r="N41" s="1">
        <f>N35/N$38</f>
        <v>0.23549488054607509</v>
      </c>
      <c r="O41" s="1">
        <f t="shared" ref="O41:X41" si="1">O35/O$38</f>
        <v>9.5238095238095233E-2</v>
      </c>
      <c r="P41" s="1">
        <f t="shared" si="1"/>
        <v>0.15163934426229508</v>
      </c>
      <c r="Q41" s="1">
        <f t="shared" si="1"/>
        <v>0.64527027027027029</v>
      </c>
      <c r="R41" s="1">
        <f t="shared" si="1"/>
        <v>8.9949159170903403E-2</v>
      </c>
      <c r="S41" s="1">
        <f t="shared" si="1"/>
        <v>0.15625</v>
      </c>
      <c r="T41" s="1">
        <f t="shared" si="1"/>
        <v>0.1719409282700422</v>
      </c>
      <c r="U41" s="1">
        <f t="shared" si="1"/>
        <v>0.10785159620362382</v>
      </c>
      <c r="V41" s="1">
        <f t="shared" si="1"/>
        <v>0.25461254612546125</v>
      </c>
      <c r="W41" s="1">
        <f t="shared" si="1"/>
        <v>9.6774193548387094E-2</v>
      </c>
      <c r="X41" s="1">
        <f t="shared" si="1"/>
        <v>0.13665230210932183</v>
      </c>
    </row>
    <row r="42" spans="1:24" x14ac:dyDescent="0.25">
      <c r="A42" t="s">
        <v>1392</v>
      </c>
      <c r="B42">
        <v>37</v>
      </c>
      <c r="C42">
        <v>0.42</v>
      </c>
      <c r="G42">
        <v>9</v>
      </c>
      <c r="H42">
        <v>3</v>
      </c>
      <c r="I42">
        <v>0.03</v>
      </c>
      <c r="M42" t="s">
        <v>1600</v>
      </c>
      <c r="N42" s="1">
        <f t="shared" ref="N42:X43" si="2">N36/N$38</f>
        <v>0.54436860068259385</v>
      </c>
      <c r="O42" s="1">
        <f t="shared" si="2"/>
        <v>0.40476190476190477</v>
      </c>
      <c r="P42" s="1">
        <f t="shared" si="2"/>
        <v>0.5901639344262295</v>
      </c>
      <c r="Q42" s="1">
        <f t="shared" si="2"/>
        <v>0.30067567567567566</v>
      </c>
      <c r="R42" s="1">
        <f t="shared" si="2"/>
        <v>0.65604223699648023</v>
      </c>
      <c r="S42" s="1">
        <f t="shared" si="2"/>
        <v>0.65625</v>
      </c>
      <c r="T42" s="1">
        <f t="shared" si="2"/>
        <v>0.49261603375527424</v>
      </c>
      <c r="U42" s="1">
        <f t="shared" si="2"/>
        <v>0.70319240724762722</v>
      </c>
      <c r="V42" s="1">
        <f t="shared" si="2"/>
        <v>0.43173431734317341</v>
      </c>
      <c r="W42" s="1">
        <f t="shared" si="2"/>
        <v>0.66935483870967738</v>
      </c>
      <c r="X42" s="1">
        <f t="shared" si="2"/>
        <v>0.61555908369244727</v>
      </c>
    </row>
    <row r="43" spans="1:24" x14ac:dyDescent="0.25">
      <c r="A43" t="s">
        <v>1438</v>
      </c>
      <c r="B43">
        <v>37</v>
      </c>
      <c r="C43">
        <v>0.42</v>
      </c>
      <c r="G43" t="s">
        <v>57</v>
      </c>
      <c r="H43">
        <v>8847</v>
      </c>
      <c r="I43">
        <v>100</v>
      </c>
      <c r="M43" t="s">
        <v>1599</v>
      </c>
      <c r="N43" s="1">
        <f t="shared" si="2"/>
        <v>0.22013651877133106</v>
      </c>
      <c r="O43" s="1">
        <f t="shared" si="2"/>
        <v>0.5</v>
      </c>
      <c r="P43" s="1">
        <f t="shared" si="2"/>
        <v>0.25819672131147542</v>
      </c>
      <c r="Q43" s="1">
        <f t="shared" si="2"/>
        <v>5.4054054054054057E-2</v>
      </c>
      <c r="R43" s="1">
        <f t="shared" si="2"/>
        <v>0.25400860383261636</v>
      </c>
      <c r="S43" s="1">
        <f t="shared" si="2"/>
        <v>0.1875</v>
      </c>
      <c r="T43" s="1">
        <f t="shared" si="2"/>
        <v>0.33544303797468356</v>
      </c>
      <c r="U43" s="1">
        <f t="shared" si="2"/>
        <v>0.18895599654874892</v>
      </c>
      <c r="V43" s="1">
        <f t="shared" si="2"/>
        <v>0.31365313653136534</v>
      </c>
      <c r="W43" s="1">
        <f t="shared" si="2"/>
        <v>0.23387096774193547</v>
      </c>
      <c r="X43" s="1">
        <f t="shared" si="2"/>
        <v>0.24778861419823089</v>
      </c>
    </row>
    <row r="44" spans="1:24" x14ac:dyDescent="0.25">
      <c r="A44" t="s">
        <v>397</v>
      </c>
      <c r="B44">
        <v>35</v>
      </c>
      <c r="C44">
        <v>0.4</v>
      </c>
    </row>
    <row r="45" spans="1:24" x14ac:dyDescent="0.25">
      <c r="A45" t="s">
        <v>463</v>
      </c>
      <c r="B45">
        <v>34</v>
      </c>
      <c r="C45">
        <v>0.39</v>
      </c>
      <c r="N45" t="s">
        <v>57</v>
      </c>
      <c r="O45" t="s">
        <v>1608</v>
      </c>
      <c r="P45" t="s">
        <v>86</v>
      </c>
      <c r="Q45" t="s">
        <v>45</v>
      </c>
      <c r="R45" t="s">
        <v>1609</v>
      </c>
    </row>
    <row r="46" spans="1:24" x14ac:dyDescent="0.25">
      <c r="A46" t="s">
        <v>799</v>
      </c>
      <c r="B46">
        <v>33</v>
      </c>
      <c r="C46">
        <v>0.38</v>
      </c>
      <c r="H46" t="s">
        <v>1598</v>
      </c>
      <c r="I46" t="s">
        <v>1600</v>
      </c>
      <c r="J46" t="s">
        <v>1599</v>
      </c>
      <c r="M46" t="s">
        <v>1601</v>
      </c>
      <c r="N46">
        <v>43967</v>
      </c>
      <c r="O46">
        <v>15791</v>
      </c>
      <c r="P46">
        <v>5380</v>
      </c>
      <c r="Q46">
        <v>16077</v>
      </c>
      <c r="R46">
        <v>6719</v>
      </c>
    </row>
    <row r="47" spans="1:24" x14ac:dyDescent="0.25">
      <c r="A47" t="s">
        <v>1169</v>
      </c>
      <c r="B47">
        <v>32</v>
      </c>
      <c r="C47">
        <v>0.36</v>
      </c>
      <c r="G47" t="s">
        <v>119</v>
      </c>
      <c r="H47" s="1">
        <v>0.23549488054607509</v>
      </c>
      <c r="I47" s="1">
        <v>0.54436860068259385</v>
      </c>
      <c r="J47" s="1">
        <v>0.22013651877133106</v>
      </c>
      <c r="M47" t="s">
        <v>1602</v>
      </c>
      <c r="N47">
        <v>9004</v>
      </c>
      <c r="O47">
        <v>3739</v>
      </c>
      <c r="P47">
        <v>650</v>
      </c>
      <c r="Q47">
        <v>3845</v>
      </c>
      <c r="R47">
        <v>770</v>
      </c>
    </row>
    <row r="48" spans="1:24" x14ac:dyDescent="0.25">
      <c r="A48" t="s">
        <v>1184</v>
      </c>
      <c r="B48">
        <v>32</v>
      </c>
      <c r="C48">
        <v>0.36</v>
      </c>
      <c r="G48" t="s">
        <v>120</v>
      </c>
      <c r="H48" s="1">
        <v>9.5238095238095233E-2</v>
      </c>
      <c r="I48" s="1">
        <v>0.40476190476190477</v>
      </c>
      <c r="J48" s="1">
        <v>0.5</v>
      </c>
      <c r="M48" t="s">
        <v>461</v>
      </c>
      <c r="N48">
        <v>75098</v>
      </c>
      <c r="O48">
        <v>34683</v>
      </c>
      <c r="P48">
        <v>9952</v>
      </c>
      <c r="Q48">
        <v>24749</v>
      </c>
      <c r="R48">
        <v>5714</v>
      </c>
    </row>
    <row r="49" spans="1:18" x14ac:dyDescent="0.25">
      <c r="A49" t="s">
        <v>1471</v>
      </c>
      <c r="B49">
        <v>31</v>
      </c>
      <c r="C49">
        <v>0.35</v>
      </c>
      <c r="G49" t="s">
        <v>121</v>
      </c>
      <c r="H49" s="1">
        <v>0.15163934426229508</v>
      </c>
      <c r="I49" s="1">
        <v>0.5901639344262295</v>
      </c>
      <c r="J49" s="1">
        <v>0.25819672131147542</v>
      </c>
      <c r="M49" t="s">
        <v>1603</v>
      </c>
      <c r="N49">
        <v>168252</v>
      </c>
      <c r="O49">
        <v>82679</v>
      </c>
      <c r="P49">
        <v>7661</v>
      </c>
      <c r="Q49">
        <v>43774</v>
      </c>
      <c r="R49">
        <v>34138</v>
      </c>
    </row>
    <row r="50" spans="1:18" x14ac:dyDescent="0.25">
      <c r="A50" t="s">
        <v>677</v>
      </c>
      <c r="B50">
        <v>30</v>
      </c>
      <c r="C50">
        <v>0.34</v>
      </c>
      <c r="G50" t="s">
        <v>122</v>
      </c>
      <c r="H50" s="1">
        <v>0.64527027027027029</v>
      </c>
      <c r="I50" s="1">
        <v>0.30067567567567566</v>
      </c>
      <c r="J50" s="1">
        <v>5.4054054054054057E-2</v>
      </c>
      <c r="M50" t="s">
        <v>1604</v>
      </c>
      <c r="N50">
        <v>131293</v>
      </c>
      <c r="O50">
        <v>43322</v>
      </c>
      <c r="P50">
        <v>11196</v>
      </c>
      <c r="Q50">
        <v>66983</v>
      </c>
      <c r="R50">
        <v>9792</v>
      </c>
    </row>
    <row r="51" spans="1:18" x14ac:dyDescent="0.25">
      <c r="A51" t="s">
        <v>655</v>
      </c>
      <c r="B51">
        <v>27</v>
      </c>
      <c r="C51">
        <v>0.31</v>
      </c>
      <c r="G51" t="s">
        <v>71</v>
      </c>
      <c r="H51" s="1">
        <v>8.9949159170903403E-2</v>
      </c>
      <c r="I51" s="1">
        <v>0.65604223699648023</v>
      </c>
      <c r="J51" s="1">
        <v>0.25400860383261636</v>
      </c>
      <c r="M51" t="s">
        <v>1605</v>
      </c>
      <c r="N51">
        <v>4644</v>
      </c>
      <c r="O51">
        <v>2618</v>
      </c>
      <c r="P51">
        <v>534</v>
      </c>
      <c r="Q51">
        <v>1058</v>
      </c>
      <c r="R51">
        <v>434</v>
      </c>
    </row>
    <row r="52" spans="1:18" x14ac:dyDescent="0.25">
      <c r="A52" t="s">
        <v>922</v>
      </c>
      <c r="B52">
        <v>27</v>
      </c>
      <c r="C52">
        <v>0.31</v>
      </c>
      <c r="G52" t="s">
        <v>123</v>
      </c>
      <c r="H52" s="1">
        <v>0.15625</v>
      </c>
      <c r="I52" s="1">
        <v>0.65625</v>
      </c>
      <c r="J52" s="1">
        <v>0.1875</v>
      </c>
      <c r="M52" t="s">
        <v>1606</v>
      </c>
      <c r="N52">
        <v>249664</v>
      </c>
      <c r="O52">
        <v>117384</v>
      </c>
      <c r="P52">
        <v>16696</v>
      </c>
      <c r="Q52">
        <v>79442</v>
      </c>
      <c r="R52">
        <v>36142</v>
      </c>
    </row>
    <row r="53" spans="1:18" x14ac:dyDescent="0.25">
      <c r="A53" t="s">
        <v>1075</v>
      </c>
      <c r="B53">
        <v>26</v>
      </c>
      <c r="C53">
        <v>0.3</v>
      </c>
      <c r="G53" t="s">
        <v>79</v>
      </c>
      <c r="H53" s="1">
        <v>0.1719409282700422</v>
      </c>
      <c r="I53" s="1">
        <v>0.49261603375527424</v>
      </c>
      <c r="J53" s="1">
        <v>0.33544303797468356</v>
      </c>
      <c r="M53" t="s">
        <v>1607</v>
      </c>
      <c r="N53">
        <v>3242</v>
      </c>
      <c r="O53">
        <v>1052</v>
      </c>
      <c r="P53">
        <v>426</v>
      </c>
      <c r="Q53">
        <v>985</v>
      </c>
      <c r="R53">
        <v>779</v>
      </c>
    </row>
    <row r="54" spans="1:18" x14ac:dyDescent="0.25">
      <c r="A54" t="s">
        <v>1222</v>
      </c>
      <c r="B54">
        <v>24</v>
      </c>
      <c r="C54">
        <v>0.27</v>
      </c>
      <c r="G54" t="s">
        <v>92</v>
      </c>
      <c r="H54" s="1">
        <v>0.10785159620362382</v>
      </c>
      <c r="I54" s="1">
        <v>0.70319240724762722</v>
      </c>
      <c r="J54" s="1">
        <v>0.18895599654874892</v>
      </c>
    </row>
    <row r="55" spans="1:18" x14ac:dyDescent="0.25">
      <c r="A55" t="s">
        <v>1337</v>
      </c>
      <c r="B55">
        <v>24</v>
      </c>
      <c r="C55">
        <v>0.27</v>
      </c>
      <c r="G55" t="s">
        <v>1597</v>
      </c>
      <c r="H55" s="1">
        <v>0.25461254612546125</v>
      </c>
      <c r="I55" s="1">
        <v>0.43173431734317341</v>
      </c>
      <c r="J55" s="1">
        <v>0.31365313653136534</v>
      </c>
      <c r="N55">
        <f>SUM(N46:N51)</f>
        <v>432258</v>
      </c>
      <c r="O55">
        <f t="shared" ref="O55:R55" si="3">SUM(O46:O51)</f>
        <v>182832</v>
      </c>
      <c r="P55">
        <f t="shared" si="3"/>
        <v>35373</v>
      </c>
      <c r="Q55">
        <f t="shared" si="3"/>
        <v>156486</v>
      </c>
      <c r="R55">
        <f t="shared" si="3"/>
        <v>57567</v>
      </c>
    </row>
    <row r="56" spans="1:18" x14ac:dyDescent="0.25">
      <c r="A56" t="s">
        <v>914</v>
      </c>
      <c r="B56">
        <v>22</v>
      </c>
      <c r="C56">
        <v>0.25</v>
      </c>
      <c r="G56" t="s">
        <v>100</v>
      </c>
      <c r="H56" s="1">
        <v>9.6774193548387094E-2</v>
      </c>
      <c r="I56" s="1">
        <v>0.66935483870967738</v>
      </c>
      <c r="J56" s="1">
        <v>0.23387096774193547</v>
      </c>
    </row>
    <row r="57" spans="1:18" x14ac:dyDescent="0.25">
      <c r="A57" t="s">
        <v>750</v>
      </c>
      <c r="B57">
        <v>21</v>
      </c>
      <c r="C57">
        <v>0.24</v>
      </c>
      <c r="G57" t="s">
        <v>57</v>
      </c>
      <c r="H57" s="1">
        <v>0.13665230210932183</v>
      </c>
      <c r="I57" s="1">
        <v>0.61555908369244727</v>
      </c>
      <c r="J57" s="1">
        <v>0.24778861419823089</v>
      </c>
      <c r="N57" t="s">
        <v>57</v>
      </c>
      <c r="O57" t="s">
        <v>1608</v>
      </c>
      <c r="P57" t="s">
        <v>86</v>
      </c>
      <c r="Q57" t="s">
        <v>45</v>
      </c>
      <c r="R57" t="s">
        <v>1609</v>
      </c>
    </row>
    <row r="58" spans="1:18" x14ac:dyDescent="0.25">
      <c r="A58" t="s">
        <v>884</v>
      </c>
      <c r="B58">
        <v>21</v>
      </c>
      <c r="C58">
        <v>0.24</v>
      </c>
      <c r="M58" t="s">
        <v>1601</v>
      </c>
      <c r="N58" s="1">
        <f t="shared" ref="N58:R62" si="4">N46/N$55</f>
        <v>0.10171471667383832</v>
      </c>
      <c r="O58" s="1">
        <f t="shared" si="4"/>
        <v>8.6368906974709017E-2</v>
      </c>
      <c r="P58" s="1">
        <f t="shared" si="4"/>
        <v>0.15209340457411019</v>
      </c>
      <c r="Q58" s="1">
        <f t="shared" si="4"/>
        <v>0.10273762509106246</v>
      </c>
      <c r="R58" s="1">
        <f t="shared" si="4"/>
        <v>0.1167161741970226</v>
      </c>
    </row>
    <row r="59" spans="1:18" x14ac:dyDescent="0.25">
      <c r="A59" t="s">
        <v>1224</v>
      </c>
      <c r="B59">
        <v>21</v>
      </c>
      <c r="C59">
        <v>0.24</v>
      </c>
      <c r="M59" t="s">
        <v>1602</v>
      </c>
      <c r="N59" s="1">
        <f t="shared" si="4"/>
        <v>2.0830152362709308E-2</v>
      </c>
      <c r="O59" s="1">
        <f t="shared" si="4"/>
        <v>2.0450468189376039E-2</v>
      </c>
      <c r="P59" s="1">
        <f t="shared" si="4"/>
        <v>1.8375597206909223E-2</v>
      </c>
      <c r="Q59" s="1">
        <f t="shared" si="4"/>
        <v>2.4570888130567591E-2</v>
      </c>
      <c r="R59" s="1">
        <f t="shared" si="4"/>
        <v>1.3375718727743326E-2</v>
      </c>
    </row>
    <row r="60" spans="1:18" x14ac:dyDescent="0.25">
      <c r="A60" t="s">
        <v>1358</v>
      </c>
      <c r="B60">
        <v>20</v>
      </c>
      <c r="C60">
        <v>0.23</v>
      </c>
      <c r="M60" t="s">
        <v>461</v>
      </c>
      <c r="N60" s="1">
        <f t="shared" si="4"/>
        <v>0.17373420503495599</v>
      </c>
      <c r="O60" s="1">
        <f t="shared" si="4"/>
        <v>0.18969873982672616</v>
      </c>
      <c r="P60" s="1">
        <f t="shared" si="4"/>
        <v>0.2813445283125548</v>
      </c>
      <c r="Q60" s="1">
        <f t="shared" si="4"/>
        <v>0.15815472310622036</v>
      </c>
      <c r="R60" s="1">
        <f t="shared" si="4"/>
        <v>9.925825559782514E-2</v>
      </c>
    </row>
    <row r="61" spans="1:18" x14ac:dyDescent="0.25">
      <c r="A61" t="s">
        <v>1364</v>
      </c>
      <c r="B61">
        <v>20</v>
      </c>
      <c r="C61">
        <v>0.23</v>
      </c>
      <c r="M61" t="s">
        <v>1603</v>
      </c>
      <c r="N61" s="1">
        <f t="shared" si="4"/>
        <v>0.38923975958802381</v>
      </c>
      <c r="O61" s="1">
        <f t="shared" si="4"/>
        <v>0.45221296053207316</v>
      </c>
      <c r="P61" s="1">
        <f t="shared" si="4"/>
        <v>0.21657761569558703</v>
      </c>
      <c r="Q61" s="1">
        <f t="shared" si="4"/>
        <v>0.27973109415538772</v>
      </c>
      <c r="R61" s="1">
        <f t="shared" si="4"/>
        <v>0.59301335834766444</v>
      </c>
    </row>
    <row r="62" spans="1:18" x14ac:dyDescent="0.25">
      <c r="A62" t="s">
        <v>479</v>
      </c>
      <c r="B62">
        <v>19</v>
      </c>
      <c r="C62">
        <v>0.22</v>
      </c>
      <c r="M62" t="s">
        <v>1604</v>
      </c>
      <c r="N62" s="1">
        <f t="shared" si="4"/>
        <v>0.30373758264740042</v>
      </c>
      <c r="O62" s="1">
        <f t="shared" si="4"/>
        <v>0.2369497680931128</v>
      </c>
      <c r="P62" s="1">
        <f t="shared" si="4"/>
        <v>0.3165125943516241</v>
      </c>
      <c r="Q62" s="1">
        <f t="shared" si="4"/>
        <v>0.42804468131334433</v>
      </c>
      <c r="R62" s="1">
        <f t="shared" si="4"/>
        <v>0.17009745166501641</v>
      </c>
    </row>
    <row r="63" spans="1:18" x14ac:dyDescent="0.25">
      <c r="A63" t="s">
        <v>557</v>
      </c>
      <c r="B63">
        <v>19</v>
      </c>
      <c r="C63">
        <v>0.22</v>
      </c>
    </row>
    <row r="64" spans="1:18" x14ac:dyDescent="0.25">
      <c r="A64" t="s">
        <v>1492</v>
      </c>
      <c r="B64">
        <v>19</v>
      </c>
      <c r="C64">
        <v>0.22</v>
      </c>
    </row>
    <row r="65" spans="1:17" x14ac:dyDescent="0.25">
      <c r="A65" t="s">
        <v>326</v>
      </c>
      <c r="B65">
        <v>18</v>
      </c>
      <c r="C65">
        <v>0.2</v>
      </c>
    </row>
    <row r="66" spans="1:17" x14ac:dyDescent="0.25">
      <c r="A66" t="s">
        <v>373</v>
      </c>
      <c r="B66">
        <v>18</v>
      </c>
      <c r="C66">
        <v>0.2</v>
      </c>
      <c r="N66" s="5"/>
    </row>
    <row r="67" spans="1:17" x14ac:dyDescent="0.25">
      <c r="A67" t="s">
        <v>564</v>
      </c>
      <c r="B67">
        <v>18</v>
      </c>
      <c r="C67">
        <v>0.2</v>
      </c>
      <c r="N67" t="s">
        <v>1611</v>
      </c>
      <c r="O67" t="s">
        <v>1</v>
      </c>
      <c r="P67" t="s">
        <v>2</v>
      </c>
      <c r="Q67" t="s">
        <v>3</v>
      </c>
    </row>
    <row r="68" spans="1:17" x14ac:dyDescent="0.25">
      <c r="A68" t="s">
        <v>602</v>
      </c>
      <c r="B68">
        <v>18</v>
      </c>
      <c r="C68">
        <v>0.2</v>
      </c>
      <c r="I68" t="s">
        <v>1680</v>
      </c>
      <c r="K68" t="s">
        <v>1</v>
      </c>
      <c r="L68" t="s">
        <v>2</v>
      </c>
    </row>
    <row r="69" spans="1:17" x14ac:dyDescent="0.25">
      <c r="A69" t="s">
        <v>755</v>
      </c>
      <c r="B69">
        <v>18</v>
      </c>
      <c r="C69">
        <v>0.2</v>
      </c>
      <c r="I69">
        <v>0</v>
      </c>
      <c r="J69" t="s">
        <v>1625</v>
      </c>
      <c r="K69">
        <v>260</v>
      </c>
      <c r="L69" s="3">
        <v>2.96</v>
      </c>
      <c r="N69">
        <v>0</v>
      </c>
      <c r="Q69">
        <v>2.96</v>
      </c>
    </row>
    <row r="70" spans="1:17" x14ac:dyDescent="0.25">
      <c r="A70" t="s">
        <v>969</v>
      </c>
      <c r="B70">
        <v>18</v>
      </c>
      <c r="C70">
        <v>0.2</v>
      </c>
      <c r="I70">
        <v>1</v>
      </c>
      <c r="J70" s="6" t="s">
        <v>1612</v>
      </c>
      <c r="K70">
        <v>1</v>
      </c>
      <c r="L70" s="3">
        <v>0.01</v>
      </c>
      <c r="N70">
        <v>1</v>
      </c>
      <c r="Q70">
        <v>2.97</v>
      </c>
    </row>
    <row r="71" spans="1:17" x14ac:dyDescent="0.25">
      <c r="A71" t="s">
        <v>1065</v>
      </c>
      <c r="B71">
        <v>18</v>
      </c>
      <c r="C71">
        <v>0.2</v>
      </c>
      <c r="I71">
        <v>3</v>
      </c>
      <c r="J71" t="s">
        <v>1613</v>
      </c>
      <c r="K71">
        <v>281</v>
      </c>
      <c r="L71" s="3">
        <v>3.2</v>
      </c>
      <c r="N71">
        <v>3</v>
      </c>
      <c r="Q71">
        <v>6.18</v>
      </c>
    </row>
    <row r="72" spans="1:17" x14ac:dyDescent="0.25">
      <c r="A72" t="s">
        <v>1080</v>
      </c>
      <c r="B72">
        <v>18</v>
      </c>
      <c r="C72">
        <v>0.2</v>
      </c>
      <c r="I72">
        <v>4</v>
      </c>
      <c r="J72" t="s">
        <v>1614</v>
      </c>
      <c r="K72">
        <v>11</v>
      </c>
      <c r="L72" s="3">
        <v>0.13</v>
      </c>
      <c r="N72">
        <v>4</v>
      </c>
      <c r="Q72">
        <v>6.3</v>
      </c>
    </row>
    <row r="73" spans="1:17" x14ac:dyDescent="0.25">
      <c r="A73" t="s">
        <v>542</v>
      </c>
      <c r="B73">
        <v>17</v>
      </c>
      <c r="C73">
        <v>0.19</v>
      </c>
      <c r="I73">
        <v>6</v>
      </c>
      <c r="J73" t="s">
        <v>1615</v>
      </c>
      <c r="K73">
        <v>81</v>
      </c>
      <c r="L73" s="3">
        <v>0.92</v>
      </c>
      <c r="N73">
        <v>6</v>
      </c>
      <c r="Q73">
        <v>7.22</v>
      </c>
    </row>
    <row r="74" spans="1:17" x14ac:dyDescent="0.25">
      <c r="A74" t="s">
        <v>471</v>
      </c>
      <c r="B74">
        <v>16</v>
      </c>
      <c r="C74">
        <v>0.18</v>
      </c>
      <c r="I74">
        <v>10</v>
      </c>
      <c r="J74" t="s">
        <v>1624</v>
      </c>
      <c r="K74">
        <v>22</v>
      </c>
      <c r="L74" s="3">
        <v>0.25</v>
      </c>
      <c r="N74">
        <v>10</v>
      </c>
      <c r="Q74">
        <v>7.47</v>
      </c>
    </row>
    <row r="75" spans="1:17" x14ac:dyDescent="0.25">
      <c r="A75" t="s">
        <v>625</v>
      </c>
      <c r="B75">
        <v>16</v>
      </c>
      <c r="C75">
        <v>0.18</v>
      </c>
      <c r="I75">
        <v>11</v>
      </c>
      <c r="J75" t="s">
        <v>1616</v>
      </c>
      <c r="K75">
        <v>42</v>
      </c>
      <c r="L75" s="3">
        <v>0.48</v>
      </c>
      <c r="N75">
        <v>11</v>
      </c>
      <c r="Q75">
        <v>7.95</v>
      </c>
    </row>
    <row r="76" spans="1:17" x14ac:dyDescent="0.25">
      <c r="A76" t="s">
        <v>942</v>
      </c>
      <c r="B76">
        <v>16</v>
      </c>
      <c r="C76">
        <v>0.18</v>
      </c>
      <c r="I76">
        <v>12</v>
      </c>
      <c r="J76" t="s">
        <v>1617</v>
      </c>
      <c r="K76">
        <v>13</v>
      </c>
      <c r="L76" s="3">
        <v>0.15</v>
      </c>
      <c r="N76">
        <v>12</v>
      </c>
      <c r="Q76">
        <v>8.1</v>
      </c>
    </row>
    <row r="77" spans="1:17" x14ac:dyDescent="0.25">
      <c r="A77" t="s">
        <v>1387</v>
      </c>
      <c r="B77">
        <v>16</v>
      </c>
      <c r="C77">
        <v>0.18</v>
      </c>
      <c r="I77">
        <v>13</v>
      </c>
      <c r="J77" t="s">
        <v>1618</v>
      </c>
      <c r="K77">
        <v>50</v>
      </c>
      <c r="L77" s="3">
        <v>0.56999999999999995</v>
      </c>
      <c r="N77">
        <v>13</v>
      </c>
      <c r="Q77">
        <v>8.67</v>
      </c>
    </row>
    <row r="78" spans="1:17" x14ac:dyDescent="0.25">
      <c r="A78" t="s">
        <v>358</v>
      </c>
      <c r="B78">
        <v>15</v>
      </c>
      <c r="C78">
        <v>0.17</v>
      </c>
      <c r="I78">
        <v>15</v>
      </c>
      <c r="J78" t="s">
        <v>1619</v>
      </c>
      <c r="K78">
        <v>10</v>
      </c>
      <c r="L78" s="3">
        <v>0.11</v>
      </c>
      <c r="N78">
        <v>15</v>
      </c>
      <c r="Q78">
        <v>8.7899999999999991</v>
      </c>
    </row>
    <row r="79" spans="1:17" x14ac:dyDescent="0.25">
      <c r="A79" t="s">
        <v>537</v>
      </c>
      <c r="B79">
        <v>15</v>
      </c>
      <c r="C79">
        <v>0.17</v>
      </c>
      <c r="I79">
        <v>16</v>
      </c>
      <c r="J79" t="s">
        <v>1620</v>
      </c>
      <c r="K79">
        <v>26</v>
      </c>
      <c r="L79" s="3">
        <v>0.3</v>
      </c>
      <c r="N79">
        <v>16</v>
      </c>
      <c r="Q79">
        <v>9.08</v>
      </c>
    </row>
    <row r="80" spans="1:17" x14ac:dyDescent="0.25">
      <c r="A80" t="s">
        <v>1345</v>
      </c>
      <c r="B80">
        <v>15</v>
      </c>
      <c r="C80">
        <v>0.17</v>
      </c>
      <c r="I80">
        <v>17</v>
      </c>
      <c r="J80" t="s">
        <v>1621</v>
      </c>
      <c r="K80">
        <v>73</v>
      </c>
      <c r="L80" s="3">
        <v>0.83</v>
      </c>
      <c r="N80">
        <v>17</v>
      </c>
      <c r="Q80">
        <v>9.91</v>
      </c>
    </row>
    <row r="81" spans="1:17" x14ac:dyDescent="0.25">
      <c r="A81" t="s">
        <v>517</v>
      </c>
      <c r="B81">
        <v>14</v>
      </c>
      <c r="C81">
        <v>0.16</v>
      </c>
      <c r="I81">
        <v>18</v>
      </c>
      <c r="J81" t="s">
        <v>1622</v>
      </c>
      <c r="K81">
        <v>26</v>
      </c>
      <c r="L81" s="3">
        <v>0.3</v>
      </c>
      <c r="N81">
        <v>18</v>
      </c>
      <c r="Q81">
        <v>10.210000000000001</v>
      </c>
    </row>
    <row r="82" spans="1:17" x14ac:dyDescent="0.25">
      <c r="A82" t="s">
        <v>598</v>
      </c>
      <c r="B82">
        <v>14</v>
      </c>
      <c r="C82">
        <v>0.16</v>
      </c>
      <c r="I82">
        <v>19</v>
      </c>
      <c r="J82" t="s">
        <v>1623</v>
      </c>
      <c r="K82">
        <v>5</v>
      </c>
      <c r="L82" s="3">
        <v>0.06</v>
      </c>
      <c r="N82">
        <v>19</v>
      </c>
      <c r="Q82">
        <v>10.27</v>
      </c>
    </row>
    <row r="83" spans="1:17" x14ac:dyDescent="0.25">
      <c r="A83" t="s">
        <v>696</v>
      </c>
      <c r="B83">
        <v>14</v>
      </c>
      <c r="C83">
        <v>0.16</v>
      </c>
      <c r="I83">
        <v>21</v>
      </c>
      <c r="J83" t="s">
        <v>1626</v>
      </c>
      <c r="K83">
        <v>20</v>
      </c>
      <c r="L83" s="3">
        <v>0.23</v>
      </c>
      <c r="N83">
        <v>21</v>
      </c>
      <c r="Q83">
        <v>10.49</v>
      </c>
    </row>
    <row r="84" spans="1:17" x14ac:dyDescent="0.25">
      <c r="A84" t="s">
        <v>796</v>
      </c>
      <c r="B84">
        <v>14</v>
      </c>
      <c r="C84">
        <v>0.16</v>
      </c>
      <c r="I84">
        <v>22</v>
      </c>
      <c r="J84" t="s">
        <v>1627</v>
      </c>
      <c r="K84">
        <v>50</v>
      </c>
      <c r="L84" s="3">
        <v>0.56999999999999995</v>
      </c>
      <c r="N84">
        <v>22</v>
      </c>
      <c r="Q84">
        <v>11.06</v>
      </c>
    </row>
    <row r="85" spans="1:17" x14ac:dyDescent="0.25">
      <c r="A85" t="s">
        <v>1048</v>
      </c>
      <c r="B85">
        <v>14</v>
      </c>
      <c r="C85">
        <v>0.16</v>
      </c>
      <c r="I85">
        <v>30</v>
      </c>
      <c r="J85" t="s">
        <v>1628</v>
      </c>
      <c r="K85">
        <v>814</v>
      </c>
      <c r="L85" s="3">
        <v>9.2799999999999994</v>
      </c>
      <c r="N85">
        <v>30</v>
      </c>
      <c r="Q85">
        <v>20.34</v>
      </c>
    </row>
    <row r="86" spans="1:17" x14ac:dyDescent="0.25">
      <c r="A86" t="s">
        <v>1056</v>
      </c>
      <c r="B86">
        <v>14</v>
      </c>
      <c r="C86">
        <v>0.16</v>
      </c>
      <c r="I86">
        <v>31</v>
      </c>
      <c r="J86" t="s">
        <v>1629</v>
      </c>
      <c r="K86">
        <v>9</v>
      </c>
      <c r="L86" s="3">
        <v>0.1</v>
      </c>
      <c r="N86">
        <v>31</v>
      </c>
      <c r="Q86">
        <v>20.440000000000001</v>
      </c>
    </row>
    <row r="87" spans="1:17" x14ac:dyDescent="0.25">
      <c r="A87" t="s">
        <v>1125</v>
      </c>
      <c r="B87">
        <v>14</v>
      </c>
      <c r="C87">
        <v>0.16</v>
      </c>
      <c r="I87">
        <v>32</v>
      </c>
      <c r="J87" t="s">
        <v>1630</v>
      </c>
      <c r="K87">
        <v>19</v>
      </c>
      <c r="L87" s="3">
        <v>0.22</v>
      </c>
      <c r="N87">
        <v>32</v>
      </c>
      <c r="Q87">
        <v>20.66</v>
      </c>
    </row>
    <row r="88" spans="1:17" x14ac:dyDescent="0.25">
      <c r="A88" t="s">
        <v>1177</v>
      </c>
      <c r="B88">
        <v>14</v>
      </c>
      <c r="C88">
        <v>0.16</v>
      </c>
      <c r="I88">
        <v>33</v>
      </c>
      <c r="J88" t="s">
        <v>1631</v>
      </c>
      <c r="K88">
        <v>51</v>
      </c>
      <c r="L88" s="3">
        <v>0.57999999999999996</v>
      </c>
      <c r="N88">
        <v>33</v>
      </c>
      <c r="Q88">
        <v>21.24</v>
      </c>
    </row>
    <row r="89" spans="1:17" x14ac:dyDescent="0.25">
      <c r="A89" t="s">
        <v>1352</v>
      </c>
      <c r="B89">
        <v>14</v>
      </c>
      <c r="C89">
        <v>0.16</v>
      </c>
      <c r="I89">
        <v>36</v>
      </c>
      <c r="J89" t="s">
        <v>1632</v>
      </c>
      <c r="K89">
        <v>87</v>
      </c>
      <c r="L89" s="3">
        <v>0.99</v>
      </c>
      <c r="N89">
        <v>36</v>
      </c>
      <c r="Q89">
        <v>22.23</v>
      </c>
    </row>
    <row r="90" spans="1:17" x14ac:dyDescent="0.25">
      <c r="A90" t="s">
        <v>191</v>
      </c>
      <c r="B90">
        <v>13</v>
      </c>
      <c r="C90">
        <v>0.15</v>
      </c>
      <c r="I90">
        <v>37</v>
      </c>
      <c r="J90" t="s">
        <v>1633</v>
      </c>
      <c r="K90">
        <v>25</v>
      </c>
      <c r="L90" s="3">
        <v>0.28000000000000003</v>
      </c>
      <c r="N90">
        <v>37</v>
      </c>
      <c r="Q90">
        <v>22.52</v>
      </c>
    </row>
    <row r="91" spans="1:17" x14ac:dyDescent="0.25">
      <c r="A91" t="s">
        <v>434</v>
      </c>
      <c r="B91">
        <v>13</v>
      </c>
      <c r="C91">
        <v>0.15</v>
      </c>
      <c r="I91">
        <v>38</v>
      </c>
      <c r="J91" t="s">
        <v>1634</v>
      </c>
      <c r="K91">
        <v>53</v>
      </c>
      <c r="L91" s="3">
        <v>0.6</v>
      </c>
      <c r="N91">
        <v>38</v>
      </c>
      <c r="Q91">
        <v>23.12</v>
      </c>
    </row>
    <row r="92" spans="1:17" x14ac:dyDescent="0.25">
      <c r="A92" t="s">
        <v>470</v>
      </c>
      <c r="B92">
        <v>13</v>
      </c>
      <c r="C92">
        <v>0.15</v>
      </c>
      <c r="I92">
        <v>39</v>
      </c>
      <c r="J92" t="s">
        <v>1635</v>
      </c>
      <c r="K92">
        <v>62</v>
      </c>
      <c r="L92" s="3">
        <v>0.71</v>
      </c>
      <c r="N92">
        <v>39</v>
      </c>
      <c r="Q92">
        <v>23.83</v>
      </c>
    </row>
    <row r="93" spans="1:17" x14ac:dyDescent="0.25">
      <c r="A93" t="s">
        <v>737</v>
      </c>
      <c r="B93">
        <v>13</v>
      </c>
      <c r="C93">
        <v>0.15</v>
      </c>
      <c r="I93">
        <v>41</v>
      </c>
      <c r="J93" t="s">
        <v>1636</v>
      </c>
      <c r="K93">
        <v>394</v>
      </c>
      <c r="L93" s="3">
        <v>4.49</v>
      </c>
      <c r="N93">
        <v>41</v>
      </c>
      <c r="Q93">
        <v>28.32</v>
      </c>
    </row>
    <row r="94" spans="1:17" x14ac:dyDescent="0.25">
      <c r="A94" t="s">
        <v>1030</v>
      </c>
      <c r="B94">
        <v>13</v>
      </c>
      <c r="C94">
        <v>0.15</v>
      </c>
      <c r="I94">
        <v>42</v>
      </c>
      <c r="J94" t="s">
        <v>1637</v>
      </c>
      <c r="K94">
        <v>3</v>
      </c>
      <c r="L94" s="3">
        <v>0.03</v>
      </c>
      <c r="N94">
        <v>42</v>
      </c>
      <c r="Q94">
        <v>28.35</v>
      </c>
    </row>
    <row r="95" spans="1:17" x14ac:dyDescent="0.25">
      <c r="A95" t="s">
        <v>1115</v>
      </c>
      <c r="B95">
        <v>13</v>
      </c>
      <c r="C95">
        <v>0.15</v>
      </c>
      <c r="I95">
        <v>43</v>
      </c>
      <c r="J95" t="s">
        <v>1638</v>
      </c>
      <c r="K95">
        <v>170</v>
      </c>
      <c r="L95" s="3">
        <v>1.94</v>
      </c>
      <c r="N95">
        <v>43</v>
      </c>
      <c r="Q95">
        <v>30.29</v>
      </c>
    </row>
    <row r="96" spans="1:17" x14ac:dyDescent="0.25">
      <c r="A96" t="s">
        <v>1453</v>
      </c>
      <c r="B96">
        <v>13</v>
      </c>
      <c r="C96">
        <v>0.15</v>
      </c>
      <c r="I96">
        <v>44</v>
      </c>
      <c r="J96" t="s">
        <v>1639</v>
      </c>
      <c r="K96">
        <v>63</v>
      </c>
      <c r="L96" s="3">
        <v>0.72</v>
      </c>
      <c r="N96">
        <v>44</v>
      </c>
      <c r="Q96">
        <v>31.01</v>
      </c>
    </row>
    <row r="97" spans="1:17" x14ac:dyDescent="0.25">
      <c r="A97" t="s">
        <v>404</v>
      </c>
      <c r="B97">
        <v>12</v>
      </c>
      <c r="C97">
        <v>0.14000000000000001</v>
      </c>
      <c r="I97">
        <v>45</v>
      </c>
      <c r="J97" t="s">
        <v>1640</v>
      </c>
      <c r="K97">
        <v>87</v>
      </c>
      <c r="L97" s="3">
        <v>0.99</v>
      </c>
      <c r="N97">
        <v>45</v>
      </c>
      <c r="Q97">
        <v>32</v>
      </c>
    </row>
    <row r="98" spans="1:17" x14ac:dyDescent="0.25">
      <c r="A98" t="s">
        <v>716</v>
      </c>
      <c r="B98">
        <v>12</v>
      </c>
      <c r="C98">
        <v>0.14000000000000001</v>
      </c>
      <c r="I98">
        <v>51</v>
      </c>
      <c r="J98" t="s">
        <v>1641</v>
      </c>
      <c r="K98">
        <v>18</v>
      </c>
      <c r="L98" s="3">
        <v>0.21</v>
      </c>
      <c r="N98">
        <v>51</v>
      </c>
      <c r="Q98">
        <v>32.200000000000003</v>
      </c>
    </row>
    <row r="99" spans="1:17" x14ac:dyDescent="0.25">
      <c r="A99" t="s">
        <v>752</v>
      </c>
      <c r="B99">
        <v>12</v>
      </c>
      <c r="C99">
        <v>0.14000000000000001</v>
      </c>
      <c r="I99">
        <v>53</v>
      </c>
      <c r="J99" t="s">
        <v>1642</v>
      </c>
      <c r="K99">
        <v>110</v>
      </c>
      <c r="L99" s="3">
        <v>1.25</v>
      </c>
      <c r="N99">
        <v>53</v>
      </c>
      <c r="Q99">
        <v>33.450000000000003</v>
      </c>
    </row>
    <row r="100" spans="1:17" x14ac:dyDescent="0.25">
      <c r="A100" t="s">
        <v>924</v>
      </c>
      <c r="B100">
        <v>12</v>
      </c>
      <c r="C100">
        <v>0.14000000000000001</v>
      </c>
      <c r="I100">
        <v>54</v>
      </c>
      <c r="J100" t="s">
        <v>1643</v>
      </c>
      <c r="K100">
        <v>86</v>
      </c>
      <c r="L100" s="3">
        <v>0.98</v>
      </c>
      <c r="N100">
        <v>54</v>
      </c>
      <c r="Q100">
        <v>34.43</v>
      </c>
    </row>
    <row r="101" spans="1:17" x14ac:dyDescent="0.25">
      <c r="A101" t="s">
        <v>1139</v>
      </c>
      <c r="B101">
        <v>12</v>
      </c>
      <c r="C101">
        <v>0.14000000000000001</v>
      </c>
      <c r="I101">
        <v>55</v>
      </c>
      <c r="J101" t="s">
        <v>1644</v>
      </c>
      <c r="K101">
        <v>45</v>
      </c>
      <c r="L101" s="3">
        <v>0.51</v>
      </c>
      <c r="N101">
        <v>55</v>
      </c>
      <c r="Q101">
        <v>34.950000000000003</v>
      </c>
    </row>
    <row r="102" spans="1:17" x14ac:dyDescent="0.25">
      <c r="A102" t="s">
        <v>1179</v>
      </c>
      <c r="B102">
        <v>12</v>
      </c>
      <c r="C102">
        <v>0.14000000000000001</v>
      </c>
      <c r="I102">
        <v>56</v>
      </c>
      <c r="J102" t="s">
        <v>1645</v>
      </c>
      <c r="K102">
        <v>7</v>
      </c>
      <c r="L102" s="3">
        <v>0.08</v>
      </c>
      <c r="N102">
        <v>56</v>
      </c>
      <c r="Q102">
        <v>35.03</v>
      </c>
    </row>
    <row r="103" spans="1:17" x14ac:dyDescent="0.25">
      <c r="A103" t="s">
        <v>361</v>
      </c>
      <c r="B103">
        <v>11</v>
      </c>
      <c r="C103">
        <v>0.13</v>
      </c>
      <c r="I103">
        <v>57</v>
      </c>
      <c r="J103" t="s">
        <v>1646</v>
      </c>
      <c r="K103">
        <v>24</v>
      </c>
      <c r="L103" s="3">
        <v>0.27</v>
      </c>
      <c r="N103">
        <v>57</v>
      </c>
      <c r="Q103">
        <v>35.299999999999997</v>
      </c>
    </row>
    <row r="104" spans="1:17" x14ac:dyDescent="0.25">
      <c r="A104" t="s">
        <v>466</v>
      </c>
      <c r="B104">
        <v>11</v>
      </c>
      <c r="C104">
        <v>0.13</v>
      </c>
      <c r="I104">
        <v>58</v>
      </c>
      <c r="J104" t="s">
        <v>1647</v>
      </c>
      <c r="K104">
        <v>732</v>
      </c>
      <c r="L104" s="3">
        <v>8.34</v>
      </c>
      <c r="N104">
        <v>58</v>
      </c>
      <c r="Q104">
        <v>43.64</v>
      </c>
    </row>
    <row r="105" spans="1:17" x14ac:dyDescent="0.25">
      <c r="A105" t="s">
        <v>813</v>
      </c>
      <c r="B105">
        <v>11</v>
      </c>
      <c r="C105">
        <v>0.13</v>
      </c>
      <c r="I105">
        <v>59</v>
      </c>
      <c r="J105" t="s">
        <v>1648</v>
      </c>
      <c r="K105">
        <v>24</v>
      </c>
      <c r="L105" s="3">
        <v>0.27</v>
      </c>
      <c r="N105">
        <v>59</v>
      </c>
      <c r="Q105">
        <v>43.92</v>
      </c>
    </row>
    <row r="106" spans="1:17" x14ac:dyDescent="0.25">
      <c r="A106" t="s">
        <v>1097</v>
      </c>
      <c r="B106">
        <v>11</v>
      </c>
      <c r="C106">
        <v>0.13</v>
      </c>
      <c r="I106">
        <v>61</v>
      </c>
      <c r="J106" t="s">
        <v>1598</v>
      </c>
      <c r="K106">
        <v>58</v>
      </c>
      <c r="L106" s="3">
        <v>0.66</v>
      </c>
      <c r="N106">
        <v>61</v>
      </c>
      <c r="Q106">
        <v>44.58</v>
      </c>
    </row>
    <row r="107" spans="1:17" x14ac:dyDescent="0.25">
      <c r="A107" t="s">
        <v>1126</v>
      </c>
      <c r="B107">
        <v>11</v>
      </c>
      <c r="C107">
        <v>0.13</v>
      </c>
      <c r="I107">
        <v>62</v>
      </c>
      <c r="J107" t="s">
        <v>1649</v>
      </c>
      <c r="K107">
        <v>1654</v>
      </c>
      <c r="L107" s="3">
        <v>18.850000000000001</v>
      </c>
      <c r="N107">
        <v>62</v>
      </c>
      <c r="Q107">
        <v>63.42</v>
      </c>
    </row>
    <row r="108" spans="1:17" x14ac:dyDescent="0.25">
      <c r="A108" t="s">
        <v>1436</v>
      </c>
      <c r="B108">
        <v>11</v>
      </c>
      <c r="C108">
        <v>0.13</v>
      </c>
      <c r="I108">
        <v>63</v>
      </c>
      <c r="J108" t="s">
        <v>1650</v>
      </c>
      <c r="K108">
        <v>19</v>
      </c>
      <c r="L108" s="3">
        <v>0.22</v>
      </c>
      <c r="N108">
        <v>63</v>
      </c>
      <c r="Q108">
        <v>63.64</v>
      </c>
    </row>
    <row r="109" spans="1:17" x14ac:dyDescent="0.25">
      <c r="A109" t="s">
        <v>223</v>
      </c>
      <c r="B109">
        <v>10</v>
      </c>
      <c r="C109">
        <v>0.11</v>
      </c>
      <c r="I109">
        <v>64</v>
      </c>
      <c r="J109" t="s">
        <v>1651</v>
      </c>
      <c r="K109">
        <v>51</v>
      </c>
      <c r="L109" s="3">
        <v>0.57999999999999996</v>
      </c>
      <c r="N109">
        <v>64</v>
      </c>
      <c r="Q109">
        <v>64.22</v>
      </c>
    </row>
    <row r="110" spans="1:17" x14ac:dyDescent="0.25">
      <c r="A110" t="s">
        <v>345</v>
      </c>
      <c r="B110">
        <v>10</v>
      </c>
      <c r="C110">
        <v>0.11</v>
      </c>
      <c r="I110">
        <v>71</v>
      </c>
      <c r="J110" t="s">
        <v>1652</v>
      </c>
      <c r="K110">
        <v>164</v>
      </c>
      <c r="L110" s="3">
        <v>1.87</v>
      </c>
      <c r="N110">
        <v>71</v>
      </c>
      <c r="Q110">
        <v>66.09</v>
      </c>
    </row>
    <row r="111" spans="1:17" x14ac:dyDescent="0.25">
      <c r="A111" t="s">
        <v>547</v>
      </c>
      <c r="B111">
        <v>10</v>
      </c>
      <c r="C111">
        <v>0.11</v>
      </c>
      <c r="I111">
        <v>72</v>
      </c>
      <c r="J111" t="s">
        <v>1653</v>
      </c>
      <c r="K111">
        <v>53</v>
      </c>
      <c r="L111" s="3">
        <v>0.6</v>
      </c>
      <c r="N111">
        <v>72</v>
      </c>
      <c r="Q111">
        <v>66.69</v>
      </c>
    </row>
    <row r="112" spans="1:17" x14ac:dyDescent="0.25">
      <c r="A112" t="s">
        <v>1053</v>
      </c>
      <c r="B112">
        <v>10</v>
      </c>
      <c r="C112">
        <v>0.11</v>
      </c>
      <c r="I112">
        <v>73</v>
      </c>
      <c r="J112" t="s">
        <v>1654</v>
      </c>
      <c r="K112">
        <v>5</v>
      </c>
      <c r="L112" s="3">
        <v>0.06</v>
      </c>
      <c r="N112">
        <v>73</v>
      </c>
      <c r="Q112">
        <v>66.75</v>
      </c>
    </row>
    <row r="113" spans="1:17" x14ac:dyDescent="0.25">
      <c r="A113" t="s">
        <v>1122</v>
      </c>
      <c r="B113">
        <v>10</v>
      </c>
      <c r="C113">
        <v>0.11</v>
      </c>
      <c r="I113">
        <v>74</v>
      </c>
      <c r="J113" t="s">
        <v>1655</v>
      </c>
      <c r="K113">
        <v>9</v>
      </c>
      <c r="L113" s="3">
        <v>0.1</v>
      </c>
      <c r="N113">
        <v>74</v>
      </c>
      <c r="Q113">
        <v>66.849999999999994</v>
      </c>
    </row>
    <row r="114" spans="1:17" x14ac:dyDescent="0.25">
      <c r="A114" t="s">
        <v>1286</v>
      </c>
      <c r="B114">
        <v>10</v>
      </c>
      <c r="C114">
        <v>0.11</v>
      </c>
      <c r="I114">
        <v>75</v>
      </c>
      <c r="J114" t="s">
        <v>1656</v>
      </c>
      <c r="K114">
        <v>43</v>
      </c>
      <c r="L114" s="3">
        <v>0.49</v>
      </c>
      <c r="N114">
        <v>75</v>
      </c>
      <c r="Q114">
        <v>67.34</v>
      </c>
    </row>
    <row r="115" spans="1:17" x14ac:dyDescent="0.25">
      <c r="A115" t="s">
        <v>1489</v>
      </c>
      <c r="B115">
        <v>10</v>
      </c>
      <c r="C115">
        <v>0.11</v>
      </c>
      <c r="I115">
        <v>76</v>
      </c>
      <c r="J115" t="s">
        <v>1657</v>
      </c>
      <c r="K115">
        <v>16</v>
      </c>
      <c r="L115" s="3">
        <v>0.18</v>
      </c>
      <c r="N115">
        <v>76</v>
      </c>
      <c r="Q115">
        <v>67.53</v>
      </c>
    </row>
    <row r="116" spans="1:17" x14ac:dyDescent="0.25">
      <c r="A116" t="s">
        <v>229</v>
      </c>
      <c r="B116">
        <v>9</v>
      </c>
      <c r="C116">
        <v>0.1</v>
      </c>
      <c r="I116">
        <v>77</v>
      </c>
      <c r="J116" t="s">
        <v>1658</v>
      </c>
      <c r="K116">
        <v>433</v>
      </c>
      <c r="L116" s="3">
        <v>4.93</v>
      </c>
      <c r="N116">
        <v>77</v>
      </c>
      <c r="Q116">
        <v>72.459999999999994</v>
      </c>
    </row>
    <row r="117" spans="1:17" x14ac:dyDescent="0.25">
      <c r="A117" t="s">
        <v>249</v>
      </c>
      <c r="B117">
        <v>9</v>
      </c>
      <c r="C117">
        <v>0.1</v>
      </c>
      <c r="I117">
        <v>78</v>
      </c>
      <c r="J117" t="s">
        <v>1659</v>
      </c>
      <c r="K117">
        <v>5</v>
      </c>
      <c r="L117" s="3">
        <v>0.06</v>
      </c>
      <c r="N117">
        <v>78</v>
      </c>
      <c r="Q117">
        <v>72.52</v>
      </c>
    </row>
    <row r="118" spans="1:17" x14ac:dyDescent="0.25">
      <c r="A118" t="s">
        <v>308</v>
      </c>
      <c r="B118">
        <v>9</v>
      </c>
      <c r="C118">
        <v>0.1</v>
      </c>
      <c r="I118">
        <v>79</v>
      </c>
      <c r="J118" t="s">
        <v>1660</v>
      </c>
      <c r="K118">
        <v>112</v>
      </c>
      <c r="L118" s="3">
        <v>1.28</v>
      </c>
      <c r="N118">
        <v>79</v>
      </c>
      <c r="Q118">
        <v>73.790000000000006</v>
      </c>
    </row>
    <row r="119" spans="1:17" x14ac:dyDescent="0.25">
      <c r="A119" t="s">
        <v>314</v>
      </c>
      <c r="B119">
        <v>9</v>
      </c>
      <c r="C119">
        <v>0.1</v>
      </c>
      <c r="I119">
        <v>80</v>
      </c>
      <c r="J119" t="s">
        <v>1661</v>
      </c>
      <c r="K119">
        <v>179</v>
      </c>
      <c r="L119" s="3">
        <v>2.04</v>
      </c>
      <c r="N119">
        <v>80</v>
      </c>
      <c r="Q119">
        <v>75.83</v>
      </c>
    </row>
    <row r="120" spans="1:17" x14ac:dyDescent="0.25">
      <c r="A120" t="s">
        <v>491</v>
      </c>
      <c r="B120">
        <v>9</v>
      </c>
      <c r="C120">
        <v>0.1</v>
      </c>
      <c r="I120">
        <v>81</v>
      </c>
      <c r="J120" t="s">
        <v>1662</v>
      </c>
      <c r="K120">
        <v>69</v>
      </c>
      <c r="L120" s="3">
        <v>0.79</v>
      </c>
      <c r="N120">
        <v>81</v>
      </c>
      <c r="Q120">
        <v>76.62</v>
      </c>
    </row>
    <row r="121" spans="1:17" x14ac:dyDescent="0.25">
      <c r="A121" t="s">
        <v>679</v>
      </c>
      <c r="B121">
        <v>9</v>
      </c>
      <c r="C121">
        <v>0.1</v>
      </c>
      <c r="I121">
        <v>82</v>
      </c>
      <c r="J121" t="s">
        <v>1663</v>
      </c>
      <c r="K121">
        <v>55</v>
      </c>
      <c r="L121" s="3">
        <v>0.63</v>
      </c>
      <c r="N121">
        <v>82</v>
      </c>
      <c r="Q121">
        <v>77.239999999999995</v>
      </c>
    </row>
    <row r="122" spans="1:17" x14ac:dyDescent="0.25">
      <c r="A122" t="s">
        <v>917</v>
      </c>
      <c r="B122">
        <v>9</v>
      </c>
      <c r="C122">
        <v>0.1</v>
      </c>
      <c r="I122">
        <v>83</v>
      </c>
      <c r="J122" t="s">
        <v>1664</v>
      </c>
      <c r="K122">
        <v>250</v>
      </c>
      <c r="L122" s="3">
        <v>2.85</v>
      </c>
      <c r="N122">
        <v>83</v>
      </c>
      <c r="Q122">
        <v>80.09</v>
      </c>
    </row>
    <row r="123" spans="1:17" x14ac:dyDescent="0.25">
      <c r="A123" t="s">
        <v>1100</v>
      </c>
      <c r="B123">
        <v>9</v>
      </c>
      <c r="C123">
        <v>0.1</v>
      </c>
      <c r="I123">
        <v>84</v>
      </c>
      <c r="J123" t="s">
        <v>1665</v>
      </c>
      <c r="K123">
        <v>167</v>
      </c>
      <c r="L123" s="3">
        <v>1.9</v>
      </c>
      <c r="N123">
        <v>84</v>
      </c>
      <c r="Q123">
        <v>82</v>
      </c>
    </row>
    <row r="124" spans="1:17" x14ac:dyDescent="0.25">
      <c r="A124" t="s">
        <v>1383</v>
      </c>
      <c r="B124">
        <v>9</v>
      </c>
      <c r="C124">
        <v>0.1</v>
      </c>
      <c r="I124">
        <v>85</v>
      </c>
      <c r="J124" t="s">
        <v>1666</v>
      </c>
      <c r="K124">
        <v>59</v>
      </c>
      <c r="L124" s="3">
        <v>0.67</v>
      </c>
      <c r="N124">
        <v>85</v>
      </c>
      <c r="Q124">
        <v>82.67</v>
      </c>
    </row>
    <row r="125" spans="1:17" x14ac:dyDescent="0.25">
      <c r="A125" t="s">
        <v>1425</v>
      </c>
      <c r="B125">
        <v>9</v>
      </c>
      <c r="C125">
        <v>0.1</v>
      </c>
      <c r="I125">
        <v>87</v>
      </c>
      <c r="J125" t="s">
        <v>1667</v>
      </c>
      <c r="K125">
        <v>135</v>
      </c>
      <c r="L125" s="3">
        <v>1.54</v>
      </c>
      <c r="N125">
        <v>87</v>
      </c>
      <c r="Q125">
        <v>84.21</v>
      </c>
    </row>
    <row r="126" spans="1:17" x14ac:dyDescent="0.25">
      <c r="A126" t="s">
        <v>1450</v>
      </c>
      <c r="B126">
        <v>9</v>
      </c>
      <c r="C126">
        <v>0.1</v>
      </c>
      <c r="I126">
        <v>88</v>
      </c>
      <c r="J126" t="s">
        <v>1668</v>
      </c>
      <c r="K126">
        <v>16</v>
      </c>
      <c r="L126" s="3">
        <v>0.18</v>
      </c>
      <c r="N126">
        <v>88</v>
      </c>
      <c r="Q126">
        <v>84.39</v>
      </c>
    </row>
    <row r="127" spans="1:17" x14ac:dyDescent="0.25">
      <c r="A127" t="s">
        <v>1485</v>
      </c>
      <c r="B127">
        <v>9</v>
      </c>
      <c r="C127">
        <v>0.1</v>
      </c>
      <c r="I127">
        <v>89</v>
      </c>
      <c r="J127" t="s">
        <v>1669</v>
      </c>
      <c r="K127">
        <v>43</v>
      </c>
      <c r="L127" s="3">
        <v>0.49</v>
      </c>
      <c r="N127">
        <v>89</v>
      </c>
      <c r="Q127">
        <v>84.88</v>
      </c>
    </row>
    <row r="128" spans="1:17" x14ac:dyDescent="0.25">
      <c r="A128" t="s">
        <v>177</v>
      </c>
      <c r="B128">
        <v>8</v>
      </c>
      <c r="C128">
        <v>0.09</v>
      </c>
      <c r="I128">
        <v>90</v>
      </c>
      <c r="J128" t="s">
        <v>1670</v>
      </c>
      <c r="K128">
        <v>3</v>
      </c>
      <c r="L128" s="3">
        <v>0.03</v>
      </c>
      <c r="N128">
        <v>90</v>
      </c>
      <c r="Q128">
        <v>84.91</v>
      </c>
    </row>
    <row r="129" spans="1:17" x14ac:dyDescent="0.25">
      <c r="A129" t="s">
        <v>300</v>
      </c>
      <c r="B129">
        <v>8</v>
      </c>
      <c r="C129">
        <v>0.09</v>
      </c>
      <c r="I129">
        <v>91</v>
      </c>
      <c r="J129" t="s">
        <v>1671</v>
      </c>
      <c r="K129">
        <v>7</v>
      </c>
      <c r="L129" s="3">
        <v>0.08</v>
      </c>
      <c r="N129">
        <v>91</v>
      </c>
      <c r="Q129">
        <v>84.99</v>
      </c>
    </row>
    <row r="130" spans="1:17" x14ac:dyDescent="0.25">
      <c r="A130" t="s">
        <v>873</v>
      </c>
      <c r="B130">
        <v>8</v>
      </c>
      <c r="C130">
        <v>0.09</v>
      </c>
      <c r="I130">
        <v>92</v>
      </c>
      <c r="J130" t="s">
        <v>1672</v>
      </c>
      <c r="K130">
        <v>74</v>
      </c>
      <c r="L130" s="3">
        <v>0.84</v>
      </c>
      <c r="N130">
        <v>92</v>
      </c>
      <c r="Q130">
        <v>85.84</v>
      </c>
    </row>
    <row r="131" spans="1:17" x14ac:dyDescent="0.25">
      <c r="A131" t="s">
        <v>879</v>
      </c>
      <c r="B131">
        <v>8</v>
      </c>
      <c r="C131">
        <v>0.09</v>
      </c>
      <c r="I131">
        <v>93</v>
      </c>
      <c r="J131" t="s">
        <v>1673</v>
      </c>
      <c r="K131">
        <v>87</v>
      </c>
      <c r="L131" s="3">
        <v>0.99</v>
      </c>
      <c r="N131">
        <v>93</v>
      </c>
      <c r="Q131">
        <v>86.83</v>
      </c>
    </row>
    <row r="132" spans="1:17" x14ac:dyDescent="0.25">
      <c r="A132" t="s">
        <v>959</v>
      </c>
      <c r="B132">
        <v>8</v>
      </c>
      <c r="C132">
        <v>0.09</v>
      </c>
      <c r="I132">
        <v>94</v>
      </c>
      <c r="J132" t="s">
        <v>1674</v>
      </c>
      <c r="K132">
        <v>13</v>
      </c>
      <c r="L132" s="3">
        <v>0.15</v>
      </c>
      <c r="N132">
        <v>94</v>
      </c>
      <c r="Q132">
        <v>86.98</v>
      </c>
    </row>
    <row r="133" spans="1:17" x14ac:dyDescent="0.25">
      <c r="A133" t="s">
        <v>1323</v>
      </c>
      <c r="B133">
        <v>8</v>
      </c>
      <c r="C133">
        <v>0.09</v>
      </c>
      <c r="I133">
        <v>95</v>
      </c>
      <c r="J133" t="s">
        <v>1675</v>
      </c>
      <c r="K133">
        <v>441</v>
      </c>
      <c r="L133" s="3">
        <v>5.03</v>
      </c>
      <c r="N133">
        <v>95</v>
      </c>
      <c r="Q133">
        <v>92</v>
      </c>
    </row>
    <row r="134" spans="1:17" x14ac:dyDescent="0.25">
      <c r="A134" t="s">
        <v>1355</v>
      </c>
      <c r="B134">
        <v>8</v>
      </c>
      <c r="C134">
        <v>0.09</v>
      </c>
      <c r="I134">
        <v>96</v>
      </c>
      <c r="J134" t="s">
        <v>1676</v>
      </c>
      <c r="K134">
        <v>49</v>
      </c>
      <c r="L134" s="3">
        <v>0.56000000000000005</v>
      </c>
      <c r="N134">
        <v>96</v>
      </c>
      <c r="Q134">
        <v>92.56</v>
      </c>
    </row>
    <row r="135" spans="1:17" x14ac:dyDescent="0.25">
      <c r="A135" t="s">
        <v>198</v>
      </c>
      <c r="B135">
        <v>7</v>
      </c>
      <c r="C135">
        <v>0.08</v>
      </c>
      <c r="I135">
        <v>97</v>
      </c>
      <c r="J135" t="s">
        <v>1677</v>
      </c>
      <c r="K135">
        <v>75</v>
      </c>
      <c r="L135" s="3">
        <v>0.85</v>
      </c>
      <c r="N135">
        <v>97</v>
      </c>
      <c r="Q135">
        <v>93.41</v>
      </c>
    </row>
    <row r="136" spans="1:17" x14ac:dyDescent="0.25">
      <c r="A136" t="s">
        <v>510</v>
      </c>
      <c r="B136">
        <v>7</v>
      </c>
      <c r="C136">
        <v>0.08</v>
      </c>
      <c r="I136">
        <v>98</v>
      </c>
      <c r="J136" t="s">
        <v>1678</v>
      </c>
      <c r="K136">
        <v>305</v>
      </c>
      <c r="L136" s="3">
        <v>3.48</v>
      </c>
      <c r="N136">
        <v>98</v>
      </c>
      <c r="Q136">
        <v>96.89</v>
      </c>
    </row>
    <row r="137" spans="1:17" x14ac:dyDescent="0.25">
      <c r="A137" t="s">
        <v>807</v>
      </c>
      <c r="B137">
        <v>7</v>
      </c>
      <c r="C137">
        <v>0.08</v>
      </c>
      <c r="I137">
        <v>99</v>
      </c>
      <c r="J137" t="s">
        <v>1679</v>
      </c>
      <c r="K137">
        <v>273</v>
      </c>
      <c r="L137" s="3">
        <v>3.11</v>
      </c>
      <c r="N137">
        <v>99</v>
      </c>
      <c r="Q137">
        <v>100</v>
      </c>
    </row>
    <row r="138" spans="1:17" x14ac:dyDescent="0.25">
      <c r="A138" t="s">
        <v>846</v>
      </c>
      <c r="B138">
        <v>7</v>
      </c>
      <c r="C138">
        <v>0.08</v>
      </c>
      <c r="I138" t="s">
        <v>57</v>
      </c>
      <c r="K138">
        <v>8776</v>
      </c>
      <c r="L138">
        <v>100</v>
      </c>
    </row>
    <row r="139" spans="1:17" x14ac:dyDescent="0.25">
      <c r="A139" t="s">
        <v>899</v>
      </c>
      <c r="B139">
        <v>7</v>
      </c>
      <c r="C139">
        <v>0.08</v>
      </c>
      <c r="N139" t="s">
        <v>57</v>
      </c>
      <c r="P139">
        <v>100</v>
      </c>
    </row>
    <row r="140" spans="1:17" x14ac:dyDescent="0.25">
      <c r="A140" t="s">
        <v>1011</v>
      </c>
      <c r="B140">
        <v>7</v>
      </c>
      <c r="C140">
        <v>0.08</v>
      </c>
    </row>
    <row r="141" spans="1:17" x14ac:dyDescent="0.25">
      <c r="A141" t="s">
        <v>1138</v>
      </c>
      <c r="B141">
        <v>7</v>
      </c>
      <c r="C141">
        <v>0.08</v>
      </c>
    </row>
    <row r="142" spans="1:17" x14ac:dyDescent="0.25">
      <c r="A142" t="s">
        <v>1192</v>
      </c>
      <c r="B142">
        <v>7</v>
      </c>
      <c r="C142">
        <v>0.08</v>
      </c>
    </row>
    <row r="143" spans="1:17" x14ac:dyDescent="0.25">
      <c r="A143" t="s">
        <v>1233</v>
      </c>
      <c r="B143">
        <v>7</v>
      </c>
      <c r="C143">
        <v>0.08</v>
      </c>
    </row>
    <row r="144" spans="1:17" x14ac:dyDescent="0.25">
      <c r="A144" t="s">
        <v>1339</v>
      </c>
      <c r="B144">
        <v>7</v>
      </c>
      <c r="C144">
        <v>0.08</v>
      </c>
    </row>
    <row r="145" spans="1:3" x14ac:dyDescent="0.25">
      <c r="A145" t="s">
        <v>1460</v>
      </c>
      <c r="B145">
        <v>7</v>
      </c>
      <c r="C145">
        <v>0.08</v>
      </c>
    </row>
    <row r="146" spans="1:3" x14ac:dyDescent="0.25">
      <c r="A146" t="s">
        <v>1484</v>
      </c>
      <c r="B146">
        <v>7</v>
      </c>
      <c r="C146">
        <v>0.08</v>
      </c>
    </row>
    <row r="147" spans="1:3" x14ac:dyDescent="0.25">
      <c r="A147" t="s">
        <v>238</v>
      </c>
      <c r="B147">
        <v>6</v>
      </c>
      <c r="C147">
        <v>7.0000000000000007E-2</v>
      </c>
    </row>
    <row r="148" spans="1:3" x14ac:dyDescent="0.25">
      <c r="A148" t="s">
        <v>279</v>
      </c>
      <c r="B148">
        <v>6</v>
      </c>
      <c r="C148">
        <v>7.0000000000000007E-2</v>
      </c>
    </row>
    <row r="149" spans="1:3" x14ac:dyDescent="0.25">
      <c r="A149" t="s">
        <v>307</v>
      </c>
      <c r="B149">
        <v>6</v>
      </c>
      <c r="C149">
        <v>7.0000000000000007E-2</v>
      </c>
    </row>
    <row r="150" spans="1:3" x14ac:dyDescent="0.25">
      <c r="A150" t="s">
        <v>321</v>
      </c>
      <c r="B150">
        <v>6</v>
      </c>
      <c r="C150">
        <v>7.0000000000000007E-2</v>
      </c>
    </row>
    <row r="151" spans="1:3" x14ac:dyDescent="0.25">
      <c r="A151" t="s">
        <v>383</v>
      </c>
      <c r="B151">
        <v>6</v>
      </c>
      <c r="C151">
        <v>7.0000000000000007E-2</v>
      </c>
    </row>
    <row r="152" spans="1:3" x14ac:dyDescent="0.25">
      <c r="A152" t="s">
        <v>455</v>
      </c>
      <c r="B152">
        <v>6</v>
      </c>
      <c r="C152">
        <v>7.0000000000000007E-2</v>
      </c>
    </row>
    <row r="153" spans="1:3" x14ac:dyDescent="0.25">
      <c r="A153" t="s">
        <v>508</v>
      </c>
      <c r="B153">
        <v>6</v>
      </c>
      <c r="C153">
        <v>7.0000000000000007E-2</v>
      </c>
    </row>
    <row r="154" spans="1:3" x14ac:dyDescent="0.25">
      <c r="A154" t="s">
        <v>511</v>
      </c>
      <c r="B154">
        <v>6</v>
      </c>
      <c r="C154">
        <v>7.0000000000000007E-2</v>
      </c>
    </row>
    <row r="155" spans="1:3" x14ac:dyDescent="0.25">
      <c r="A155" t="s">
        <v>668</v>
      </c>
      <c r="B155">
        <v>6</v>
      </c>
      <c r="C155">
        <v>7.0000000000000007E-2</v>
      </c>
    </row>
    <row r="156" spans="1:3" x14ac:dyDescent="0.25">
      <c r="A156" t="s">
        <v>743</v>
      </c>
      <c r="B156">
        <v>6</v>
      </c>
      <c r="C156">
        <v>7.0000000000000007E-2</v>
      </c>
    </row>
    <row r="157" spans="1:3" x14ac:dyDescent="0.25">
      <c r="A157" t="s">
        <v>797</v>
      </c>
      <c r="B157">
        <v>6</v>
      </c>
      <c r="C157">
        <v>7.0000000000000007E-2</v>
      </c>
    </row>
    <row r="158" spans="1:3" x14ac:dyDescent="0.25">
      <c r="A158" t="s">
        <v>809</v>
      </c>
      <c r="B158">
        <v>6</v>
      </c>
      <c r="C158">
        <v>7.0000000000000007E-2</v>
      </c>
    </row>
    <row r="159" spans="1:3" x14ac:dyDescent="0.25">
      <c r="A159" t="s">
        <v>818</v>
      </c>
      <c r="B159">
        <v>6</v>
      </c>
      <c r="C159">
        <v>7.0000000000000007E-2</v>
      </c>
    </row>
    <row r="160" spans="1:3" x14ac:dyDescent="0.25">
      <c r="A160" t="s">
        <v>1063</v>
      </c>
      <c r="B160">
        <v>6</v>
      </c>
      <c r="C160">
        <v>7.0000000000000007E-2</v>
      </c>
    </row>
    <row r="161" spans="1:3" x14ac:dyDescent="0.25">
      <c r="A161" t="s">
        <v>1176</v>
      </c>
      <c r="B161">
        <v>6</v>
      </c>
      <c r="C161">
        <v>7.0000000000000007E-2</v>
      </c>
    </row>
    <row r="162" spans="1:3" x14ac:dyDescent="0.25">
      <c r="A162" t="s">
        <v>1207</v>
      </c>
      <c r="B162">
        <v>6</v>
      </c>
      <c r="C162">
        <v>7.0000000000000007E-2</v>
      </c>
    </row>
    <row r="163" spans="1:3" x14ac:dyDescent="0.25">
      <c r="A163" t="s">
        <v>1256</v>
      </c>
      <c r="B163">
        <v>6</v>
      </c>
      <c r="C163">
        <v>7.0000000000000007E-2</v>
      </c>
    </row>
    <row r="164" spans="1:3" x14ac:dyDescent="0.25">
      <c r="A164" t="s">
        <v>1302</v>
      </c>
      <c r="B164">
        <v>6</v>
      </c>
      <c r="C164">
        <v>7.0000000000000007E-2</v>
      </c>
    </row>
    <row r="165" spans="1:3" x14ac:dyDescent="0.25">
      <c r="A165" t="s">
        <v>1311</v>
      </c>
      <c r="B165">
        <v>6</v>
      </c>
      <c r="C165">
        <v>7.0000000000000007E-2</v>
      </c>
    </row>
    <row r="166" spans="1:3" x14ac:dyDescent="0.25">
      <c r="A166" t="s">
        <v>1343</v>
      </c>
      <c r="B166">
        <v>6</v>
      </c>
      <c r="C166">
        <v>7.0000000000000007E-2</v>
      </c>
    </row>
    <row r="167" spans="1:3" x14ac:dyDescent="0.25">
      <c r="A167" t="s">
        <v>1348</v>
      </c>
      <c r="B167">
        <v>6</v>
      </c>
      <c r="C167">
        <v>7.0000000000000007E-2</v>
      </c>
    </row>
    <row r="168" spans="1:3" x14ac:dyDescent="0.25">
      <c r="A168" t="s">
        <v>1386</v>
      </c>
      <c r="B168">
        <v>6</v>
      </c>
      <c r="C168">
        <v>7.0000000000000007E-2</v>
      </c>
    </row>
    <row r="169" spans="1:3" x14ac:dyDescent="0.25">
      <c r="A169" t="s">
        <v>207</v>
      </c>
      <c r="B169">
        <v>5</v>
      </c>
      <c r="C169">
        <v>0.06</v>
      </c>
    </row>
    <row r="170" spans="1:3" x14ac:dyDescent="0.25">
      <c r="A170" t="s">
        <v>232</v>
      </c>
      <c r="B170">
        <v>5</v>
      </c>
      <c r="C170">
        <v>0.06</v>
      </c>
    </row>
    <row r="171" spans="1:3" x14ac:dyDescent="0.25">
      <c r="A171" t="s">
        <v>274</v>
      </c>
      <c r="B171">
        <v>5</v>
      </c>
      <c r="C171">
        <v>0.06</v>
      </c>
    </row>
    <row r="172" spans="1:3" x14ac:dyDescent="0.25">
      <c r="A172" t="s">
        <v>332</v>
      </c>
      <c r="B172">
        <v>5</v>
      </c>
      <c r="C172">
        <v>0.06</v>
      </c>
    </row>
    <row r="173" spans="1:3" x14ac:dyDescent="0.25">
      <c r="A173" t="s">
        <v>375</v>
      </c>
      <c r="B173">
        <v>5</v>
      </c>
      <c r="C173">
        <v>0.06</v>
      </c>
    </row>
    <row r="174" spans="1:3" x14ac:dyDescent="0.25">
      <c r="A174" t="s">
        <v>474</v>
      </c>
      <c r="B174">
        <v>5</v>
      </c>
      <c r="C174">
        <v>0.06</v>
      </c>
    </row>
    <row r="175" spans="1:3" x14ac:dyDescent="0.25">
      <c r="A175" t="s">
        <v>519</v>
      </c>
      <c r="B175">
        <v>5</v>
      </c>
      <c r="C175">
        <v>0.06</v>
      </c>
    </row>
    <row r="176" spans="1:3" x14ac:dyDescent="0.25">
      <c r="A176" t="s">
        <v>563</v>
      </c>
      <c r="B176">
        <v>5</v>
      </c>
      <c r="C176">
        <v>0.06</v>
      </c>
    </row>
    <row r="177" spans="1:3" x14ac:dyDescent="0.25">
      <c r="A177" t="s">
        <v>587</v>
      </c>
      <c r="B177">
        <v>5</v>
      </c>
      <c r="C177">
        <v>0.06</v>
      </c>
    </row>
    <row r="178" spans="1:3" x14ac:dyDescent="0.25">
      <c r="A178" t="s">
        <v>685</v>
      </c>
      <c r="B178">
        <v>5</v>
      </c>
      <c r="C178">
        <v>0.06</v>
      </c>
    </row>
    <row r="179" spans="1:3" x14ac:dyDescent="0.25">
      <c r="A179" t="s">
        <v>725</v>
      </c>
      <c r="B179">
        <v>5</v>
      </c>
      <c r="C179">
        <v>0.06</v>
      </c>
    </row>
    <row r="180" spans="1:3" x14ac:dyDescent="0.25">
      <c r="A180" t="s">
        <v>769</v>
      </c>
      <c r="B180">
        <v>5</v>
      </c>
      <c r="C180">
        <v>0.06</v>
      </c>
    </row>
    <row r="181" spans="1:3" x14ac:dyDescent="0.25">
      <c r="A181" t="s">
        <v>786</v>
      </c>
      <c r="B181">
        <v>5</v>
      </c>
      <c r="C181">
        <v>0.06</v>
      </c>
    </row>
    <row r="182" spans="1:3" x14ac:dyDescent="0.25">
      <c r="A182" t="s">
        <v>979</v>
      </c>
      <c r="B182">
        <v>5</v>
      </c>
      <c r="C182">
        <v>0.06</v>
      </c>
    </row>
    <row r="183" spans="1:3" x14ac:dyDescent="0.25">
      <c r="A183" t="s">
        <v>1005</v>
      </c>
      <c r="B183">
        <v>5</v>
      </c>
      <c r="C183">
        <v>0.06</v>
      </c>
    </row>
    <row r="184" spans="1:3" x14ac:dyDescent="0.25">
      <c r="A184" t="s">
        <v>1154</v>
      </c>
      <c r="B184">
        <v>5</v>
      </c>
      <c r="C184">
        <v>0.06</v>
      </c>
    </row>
    <row r="185" spans="1:3" x14ac:dyDescent="0.25">
      <c r="A185" t="s">
        <v>1199</v>
      </c>
      <c r="B185">
        <v>5</v>
      </c>
      <c r="C185">
        <v>0.06</v>
      </c>
    </row>
    <row r="186" spans="1:3" x14ac:dyDescent="0.25">
      <c r="A186" t="s">
        <v>1336</v>
      </c>
      <c r="B186">
        <v>5</v>
      </c>
      <c r="C186">
        <v>0.06</v>
      </c>
    </row>
    <row r="187" spans="1:3" x14ac:dyDescent="0.25">
      <c r="A187" t="s">
        <v>1377</v>
      </c>
      <c r="B187">
        <v>5</v>
      </c>
      <c r="C187">
        <v>0.06</v>
      </c>
    </row>
    <row r="188" spans="1:3" x14ac:dyDescent="0.25">
      <c r="A188" t="s">
        <v>1378</v>
      </c>
      <c r="B188">
        <v>5</v>
      </c>
      <c r="C188">
        <v>0.06</v>
      </c>
    </row>
    <row r="189" spans="1:3" x14ac:dyDescent="0.25">
      <c r="A189" t="s">
        <v>1412</v>
      </c>
      <c r="B189">
        <v>5</v>
      </c>
      <c r="C189">
        <v>0.06</v>
      </c>
    </row>
    <row r="190" spans="1:3" x14ac:dyDescent="0.25">
      <c r="A190" t="s">
        <v>1416</v>
      </c>
      <c r="B190">
        <v>5</v>
      </c>
      <c r="C190">
        <v>0.06</v>
      </c>
    </row>
    <row r="191" spans="1:3" x14ac:dyDescent="0.25">
      <c r="A191" t="s">
        <v>1446</v>
      </c>
      <c r="B191">
        <v>5</v>
      </c>
      <c r="C191">
        <v>0.06</v>
      </c>
    </row>
    <row r="192" spans="1:3" x14ac:dyDescent="0.25">
      <c r="A192" t="s">
        <v>1466</v>
      </c>
      <c r="B192">
        <v>5</v>
      </c>
      <c r="C192">
        <v>0.06</v>
      </c>
    </row>
    <row r="193" spans="1:3" x14ac:dyDescent="0.25">
      <c r="A193" t="s">
        <v>184</v>
      </c>
      <c r="B193">
        <v>4</v>
      </c>
      <c r="C193">
        <v>0.05</v>
      </c>
    </row>
    <row r="194" spans="1:3" x14ac:dyDescent="0.25">
      <c r="A194" t="s">
        <v>206</v>
      </c>
      <c r="B194">
        <v>4</v>
      </c>
      <c r="C194">
        <v>0.05</v>
      </c>
    </row>
    <row r="195" spans="1:3" x14ac:dyDescent="0.25">
      <c r="A195" t="s">
        <v>226</v>
      </c>
      <c r="B195">
        <v>4</v>
      </c>
      <c r="C195">
        <v>0.05</v>
      </c>
    </row>
    <row r="196" spans="1:3" x14ac:dyDescent="0.25">
      <c r="A196" t="s">
        <v>261</v>
      </c>
      <c r="B196">
        <v>4</v>
      </c>
      <c r="C196">
        <v>0.05</v>
      </c>
    </row>
    <row r="197" spans="1:3" x14ac:dyDescent="0.25">
      <c r="A197" t="s">
        <v>292</v>
      </c>
      <c r="B197">
        <v>4</v>
      </c>
      <c r="C197">
        <v>0.05</v>
      </c>
    </row>
    <row r="198" spans="1:3" x14ac:dyDescent="0.25">
      <c r="A198" t="s">
        <v>336</v>
      </c>
      <c r="B198">
        <v>4</v>
      </c>
      <c r="C198">
        <v>0.05</v>
      </c>
    </row>
    <row r="199" spans="1:3" x14ac:dyDescent="0.25">
      <c r="A199" t="s">
        <v>346</v>
      </c>
      <c r="B199">
        <v>4</v>
      </c>
      <c r="C199">
        <v>0.05</v>
      </c>
    </row>
    <row r="200" spans="1:3" x14ac:dyDescent="0.25">
      <c r="A200" t="s">
        <v>378</v>
      </c>
      <c r="B200">
        <v>4</v>
      </c>
      <c r="C200">
        <v>0.05</v>
      </c>
    </row>
    <row r="201" spans="1:3" x14ac:dyDescent="0.25">
      <c r="A201" t="s">
        <v>405</v>
      </c>
      <c r="B201">
        <v>4</v>
      </c>
      <c r="C201">
        <v>0.05</v>
      </c>
    </row>
    <row r="202" spans="1:3" x14ac:dyDescent="0.25">
      <c r="A202" t="s">
        <v>430</v>
      </c>
      <c r="B202">
        <v>4</v>
      </c>
      <c r="C202">
        <v>0.05</v>
      </c>
    </row>
    <row r="203" spans="1:3" x14ac:dyDescent="0.25">
      <c r="A203" t="s">
        <v>476</v>
      </c>
      <c r="B203">
        <v>4</v>
      </c>
      <c r="C203">
        <v>0.05</v>
      </c>
    </row>
    <row r="204" spans="1:3" x14ac:dyDescent="0.25">
      <c r="A204" t="s">
        <v>480</v>
      </c>
      <c r="B204">
        <v>4</v>
      </c>
      <c r="C204">
        <v>0.05</v>
      </c>
    </row>
    <row r="205" spans="1:3" x14ac:dyDescent="0.25">
      <c r="A205" t="s">
        <v>506</v>
      </c>
      <c r="B205">
        <v>4</v>
      </c>
      <c r="C205">
        <v>0.05</v>
      </c>
    </row>
    <row r="206" spans="1:3" x14ac:dyDescent="0.25">
      <c r="A206" t="s">
        <v>512</v>
      </c>
      <c r="B206">
        <v>4</v>
      </c>
      <c r="C206">
        <v>0.05</v>
      </c>
    </row>
    <row r="207" spans="1:3" x14ac:dyDescent="0.25">
      <c r="A207" t="s">
        <v>549</v>
      </c>
      <c r="B207">
        <v>4</v>
      </c>
      <c r="C207">
        <v>0.05</v>
      </c>
    </row>
    <row r="208" spans="1:3" x14ac:dyDescent="0.25">
      <c r="A208" t="s">
        <v>566</v>
      </c>
      <c r="B208">
        <v>4</v>
      </c>
      <c r="C208">
        <v>0.05</v>
      </c>
    </row>
    <row r="209" spans="1:3" x14ac:dyDescent="0.25">
      <c r="A209" t="s">
        <v>771</v>
      </c>
      <c r="B209">
        <v>4</v>
      </c>
      <c r="C209">
        <v>0.05</v>
      </c>
    </row>
    <row r="210" spans="1:3" x14ac:dyDescent="0.25">
      <c r="A210" t="s">
        <v>790</v>
      </c>
      <c r="B210">
        <v>4</v>
      </c>
      <c r="C210">
        <v>0.05</v>
      </c>
    </row>
    <row r="211" spans="1:3" x14ac:dyDescent="0.25">
      <c r="A211" t="s">
        <v>832</v>
      </c>
      <c r="B211">
        <v>4</v>
      </c>
      <c r="C211">
        <v>0.05</v>
      </c>
    </row>
    <row r="212" spans="1:3" x14ac:dyDescent="0.25">
      <c r="A212" t="s">
        <v>848</v>
      </c>
      <c r="B212">
        <v>4</v>
      </c>
      <c r="C212">
        <v>0.05</v>
      </c>
    </row>
    <row r="213" spans="1:3" x14ac:dyDescent="0.25">
      <c r="A213" t="s">
        <v>939</v>
      </c>
      <c r="B213">
        <v>4</v>
      </c>
      <c r="C213">
        <v>0.05</v>
      </c>
    </row>
    <row r="214" spans="1:3" x14ac:dyDescent="0.25">
      <c r="A214" t="s">
        <v>973</v>
      </c>
      <c r="B214">
        <v>4</v>
      </c>
      <c r="C214">
        <v>0.05</v>
      </c>
    </row>
    <row r="215" spans="1:3" x14ac:dyDescent="0.25">
      <c r="A215" t="s">
        <v>1055</v>
      </c>
      <c r="B215">
        <v>4</v>
      </c>
      <c r="C215">
        <v>0.05</v>
      </c>
    </row>
    <row r="216" spans="1:3" x14ac:dyDescent="0.25">
      <c r="A216" t="s">
        <v>1099</v>
      </c>
      <c r="B216">
        <v>4</v>
      </c>
      <c r="C216">
        <v>0.05</v>
      </c>
    </row>
    <row r="217" spans="1:3" x14ac:dyDescent="0.25">
      <c r="A217" t="s">
        <v>1106</v>
      </c>
      <c r="B217">
        <v>4</v>
      </c>
      <c r="C217">
        <v>0.05</v>
      </c>
    </row>
    <row r="218" spans="1:3" x14ac:dyDescent="0.25">
      <c r="A218" t="s">
        <v>1188</v>
      </c>
      <c r="B218">
        <v>4</v>
      </c>
      <c r="C218">
        <v>0.05</v>
      </c>
    </row>
    <row r="219" spans="1:3" x14ac:dyDescent="0.25">
      <c r="A219" t="s">
        <v>1210</v>
      </c>
      <c r="B219">
        <v>4</v>
      </c>
      <c r="C219">
        <v>0.05</v>
      </c>
    </row>
    <row r="220" spans="1:3" x14ac:dyDescent="0.25">
      <c r="A220" t="s">
        <v>1214</v>
      </c>
      <c r="B220">
        <v>4</v>
      </c>
      <c r="C220">
        <v>0.05</v>
      </c>
    </row>
    <row r="221" spans="1:3" x14ac:dyDescent="0.25">
      <c r="A221" t="s">
        <v>1218</v>
      </c>
      <c r="B221">
        <v>4</v>
      </c>
      <c r="C221">
        <v>0.05</v>
      </c>
    </row>
    <row r="222" spans="1:3" x14ac:dyDescent="0.25">
      <c r="A222" t="s">
        <v>1245</v>
      </c>
      <c r="B222">
        <v>4</v>
      </c>
      <c r="C222">
        <v>0.05</v>
      </c>
    </row>
    <row r="223" spans="1:3" x14ac:dyDescent="0.25">
      <c r="A223" t="s">
        <v>1261</v>
      </c>
      <c r="B223">
        <v>4</v>
      </c>
      <c r="C223">
        <v>0.05</v>
      </c>
    </row>
    <row r="224" spans="1:3" x14ac:dyDescent="0.25">
      <c r="A224" t="s">
        <v>1289</v>
      </c>
      <c r="B224">
        <v>4</v>
      </c>
      <c r="C224">
        <v>0.05</v>
      </c>
    </row>
    <row r="225" spans="1:3" x14ac:dyDescent="0.25">
      <c r="A225" t="s">
        <v>1381</v>
      </c>
      <c r="B225">
        <v>4</v>
      </c>
      <c r="C225">
        <v>0.05</v>
      </c>
    </row>
    <row r="226" spans="1:3" x14ac:dyDescent="0.25">
      <c r="A226" t="s">
        <v>1419</v>
      </c>
      <c r="B226">
        <v>4</v>
      </c>
      <c r="C226">
        <v>0.05</v>
      </c>
    </row>
    <row r="227" spans="1:3" x14ac:dyDescent="0.25">
      <c r="A227" t="s">
        <v>1435</v>
      </c>
      <c r="B227">
        <v>4</v>
      </c>
      <c r="C227">
        <v>0.05</v>
      </c>
    </row>
    <row r="228" spans="1:3" x14ac:dyDescent="0.25">
      <c r="A228" t="s">
        <v>182</v>
      </c>
      <c r="B228">
        <v>3</v>
      </c>
      <c r="C228">
        <v>0.03</v>
      </c>
    </row>
    <row r="229" spans="1:3" x14ac:dyDescent="0.25">
      <c r="A229" t="s">
        <v>204</v>
      </c>
      <c r="B229">
        <v>3</v>
      </c>
      <c r="C229">
        <v>0.03</v>
      </c>
    </row>
    <row r="230" spans="1:3" x14ac:dyDescent="0.25">
      <c r="A230" t="s">
        <v>254</v>
      </c>
      <c r="B230">
        <v>3</v>
      </c>
      <c r="C230">
        <v>0.03</v>
      </c>
    </row>
    <row r="231" spans="1:3" x14ac:dyDescent="0.25">
      <c r="A231" t="s">
        <v>268</v>
      </c>
      <c r="B231">
        <v>3</v>
      </c>
      <c r="C231">
        <v>0.03</v>
      </c>
    </row>
    <row r="232" spans="1:3" x14ac:dyDescent="0.25">
      <c r="A232" t="s">
        <v>277</v>
      </c>
      <c r="B232">
        <v>3</v>
      </c>
      <c r="C232">
        <v>0.03</v>
      </c>
    </row>
    <row r="233" spans="1:3" x14ac:dyDescent="0.25">
      <c r="A233" t="s">
        <v>294</v>
      </c>
      <c r="B233">
        <v>3</v>
      </c>
      <c r="C233">
        <v>0.03</v>
      </c>
    </row>
    <row r="234" spans="1:3" x14ac:dyDescent="0.25">
      <c r="A234" t="s">
        <v>317</v>
      </c>
      <c r="B234">
        <v>3</v>
      </c>
      <c r="C234">
        <v>0.03</v>
      </c>
    </row>
    <row r="235" spans="1:3" x14ac:dyDescent="0.25">
      <c r="A235" t="s">
        <v>328</v>
      </c>
      <c r="B235">
        <v>3</v>
      </c>
      <c r="C235">
        <v>0.03</v>
      </c>
    </row>
    <row r="236" spans="1:3" x14ac:dyDescent="0.25">
      <c r="A236" t="s">
        <v>342</v>
      </c>
      <c r="B236">
        <v>3</v>
      </c>
      <c r="C236">
        <v>0.03</v>
      </c>
    </row>
    <row r="237" spans="1:3" x14ac:dyDescent="0.25">
      <c r="A237" t="s">
        <v>367</v>
      </c>
      <c r="B237">
        <v>3</v>
      </c>
      <c r="C237">
        <v>0.03</v>
      </c>
    </row>
    <row r="238" spans="1:3" x14ac:dyDescent="0.25">
      <c r="A238" t="s">
        <v>368</v>
      </c>
      <c r="B238">
        <v>3</v>
      </c>
      <c r="C238">
        <v>0.03</v>
      </c>
    </row>
    <row r="239" spans="1:3" x14ac:dyDescent="0.25">
      <c r="A239" t="s">
        <v>370</v>
      </c>
      <c r="B239">
        <v>3</v>
      </c>
      <c r="C239">
        <v>0.03</v>
      </c>
    </row>
    <row r="240" spans="1:3" x14ac:dyDescent="0.25">
      <c r="A240" t="s">
        <v>437</v>
      </c>
      <c r="B240">
        <v>3</v>
      </c>
      <c r="C240">
        <v>0.03</v>
      </c>
    </row>
    <row r="241" spans="1:3" x14ac:dyDescent="0.25">
      <c r="A241" t="s">
        <v>451</v>
      </c>
      <c r="B241">
        <v>3</v>
      </c>
      <c r="C241">
        <v>0.03</v>
      </c>
    </row>
    <row r="242" spans="1:3" x14ac:dyDescent="0.25">
      <c r="A242" t="s">
        <v>462</v>
      </c>
      <c r="B242">
        <v>3</v>
      </c>
      <c r="C242">
        <v>0.03</v>
      </c>
    </row>
    <row r="243" spans="1:3" x14ac:dyDescent="0.25">
      <c r="A243" t="s">
        <v>482</v>
      </c>
      <c r="B243">
        <v>3</v>
      </c>
      <c r="C243">
        <v>0.03</v>
      </c>
    </row>
    <row r="244" spans="1:3" x14ac:dyDescent="0.25">
      <c r="A244" t="s">
        <v>532</v>
      </c>
      <c r="B244">
        <v>3</v>
      </c>
      <c r="C244">
        <v>0.03</v>
      </c>
    </row>
    <row r="245" spans="1:3" x14ac:dyDescent="0.25">
      <c r="A245" t="s">
        <v>546</v>
      </c>
      <c r="B245">
        <v>3</v>
      </c>
      <c r="C245">
        <v>0.03</v>
      </c>
    </row>
    <row r="246" spans="1:3" x14ac:dyDescent="0.25">
      <c r="A246" t="s">
        <v>556</v>
      </c>
      <c r="B246">
        <v>3</v>
      </c>
      <c r="C246">
        <v>0.03</v>
      </c>
    </row>
    <row r="247" spans="1:3" x14ac:dyDescent="0.25">
      <c r="A247" t="s">
        <v>596</v>
      </c>
      <c r="B247">
        <v>3</v>
      </c>
      <c r="C247">
        <v>0.03</v>
      </c>
    </row>
    <row r="248" spans="1:3" x14ac:dyDescent="0.25">
      <c r="A248" t="s">
        <v>619</v>
      </c>
      <c r="B248">
        <v>3</v>
      </c>
      <c r="C248">
        <v>0.03</v>
      </c>
    </row>
    <row r="249" spans="1:3" x14ac:dyDescent="0.25">
      <c r="A249" t="s">
        <v>638</v>
      </c>
      <c r="B249">
        <v>3</v>
      </c>
      <c r="C249">
        <v>0.03</v>
      </c>
    </row>
    <row r="250" spans="1:3" x14ac:dyDescent="0.25">
      <c r="A250" t="s">
        <v>644</v>
      </c>
      <c r="B250">
        <v>3</v>
      </c>
      <c r="C250">
        <v>0.03</v>
      </c>
    </row>
    <row r="251" spans="1:3" x14ac:dyDescent="0.25">
      <c r="A251" t="s">
        <v>700</v>
      </c>
      <c r="B251">
        <v>3</v>
      </c>
      <c r="C251">
        <v>0.03</v>
      </c>
    </row>
    <row r="252" spans="1:3" x14ac:dyDescent="0.25">
      <c r="A252" t="s">
        <v>708</v>
      </c>
      <c r="B252">
        <v>3</v>
      </c>
      <c r="C252">
        <v>0.03</v>
      </c>
    </row>
    <row r="253" spans="1:3" x14ac:dyDescent="0.25">
      <c r="A253" t="s">
        <v>724</v>
      </c>
      <c r="B253">
        <v>3</v>
      </c>
      <c r="C253">
        <v>0.03</v>
      </c>
    </row>
    <row r="254" spans="1:3" x14ac:dyDescent="0.25">
      <c r="A254" t="s">
        <v>754</v>
      </c>
      <c r="B254">
        <v>3</v>
      </c>
      <c r="C254">
        <v>0.03</v>
      </c>
    </row>
    <row r="255" spans="1:3" x14ac:dyDescent="0.25">
      <c r="A255" t="s">
        <v>762</v>
      </c>
      <c r="B255">
        <v>3</v>
      </c>
      <c r="C255">
        <v>0.03</v>
      </c>
    </row>
    <row r="256" spans="1:3" x14ac:dyDescent="0.25">
      <c r="A256" t="s">
        <v>773</v>
      </c>
      <c r="B256">
        <v>3</v>
      </c>
      <c r="C256">
        <v>0.03</v>
      </c>
    </row>
    <row r="257" spans="1:3" x14ac:dyDescent="0.25">
      <c r="A257" t="s">
        <v>791</v>
      </c>
      <c r="B257">
        <v>3</v>
      </c>
      <c r="C257">
        <v>0.03</v>
      </c>
    </row>
    <row r="258" spans="1:3" x14ac:dyDescent="0.25">
      <c r="A258" t="s">
        <v>798</v>
      </c>
      <c r="B258">
        <v>3</v>
      </c>
      <c r="C258">
        <v>0.03</v>
      </c>
    </row>
    <row r="259" spans="1:3" x14ac:dyDescent="0.25">
      <c r="A259" t="s">
        <v>814</v>
      </c>
      <c r="B259">
        <v>3</v>
      </c>
      <c r="C259">
        <v>0.03</v>
      </c>
    </row>
    <row r="260" spans="1:3" x14ac:dyDescent="0.25">
      <c r="A260" t="s">
        <v>816</v>
      </c>
      <c r="B260">
        <v>3</v>
      </c>
      <c r="C260">
        <v>0.03</v>
      </c>
    </row>
    <row r="261" spans="1:3" x14ac:dyDescent="0.25">
      <c r="A261" t="s">
        <v>875</v>
      </c>
      <c r="B261">
        <v>3</v>
      </c>
      <c r="C261">
        <v>0.03</v>
      </c>
    </row>
    <row r="262" spans="1:3" x14ac:dyDescent="0.25">
      <c r="A262" t="s">
        <v>876</v>
      </c>
      <c r="B262">
        <v>3</v>
      </c>
      <c r="C262">
        <v>0.03</v>
      </c>
    </row>
    <row r="263" spans="1:3" x14ac:dyDescent="0.25">
      <c r="A263" t="s">
        <v>895</v>
      </c>
      <c r="B263">
        <v>3</v>
      </c>
      <c r="C263">
        <v>0.03</v>
      </c>
    </row>
    <row r="264" spans="1:3" x14ac:dyDescent="0.25">
      <c r="A264" t="s">
        <v>902</v>
      </c>
      <c r="B264">
        <v>3</v>
      </c>
      <c r="C264">
        <v>0.03</v>
      </c>
    </row>
    <row r="265" spans="1:3" x14ac:dyDescent="0.25">
      <c r="A265" t="s">
        <v>903</v>
      </c>
      <c r="B265">
        <v>3</v>
      </c>
      <c r="C265">
        <v>0.03</v>
      </c>
    </row>
    <row r="266" spans="1:3" x14ac:dyDescent="0.25">
      <c r="A266" t="s">
        <v>927</v>
      </c>
      <c r="B266">
        <v>3</v>
      </c>
      <c r="C266">
        <v>0.03</v>
      </c>
    </row>
    <row r="267" spans="1:3" x14ac:dyDescent="0.25">
      <c r="A267" t="s">
        <v>956</v>
      </c>
      <c r="B267">
        <v>3</v>
      </c>
      <c r="C267">
        <v>0.03</v>
      </c>
    </row>
    <row r="268" spans="1:3" x14ac:dyDescent="0.25">
      <c r="A268" t="s">
        <v>967</v>
      </c>
      <c r="B268">
        <v>3</v>
      </c>
      <c r="C268">
        <v>0.03</v>
      </c>
    </row>
    <row r="269" spans="1:3" x14ac:dyDescent="0.25">
      <c r="A269" t="s">
        <v>994</v>
      </c>
      <c r="B269">
        <v>3</v>
      </c>
      <c r="C269">
        <v>0.03</v>
      </c>
    </row>
    <row r="270" spans="1:3" x14ac:dyDescent="0.25">
      <c r="A270" t="s">
        <v>1016</v>
      </c>
      <c r="B270">
        <v>3</v>
      </c>
      <c r="C270">
        <v>0.03</v>
      </c>
    </row>
    <row r="271" spans="1:3" x14ac:dyDescent="0.25">
      <c r="A271" t="s">
        <v>1047</v>
      </c>
      <c r="B271">
        <v>3</v>
      </c>
      <c r="C271">
        <v>0.03</v>
      </c>
    </row>
    <row r="272" spans="1:3" x14ac:dyDescent="0.25">
      <c r="A272" t="s">
        <v>1050</v>
      </c>
      <c r="B272">
        <v>3</v>
      </c>
      <c r="C272">
        <v>0.03</v>
      </c>
    </row>
    <row r="273" spans="1:3" x14ac:dyDescent="0.25">
      <c r="A273" t="s">
        <v>1091</v>
      </c>
      <c r="B273">
        <v>3</v>
      </c>
      <c r="C273">
        <v>0.03</v>
      </c>
    </row>
    <row r="274" spans="1:3" x14ac:dyDescent="0.25">
      <c r="A274" t="s">
        <v>1104</v>
      </c>
      <c r="B274">
        <v>3</v>
      </c>
      <c r="C274">
        <v>0.03</v>
      </c>
    </row>
    <row r="275" spans="1:3" x14ac:dyDescent="0.25">
      <c r="A275" t="s">
        <v>1111</v>
      </c>
      <c r="B275">
        <v>3</v>
      </c>
      <c r="C275">
        <v>0.03</v>
      </c>
    </row>
    <row r="276" spans="1:3" x14ac:dyDescent="0.25">
      <c r="A276" t="s">
        <v>1143</v>
      </c>
      <c r="B276">
        <v>3</v>
      </c>
      <c r="C276">
        <v>0.03</v>
      </c>
    </row>
    <row r="277" spans="1:3" x14ac:dyDescent="0.25">
      <c r="A277" t="s">
        <v>1147</v>
      </c>
      <c r="B277">
        <v>3</v>
      </c>
      <c r="C277">
        <v>0.03</v>
      </c>
    </row>
    <row r="278" spans="1:3" x14ac:dyDescent="0.25">
      <c r="A278" t="s">
        <v>1165</v>
      </c>
      <c r="B278">
        <v>3</v>
      </c>
      <c r="C278">
        <v>0.03</v>
      </c>
    </row>
    <row r="279" spans="1:3" x14ac:dyDescent="0.25">
      <c r="A279" t="s">
        <v>1170</v>
      </c>
      <c r="B279">
        <v>3</v>
      </c>
      <c r="C279">
        <v>0.03</v>
      </c>
    </row>
    <row r="280" spans="1:3" x14ac:dyDescent="0.25">
      <c r="A280" t="s">
        <v>1195</v>
      </c>
      <c r="B280">
        <v>3</v>
      </c>
      <c r="C280">
        <v>0.03</v>
      </c>
    </row>
    <row r="281" spans="1:3" x14ac:dyDescent="0.25">
      <c r="A281" t="s">
        <v>1228</v>
      </c>
      <c r="B281">
        <v>3</v>
      </c>
      <c r="C281">
        <v>0.03</v>
      </c>
    </row>
    <row r="282" spans="1:3" x14ac:dyDescent="0.25">
      <c r="A282" t="s">
        <v>1229</v>
      </c>
      <c r="B282">
        <v>3</v>
      </c>
      <c r="C282">
        <v>0.03</v>
      </c>
    </row>
    <row r="283" spans="1:3" x14ac:dyDescent="0.25">
      <c r="A283" t="s">
        <v>1290</v>
      </c>
      <c r="B283">
        <v>3</v>
      </c>
      <c r="C283">
        <v>0.03</v>
      </c>
    </row>
    <row r="284" spans="1:3" x14ac:dyDescent="0.25">
      <c r="A284" t="s">
        <v>1299</v>
      </c>
      <c r="B284">
        <v>3</v>
      </c>
      <c r="C284">
        <v>0.03</v>
      </c>
    </row>
    <row r="285" spans="1:3" x14ac:dyDescent="0.25">
      <c r="A285" t="s">
        <v>1315</v>
      </c>
      <c r="B285">
        <v>3</v>
      </c>
      <c r="C285">
        <v>0.03</v>
      </c>
    </row>
    <row r="286" spans="1:3" x14ac:dyDescent="0.25">
      <c r="A286" t="s">
        <v>1388</v>
      </c>
      <c r="B286">
        <v>3</v>
      </c>
      <c r="C286">
        <v>0.03</v>
      </c>
    </row>
    <row r="287" spans="1:3" x14ac:dyDescent="0.25">
      <c r="A287" t="s">
        <v>1390</v>
      </c>
      <c r="B287">
        <v>3</v>
      </c>
      <c r="C287">
        <v>0.03</v>
      </c>
    </row>
    <row r="288" spans="1:3" x14ac:dyDescent="0.25">
      <c r="A288" t="s">
        <v>1398</v>
      </c>
      <c r="B288">
        <v>3</v>
      </c>
      <c r="C288">
        <v>0.03</v>
      </c>
    </row>
    <row r="289" spans="1:3" x14ac:dyDescent="0.25">
      <c r="A289" t="s">
        <v>1403</v>
      </c>
      <c r="B289">
        <v>3</v>
      </c>
      <c r="C289">
        <v>0.03</v>
      </c>
    </row>
    <row r="290" spans="1:3" x14ac:dyDescent="0.25">
      <c r="A290" t="s">
        <v>1434</v>
      </c>
      <c r="B290">
        <v>3</v>
      </c>
      <c r="C290">
        <v>0.03</v>
      </c>
    </row>
    <row r="291" spans="1:3" x14ac:dyDescent="0.25">
      <c r="A291" t="s">
        <v>1463</v>
      </c>
      <c r="B291">
        <v>3</v>
      </c>
      <c r="C291">
        <v>0.03</v>
      </c>
    </row>
    <row r="292" spans="1:3" x14ac:dyDescent="0.25">
      <c r="A292" t="s">
        <v>1493</v>
      </c>
      <c r="B292">
        <v>3</v>
      </c>
      <c r="C292">
        <v>0.03</v>
      </c>
    </row>
    <row r="293" spans="1:3" x14ac:dyDescent="0.25">
      <c r="A293" t="s">
        <v>1508</v>
      </c>
      <c r="B293">
        <v>3</v>
      </c>
      <c r="C293">
        <v>0.03</v>
      </c>
    </row>
    <row r="294" spans="1:3" x14ac:dyDescent="0.25">
      <c r="A294" t="s">
        <v>189</v>
      </c>
      <c r="B294">
        <v>2</v>
      </c>
      <c r="C294">
        <v>0.02</v>
      </c>
    </row>
    <row r="295" spans="1:3" x14ac:dyDescent="0.25">
      <c r="A295" t="s">
        <v>195</v>
      </c>
      <c r="B295">
        <v>2</v>
      </c>
      <c r="C295">
        <v>0.02</v>
      </c>
    </row>
    <row r="296" spans="1:3" x14ac:dyDescent="0.25">
      <c r="A296" t="s">
        <v>201</v>
      </c>
      <c r="B296">
        <v>2</v>
      </c>
      <c r="C296">
        <v>0.02</v>
      </c>
    </row>
    <row r="297" spans="1:3" x14ac:dyDescent="0.25">
      <c r="A297" t="s">
        <v>235</v>
      </c>
      <c r="B297">
        <v>2</v>
      </c>
      <c r="C297">
        <v>0.02</v>
      </c>
    </row>
    <row r="298" spans="1:3" x14ac:dyDescent="0.25">
      <c r="A298" t="s">
        <v>251</v>
      </c>
      <c r="B298">
        <v>2</v>
      </c>
      <c r="C298">
        <v>0.02</v>
      </c>
    </row>
    <row r="299" spans="1:3" x14ac:dyDescent="0.25">
      <c r="A299" t="s">
        <v>271</v>
      </c>
      <c r="B299">
        <v>2</v>
      </c>
      <c r="C299">
        <v>0.02</v>
      </c>
    </row>
    <row r="300" spans="1:3" x14ac:dyDescent="0.25">
      <c r="A300" t="s">
        <v>289</v>
      </c>
      <c r="B300">
        <v>2</v>
      </c>
      <c r="C300">
        <v>0.02</v>
      </c>
    </row>
    <row r="301" spans="1:3" x14ac:dyDescent="0.25">
      <c r="A301" t="s">
        <v>293</v>
      </c>
      <c r="B301">
        <v>2</v>
      </c>
      <c r="C301">
        <v>0.02</v>
      </c>
    </row>
    <row r="302" spans="1:3" x14ac:dyDescent="0.25">
      <c r="A302" t="s">
        <v>295</v>
      </c>
      <c r="B302">
        <v>2</v>
      </c>
      <c r="C302">
        <v>0.02</v>
      </c>
    </row>
    <row r="303" spans="1:3" x14ac:dyDescent="0.25">
      <c r="A303" t="s">
        <v>304</v>
      </c>
      <c r="B303">
        <v>2</v>
      </c>
      <c r="C303">
        <v>0.02</v>
      </c>
    </row>
    <row r="304" spans="1:3" x14ac:dyDescent="0.25">
      <c r="A304" t="s">
        <v>316</v>
      </c>
      <c r="B304">
        <v>2</v>
      </c>
      <c r="C304">
        <v>0.02</v>
      </c>
    </row>
    <row r="305" spans="1:3" x14ac:dyDescent="0.25">
      <c r="A305" t="s">
        <v>337</v>
      </c>
      <c r="B305">
        <v>2</v>
      </c>
      <c r="C305">
        <v>0.02</v>
      </c>
    </row>
    <row r="306" spans="1:3" x14ac:dyDescent="0.25">
      <c r="A306" t="s">
        <v>376</v>
      </c>
      <c r="B306">
        <v>2</v>
      </c>
      <c r="C306">
        <v>0.02</v>
      </c>
    </row>
    <row r="307" spans="1:3" x14ac:dyDescent="0.25">
      <c r="A307" t="s">
        <v>379</v>
      </c>
      <c r="B307">
        <v>2</v>
      </c>
      <c r="C307">
        <v>0.02</v>
      </c>
    </row>
    <row r="308" spans="1:3" x14ac:dyDescent="0.25">
      <c r="A308" t="s">
        <v>387</v>
      </c>
      <c r="B308">
        <v>2</v>
      </c>
      <c r="C308">
        <v>0.02</v>
      </c>
    </row>
    <row r="309" spans="1:3" x14ac:dyDescent="0.25">
      <c r="A309" t="s">
        <v>389</v>
      </c>
      <c r="B309">
        <v>2</v>
      </c>
      <c r="C309">
        <v>0.02</v>
      </c>
    </row>
    <row r="310" spans="1:3" x14ac:dyDescent="0.25">
      <c r="A310" t="s">
        <v>393</v>
      </c>
      <c r="B310">
        <v>2</v>
      </c>
      <c r="C310">
        <v>0.02</v>
      </c>
    </row>
    <row r="311" spans="1:3" x14ac:dyDescent="0.25">
      <c r="A311" t="s">
        <v>394</v>
      </c>
      <c r="B311">
        <v>2</v>
      </c>
      <c r="C311">
        <v>0.02</v>
      </c>
    </row>
    <row r="312" spans="1:3" x14ac:dyDescent="0.25">
      <c r="A312" t="s">
        <v>395</v>
      </c>
      <c r="B312">
        <v>2</v>
      </c>
      <c r="C312">
        <v>0.02</v>
      </c>
    </row>
    <row r="313" spans="1:3" x14ac:dyDescent="0.25">
      <c r="A313" t="s">
        <v>400</v>
      </c>
      <c r="B313">
        <v>2</v>
      </c>
      <c r="C313">
        <v>0.02</v>
      </c>
    </row>
    <row r="314" spans="1:3" x14ac:dyDescent="0.25">
      <c r="A314" t="s">
        <v>412</v>
      </c>
      <c r="B314">
        <v>2</v>
      </c>
      <c r="C314">
        <v>0.02</v>
      </c>
    </row>
    <row r="315" spans="1:3" x14ac:dyDescent="0.25">
      <c r="A315" t="s">
        <v>428</v>
      </c>
      <c r="B315">
        <v>2</v>
      </c>
      <c r="C315">
        <v>0.02</v>
      </c>
    </row>
    <row r="316" spans="1:3" x14ac:dyDescent="0.25">
      <c r="A316" t="s">
        <v>432</v>
      </c>
      <c r="B316">
        <v>2</v>
      </c>
      <c r="C316">
        <v>0.02</v>
      </c>
    </row>
    <row r="317" spans="1:3" x14ac:dyDescent="0.25">
      <c r="A317" t="s">
        <v>442</v>
      </c>
      <c r="B317">
        <v>2</v>
      </c>
      <c r="C317">
        <v>0.02</v>
      </c>
    </row>
    <row r="318" spans="1:3" x14ac:dyDescent="0.25">
      <c r="A318" t="s">
        <v>446</v>
      </c>
      <c r="B318">
        <v>2</v>
      </c>
      <c r="C318">
        <v>0.02</v>
      </c>
    </row>
    <row r="319" spans="1:3" x14ac:dyDescent="0.25">
      <c r="A319" t="s">
        <v>447</v>
      </c>
      <c r="B319">
        <v>2</v>
      </c>
      <c r="C319">
        <v>0.02</v>
      </c>
    </row>
    <row r="320" spans="1:3" x14ac:dyDescent="0.25">
      <c r="A320" t="s">
        <v>448</v>
      </c>
      <c r="B320">
        <v>2</v>
      </c>
      <c r="C320">
        <v>0.02</v>
      </c>
    </row>
    <row r="321" spans="1:3" x14ac:dyDescent="0.25">
      <c r="A321" t="s">
        <v>464</v>
      </c>
      <c r="B321">
        <v>2</v>
      </c>
      <c r="C321">
        <v>0.02</v>
      </c>
    </row>
    <row r="322" spans="1:3" x14ac:dyDescent="0.25">
      <c r="A322" t="s">
        <v>469</v>
      </c>
      <c r="B322">
        <v>2</v>
      </c>
      <c r="C322">
        <v>0.02</v>
      </c>
    </row>
    <row r="323" spans="1:3" x14ac:dyDescent="0.25">
      <c r="A323" t="s">
        <v>483</v>
      </c>
      <c r="B323">
        <v>2</v>
      </c>
      <c r="C323">
        <v>0.02</v>
      </c>
    </row>
    <row r="324" spans="1:3" x14ac:dyDescent="0.25">
      <c r="A324" t="s">
        <v>500</v>
      </c>
      <c r="B324">
        <v>2</v>
      </c>
      <c r="C324">
        <v>0.02</v>
      </c>
    </row>
    <row r="325" spans="1:3" x14ac:dyDescent="0.25">
      <c r="A325" t="s">
        <v>504</v>
      </c>
      <c r="B325">
        <v>2</v>
      </c>
      <c r="C325">
        <v>0.02</v>
      </c>
    </row>
    <row r="326" spans="1:3" x14ac:dyDescent="0.25">
      <c r="A326" t="s">
        <v>518</v>
      </c>
      <c r="B326">
        <v>2</v>
      </c>
      <c r="C326">
        <v>0.02</v>
      </c>
    </row>
    <row r="327" spans="1:3" x14ac:dyDescent="0.25">
      <c r="A327" t="s">
        <v>520</v>
      </c>
      <c r="B327">
        <v>2</v>
      </c>
      <c r="C327">
        <v>0.02</v>
      </c>
    </row>
    <row r="328" spans="1:3" x14ac:dyDescent="0.25">
      <c r="A328" t="s">
        <v>521</v>
      </c>
      <c r="B328">
        <v>2</v>
      </c>
      <c r="C328">
        <v>0.02</v>
      </c>
    </row>
    <row r="329" spans="1:3" x14ac:dyDescent="0.25">
      <c r="A329" t="s">
        <v>526</v>
      </c>
      <c r="B329">
        <v>2</v>
      </c>
      <c r="C329">
        <v>0.02</v>
      </c>
    </row>
    <row r="330" spans="1:3" x14ac:dyDescent="0.25">
      <c r="A330" t="s">
        <v>533</v>
      </c>
      <c r="B330">
        <v>2</v>
      </c>
      <c r="C330">
        <v>0.02</v>
      </c>
    </row>
    <row r="331" spans="1:3" x14ac:dyDescent="0.25">
      <c r="A331" t="s">
        <v>551</v>
      </c>
      <c r="B331">
        <v>2</v>
      </c>
      <c r="C331">
        <v>0.02</v>
      </c>
    </row>
    <row r="332" spans="1:3" x14ac:dyDescent="0.25">
      <c r="A332" t="s">
        <v>584</v>
      </c>
      <c r="B332">
        <v>2</v>
      </c>
      <c r="C332">
        <v>0.02</v>
      </c>
    </row>
    <row r="333" spans="1:3" x14ac:dyDescent="0.25">
      <c r="A333" t="s">
        <v>586</v>
      </c>
      <c r="B333">
        <v>2</v>
      </c>
      <c r="C333">
        <v>0.02</v>
      </c>
    </row>
    <row r="334" spans="1:3" x14ac:dyDescent="0.25">
      <c r="A334" t="s">
        <v>601</v>
      </c>
      <c r="B334">
        <v>2</v>
      </c>
      <c r="C334">
        <v>0.02</v>
      </c>
    </row>
    <row r="335" spans="1:3" x14ac:dyDescent="0.25">
      <c r="A335" t="s">
        <v>608</v>
      </c>
      <c r="B335">
        <v>2</v>
      </c>
      <c r="C335">
        <v>0.02</v>
      </c>
    </row>
    <row r="336" spans="1:3" x14ac:dyDescent="0.25">
      <c r="A336" t="s">
        <v>624</v>
      </c>
      <c r="B336">
        <v>2</v>
      </c>
      <c r="C336">
        <v>0.02</v>
      </c>
    </row>
    <row r="337" spans="1:3" x14ac:dyDescent="0.25">
      <c r="A337" t="s">
        <v>629</v>
      </c>
      <c r="B337">
        <v>2</v>
      </c>
      <c r="C337">
        <v>0.02</v>
      </c>
    </row>
    <row r="338" spans="1:3" x14ac:dyDescent="0.25">
      <c r="A338" t="s">
        <v>642</v>
      </c>
      <c r="B338">
        <v>2</v>
      </c>
      <c r="C338">
        <v>0.02</v>
      </c>
    </row>
    <row r="339" spans="1:3" x14ac:dyDescent="0.25">
      <c r="A339" t="s">
        <v>643</v>
      </c>
      <c r="B339">
        <v>2</v>
      </c>
      <c r="C339">
        <v>0.02</v>
      </c>
    </row>
    <row r="340" spans="1:3" x14ac:dyDescent="0.25">
      <c r="A340" t="s">
        <v>650</v>
      </c>
      <c r="B340">
        <v>2</v>
      </c>
      <c r="C340">
        <v>0.02</v>
      </c>
    </row>
    <row r="341" spans="1:3" x14ac:dyDescent="0.25">
      <c r="A341" t="s">
        <v>656</v>
      </c>
      <c r="B341">
        <v>2</v>
      </c>
      <c r="C341">
        <v>0.02</v>
      </c>
    </row>
    <row r="342" spans="1:3" x14ac:dyDescent="0.25">
      <c r="A342" t="s">
        <v>657</v>
      </c>
      <c r="B342">
        <v>2</v>
      </c>
      <c r="C342">
        <v>0.02</v>
      </c>
    </row>
    <row r="343" spans="1:3" x14ac:dyDescent="0.25">
      <c r="A343" t="s">
        <v>664</v>
      </c>
      <c r="B343">
        <v>2</v>
      </c>
      <c r="C343">
        <v>0.02</v>
      </c>
    </row>
    <row r="344" spans="1:3" x14ac:dyDescent="0.25">
      <c r="A344" t="s">
        <v>666</v>
      </c>
      <c r="B344">
        <v>2</v>
      </c>
      <c r="C344">
        <v>0.02</v>
      </c>
    </row>
    <row r="345" spans="1:3" x14ac:dyDescent="0.25">
      <c r="A345" t="s">
        <v>693</v>
      </c>
      <c r="B345">
        <v>2</v>
      </c>
      <c r="C345">
        <v>0.02</v>
      </c>
    </row>
    <row r="346" spans="1:3" x14ac:dyDescent="0.25">
      <c r="A346" t="s">
        <v>709</v>
      </c>
      <c r="B346">
        <v>2</v>
      </c>
      <c r="C346">
        <v>0.02</v>
      </c>
    </row>
    <row r="347" spans="1:3" x14ac:dyDescent="0.25">
      <c r="A347" t="s">
        <v>714</v>
      </c>
      <c r="B347">
        <v>2</v>
      </c>
      <c r="C347">
        <v>0.02</v>
      </c>
    </row>
    <row r="348" spans="1:3" x14ac:dyDescent="0.25">
      <c r="A348" t="s">
        <v>731</v>
      </c>
      <c r="B348">
        <v>2</v>
      </c>
      <c r="C348">
        <v>0.02</v>
      </c>
    </row>
    <row r="349" spans="1:3" x14ac:dyDescent="0.25">
      <c r="A349" t="s">
        <v>735</v>
      </c>
      <c r="B349">
        <v>2</v>
      </c>
      <c r="C349">
        <v>0.02</v>
      </c>
    </row>
    <row r="350" spans="1:3" x14ac:dyDescent="0.25">
      <c r="A350" t="s">
        <v>736</v>
      </c>
      <c r="B350">
        <v>2</v>
      </c>
      <c r="C350">
        <v>0.02</v>
      </c>
    </row>
    <row r="351" spans="1:3" x14ac:dyDescent="0.25">
      <c r="A351" t="s">
        <v>744</v>
      </c>
      <c r="B351">
        <v>2</v>
      </c>
      <c r="C351">
        <v>0.02</v>
      </c>
    </row>
    <row r="352" spans="1:3" x14ac:dyDescent="0.25">
      <c r="A352" t="s">
        <v>751</v>
      </c>
      <c r="B352">
        <v>2</v>
      </c>
      <c r="C352">
        <v>0.02</v>
      </c>
    </row>
    <row r="353" spans="1:3" x14ac:dyDescent="0.25">
      <c r="A353" t="s">
        <v>759</v>
      </c>
      <c r="B353">
        <v>2</v>
      </c>
      <c r="C353">
        <v>0.02</v>
      </c>
    </row>
    <row r="354" spans="1:3" x14ac:dyDescent="0.25">
      <c r="A354" t="s">
        <v>767</v>
      </c>
      <c r="B354">
        <v>2</v>
      </c>
      <c r="C354">
        <v>0.02</v>
      </c>
    </row>
    <row r="355" spans="1:3" x14ac:dyDescent="0.25">
      <c r="A355" t="s">
        <v>770</v>
      </c>
      <c r="B355">
        <v>2</v>
      </c>
      <c r="C355">
        <v>0.02</v>
      </c>
    </row>
    <row r="356" spans="1:3" x14ac:dyDescent="0.25">
      <c r="A356" t="s">
        <v>782</v>
      </c>
      <c r="B356">
        <v>2</v>
      </c>
      <c r="C356">
        <v>0.02</v>
      </c>
    </row>
    <row r="357" spans="1:3" x14ac:dyDescent="0.25">
      <c r="A357" t="s">
        <v>784</v>
      </c>
      <c r="B357">
        <v>2</v>
      </c>
      <c r="C357">
        <v>0.02</v>
      </c>
    </row>
    <row r="358" spans="1:3" x14ac:dyDescent="0.25">
      <c r="A358" t="s">
        <v>789</v>
      </c>
      <c r="B358">
        <v>2</v>
      </c>
      <c r="C358">
        <v>0.02</v>
      </c>
    </row>
    <row r="359" spans="1:3" x14ac:dyDescent="0.25">
      <c r="A359" t="s">
        <v>801</v>
      </c>
      <c r="B359">
        <v>2</v>
      </c>
      <c r="C359">
        <v>0.02</v>
      </c>
    </row>
    <row r="360" spans="1:3" x14ac:dyDescent="0.25">
      <c r="A360" t="s">
        <v>803</v>
      </c>
      <c r="B360">
        <v>2</v>
      </c>
      <c r="C360">
        <v>0.02</v>
      </c>
    </row>
    <row r="361" spans="1:3" x14ac:dyDescent="0.25">
      <c r="A361" t="s">
        <v>820</v>
      </c>
      <c r="B361">
        <v>2</v>
      </c>
      <c r="C361">
        <v>0.02</v>
      </c>
    </row>
    <row r="362" spans="1:3" x14ac:dyDescent="0.25">
      <c r="A362" t="s">
        <v>826</v>
      </c>
      <c r="B362">
        <v>2</v>
      </c>
      <c r="C362">
        <v>0.02</v>
      </c>
    </row>
    <row r="363" spans="1:3" x14ac:dyDescent="0.25">
      <c r="A363" t="s">
        <v>835</v>
      </c>
      <c r="B363">
        <v>2</v>
      </c>
      <c r="C363">
        <v>0.02</v>
      </c>
    </row>
    <row r="364" spans="1:3" x14ac:dyDescent="0.25">
      <c r="A364" t="s">
        <v>841</v>
      </c>
      <c r="B364">
        <v>2</v>
      </c>
      <c r="C364">
        <v>0.02</v>
      </c>
    </row>
    <row r="365" spans="1:3" x14ac:dyDescent="0.25">
      <c r="A365" t="s">
        <v>845</v>
      </c>
      <c r="B365">
        <v>2</v>
      </c>
      <c r="C365">
        <v>0.02</v>
      </c>
    </row>
    <row r="366" spans="1:3" x14ac:dyDescent="0.25">
      <c r="A366" t="s">
        <v>850</v>
      </c>
      <c r="B366">
        <v>2</v>
      </c>
      <c r="C366">
        <v>0.02</v>
      </c>
    </row>
    <row r="367" spans="1:3" x14ac:dyDescent="0.25">
      <c r="A367" t="s">
        <v>853</v>
      </c>
      <c r="B367">
        <v>2</v>
      </c>
      <c r="C367">
        <v>0.02</v>
      </c>
    </row>
    <row r="368" spans="1:3" x14ac:dyDescent="0.25">
      <c r="A368" t="s">
        <v>862</v>
      </c>
      <c r="B368">
        <v>2</v>
      </c>
      <c r="C368">
        <v>0.02</v>
      </c>
    </row>
    <row r="369" spans="1:3" x14ac:dyDescent="0.25">
      <c r="A369" t="s">
        <v>874</v>
      </c>
      <c r="B369">
        <v>2</v>
      </c>
      <c r="C369">
        <v>0.02</v>
      </c>
    </row>
    <row r="370" spans="1:3" x14ac:dyDescent="0.25">
      <c r="A370" t="s">
        <v>886</v>
      </c>
      <c r="B370">
        <v>2</v>
      </c>
      <c r="C370">
        <v>0.02</v>
      </c>
    </row>
    <row r="371" spans="1:3" x14ac:dyDescent="0.25">
      <c r="A371" t="s">
        <v>926</v>
      </c>
      <c r="B371">
        <v>2</v>
      </c>
      <c r="C371">
        <v>0.02</v>
      </c>
    </row>
    <row r="372" spans="1:3" x14ac:dyDescent="0.25">
      <c r="A372" t="s">
        <v>945</v>
      </c>
      <c r="B372">
        <v>2</v>
      </c>
      <c r="C372">
        <v>0.02</v>
      </c>
    </row>
    <row r="373" spans="1:3" x14ac:dyDescent="0.25">
      <c r="A373" t="s">
        <v>952</v>
      </c>
      <c r="B373">
        <v>2</v>
      </c>
      <c r="C373">
        <v>0.02</v>
      </c>
    </row>
    <row r="374" spans="1:3" x14ac:dyDescent="0.25">
      <c r="A374" t="s">
        <v>960</v>
      </c>
      <c r="B374">
        <v>2</v>
      </c>
      <c r="C374">
        <v>0.02</v>
      </c>
    </row>
    <row r="375" spans="1:3" x14ac:dyDescent="0.25">
      <c r="A375" t="s">
        <v>965</v>
      </c>
      <c r="B375">
        <v>2</v>
      </c>
      <c r="C375">
        <v>0.02</v>
      </c>
    </row>
    <row r="376" spans="1:3" x14ac:dyDescent="0.25">
      <c r="A376" t="s">
        <v>972</v>
      </c>
      <c r="B376">
        <v>2</v>
      </c>
      <c r="C376">
        <v>0.02</v>
      </c>
    </row>
    <row r="377" spans="1:3" x14ac:dyDescent="0.25">
      <c r="A377" t="s">
        <v>974</v>
      </c>
      <c r="B377">
        <v>2</v>
      </c>
      <c r="C377">
        <v>0.02</v>
      </c>
    </row>
    <row r="378" spans="1:3" x14ac:dyDescent="0.25">
      <c r="A378" t="s">
        <v>982</v>
      </c>
      <c r="B378">
        <v>2</v>
      </c>
      <c r="C378">
        <v>0.02</v>
      </c>
    </row>
    <row r="379" spans="1:3" x14ac:dyDescent="0.25">
      <c r="A379" t="s">
        <v>991</v>
      </c>
      <c r="B379">
        <v>2</v>
      </c>
      <c r="C379">
        <v>0.02</v>
      </c>
    </row>
    <row r="380" spans="1:3" x14ac:dyDescent="0.25">
      <c r="A380" t="s">
        <v>1001</v>
      </c>
      <c r="B380">
        <v>2</v>
      </c>
      <c r="C380">
        <v>0.02</v>
      </c>
    </row>
    <row r="381" spans="1:3" x14ac:dyDescent="0.25">
      <c r="A381" t="s">
        <v>1004</v>
      </c>
      <c r="B381">
        <v>2</v>
      </c>
      <c r="C381">
        <v>0.02</v>
      </c>
    </row>
    <row r="382" spans="1:3" x14ac:dyDescent="0.25">
      <c r="A382" t="s">
        <v>1015</v>
      </c>
      <c r="B382">
        <v>2</v>
      </c>
      <c r="C382">
        <v>0.02</v>
      </c>
    </row>
    <row r="383" spans="1:3" x14ac:dyDescent="0.25">
      <c r="A383" t="s">
        <v>1022</v>
      </c>
      <c r="B383">
        <v>2</v>
      </c>
      <c r="C383">
        <v>0.02</v>
      </c>
    </row>
    <row r="384" spans="1:3" x14ac:dyDescent="0.25">
      <c r="A384" t="s">
        <v>1024</v>
      </c>
      <c r="B384">
        <v>2</v>
      </c>
      <c r="C384">
        <v>0.02</v>
      </c>
    </row>
    <row r="385" spans="1:3" x14ac:dyDescent="0.25">
      <c r="A385" t="s">
        <v>1041</v>
      </c>
      <c r="B385">
        <v>2</v>
      </c>
      <c r="C385">
        <v>0.02</v>
      </c>
    </row>
    <row r="386" spans="1:3" x14ac:dyDescent="0.25">
      <c r="A386" t="s">
        <v>1064</v>
      </c>
      <c r="B386">
        <v>2</v>
      </c>
      <c r="C386">
        <v>0.02</v>
      </c>
    </row>
    <row r="387" spans="1:3" x14ac:dyDescent="0.25">
      <c r="A387" t="s">
        <v>1083</v>
      </c>
      <c r="B387">
        <v>2</v>
      </c>
      <c r="C387">
        <v>0.02</v>
      </c>
    </row>
    <row r="388" spans="1:3" x14ac:dyDescent="0.25">
      <c r="A388" t="s">
        <v>1090</v>
      </c>
      <c r="B388">
        <v>2</v>
      </c>
      <c r="C388">
        <v>0.02</v>
      </c>
    </row>
    <row r="389" spans="1:3" x14ac:dyDescent="0.25">
      <c r="A389" t="s">
        <v>1108</v>
      </c>
      <c r="B389">
        <v>2</v>
      </c>
      <c r="C389">
        <v>0.02</v>
      </c>
    </row>
    <row r="390" spans="1:3" x14ac:dyDescent="0.25">
      <c r="A390" t="s">
        <v>1117</v>
      </c>
      <c r="B390">
        <v>2</v>
      </c>
      <c r="C390">
        <v>0.02</v>
      </c>
    </row>
    <row r="391" spans="1:3" x14ac:dyDescent="0.25">
      <c r="A391" t="s">
        <v>1121</v>
      </c>
      <c r="B391">
        <v>2</v>
      </c>
      <c r="C391">
        <v>0.02</v>
      </c>
    </row>
    <row r="392" spans="1:3" x14ac:dyDescent="0.25">
      <c r="A392" t="s">
        <v>1127</v>
      </c>
      <c r="B392">
        <v>2</v>
      </c>
      <c r="C392">
        <v>0.02</v>
      </c>
    </row>
    <row r="393" spans="1:3" x14ac:dyDescent="0.25">
      <c r="A393" t="s">
        <v>1128</v>
      </c>
      <c r="B393">
        <v>2</v>
      </c>
      <c r="C393">
        <v>0.02</v>
      </c>
    </row>
    <row r="394" spans="1:3" x14ac:dyDescent="0.25">
      <c r="A394" t="s">
        <v>1148</v>
      </c>
      <c r="B394">
        <v>2</v>
      </c>
      <c r="C394">
        <v>0.02</v>
      </c>
    </row>
    <row r="395" spans="1:3" x14ac:dyDescent="0.25">
      <c r="A395" t="s">
        <v>1160</v>
      </c>
      <c r="B395">
        <v>2</v>
      </c>
      <c r="C395">
        <v>0.02</v>
      </c>
    </row>
    <row r="396" spans="1:3" x14ac:dyDescent="0.25">
      <c r="A396" t="s">
        <v>1171</v>
      </c>
      <c r="B396">
        <v>2</v>
      </c>
      <c r="C396">
        <v>0.02</v>
      </c>
    </row>
    <row r="397" spans="1:3" x14ac:dyDescent="0.25">
      <c r="A397" t="s">
        <v>1178</v>
      </c>
      <c r="B397">
        <v>2</v>
      </c>
      <c r="C397">
        <v>0.02</v>
      </c>
    </row>
    <row r="398" spans="1:3" x14ac:dyDescent="0.25">
      <c r="A398" t="s">
        <v>1190</v>
      </c>
      <c r="B398">
        <v>2</v>
      </c>
      <c r="C398">
        <v>0.02</v>
      </c>
    </row>
    <row r="399" spans="1:3" x14ac:dyDescent="0.25">
      <c r="A399" t="s">
        <v>1201</v>
      </c>
      <c r="B399">
        <v>2</v>
      </c>
      <c r="C399">
        <v>0.02</v>
      </c>
    </row>
    <row r="400" spans="1:3" x14ac:dyDescent="0.25">
      <c r="A400" t="s">
        <v>1208</v>
      </c>
      <c r="B400">
        <v>2</v>
      </c>
      <c r="C400">
        <v>0.02</v>
      </c>
    </row>
    <row r="401" spans="1:3" x14ac:dyDescent="0.25">
      <c r="A401" t="s">
        <v>1227</v>
      </c>
      <c r="B401">
        <v>2</v>
      </c>
      <c r="C401">
        <v>0.02</v>
      </c>
    </row>
    <row r="402" spans="1:3" x14ac:dyDescent="0.25">
      <c r="A402" t="s">
        <v>1246</v>
      </c>
      <c r="B402">
        <v>2</v>
      </c>
      <c r="C402">
        <v>0.02</v>
      </c>
    </row>
    <row r="403" spans="1:3" x14ac:dyDescent="0.25">
      <c r="A403" t="s">
        <v>1250</v>
      </c>
      <c r="B403">
        <v>2</v>
      </c>
      <c r="C403">
        <v>0.02</v>
      </c>
    </row>
    <row r="404" spans="1:3" x14ac:dyDescent="0.25">
      <c r="A404" t="s">
        <v>1267</v>
      </c>
      <c r="B404">
        <v>2</v>
      </c>
      <c r="C404">
        <v>0.02</v>
      </c>
    </row>
    <row r="405" spans="1:3" x14ac:dyDescent="0.25">
      <c r="A405" t="s">
        <v>1287</v>
      </c>
      <c r="B405">
        <v>2</v>
      </c>
      <c r="C405">
        <v>0.02</v>
      </c>
    </row>
    <row r="406" spans="1:3" x14ac:dyDescent="0.25">
      <c r="A406" t="s">
        <v>1292</v>
      </c>
      <c r="B406">
        <v>2</v>
      </c>
      <c r="C406">
        <v>0.02</v>
      </c>
    </row>
    <row r="407" spans="1:3" x14ac:dyDescent="0.25">
      <c r="A407" t="s">
        <v>1293</v>
      </c>
      <c r="B407">
        <v>2</v>
      </c>
      <c r="C407">
        <v>0.02</v>
      </c>
    </row>
    <row r="408" spans="1:3" x14ac:dyDescent="0.25">
      <c r="A408" t="s">
        <v>1296</v>
      </c>
      <c r="B408">
        <v>2</v>
      </c>
      <c r="C408">
        <v>0.02</v>
      </c>
    </row>
    <row r="409" spans="1:3" x14ac:dyDescent="0.25">
      <c r="A409" t="s">
        <v>1313</v>
      </c>
      <c r="B409">
        <v>2</v>
      </c>
      <c r="C409">
        <v>0.02</v>
      </c>
    </row>
    <row r="410" spans="1:3" x14ac:dyDescent="0.25">
      <c r="A410" t="s">
        <v>1316</v>
      </c>
      <c r="B410">
        <v>2</v>
      </c>
      <c r="C410">
        <v>0.02</v>
      </c>
    </row>
    <row r="411" spans="1:3" x14ac:dyDescent="0.25">
      <c r="A411" t="s">
        <v>1319</v>
      </c>
      <c r="B411">
        <v>2</v>
      </c>
      <c r="C411">
        <v>0.02</v>
      </c>
    </row>
    <row r="412" spans="1:3" x14ac:dyDescent="0.25">
      <c r="A412" t="s">
        <v>1328</v>
      </c>
      <c r="B412">
        <v>2</v>
      </c>
      <c r="C412">
        <v>0.02</v>
      </c>
    </row>
    <row r="413" spans="1:3" x14ac:dyDescent="0.25">
      <c r="A413" t="s">
        <v>1338</v>
      </c>
      <c r="B413">
        <v>2</v>
      </c>
      <c r="C413">
        <v>0.02</v>
      </c>
    </row>
    <row r="414" spans="1:3" x14ac:dyDescent="0.25">
      <c r="A414" t="s">
        <v>1344</v>
      </c>
      <c r="B414">
        <v>2</v>
      </c>
      <c r="C414">
        <v>0.02</v>
      </c>
    </row>
    <row r="415" spans="1:3" x14ac:dyDescent="0.25">
      <c r="A415" t="s">
        <v>1356</v>
      </c>
      <c r="B415">
        <v>2</v>
      </c>
      <c r="C415">
        <v>0.02</v>
      </c>
    </row>
    <row r="416" spans="1:3" x14ac:dyDescent="0.25">
      <c r="A416" t="s">
        <v>1357</v>
      </c>
      <c r="B416">
        <v>2</v>
      </c>
      <c r="C416">
        <v>0.02</v>
      </c>
    </row>
    <row r="417" spans="1:3" x14ac:dyDescent="0.25">
      <c r="A417" t="s">
        <v>1366</v>
      </c>
      <c r="B417">
        <v>2</v>
      </c>
      <c r="C417">
        <v>0.02</v>
      </c>
    </row>
    <row r="418" spans="1:3" x14ac:dyDescent="0.25">
      <c r="A418" t="s">
        <v>1368</v>
      </c>
      <c r="B418">
        <v>2</v>
      </c>
      <c r="C418">
        <v>0.02</v>
      </c>
    </row>
    <row r="419" spans="1:3" x14ac:dyDescent="0.25">
      <c r="A419" t="s">
        <v>1389</v>
      </c>
      <c r="B419">
        <v>2</v>
      </c>
      <c r="C419">
        <v>0.02</v>
      </c>
    </row>
    <row r="420" spans="1:3" x14ac:dyDescent="0.25">
      <c r="A420" t="s">
        <v>1400</v>
      </c>
      <c r="B420">
        <v>2</v>
      </c>
      <c r="C420">
        <v>0.02</v>
      </c>
    </row>
    <row r="421" spans="1:3" x14ac:dyDescent="0.25">
      <c r="A421" t="s">
        <v>1444</v>
      </c>
      <c r="B421">
        <v>2</v>
      </c>
      <c r="C421">
        <v>0.02</v>
      </c>
    </row>
    <row r="422" spans="1:3" x14ac:dyDescent="0.25">
      <c r="A422" t="s">
        <v>1465</v>
      </c>
      <c r="B422">
        <v>2</v>
      </c>
      <c r="C422">
        <v>0.02</v>
      </c>
    </row>
    <row r="423" spans="1:3" x14ac:dyDescent="0.25">
      <c r="A423" t="s">
        <v>1474</v>
      </c>
      <c r="B423">
        <v>2</v>
      </c>
      <c r="C423">
        <v>0.02</v>
      </c>
    </row>
    <row r="424" spans="1:3" x14ac:dyDescent="0.25">
      <c r="A424" t="s">
        <v>1481</v>
      </c>
      <c r="B424">
        <v>2</v>
      </c>
      <c r="C424">
        <v>0.02</v>
      </c>
    </row>
    <row r="425" spans="1:3" x14ac:dyDescent="0.25">
      <c r="A425" t="s">
        <v>1490</v>
      </c>
      <c r="B425">
        <v>2</v>
      </c>
      <c r="C425">
        <v>0.02</v>
      </c>
    </row>
    <row r="426" spans="1:3" x14ac:dyDescent="0.25">
      <c r="A426" t="s">
        <v>1495</v>
      </c>
      <c r="B426">
        <v>2</v>
      </c>
      <c r="C426">
        <v>0.02</v>
      </c>
    </row>
    <row r="427" spans="1:3" x14ac:dyDescent="0.25">
      <c r="A427" t="s">
        <v>1529</v>
      </c>
      <c r="B427">
        <v>2</v>
      </c>
      <c r="C427">
        <v>0.02</v>
      </c>
    </row>
    <row r="428" spans="1:3" x14ac:dyDescent="0.25">
      <c r="A428" t="s">
        <v>1531</v>
      </c>
      <c r="B428">
        <v>1</v>
      </c>
      <c r="C428">
        <v>0.01</v>
      </c>
    </row>
    <row r="429" spans="1:3" x14ac:dyDescent="0.25">
      <c r="A429" t="s">
        <v>170</v>
      </c>
      <c r="B429">
        <v>1</v>
      </c>
      <c r="C429">
        <v>0.01</v>
      </c>
    </row>
    <row r="430" spans="1:3" x14ac:dyDescent="0.25">
      <c r="A430" t="s">
        <v>171</v>
      </c>
      <c r="B430">
        <v>1</v>
      </c>
      <c r="C430">
        <v>0.01</v>
      </c>
    </row>
    <row r="431" spans="1:3" x14ac:dyDescent="0.25">
      <c r="A431" t="s">
        <v>172</v>
      </c>
      <c r="B431">
        <v>1</v>
      </c>
      <c r="C431">
        <v>0.01</v>
      </c>
    </row>
    <row r="432" spans="1:3" x14ac:dyDescent="0.25">
      <c r="A432" t="s">
        <v>4</v>
      </c>
      <c r="B432">
        <v>1</v>
      </c>
      <c r="C432">
        <v>0.01</v>
      </c>
    </row>
    <row r="433" spans="1:3" x14ac:dyDescent="0.25">
      <c r="A433" t="s">
        <v>173</v>
      </c>
      <c r="B433">
        <v>1</v>
      </c>
      <c r="C433">
        <v>0.01</v>
      </c>
    </row>
    <row r="434" spans="1:3" x14ac:dyDescent="0.25">
      <c r="A434" t="s">
        <v>175</v>
      </c>
      <c r="B434">
        <v>1</v>
      </c>
      <c r="C434">
        <v>0.01</v>
      </c>
    </row>
    <row r="435" spans="1:3" x14ac:dyDescent="0.25">
      <c r="A435" t="s">
        <v>176</v>
      </c>
      <c r="B435">
        <v>1</v>
      </c>
      <c r="C435">
        <v>0.01</v>
      </c>
    </row>
    <row r="436" spans="1:3" x14ac:dyDescent="0.25">
      <c r="A436" t="s">
        <v>178</v>
      </c>
      <c r="B436">
        <v>1</v>
      </c>
      <c r="C436">
        <v>0.01</v>
      </c>
    </row>
    <row r="437" spans="1:3" x14ac:dyDescent="0.25">
      <c r="A437" t="s">
        <v>179</v>
      </c>
      <c r="B437">
        <v>1</v>
      </c>
      <c r="C437">
        <v>0.01</v>
      </c>
    </row>
    <row r="438" spans="1:3" x14ac:dyDescent="0.25">
      <c r="A438" t="s">
        <v>180</v>
      </c>
      <c r="B438">
        <v>1</v>
      </c>
      <c r="C438">
        <v>0.01</v>
      </c>
    </row>
    <row r="439" spans="1:3" x14ac:dyDescent="0.25">
      <c r="A439" t="s">
        <v>181</v>
      </c>
      <c r="B439">
        <v>1</v>
      </c>
      <c r="C439">
        <v>0.01</v>
      </c>
    </row>
    <row r="440" spans="1:3" x14ac:dyDescent="0.25">
      <c r="A440" t="s">
        <v>183</v>
      </c>
      <c r="B440">
        <v>1</v>
      </c>
      <c r="C440">
        <v>0.01</v>
      </c>
    </row>
    <row r="441" spans="1:3" x14ac:dyDescent="0.25">
      <c r="A441" t="s">
        <v>185</v>
      </c>
      <c r="B441">
        <v>1</v>
      </c>
      <c r="C441">
        <v>0.01</v>
      </c>
    </row>
    <row r="442" spans="1:3" x14ac:dyDescent="0.25">
      <c r="A442" t="s">
        <v>186</v>
      </c>
      <c r="B442">
        <v>1</v>
      </c>
      <c r="C442">
        <v>0.01</v>
      </c>
    </row>
    <row r="443" spans="1:3" x14ac:dyDescent="0.25">
      <c r="A443" t="s">
        <v>187</v>
      </c>
      <c r="B443">
        <v>1</v>
      </c>
      <c r="C443">
        <v>0.01</v>
      </c>
    </row>
    <row r="444" spans="1:3" x14ac:dyDescent="0.25">
      <c r="A444" t="s">
        <v>188</v>
      </c>
      <c r="B444">
        <v>1</v>
      </c>
      <c r="C444">
        <v>0.01</v>
      </c>
    </row>
    <row r="445" spans="1:3" x14ac:dyDescent="0.25">
      <c r="A445" t="s">
        <v>190</v>
      </c>
      <c r="B445">
        <v>1</v>
      </c>
      <c r="C445">
        <v>0.01</v>
      </c>
    </row>
    <row r="446" spans="1:3" x14ac:dyDescent="0.25">
      <c r="A446" t="s">
        <v>192</v>
      </c>
      <c r="B446">
        <v>1</v>
      </c>
      <c r="C446">
        <v>0.01</v>
      </c>
    </row>
    <row r="447" spans="1:3" x14ac:dyDescent="0.25">
      <c r="A447" t="s">
        <v>193</v>
      </c>
      <c r="B447">
        <v>1</v>
      </c>
      <c r="C447">
        <v>0.01</v>
      </c>
    </row>
    <row r="448" spans="1:3" x14ac:dyDescent="0.25">
      <c r="A448" t="s">
        <v>194</v>
      </c>
      <c r="B448">
        <v>1</v>
      </c>
      <c r="C448">
        <v>0.01</v>
      </c>
    </row>
    <row r="449" spans="1:3" x14ac:dyDescent="0.25">
      <c r="A449" t="s">
        <v>196</v>
      </c>
      <c r="B449">
        <v>1</v>
      </c>
      <c r="C449">
        <v>0.01</v>
      </c>
    </row>
    <row r="450" spans="1:3" x14ac:dyDescent="0.25">
      <c r="A450" t="s">
        <v>197</v>
      </c>
      <c r="B450">
        <v>1</v>
      </c>
      <c r="C450">
        <v>0.01</v>
      </c>
    </row>
    <row r="451" spans="1:3" x14ac:dyDescent="0.25">
      <c r="A451" t="s">
        <v>199</v>
      </c>
      <c r="B451">
        <v>1</v>
      </c>
      <c r="C451">
        <v>0.01</v>
      </c>
    </row>
    <row r="452" spans="1:3" x14ac:dyDescent="0.25">
      <c r="A452" t="s">
        <v>200</v>
      </c>
      <c r="B452">
        <v>1</v>
      </c>
      <c r="C452">
        <v>0.01</v>
      </c>
    </row>
    <row r="453" spans="1:3" x14ac:dyDescent="0.25">
      <c r="A453" t="s">
        <v>202</v>
      </c>
      <c r="B453">
        <v>1</v>
      </c>
      <c r="C453">
        <v>0.01</v>
      </c>
    </row>
    <row r="454" spans="1:3" x14ac:dyDescent="0.25">
      <c r="A454" t="s">
        <v>203</v>
      </c>
      <c r="B454">
        <v>1</v>
      </c>
      <c r="C454">
        <v>0.01</v>
      </c>
    </row>
    <row r="455" spans="1:3" x14ac:dyDescent="0.25">
      <c r="A455" t="s">
        <v>205</v>
      </c>
      <c r="B455">
        <v>1</v>
      </c>
      <c r="C455">
        <v>0.01</v>
      </c>
    </row>
    <row r="456" spans="1:3" x14ac:dyDescent="0.25">
      <c r="A456" t="s">
        <v>208</v>
      </c>
      <c r="B456">
        <v>1</v>
      </c>
      <c r="C456">
        <v>0.01</v>
      </c>
    </row>
    <row r="457" spans="1:3" x14ac:dyDescent="0.25">
      <c r="A457" t="s">
        <v>209</v>
      </c>
      <c r="B457">
        <v>1</v>
      </c>
      <c r="C457">
        <v>0.01</v>
      </c>
    </row>
    <row r="458" spans="1:3" x14ac:dyDescent="0.25">
      <c r="A458" t="s">
        <v>210</v>
      </c>
      <c r="B458">
        <v>1</v>
      </c>
      <c r="C458">
        <v>0.01</v>
      </c>
    </row>
    <row r="459" spans="1:3" x14ac:dyDescent="0.25">
      <c r="A459" t="s">
        <v>211</v>
      </c>
      <c r="B459">
        <v>1</v>
      </c>
      <c r="C459">
        <v>0.01</v>
      </c>
    </row>
    <row r="460" spans="1:3" x14ac:dyDescent="0.25">
      <c r="A460" t="s">
        <v>212</v>
      </c>
      <c r="B460">
        <v>1</v>
      </c>
      <c r="C460">
        <v>0.01</v>
      </c>
    </row>
    <row r="461" spans="1:3" x14ac:dyDescent="0.25">
      <c r="A461" t="s">
        <v>213</v>
      </c>
      <c r="B461">
        <v>1</v>
      </c>
      <c r="C461">
        <v>0.01</v>
      </c>
    </row>
    <row r="462" spans="1:3" x14ac:dyDescent="0.25">
      <c r="A462" t="s">
        <v>214</v>
      </c>
      <c r="B462">
        <v>1</v>
      </c>
      <c r="C462">
        <v>0.01</v>
      </c>
    </row>
    <row r="463" spans="1:3" x14ac:dyDescent="0.25">
      <c r="A463" t="s">
        <v>215</v>
      </c>
      <c r="B463">
        <v>1</v>
      </c>
      <c r="C463">
        <v>0.01</v>
      </c>
    </row>
    <row r="464" spans="1:3" x14ac:dyDescent="0.25">
      <c r="A464" t="s">
        <v>216</v>
      </c>
      <c r="B464">
        <v>1</v>
      </c>
      <c r="C464">
        <v>0.01</v>
      </c>
    </row>
    <row r="465" spans="1:3" x14ac:dyDescent="0.25">
      <c r="A465" t="s">
        <v>217</v>
      </c>
      <c r="B465">
        <v>1</v>
      </c>
      <c r="C465">
        <v>0.01</v>
      </c>
    </row>
    <row r="466" spans="1:3" x14ac:dyDescent="0.25">
      <c r="A466" t="s">
        <v>218</v>
      </c>
      <c r="B466">
        <v>1</v>
      </c>
      <c r="C466">
        <v>0.01</v>
      </c>
    </row>
    <row r="467" spans="1:3" x14ac:dyDescent="0.25">
      <c r="A467" t="s">
        <v>219</v>
      </c>
      <c r="B467">
        <v>1</v>
      </c>
      <c r="C467">
        <v>0.01</v>
      </c>
    </row>
    <row r="468" spans="1:3" x14ac:dyDescent="0.25">
      <c r="A468" t="s">
        <v>220</v>
      </c>
      <c r="B468">
        <v>1</v>
      </c>
      <c r="C468">
        <v>0.01</v>
      </c>
    </row>
    <row r="469" spans="1:3" x14ac:dyDescent="0.25">
      <c r="A469" t="s">
        <v>221</v>
      </c>
      <c r="B469">
        <v>1</v>
      </c>
      <c r="C469">
        <v>0.01</v>
      </c>
    </row>
    <row r="470" spans="1:3" x14ac:dyDescent="0.25">
      <c r="A470" t="s">
        <v>222</v>
      </c>
      <c r="B470">
        <v>1</v>
      </c>
      <c r="C470">
        <v>0.01</v>
      </c>
    </row>
    <row r="471" spans="1:3" x14ac:dyDescent="0.25">
      <c r="A471" t="s">
        <v>224</v>
      </c>
      <c r="B471">
        <v>1</v>
      </c>
      <c r="C471">
        <v>0.01</v>
      </c>
    </row>
    <row r="472" spans="1:3" x14ac:dyDescent="0.25">
      <c r="A472" t="s">
        <v>225</v>
      </c>
      <c r="B472">
        <v>1</v>
      </c>
      <c r="C472">
        <v>0.01</v>
      </c>
    </row>
    <row r="473" spans="1:3" x14ac:dyDescent="0.25">
      <c r="A473" t="s">
        <v>227</v>
      </c>
      <c r="B473">
        <v>1</v>
      </c>
      <c r="C473">
        <v>0.01</v>
      </c>
    </row>
    <row r="474" spans="1:3" x14ac:dyDescent="0.25">
      <c r="A474" t="s">
        <v>228</v>
      </c>
      <c r="B474">
        <v>1</v>
      </c>
      <c r="C474">
        <v>0.01</v>
      </c>
    </row>
    <row r="475" spans="1:3" x14ac:dyDescent="0.25">
      <c r="A475" t="s">
        <v>230</v>
      </c>
      <c r="B475">
        <v>1</v>
      </c>
      <c r="C475">
        <v>0.01</v>
      </c>
    </row>
    <row r="476" spans="1:3" x14ac:dyDescent="0.25">
      <c r="A476" t="s">
        <v>231</v>
      </c>
      <c r="B476">
        <v>1</v>
      </c>
      <c r="C476">
        <v>0.01</v>
      </c>
    </row>
    <row r="477" spans="1:3" x14ac:dyDescent="0.25">
      <c r="A477" t="s">
        <v>233</v>
      </c>
      <c r="B477">
        <v>1</v>
      </c>
      <c r="C477">
        <v>0.01</v>
      </c>
    </row>
    <row r="478" spans="1:3" x14ac:dyDescent="0.25">
      <c r="A478" t="s">
        <v>234</v>
      </c>
      <c r="B478">
        <v>1</v>
      </c>
      <c r="C478">
        <v>0.01</v>
      </c>
    </row>
    <row r="479" spans="1:3" x14ac:dyDescent="0.25">
      <c r="A479" t="s">
        <v>236</v>
      </c>
      <c r="B479">
        <v>1</v>
      </c>
      <c r="C479">
        <v>0.01</v>
      </c>
    </row>
    <row r="480" spans="1:3" x14ac:dyDescent="0.25">
      <c r="A480" t="s">
        <v>239</v>
      </c>
      <c r="B480">
        <v>1</v>
      </c>
      <c r="C480">
        <v>0.01</v>
      </c>
    </row>
    <row r="481" spans="1:3" x14ac:dyDescent="0.25">
      <c r="A481" t="s">
        <v>240</v>
      </c>
      <c r="B481">
        <v>1</v>
      </c>
      <c r="C481">
        <v>0.01</v>
      </c>
    </row>
    <row r="482" spans="1:3" x14ac:dyDescent="0.25">
      <c r="A482" t="s">
        <v>241</v>
      </c>
      <c r="B482">
        <v>1</v>
      </c>
      <c r="C482">
        <v>0.01</v>
      </c>
    </row>
    <row r="483" spans="1:3" x14ac:dyDescent="0.25">
      <c r="A483" t="s">
        <v>242</v>
      </c>
      <c r="B483">
        <v>1</v>
      </c>
      <c r="C483">
        <v>0.01</v>
      </c>
    </row>
    <row r="484" spans="1:3" x14ac:dyDescent="0.25">
      <c r="A484" t="s">
        <v>243</v>
      </c>
      <c r="B484">
        <v>1</v>
      </c>
      <c r="C484">
        <v>0.01</v>
      </c>
    </row>
    <row r="485" spans="1:3" x14ac:dyDescent="0.25">
      <c r="A485" t="s">
        <v>244</v>
      </c>
      <c r="B485">
        <v>1</v>
      </c>
      <c r="C485">
        <v>0.01</v>
      </c>
    </row>
    <row r="486" spans="1:3" x14ac:dyDescent="0.25">
      <c r="A486" t="s">
        <v>246</v>
      </c>
      <c r="B486">
        <v>1</v>
      </c>
      <c r="C486">
        <v>0.01</v>
      </c>
    </row>
    <row r="487" spans="1:3" x14ac:dyDescent="0.25">
      <c r="A487" t="s">
        <v>247</v>
      </c>
      <c r="B487">
        <v>1</v>
      </c>
      <c r="C487">
        <v>0.01</v>
      </c>
    </row>
    <row r="488" spans="1:3" x14ac:dyDescent="0.25">
      <c r="A488" t="s">
        <v>248</v>
      </c>
      <c r="B488">
        <v>1</v>
      </c>
      <c r="C488">
        <v>0.01</v>
      </c>
    </row>
    <row r="489" spans="1:3" x14ac:dyDescent="0.25">
      <c r="A489" t="s">
        <v>252</v>
      </c>
      <c r="B489">
        <v>1</v>
      </c>
      <c r="C489">
        <v>0.01</v>
      </c>
    </row>
    <row r="490" spans="1:3" x14ac:dyDescent="0.25">
      <c r="A490" t="s">
        <v>253</v>
      </c>
      <c r="B490">
        <v>1</v>
      </c>
      <c r="C490">
        <v>0.01</v>
      </c>
    </row>
    <row r="491" spans="1:3" x14ac:dyDescent="0.25">
      <c r="A491" t="s">
        <v>255</v>
      </c>
      <c r="B491">
        <v>1</v>
      </c>
      <c r="C491">
        <v>0.01</v>
      </c>
    </row>
    <row r="492" spans="1:3" x14ac:dyDescent="0.25">
      <c r="A492" t="s">
        <v>256</v>
      </c>
      <c r="B492">
        <v>1</v>
      </c>
      <c r="C492">
        <v>0.01</v>
      </c>
    </row>
    <row r="493" spans="1:3" x14ac:dyDescent="0.25">
      <c r="A493" t="s">
        <v>257</v>
      </c>
      <c r="B493">
        <v>1</v>
      </c>
      <c r="C493">
        <v>0.01</v>
      </c>
    </row>
    <row r="494" spans="1:3" x14ac:dyDescent="0.25">
      <c r="A494" t="s">
        <v>258</v>
      </c>
      <c r="B494">
        <v>1</v>
      </c>
      <c r="C494">
        <v>0.01</v>
      </c>
    </row>
    <row r="495" spans="1:3" x14ac:dyDescent="0.25">
      <c r="A495" t="s">
        <v>259</v>
      </c>
      <c r="B495">
        <v>1</v>
      </c>
      <c r="C495">
        <v>0.01</v>
      </c>
    </row>
    <row r="496" spans="1:3" x14ac:dyDescent="0.25">
      <c r="A496" t="s">
        <v>260</v>
      </c>
      <c r="B496">
        <v>1</v>
      </c>
      <c r="C496">
        <v>0.01</v>
      </c>
    </row>
    <row r="497" spans="1:3" x14ac:dyDescent="0.25">
      <c r="A497" t="s">
        <v>262</v>
      </c>
      <c r="B497">
        <v>1</v>
      </c>
      <c r="C497">
        <v>0.01</v>
      </c>
    </row>
    <row r="498" spans="1:3" x14ac:dyDescent="0.25">
      <c r="A498" t="s">
        <v>263</v>
      </c>
      <c r="B498">
        <v>1</v>
      </c>
      <c r="C498">
        <v>0.01</v>
      </c>
    </row>
    <row r="499" spans="1:3" x14ac:dyDescent="0.25">
      <c r="A499" t="s">
        <v>264</v>
      </c>
      <c r="B499">
        <v>1</v>
      </c>
      <c r="C499">
        <v>0.01</v>
      </c>
    </row>
    <row r="500" spans="1:3" x14ac:dyDescent="0.25">
      <c r="A500" t="s">
        <v>265</v>
      </c>
      <c r="B500">
        <v>1</v>
      </c>
      <c r="C500">
        <v>0.01</v>
      </c>
    </row>
    <row r="501" spans="1:3" x14ac:dyDescent="0.25">
      <c r="A501" t="s">
        <v>266</v>
      </c>
      <c r="B501">
        <v>1</v>
      </c>
      <c r="C501">
        <v>0.01</v>
      </c>
    </row>
    <row r="502" spans="1:3" x14ac:dyDescent="0.25">
      <c r="A502" t="s">
        <v>267</v>
      </c>
      <c r="B502">
        <v>1</v>
      </c>
      <c r="C502">
        <v>0.01</v>
      </c>
    </row>
    <row r="503" spans="1:3" x14ac:dyDescent="0.25">
      <c r="A503" t="s">
        <v>269</v>
      </c>
      <c r="B503">
        <v>1</v>
      </c>
      <c r="C503">
        <v>0.01</v>
      </c>
    </row>
    <row r="504" spans="1:3" x14ac:dyDescent="0.25">
      <c r="A504" t="s">
        <v>270</v>
      </c>
      <c r="B504">
        <v>1</v>
      </c>
      <c r="C504">
        <v>0.01</v>
      </c>
    </row>
    <row r="505" spans="1:3" x14ac:dyDescent="0.25">
      <c r="A505" t="s">
        <v>272</v>
      </c>
      <c r="B505">
        <v>1</v>
      </c>
      <c r="C505">
        <v>0.01</v>
      </c>
    </row>
    <row r="506" spans="1:3" x14ac:dyDescent="0.25">
      <c r="A506" t="s">
        <v>273</v>
      </c>
      <c r="B506">
        <v>1</v>
      </c>
      <c r="C506">
        <v>0.01</v>
      </c>
    </row>
    <row r="507" spans="1:3" x14ac:dyDescent="0.25">
      <c r="A507" t="s">
        <v>275</v>
      </c>
      <c r="B507">
        <v>1</v>
      </c>
      <c r="C507">
        <v>0.01</v>
      </c>
    </row>
    <row r="508" spans="1:3" x14ac:dyDescent="0.25">
      <c r="A508" t="s">
        <v>276</v>
      </c>
      <c r="B508">
        <v>1</v>
      </c>
      <c r="C508">
        <v>0.01</v>
      </c>
    </row>
    <row r="509" spans="1:3" x14ac:dyDescent="0.25">
      <c r="A509" t="s">
        <v>278</v>
      </c>
      <c r="B509">
        <v>1</v>
      </c>
      <c r="C509">
        <v>0.01</v>
      </c>
    </row>
    <row r="510" spans="1:3" x14ac:dyDescent="0.25">
      <c r="A510" t="s">
        <v>280</v>
      </c>
      <c r="B510">
        <v>1</v>
      </c>
      <c r="C510">
        <v>0.01</v>
      </c>
    </row>
    <row r="511" spans="1:3" x14ac:dyDescent="0.25">
      <c r="A511" t="s">
        <v>281</v>
      </c>
      <c r="B511">
        <v>1</v>
      </c>
      <c r="C511">
        <v>0.01</v>
      </c>
    </row>
    <row r="512" spans="1:3" x14ac:dyDescent="0.25">
      <c r="A512" t="s">
        <v>282</v>
      </c>
      <c r="B512">
        <v>1</v>
      </c>
      <c r="C512">
        <v>0.01</v>
      </c>
    </row>
    <row r="513" spans="1:3" x14ac:dyDescent="0.25">
      <c r="A513" t="s">
        <v>284</v>
      </c>
      <c r="B513">
        <v>1</v>
      </c>
      <c r="C513">
        <v>0.01</v>
      </c>
    </row>
    <row r="514" spans="1:3" x14ac:dyDescent="0.25">
      <c r="A514" t="s">
        <v>285</v>
      </c>
      <c r="B514">
        <v>1</v>
      </c>
      <c r="C514">
        <v>0.01</v>
      </c>
    </row>
    <row r="515" spans="1:3" x14ac:dyDescent="0.25">
      <c r="A515" t="s">
        <v>286</v>
      </c>
      <c r="B515">
        <v>1</v>
      </c>
      <c r="C515">
        <v>0.01</v>
      </c>
    </row>
    <row r="516" spans="1:3" x14ac:dyDescent="0.25">
      <c r="A516" t="s">
        <v>287</v>
      </c>
      <c r="B516">
        <v>1</v>
      </c>
      <c r="C516">
        <v>0.01</v>
      </c>
    </row>
    <row r="517" spans="1:3" x14ac:dyDescent="0.25">
      <c r="A517" t="s">
        <v>288</v>
      </c>
      <c r="B517">
        <v>1</v>
      </c>
      <c r="C517">
        <v>0.01</v>
      </c>
    </row>
    <row r="518" spans="1:3" x14ac:dyDescent="0.25">
      <c r="A518" t="s">
        <v>290</v>
      </c>
      <c r="B518">
        <v>1</v>
      </c>
      <c r="C518">
        <v>0.01</v>
      </c>
    </row>
    <row r="519" spans="1:3" x14ac:dyDescent="0.25">
      <c r="A519" t="s">
        <v>291</v>
      </c>
      <c r="B519">
        <v>1</v>
      </c>
      <c r="C519">
        <v>0.01</v>
      </c>
    </row>
    <row r="520" spans="1:3" x14ac:dyDescent="0.25">
      <c r="A520" t="s">
        <v>296</v>
      </c>
      <c r="B520">
        <v>1</v>
      </c>
      <c r="C520">
        <v>0.01</v>
      </c>
    </row>
    <row r="521" spans="1:3" x14ac:dyDescent="0.25">
      <c r="A521" t="s">
        <v>297</v>
      </c>
      <c r="B521">
        <v>1</v>
      </c>
      <c r="C521">
        <v>0.01</v>
      </c>
    </row>
    <row r="522" spans="1:3" x14ac:dyDescent="0.25">
      <c r="A522" t="s">
        <v>298</v>
      </c>
      <c r="B522">
        <v>1</v>
      </c>
      <c r="C522">
        <v>0.01</v>
      </c>
    </row>
    <row r="523" spans="1:3" x14ac:dyDescent="0.25">
      <c r="A523" t="s">
        <v>299</v>
      </c>
      <c r="B523">
        <v>1</v>
      </c>
      <c r="C523">
        <v>0.01</v>
      </c>
    </row>
    <row r="524" spans="1:3" x14ac:dyDescent="0.25">
      <c r="A524" t="s">
        <v>301</v>
      </c>
      <c r="B524">
        <v>1</v>
      </c>
      <c r="C524">
        <v>0.01</v>
      </c>
    </row>
    <row r="525" spans="1:3" x14ac:dyDescent="0.25">
      <c r="A525" t="s">
        <v>302</v>
      </c>
      <c r="B525">
        <v>1</v>
      </c>
      <c r="C525">
        <v>0.01</v>
      </c>
    </row>
    <row r="526" spans="1:3" x14ac:dyDescent="0.25">
      <c r="A526" t="s">
        <v>303</v>
      </c>
      <c r="B526">
        <v>1</v>
      </c>
      <c r="C526">
        <v>0.01</v>
      </c>
    </row>
    <row r="527" spans="1:3" x14ac:dyDescent="0.25">
      <c r="A527" t="s">
        <v>305</v>
      </c>
      <c r="B527">
        <v>1</v>
      </c>
      <c r="C527">
        <v>0.01</v>
      </c>
    </row>
    <row r="528" spans="1:3" x14ac:dyDescent="0.25">
      <c r="A528" t="s">
        <v>306</v>
      </c>
      <c r="B528">
        <v>1</v>
      </c>
      <c r="C528">
        <v>0.01</v>
      </c>
    </row>
    <row r="529" spans="1:3" x14ac:dyDescent="0.25">
      <c r="A529" t="s">
        <v>309</v>
      </c>
      <c r="B529">
        <v>1</v>
      </c>
      <c r="C529">
        <v>0.01</v>
      </c>
    </row>
    <row r="530" spans="1:3" x14ac:dyDescent="0.25">
      <c r="A530" t="s">
        <v>310</v>
      </c>
      <c r="B530">
        <v>1</v>
      </c>
      <c r="C530">
        <v>0.01</v>
      </c>
    </row>
    <row r="531" spans="1:3" x14ac:dyDescent="0.25">
      <c r="A531" t="s">
        <v>311</v>
      </c>
      <c r="B531">
        <v>1</v>
      </c>
      <c r="C531">
        <v>0.01</v>
      </c>
    </row>
    <row r="532" spans="1:3" x14ac:dyDescent="0.25">
      <c r="A532" t="s">
        <v>312</v>
      </c>
      <c r="B532">
        <v>1</v>
      </c>
      <c r="C532">
        <v>0.01</v>
      </c>
    </row>
    <row r="533" spans="1:3" x14ac:dyDescent="0.25">
      <c r="A533" t="s">
        <v>313</v>
      </c>
      <c r="B533">
        <v>1</v>
      </c>
      <c r="C533">
        <v>0.01</v>
      </c>
    </row>
    <row r="534" spans="1:3" x14ac:dyDescent="0.25">
      <c r="A534" t="s">
        <v>315</v>
      </c>
      <c r="B534">
        <v>1</v>
      </c>
      <c r="C534">
        <v>0.01</v>
      </c>
    </row>
    <row r="535" spans="1:3" x14ac:dyDescent="0.25">
      <c r="A535" t="s">
        <v>319</v>
      </c>
      <c r="B535">
        <v>1</v>
      </c>
      <c r="C535">
        <v>0.01</v>
      </c>
    </row>
    <row r="536" spans="1:3" x14ac:dyDescent="0.25">
      <c r="A536" t="s">
        <v>320</v>
      </c>
      <c r="B536">
        <v>1</v>
      </c>
      <c r="C536">
        <v>0.01</v>
      </c>
    </row>
    <row r="537" spans="1:3" x14ac:dyDescent="0.25">
      <c r="A537" t="s">
        <v>322</v>
      </c>
      <c r="B537">
        <v>1</v>
      </c>
      <c r="C537">
        <v>0.01</v>
      </c>
    </row>
    <row r="538" spans="1:3" x14ac:dyDescent="0.25">
      <c r="A538" t="s">
        <v>323</v>
      </c>
      <c r="B538">
        <v>1</v>
      </c>
      <c r="C538">
        <v>0.01</v>
      </c>
    </row>
    <row r="539" spans="1:3" x14ac:dyDescent="0.25">
      <c r="A539" t="s">
        <v>324</v>
      </c>
      <c r="B539">
        <v>1</v>
      </c>
      <c r="C539">
        <v>0.01</v>
      </c>
    </row>
    <row r="540" spans="1:3" x14ac:dyDescent="0.25">
      <c r="A540" t="s">
        <v>325</v>
      </c>
      <c r="B540">
        <v>1</v>
      </c>
      <c r="C540">
        <v>0.01</v>
      </c>
    </row>
    <row r="541" spans="1:3" x14ac:dyDescent="0.25">
      <c r="A541" t="s">
        <v>327</v>
      </c>
      <c r="B541">
        <v>1</v>
      </c>
      <c r="C541">
        <v>0.01</v>
      </c>
    </row>
    <row r="542" spans="1:3" x14ac:dyDescent="0.25">
      <c r="A542" t="s">
        <v>329</v>
      </c>
      <c r="B542">
        <v>1</v>
      </c>
      <c r="C542">
        <v>0.01</v>
      </c>
    </row>
    <row r="543" spans="1:3" x14ac:dyDescent="0.25">
      <c r="A543" t="s">
        <v>330</v>
      </c>
      <c r="B543">
        <v>1</v>
      </c>
      <c r="C543">
        <v>0.01</v>
      </c>
    </row>
    <row r="544" spans="1:3" x14ac:dyDescent="0.25">
      <c r="A544" t="s">
        <v>331</v>
      </c>
      <c r="B544">
        <v>1</v>
      </c>
      <c r="C544">
        <v>0.01</v>
      </c>
    </row>
    <row r="545" spans="1:3" x14ac:dyDescent="0.25">
      <c r="A545" t="s">
        <v>334</v>
      </c>
      <c r="B545">
        <v>1</v>
      </c>
      <c r="C545">
        <v>0.01</v>
      </c>
    </row>
    <row r="546" spans="1:3" x14ac:dyDescent="0.25">
      <c r="A546" t="s">
        <v>335</v>
      </c>
      <c r="B546">
        <v>1</v>
      </c>
      <c r="C546">
        <v>0.01</v>
      </c>
    </row>
    <row r="547" spans="1:3" x14ac:dyDescent="0.25">
      <c r="A547" t="s">
        <v>338</v>
      </c>
      <c r="B547">
        <v>1</v>
      </c>
      <c r="C547">
        <v>0.01</v>
      </c>
    </row>
    <row r="548" spans="1:3" x14ac:dyDescent="0.25">
      <c r="A548" t="s">
        <v>339</v>
      </c>
      <c r="B548">
        <v>1</v>
      </c>
      <c r="C548">
        <v>0.01</v>
      </c>
    </row>
    <row r="549" spans="1:3" x14ac:dyDescent="0.25">
      <c r="A549" t="s">
        <v>340</v>
      </c>
      <c r="B549">
        <v>1</v>
      </c>
      <c r="C549">
        <v>0.01</v>
      </c>
    </row>
    <row r="550" spans="1:3" x14ac:dyDescent="0.25">
      <c r="A550" t="s">
        <v>341</v>
      </c>
      <c r="B550">
        <v>1</v>
      </c>
      <c r="C550">
        <v>0.01</v>
      </c>
    </row>
    <row r="551" spans="1:3" x14ac:dyDescent="0.25">
      <c r="A551" t="s">
        <v>343</v>
      </c>
      <c r="B551">
        <v>1</v>
      </c>
      <c r="C551">
        <v>0.01</v>
      </c>
    </row>
    <row r="552" spans="1:3" x14ac:dyDescent="0.25">
      <c r="A552" t="s">
        <v>344</v>
      </c>
      <c r="B552">
        <v>1</v>
      </c>
      <c r="C552">
        <v>0.01</v>
      </c>
    </row>
    <row r="553" spans="1:3" x14ac:dyDescent="0.25">
      <c r="A553" t="s">
        <v>347</v>
      </c>
      <c r="B553">
        <v>1</v>
      </c>
      <c r="C553">
        <v>0.01</v>
      </c>
    </row>
    <row r="554" spans="1:3" x14ac:dyDescent="0.25">
      <c r="A554" t="s">
        <v>348</v>
      </c>
      <c r="B554">
        <v>1</v>
      </c>
      <c r="C554">
        <v>0.01</v>
      </c>
    </row>
    <row r="555" spans="1:3" x14ac:dyDescent="0.25">
      <c r="A555" t="s">
        <v>349</v>
      </c>
      <c r="B555">
        <v>1</v>
      </c>
      <c r="C555">
        <v>0.01</v>
      </c>
    </row>
    <row r="556" spans="1:3" x14ac:dyDescent="0.25">
      <c r="A556" t="s">
        <v>350</v>
      </c>
      <c r="B556">
        <v>1</v>
      </c>
      <c r="C556">
        <v>0.01</v>
      </c>
    </row>
    <row r="557" spans="1:3" x14ac:dyDescent="0.25">
      <c r="A557" t="s">
        <v>351</v>
      </c>
      <c r="B557">
        <v>1</v>
      </c>
      <c r="C557">
        <v>0.01</v>
      </c>
    </row>
    <row r="558" spans="1:3" x14ac:dyDescent="0.25">
      <c r="A558" t="s">
        <v>352</v>
      </c>
      <c r="B558">
        <v>1</v>
      </c>
      <c r="C558">
        <v>0.01</v>
      </c>
    </row>
    <row r="559" spans="1:3" x14ac:dyDescent="0.25">
      <c r="A559" t="s">
        <v>353</v>
      </c>
      <c r="B559">
        <v>1</v>
      </c>
      <c r="C559">
        <v>0.01</v>
      </c>
    </row>
    <row r="560" spans="1:3" x14ac:dyDescent="0.25">
      <c r="A560" t="s">
        <v>354</v>
      </c>
      <c r="B560">
        <v>1</v>
      </c>
      <c r="C560">
        <v>0.01</v>
      </c>
    </row>
    <row r="561" spans="1:3" x14ac:dyDescent="0.25">
      <c r="A561" t="s">
        <v>355</v>
      </c>
      <c r="B561">
        <v>1</v>
      </c>
      <c r="C561">
        <v>0.01</v>
      </c>
    </row>
    <row r="562" spans="1:3" x14ac:dyDescent="0.25">
      <c r="A562" t="s">
        <v>356</v>
      </c>
      <c r="B562">
        <v>1</v>
      </c>
      <c r="C562">
        <v>0.01</v>
      </c>
    </row>
    <row r="563" spans="1:3" x14ac:dyDescent="0.25">
      <c r="A563" t="s">
        <v>357</v>
      </c>
      <c r="B563">
        <v>1</v>
      </c>
      <c r="C563">
        <v>0.01</v>
      </c>
    </row>
    <row r="564" spans="1:3" x14ac:dyDescent="0.25">
      <c r="A564" t="s">
        <v>359</v>
      </c>
      <c r="B564">
        <v>1</v>
      </c>
      <c r="C564">
        <v>0.01</v>
      </c>
    </row>
    <row r="565" spans="1:3" x14ac:dyDescent="0.25">
      <c r="A565" t="s">
        <v>360</v>
      </c>
      <c r="B565">
        <v>1</v>
      </c>
      <c r="C565">
        <v>0.01</v>
      </c>
    </row>
    <row r="566" spans="1:3" x14ac:dyDescent="0.25">
      <c r="A566" t="s">
        <v>362</v>
      </c>
      <c r="B566">
        <v>1</v>
      </c>
      <c r="C566">
        <v>0.01</v>
      </c>
    </row>
    <row r="567" spans="1:3" x14ac:dyDescent="0.25">
      <c r="A567" t="s">
        <v>363</v>
      </c>
      <c r="B567">
        <v>1</v>
      </c>
      <c r="C567">
        <v>0.01</v>
      </c>
    </row>
    <row r="568" spans="1:3" x14ac:dyDescent="0.25">
      <c r="A568" t="s">
        <v>364</v>
      </c>
      <c r="B568">
        <v>1</v>
      </c>
      <c r="C568">
        <v>0.01</v>
      </c>
    </row>
    <row r="569" spans="1:3" x14ac:dyDescent="0.25">
      <c r="A569" t="s">
        <v>365</v>
      </c>
      <c r="B569">
        <v>1</v>
      </c>
      <c r="C569">
        <v>0.01</v>
      </c>
    </row>
    <row r="570" spans="1:3" x14ac:dyDescent="0.25">
      <c r="A570" t="s">
        <v>366</v>
      </c>
      <c r="B570">
        <v>1</v>
      </c>
      <c r="C570">
        <v>0.01</v>
      </c>
    </row>
    <row r="571" spans="1:3" x14ac:dyDescent="0.25">
      <c r="A571" t="s">
        <v>369</v>
      </c>
      <c r="B571">
        <v>1</v>
      </c>
      <c r="C571">
        <v>0.01</v>
      </c>
    </row>
    <row r="572" spans="1:3" x14ac:dyDescent="0.25">
      <c r="A572" t="s">
        <v>371</v>
      </c>
      <c r="B572">
        <v>1</v>
      </c>
      <c r="C572">
        <v>0.01</v>
      </c>
    </row>
    <row r="573" spans="1:3" x14ac:dyDescent="0.25">
      <c r="A573" t="s">
        <v>372</v>
      </c>
      <c r="B573">
        <v>1</v>
      </c>
      <c r="C573">
        <v>0.01</v>
      </c>
    </row>
    <row r="574" spans="1:3" x14ac:dyDescent="0.25">
      <c r="A574" t="s">
        <v>374</v>
      </c>
      <c r="B574">
        <v>1</v>
      </c>
      <c r="C574">
        <v>0.01</v>
      </c>
    </row>
    <row r="575" spans="1:3" x14ac:dyDescent="0.25">
      <c r="A575" t="s">
        <v>377</v>
      </c>
      <c r="B575">
        <v>1</v>
      </c>
      <c r="C575">
        <v>0.01</v>
      </c>
    </row>
    <row r="576" spans="1:3" x14ac:dyDescent="0.25">
      <c r="A576" t="s">
        <v>380</v>
      </c>
      <c r="B576">
        <v>1</v>
      </c>
      <c r="C576">
        <v>0.01</v>
      </c>
    </row>
    <row r="577" spans="1:3" x14ac:dyDescent="0.25">
      <c r="A577" t="s">
        <v>381</v>
      </c>
      <c r="B577">
        <v>1</v>
      </c>
      <c r="C577">
        <v>0.01</v>
      </c>
    </row>
    <row r="578" spans="1:3" x14ac:dyDescent="0.25">
      <c r="A578" t="s">
        <v>382</v>
      </c>
      <c r="B578">
        <v>1</v>
      </c>
      <c r="C578">
        <v>0.01</v>
      </c>
    </row>
    <row r="579" spans="1:3" x14ac:dyDescent="0.25">
      <c r="A579" t="s">
        <v>384</v>
      </c>
      <c r="B579">
        <v>1</v>
      </c>
      <c r="C579">
        <v>0.01</v>
      </c>
    </row>
    <row r="580" spans="1:3" x14ac:dyDescent="0.25">
      <c r="A580" t="s">
        <v>385</v>
      </c>
      <c r="B580">
        <v>1</v>
      </c>
      <c r="C580">
        <v>0.01</v>
      </c>
    </row>
    <row r="581" spans="1:3" x14ac:dyDescent="0.25">
      <c r="A581" t="s">
        <v>386</v>
      </c>
      <c r="B581">
        <v>1</v>
      </c>
      <c r="C581">
        <v>0.01</v>
      </c>
    </row>
    <row r="582" spans="1:3" x14ac:dyDescent="0.25">
      <c r="A582" t="s">
        <v>388</v>
      </c>
      <c r="B582">
        <v>1</v>
      </c>
      <c r="C582">
        <v>0.01</v>
      </c>
    </row>
    <row r="583" spans="1:3" x14ac:dyDescent="0.25">
      <c r="A583" t="s">
        <v>390</v>
      </c>
      <c r="B583">
        <v>1</v>
      </c>
      <c r="C583">
        <v>0.01</v>
      </c>
    </row>
    <row r="584" spans="1:3" x14ac:dyDescent="0.25">
      <c r="A584" t="s">
        <v>391</v>
      </c>
      <c r="B584">
        <v>1</v>
      </c>
      <c r="C584">
        <v>0.01</v>
      </c>
    </row>
    <row r="585" spans="1:3" x14ac:dyDescent="0.25">
      <c r="A585" t="s">
        <v>392</v>
      </c>
      <c r="B585">
        <v>1</v>
      </c>
      <c r="C585">
        <v>0.01</v>
      </c>
    </row>
    <row r="586" spans="1:3" x14ac:dyDescent="0.25">
      <c r="A586" t="s">
        <v>396</v>
      </c>
      <c r="B586">
        <v>1</v>
      </c>
      <c r="C586">
        <v>0.01</v>
      </c>
    </row>
    <row r="587" spans="1:3" x14ac:dyDescent="0.25">
      <c r="A587" t="s">
        <v>398</v>
      </c>
      <c r="B587">
        <v>1</v>
      </c>
      <c r="C587">
        <v>0.01</v>
      </c>
    </row>
    <row r="588" spans="1:3" x14ac:dyDescent="0.25">
      <c r="A588" t="s">
        <v>399</v>
      </c>
      <c r="B588">
        <v>1</v>
      </c>
      <c r="C588">
        <v>0.01</v>
      </c>
    </row>
    <row r="589" spans="1:3" x14ac:dyDescent="0.25">
      <c r="A589" t="s">
        <v>401</v>
      </c>
      <c r="B589">
        <v>1</v>
      </c>
      <c r="C589">
        <v>0.01</v>
      </c>
    </row>
    <row r="590" spans="1:3" x14ac:dyDescent="0.25">
      <c r="A590" t="s">
        <v>402</v>
      </c>
      <c r="B590">
        <v>1</v>
      </c>
      <c r="C590">
        <v>0.01</v>
      </c>
    </row>
    <row r="591" spans="1:3" x14ac:dyDescent="0.25">
      <c r="A591" t="s">
        <v>403</v>
      </c>
      <c r="B591">
        <v>1</v>
      </c>
      <c r="C591">
        <v>0.01</v>
      </c>
    </row>
    <row r="592" spans="1:3" x14ac:dyDescent="0.25">
      <c r="A592" t="s">
        <v>406</v>
      </c>
      <c r="B592">
        <v>1</v>
      </c>
      <c r="C592">
        <v>0.01</v>
      </c>
    </row>
    <row r="593" spans="1:3" x14ac:dyDescent="0.25">
      <c r="A593" t="s">
        <v>407</v>
      </c>
      <c r="B593">
        <v>1</v>
      </c>
      <c r="C593">
        <v>0.01</v>
      </c>
    </row>
    <row r="594" spans="1:3" x14ac:dyDescent="0.25">
      <c r="A594" t="s">
        <v>408</v>
      </c>
      <c r="B594">
        <v>1</v>
      </c>
      <c r="C594">
        <v>0.01</v>
      </c>
    </row>
    <row r="595" spans="1:3" x14ac:dyDescent="0.25">
      <c r="A595" t="s">
        <v>408</v>
      </c>
      <c r="B595">
        <v>1</v>
      </c>
      <c r="C595">
        <v>0.01</v>
      </c>
    </row>
    <row r="596" spans="1:3" x14ac:dyDescent="0.25">
      <c r="A596" t="s">
        <v>409</v>
      </c>
      <c r="B596">
        <v>1</v>
      </c>
      <c r="C596">
        <v>0.01</v>
      </c>
    </row>
    <row r="597" spans="1:3" x14ac:dyDescent="0.25">
      <c r="A597" t="s">
        <v>410</v>
      </c>
      <c r="B597">
        <v>1</v>
      </c>
      <c r="C597">
        <v>0.01</v>
      </c>
    </row>
    <row r="598" spans="1:3" x14ac:dyDescent="0.25">
      <c r="A598" t="s">
        <v>411</v>
      </c>
      <c r="B598">
        <v>1</v>
      </c>
      <c r="C598">
        <v>0.01</v>
      </c>
    </row>
    <row r="599" spans="1:3" x14ac:dyDescent="0.25">
      <c r="A599" t="s">
        <v>413</v>
      </c>
      <c r="B599">
        <v>1</v>
      </c>
      <c r="C599">
        <v>0.01</v>
      </c>
    </row>
    <row r="600" spans="1:3" x14ac:dyDescent="0.25">
      <c r="A600" t="s">
        <v>414</v>
      </c>
      <c r="B600">
        <v>1</v>
      </c>
      <c r="C600">
        <v>0.01</v>
      </c>
    </row>
    <row r="601" spans="1:3" x14ac:dyDescent="0.25">
      <c r="A601" t="s">
        <v>415</v>
      </c>
      <c r="B601">
        <v>1</v>
      </c>
      <c r="C601">
        <v>0.01</v>
      </c>
    </row>
    <row r="602" spans="1:3" x14ac:dyDescent="0.25">
      <c r="A602" t="s">
        <v>416</v>
      </c>
      <c r="B602">
        <v>1</v>
      </c>
      <c r="C602">
        <v>0.01</v>
      </c>
    </row>
    <row r="603" spans="1:3" x14ac:dyDescent="0.25">
      <c r="A603" t="s">
        <v>417</v>
      </c>
      <c r="B603">
        <v>1</v>
      </c>
      <c r="C603">
        <v>0.01</v>
      </c>
    </row>
    <row r="604" spans="1:3" x14ac:dyDescent="0.25">
      <c r="A604" t="s">
        <v>418</v>
      </c>
      <c r="B604">
        <v>1</v>
      </c>
      <c r="C604">
        <v>0.01</v>
      </c>
    </row>
    <row r="605" spans="1:3" x14ac:dyDescent="0.25">
      <c r="A605" t="s">
        <v>419</v>
      </c>
      <c r="B605">
        <v>1</v>
      </c>
      <c r="C605">
        <v>0.01</v>
      </c>
    </row>
    <row r="606" spans="1:3" x14ac:dyDescent="0.25">
      <c r="A606" t="s">
        <v>420</v>
      </c>
      <c r="B606">
        <v>1</v>
      </c>
      <c r="C606">
        <v>0.01</v>
      </c>
    </row>
    <row r="607" spans="1:3" x14ac:dyDescent="0.25">
      <c r="A607" t="s">
        <v>421</v>
      </c>
      <c r="B607">
        <v>1</v>
      </c>
      <c r="C607">
        <v>0.01</v>
      </c>
    </row>
    <row r="608" spans="1:3" x14ac:dyDescent="0.25">
      <c r="A608" t="s">
        <v>422</v>
      </c>
      <c r="B608">
        <v>1</v>
      </c>
      <c r="C608">
        <v>0.01</v>
      </c>
    </row>
    <row r="609" spans="1:3" x14ac:dyDescent="0.25">
      <c r="A609" t="s">
        <v>423</v>
      </c>
      <c r="B609">
        <v>1</v>
      </c>
      <c r="C609">
        <v>0.01</v>
      </c>
    </row>
    <row r="610" spans="1:3" x14ac:dyDescent="0.25">
      <c r="A610" t="s">
        <v>424</v>
      </c>
      <c r="B610">
        <v>1</v>
      </c>
      <c r="C610">
        <v>0.01</v>
      </c>
    </row>
    <row r="611" spans="1:3" x14ac:dyDescent="0.25">
      <c r="A611" t="s">
        <v>425</v>
      </c>
      <c r="B611">
        <v>1</v>
      </c>
      <c r="C611">
        <v>0.01</v>
      </c>
    </row>
    <row r="612" spans="1:3" x14ac:dyDescent="0.25">
      <c r="A612" t="s">
        <v>426</v>
      </c>
      <c r="B612">
        <v>1</v>
      </c>
      <c r="C612">
        <v>0.01</v>
      </c>
    </row>
    <row r="613" spans="1:3" x14ac:dyDescent="0.25">
      <c r="A613" t="s">
        <v>427</v>
      </c>
      <c r="B613">
        <v>1</v>
      </c>
      <c r="C613">
        <v>0.01</v>
      </c>
    </row>
    <row r="614" spans="1:3" x14ac:dyDescent="0.25">
      <c r="A614" t="s">
        <v>429</v>
      </c>
      <c r="B614">
        <v>1</v>
      </c>
      <c r="C614">
        <v>0.01</v>
      </c>
    </row>
    <row r="615" spans="1:3" x14ac:dyDescent="0.25">
      <c r="A615" t="s">
        <v>431</v>
      </c>
      <c r="B615">
        <v>1</v>
      </c>
      <c r="C615">
        <v>0.01</v>
      </c>
    </row>
    <row r="616" spans="1:3" x14ac:dyDescent="0.25">
      <c r="A616" t="s">
        <v>433</v>
      </c>
      <c r="B616">
        <v>1</v>
      </c>
      <c r="C616">
        <v>0.01</v>
      </c>
    </row>
    <row r="617" spans="1:3" x14ac:dyDescent="0.25">
      <c r="A617" t="s">
        <v>435</v>
      </c>
      <c r="B617">
        <v>1</v>
      </c>
      <c r="C617">
        <v>0.01</v>
      </c>
    </row>
    <row r="618" spans="1:3" x14ac:dyDescent="0.25">
      <c r="A618" t="s">
        <v>436</v>
      </c>
      <c r="B618">
        <v>1</v>
      </c>
      <c r="C618">
        <v>0.01</v>
      </c>
    </row>
    <row r="619" spans="1:3" x14ac:dyDescent="0.25">
      <c r="A619" t="s">
        <v>438</v>
      </c>
      <c r="B619">
        <v>1</v>
      </c>
      <c r="C619">
        <v>0.01</v>
      </c>
    </row>
    <row r="620" spans="1:3" x14ac:dyDescent="0.25">
      <c r="A620" t="s">
        <v>439</v>
      </c>
      <c r="B620">
        <v>1</v>
      </c>
      <c r="C620">
        <v>0.01</v>
      </c>
    </row>
    <row r="621" spans="1:3" x14ac:dyDescent="0.25">
      <c r="A621" t="s">
        <v>440</v>
      </c>
      <c r="B621">
        <v>1</v>
      </c>
      <c r="C621">
        <v>0.01</v>
      </c>
    </row>
    <row r="622" spans="1:3" x14ac:dyDescent="0.25">
      <c r="A622" t="s">
        <v>443</v>
      </c>
      <c r="B622">
        <v>1</v>
      </c>
      <c r="C622">
        <v>0.01</v>
      </c>
    </row>
    <row r="623" spans="1:3" x14ac:dyDescent="0.25">
      <c r="A623" t="s">
        <v>444</v>
      </c>
      <c r="B623">
        <v>1</v>
      </c>
      <c r="C623">
        <v>0.01</v>
      </c>
    </row>
    <row r="624" spans="1:3" x14ac:dyDescent="0.25">
      <c r="A624" t="s">
        <v>445</v>
      </c>
      <c r="B624">
        <v>1</v>
      </c>
      <c r="C624">
        <v>0.01</v>
      </c>
    </row>
    <row r="625" spans="1:3" x14ac:dyDescent="0.25">
      <c r="A625" t="s">
        <v>449</v>
      </c>
      <c r="B625">
        <v>1</v>
      </c>
      <c r="C625">
        <v>0.01</v>
      </c>
    </row>
    <row r="626" spans="1:3" x14ac:dyDescent="0.25">
      <c r="A626" t="s">
        <v>450</v>
      </c>
      <c r="B626">
        <v>1</v>
      </c>
      <c r="C626">
        <v>0.01</v>
      </c>
    </row>
    <row r="627" spans="1:3" x14ac:dyDescent="0.25">
      <c r="A627" t="s">
        <v>452</v>
      </c>
      <c r="B627">
        <v>1</v>
      </c>
      <c r="C627">
        <v>0.01</v>
      </c>
    </row>
    <row r="628" spans="1:3" x14ac:dyDescent="0.25">
      <c r="A628" t="s">
        <v>453</v>
      </c>
      <c r="B628">
        <v>1</v>
      </c>
      <c r="C628">
        <v>0.01</v>
      </c>
    </row>
    <row r="629" spans="1:3" x14ac:dyDescent="0.25">
      <c r="A629" t="s">
        <v>454</v>
      </c>
      <c r="B629">
        <v>1</v>
      </c>
      <c r="C629">
        <v>0.01</v>
      </c>
    </row>
    <row r="630" spans="1:3" x14ac:dyDescent="0.25">
      <c r="A630" t="s">
        <v>456</v>
      </c>
      <c r="B630">
        <v>1</v>
      </c>
      <c r="C630">
        <v>0.01</v>
      </c>
    </row>
    <row r="631" spans="1:3" x14ac:dyDescent="0.25">
      <c r="A631" t="s">
        <v>457</v>
      </c>
      <c r="B631">
        <v>1</v>
      </c>
      <c r="C631">
        <v>0.01</v>
      </c>
    </row>
    <row r="632" spans="1:3" x14ac:dyDescent="0.25">
      <c r="A632" t="s">
        <v>458</v>
      </c>
      <c r="B632">
        <v>1</v>
      </c>
      <c r="C632">
        <v>0.01</v>
      </c>
    </row>
    <row r="633" spans="1:3" x14ac:dyDescent="0.25">
      <c r="A633" t="s">
        <v>459</v>
      </c>
      <c r="B633">
        <v>1</v>
      </c>
      <c r="C633">
        <v>0.01</v>
      </c>
    </row>
    <row r="634" spans="1:3" x14ac:dyDescent="0.25">
      <c r="A634" t="s">
        <v>460</v>
      </c>
      <c r="B634">
        <v>1</v>
      </c>
      <c r="C634">
        <v>0.01</v>
      </c>
    </row>
    <row r="635" spans="1:3" x14ac:dyDescent="0.25">
      <c r="A635" t="s">
        <v>461</v>
      </c>
      <c r="B635">
        <v>1</v>
      </c>
      <c r="C635">
        <v>0.01</v>
      </c>
    </row>
    <row r="636" spans="1:3" x14ac:dyDescent="0.25">
      <c r="A636" t="s">
        <v>465</v>
      </c>
      <c r="B636">
        <v>1</v>
      </c>
      <c r="C636">
        <v>0.01</v>
      </c>
    </row>
    <row r="637" spans="1:3" x14ac:dyDescent="0.25">
      <c r="A637" t="s">
        <v>467</v>
      </c>
      <c r="B637">
        <v>1</v>
      </c>
      <c r="C637">
        <v>0.01</v>
      </c>
    </row>
    <row r="638" spans="1:3" x14ac:dyDescent="0.25">
      <c r="A638" t="s">
        <v>468</v>
      </c>
      <c r="B638">
        <v>1</v>
      </c>
      <c r="C638">
        <v>0.01</v>
      </c>
    </row>
    <row r="639" spans="1:3" x14ac:dyDescent="0.25">
      <c r="A639" t="s">
        <v>472</v>
      </c>
      <c r="B639">
        <v>1</v>
      </c>
      <c r="C639">
        <v>0.01</v>
      </c>
    </row>
    <row r="640" spans="1:3" x14ac:dyDescent="0.25">
      <c r="A640" t="s">
        <v>473</v>
      </c>
      <c r="B640">
        <v>1</v>
      </c>
      <c r="C640">
        <v>0.01</v>
      </c>
    </row>
    <row r="641" spans="1:3" x14ac:dyDescent="0.25">
      <c r="A641" t="s">
        <v>475</v>
      </c>
      <c r="B641">
        <v>1</v>
      </c>
      <c r="C641">
        <v>0.01</v>
      </c>
    </row>
    <row r="642" spans="1:3" x14ac:dyDescent="0.25">
      <c r="A642" t="s">
        <v>477</v>
      </c>
      <c r="B642">
        <v>1</v>
      </c>
      <c r="C642">
        <v>0.01</v>
      </c>
    </row>
    <row r="643" spans="1:3" x14ac:dyDescent="0.25">
      <c r="A643" t="s">
        <v>478</v>
      </c>
      <c r="B643">
        <v>1</v>
      </c>
      <c r="C643">
        <v>0.01</v>
      </c>
    </row>
    <row r="644" spans="1:3" x14ac:dyDescent="0.25">
      <c r="A644" t="s">
        <v>481</v>
      </c>
      <c r="B644">
        <v>1</v>
      </c>
      <c r="C644">
        <v>0.01</v>
      </c>
    </row>
    <row r="645" spans="1:3" x14ac:dyDescent="0.25">
      <c r="A645" t="s">
        <v>484</v>
      </c>
      <c r="B645">
        <v>1</v>
      </c>
      <c r="C645">
        <v>0.01</v>
      </c>
    </row>
    <row r="646" spans="1:3" x14ac:dyDescent="0.25">
      <c r="A646" t="s">
        <v>485</v>
      </c>
      <c r="B646">
        <v>1</v>
      </c>
      <c r="C646">
        <v>0.01</v>
      </c>
    </row>
    <row r="647" spans="1:3" x14ac:dyDescent="0.25">
      <c r="A647" t="s">
        <v>486</v>
      </c>
      <c r="B647">
        <v>1</v>
      </c>
      <c r="C647">
        <v>0.01</v>
      </c>
    </row>
    <row r="648" spans="1:3" x14ac:dyDescent="0.25">
      <c r="A648" t="s">
        <v>487</v>
      </c>
      <c r="B648">
        <v>1</v>
      </c>
      <c r="C648">
        <v>0.01</v>
      </c>
    </row>
    <row r="649" spans="1:3" x14ac:dyDescent="0.25">
      <c r="A649" t="s">
        <v>488</v>
      </c>
      <c r="B649">
        <v>1</v>
      </c>
      <c r="C649">
        <v>0.01</v>
      </c>
    </row>
    <row r="650" spans="1:3" x14ac:dyDescent="0.25">
      <c r="A650" t="s">
        <v>489</v>
      </c>
      <c r="B650">
        <v>1</v>
      </c>
      <c r="C650">
        <v>0.01</v>
      </c>
    </row>
    <row r="651" spans="1:3" x14ac:dyDescent="0.25">
      <c r="A651" t="s">
        <v>490</v>
      </c>
      <c r="B651">
        <v>1</v>
      </c>
      <c r="C651">
        <v>0.01</v>
      </c>
    </row>
    <row r="652" spans="1:3" x14ac:dyDescent="0.25">
      <c r="A652" t="s">
        <v>492</v>
      </c>
      <c r="B652">
        <v>1</v>
      </c>
      <c r="C652">
        <v>0.01</v>
      </c>
    </row>
    <row r="653" spans="1:3" x14ac:dyDescent="0.25">
      <c r="A653" t="s">
        <v>493</v>
      </c>
      <c r="B653">
        <v>1</v>
      </c>
      <c r="C653">
        <v>0.01</v>
      </c>
    </row>
    <row r="654" spans="1:3" x14ac:dyDescent="0.25">
      <c r="A654" t="s">
        <v>494</v>
      </c>
      <c r="B654">
        <v>1</v>
      </c>
      <c r="C654">
        <v>0.01</v>
      </c>
    </row>
    <row r="655" spans="1:3" x14ac:dyDescent="0.25">
      <c r="A655" t="s">
        <v>495</v>
      </c>
      <c r="B655">
        <v>1</v>
      </c>
      <c r="C655">
        <v>0.01</v>
      </c>
    </row>
    <row r="656" spans="1:3" x14ac:dyDescent="0.25">
      <c r="A656" t="s">
        <v>496</v>
      </c>
      <c r="B656">
        <v>1</v>
      </c>
      <c r="C656">
        <v>0.01</v>
      </c>
    </row>
    <row r="657" spans="1:3" x14ac:dyDescent="0.25">
      <c r="A657" t="s">
        <v>497</v>
      </c>
      <c r="B657">
        <v>1</v>
      </c>
      <c r="C657">
        <v>0.01</v>
      </c>
    </row>
    <row r="658" spans="1:3" x14ac:dyDescent="0.25">
      <c r="A658" t="s">
        <v>498</v>
      </c>
      <c r="B658">
        <v>1</v>
      </c>
      <c r="C658">
        <v>0.01</v>
      </c>
    </row>
    <row r="659" spans="1:3" x14ac:dyDescent="0.25">
      <c r="A659" t="s">
        <v>499</v>
      </c>
      <c r="B659">
        <v>1</v>
      </c>
      <c r="C659">
        <v>0.01</v>
      </c>
    </row>
    <row r="660" spans="1:3" x14ac:dyDescent="0.25">
      <c r="A660" t="s">
        <v>501</v>
      </c>
      <c r="B660">
        <v>1</v>
      </c>
      <c r="C660">
        <v>0.01</v>
      </c>
    </row>
    <row r="661" spans="1:3" x14ac:dyDescent="0.25">
      <c r="A661" t="s">
        <v>502</v>
      </c>
      <c r="B661">
        <v>1</v>
      </c>
      <c r="C661">
        <v>0.01</v>
      </c>
    </row>
    <row r="662" spans="1:3" x14ac:dyDescent="0.25">
      <c r="A662" t="s">
        <v>503</v>
      </c>
      <c r="B662">
        <v>1</v>
      </c>
      <c r="C662">
        <v>0.01</v>
      </c>
    </row>
    <row r="663" spans="1:3" x14ac:dyDescent="0.25">
      <c r="A663" t="s">
        <v>505</v>
      </c>
      <c r="B663">
        <v>1</v>
      </c>
      <c r="C663">
        <v>0.01</v>
      </c>
    </row>
    <row r="664" spans="1:3" x14ac:dyDescent="0.25">
      <c r="A664" t="s">
        <v>507</v>
      </c>
      <c r="B664">
        <v>1</v>
      </c>
      <c r="C664">
        <v>0.01</v>
      </c>
    </row>
    <row r="665" spans="1:3" x14ac:dyDescent="0.25">
      <c r="A665" t="s">
        <v>509</v>
      </c>
      <c r="B665">
        <v>1</v>
      </c>
      <c r="C665">
        <v>0.01</v>
      </c>
    </row>
    <row r="666" spans="1:3" x14ac:dyDescent="0.25">
      <c r="A666" t="s">
        <v>513</v>
      </c>
      <c r="B666">
        <v>1</v>
      </c>
      <c r="C666">
        <v>0.01</v>
      </c>
    </row>
    <row r="667" spans="1:3" x14ac:dyDescent="0.25">
      <c r="A667" t="s">
        <v>514</v>
      </c>
      <c r="B667">
        <v>1</v>
      </c>
      <c r="C667">
        <v>0.01</v>
      </c>
    </row>
    <row r="668" spans="1:3" x14ac:dyDescent="0.25">
      <c r="A668" t="s">
        <v>515</v>
      </c>
      <c r="B668">
        <v>1</v>
      </c>
      <c r="C668">
        <v>0.01</v>
      </c>
    </row>
    <row r="669" spans="1:3" x14ac:dyDescent="0.25">
      <c r="A669" t="s">
        <v>516</v>
      </c>
      <c r="B669">
        <v>1</v>
      </c>
      <c r="C669">
        <v>0.01</v>
      </c>
    </row>
    <row r="670" spans="1:3" x14ac:dyDescent="0.25">
      <c r="A670" t="s">
        <v>522</v>
      </c>
      <c r="B670">
        <v>1</v>
      </c>
      <c r="C670">
        <v>0.01</v>
      </c>
    </row>
    <row r="671" spans="1:3" x14ac:dyDescent="0.25">
      <c r="A671" t="s">
        <v>523</v>
      </c>
      <c r="B671">
        <v>1</v>
      </c>
      <c r="C671">
        <v>0.01</v>
      </c>
    </row>
    <row r="672" spans="1:3" x14ac:dyDescent="0.25">
      <c r="A672" t="s">
        <v>524</v>
      </c>
      <c r="B672">
        <v>1</v>
      </c>
      <c r="C672">
        <v>0.01</v>
      </c>
    </row>
    <row r="673" spans="1:3" x14ac:dyDescent="0.25">
      <c r="A673" t="s">
        <v>525</v>
      </c>
      <c r="B673">
        <v>1</v>
      </c>
      <c r="C673">
        <v>0.01</v>
      </c>
    </row>
    <row r="674" spans="1:3" x14ac:dyDescent="0.25">
      <c r="A674" t="s">
        <v>527</v>
      </c>
      <c r="B674">
        <v>1</v>
      </c>
      <c r="C674">
        <v>0.01</v>
      </c>
    </row>
    <row r="675" spans="1:3" x14ac:dyDescent="0.25">
      <c r="A675" t="s">
        <v>528</v>
      </c>
      <c r="B675">
        <v>1</v>
      </c>
      <c r="C675">
        <v>0.01</v>
      </c>
    </row>
    <row r="676" spans="1:3" x14ac:dyDescent="0.25">
      <c r="A676" t="s">
        <v>529</v>
      </c>
      <c r="B676">
        <v>1</v>
      </c>
      <c r="C676">
        <v>0.01</v>
      </c>
    </row>
    <row r="677" spans="1:3" x14ac:dyDescent="0.25">
      <c r="A677" t="s">
        <v>530</v>
      </c>
      <c r="B677">
        <v>1</v>
      </c>
      <c r="C677">
        <v>0.01</v>
      </c>
    </row>
    <row r="678" spans="1:3" x14ac:dyDescent="0.25">
      <c r="A678" t="s">
        <v>531</v>
      </c>
      <c r="B678">
        <v>1</v>
      </c>
      <c r="C678">
        <v>0.01</v>
      </c>
    </row>
    <row r="679" spans="1:3" x14ac:dyDescent="0.25">
      <c r="A679" t="s">
        <v>534</v>
      </c>
      <c r="B679">
        <v>1</v>
      </c>
      <c r="C679">
        <v>0.01</v>
      </c>
    </row>
    <row r="680" spans="1:3" x14ac:dyDescent="0.25">
      <c r="A680" t="s">
        <v>536</v>
      </c>
      <c r="B680">
        <v>1</v>
      </c>
      <c r="C680">
        <v>0.01</v>
      </c>
    </row>
    <row r="681" spans="1:3" x14ac:dyDescent="0.25">
      <c r="A681" t="s">
        <v>538</v>
      </c>
      <c r="B681">
        <v>1</v>
      </c>
      <c r="C681">
        <v>0.01</v>
      </c>
    </row>
    <row r="682" spans="1:3" x14ac:dyDescent="0.25">
      <c r="A682" t="s">
        <v>539</v>
      </c>
      <c r="B682">
        <v>1</v>
      </c>
      <c r="C682">
        <v>0.01</v>
      </c>
    </row>
    <row r="683" spans="1:3" x14ac:dyDescent="0.25">
      <c r="A683" t="s">
        <v>540</v>
      </c>
      <c r="B683">
        <v>1</v>
      </c>
      <c r="C683">
        <v>0.01</v>
      </c>
    </row>
    <row r="684" spans="1:3" x14ac:dyDescent="0.25">
      <c r="A684" t="s">
        <v>541</v>
      </c>
      <c r="B684">
        <v>1</v>
      </c>
      <c r="C684">
        <v>0.01</v>
      </c>
    </row>
    <row r="685" spans="1:3" x14ac:dyDescent="0.25">
      <c r="A685" t="s">
        <v>543</v>
      </c>
      <c r="B685">
        <v>1</v>
      </c>
      <c r="C685">
        <v>0.01</v>
      </c>
    </row>
    <row r="686" spans="1:3" x14ac:dyDescent="0.25">
      <c r="A686" t="s">
        <v>544</v>
      </c>
      <c r="B686">
        <v>1</v>
      </c>
      <c r="C686">
        <v>0.01</v>
      </c>
    </row>
    <row r="687" spans="1:3" x14ac:dyDescent="0.25">
      <c r="A687" t="s">
        <v>545</v>
      </c>
      <c r="B687">
        <v>1</v>
      </c>
      <c r="C687">
        <v>0.01</v>
      </c>
    </row>
    <row r="688" spans="1:3" x14ac:dyDescent="0.25">
      <c r="A688" t="s">
        <v>548</v>
      </c>
      <c r="B688">
        <v>1</v>
      </c>
      <c r="C688">
        <v>0.01</v>
      </c>
    </row>
    <row r="689" spans="1:3" x14ac:dyDescent="0.25">
      <c r="A689" t="s">
        <v>550</v>
      </c>
      <c r="B689">
        <v>1</v>
      </c>
      <c r="C689">
        <v>0.01</v>
      </c>
    </row>
    <row r="690" spans="1:3" x14ac:dyDescent="0.25">
      <c r="A690" t="s">
        <v>552</v>
      </c>
      <c r="B690">
        <v>1</v>
      </c>
      <c r="C690">
        <v>0.01</v>
      </c>
    </row>
    <row r="691" spans="1:3" x14ac:dyDescent="0.25">
      <c r="A691" t="s">
        <v>553</v>
      </c>
      <c r="B691">
        <v>1</v>
      </c>
      <c r="C691">
        <v>0.01</v>
      </c>
    </row>
    <row r="692" spans="1:3" x14ac:dyDescent="0.25">
      <c r="A692" t="s">
        <v>554</v>
      </c>
      <c r="B692">
        <v>1</v>
      </c>
      <c r="C692">
        <v>0.01</v>
      </c>
    </row>
    <row r="693" spans="1:3" x14ac:dyDescent="0.25">
      <c r="A693" t="s">
        <v>555</v>
      </c>
      <c r="B693">
        <v>1</v>
      </c>
      <c r="C693">
        <v>0.01</v>
      </c>
    </row>
    <row r="694" spans="1:3" x14ac:dyDescent="0.25">
      <c r="A694" t="s">
        <v>558</v>
      </c>
      <c r="B694">
        <v>1</v>
      </c>
      <c r="C694">
        <v>0.01</v>
      </c>
    </row>
    <row r="695" spans="1:3" x14ac:dyDescent="0.25">
      <c r="A695" t="s">
        <v>560</v>
      </c>
      <c r="B695">
        <v>1</v>
      </c>
      <c r="C695">
        <v>0.01</v>
      </c>
    </row>
    <row r="696" spans="1:3" x14ac:dyDescent="0.25">
      <c r="A696" t="s">
        <v>561</v>
      </c>
      <c r="B696">
        <v>1</v>
      </c>
      <c r="C696">
        <v>0.01</v>
      </c>
    </row>
    <row r="697" spans="1:3" x14ac:dyDescent="0.25">
      <c r="A697" t="s">
        <v>562</v>
      </c>
      <c r="B697">
        <v>1</v>
      </c>
      <c r="C697">
        <v>0.01</v>
      </c>
    </row>
    <row r="698" spans="1:3" x14ac:dyDescent="0.25">
      <c r="A698" t="s">
        <v>565</v>
      </c>
      <c r="B698">
        <v>1</v>
      </c>
      <c r="C698">
        <v>0.01</v>
      </c>
    </row>
    <row r="699" spans="1:3" x14ac:dyDescent="0.25">
      <c r="A699" t="s">
        <v>567</v>
      </c>
      <c r="B699">
        <v>1</v>
      </c>
      <c r="C699">
        <v>0.01</v>
      </c>
    </row>
    <row r="700" spans="1:3" x14ac:dyDescent="0.25">
      <c r="A700" t="s">
        <v>568</v>
      </c>
      <c r="B700">
        <v>1</v>
      </c>
      <c r="C700">
        <v>0.01</v>
      </c>
    </row>
    <row r="701" spans="1:3" x14ac:dyDescent="0.25">
      <c r="A701" t="s">
        <v>569</v>
      </c>
      <c r="B701">
        <v>1</v>
      </c>
      <c r="C701">
        <v>0.01</v>
      </c>
    </row>
    <row r="702" spans="1:3" x14ac:dyDescent="0.25">
      <c r="A702" t="s">
        <v>570</v>
      </c>
      <c r="B702">
        <v>1</v>
      </c>
      <c r="C702">
        <v>0.01</v>
      </c>
    </row>
    <row r="703" spans="1:3" x14ac:dyDescent="0.25">
      <c r="A703" t="s">
        <v>572</v>
      </c>
      <c r="B703">
        <v>1</v>
      </c>
      <c r="C703">
        <v>0.01</v>
      </c>
    </row>
    <row r="704" spans="1:3" x14ac:dyDescent="0.25">
      <c r="A704" t="s">
        <v>573</v>
      </c>
      <c r="B704">
        <v>1</v>
      </c>
      <c r="C704">
        <v>0.01</v>
      </c>
    </row>
    <row r="705" spans="1:3" x14ac:dyDescent="0.25">
      <c r="A705" t="s">
        <v>574</v>
      </c>
      <c r="B705">
        <v>1</v>
      </c>
      <c r="C705">
        <v>0.01</v>
      </c>
    </row>
    <row r="706" spans="1:3" x14ac:dyDescent="0.25">
      <c r="A706" t="s">
        <v>575</v>
      </c>
      <c r="B706">
        <v>1</v>
      </c>
      <c r="C706">
        <v>0.01</v>
      </c>
    </row>
    <row r="707" spans="1:3" x14ac:dyDescent="0.25">
      <c r="A707" t="s">
        <v>576</v>
      </c>
      <c r="B707">
        <v>1</v>
      </c>
      <c r="C707">
        <v>0.01</v>
      </c>
    </row>
    <row r="708" spans="1:3" x14ac:dyDescent="0.25">
      <c r="A708" t="s">
        <v>577</v>
      </c>
      <c r="B708">
        <v>1</v>
      </c>
      <c r="C708">
        <v>0.01</v>
      </c>
    </row>
    <row r="709" spans="1:3" x14ac:dyDescent="0.25">
      <c r="A709" t="s">
        <v>578</v>
      </c>
      <c r="B709">
        <v>1</v>
      </c>
      <c r="C709">
        <v>0.01</v>
      </c>
    </row>
    <row r="710" spans="1:3" x14ac:dyDescent="0.25">
      <c r="A710" t="s">
        <v>579</v>
      </c>
      <c r="B710">
        <v>1</v>
      </c>
      <c r="C710">
        <v>0.01</v>
      </c>
    </row>
    <row r="711" spans="1:3" x14ac:dyDescent="0.25">
      <c r="A711" t="s">
        <v>580</v>
      </c>
      <c r="B711">
        <v>1</v>
      </c>
      <c r="C711">
        <v>0.01</v>
      </c>
    </row>
    <row r="712" spans="1:3" x14ac:dyDescent="0.25">
      <c r="A712" t="s">
        <v>581</v>
      </c>
      <c r="B712">
        <v>1</v>
      </c>
      <c r="C712">
        <v>0.01</v>
      </c>
    </row>
    <row r="713" spans="1:3" x14ac:dyDescent="0.25">
      <c r="A713" t="s">
        <v>582</v>
      </c>
      <c r="B713">
        <v>1</v>
      </c>
      <c r="C713">
        <v>0.01</v>
      </c>
    </row>
    <row r="714" spans="1:3" x14ac:dyDescent="0.25">
      <c r="A714" t="s">
        <v>583</v>
      </c>
      <c r="B714">
        <v>1</v>
      </c>
      <c r="C714">
        <v>0.01</v>
      </c>
    </row>
    <row r="715" spans="1:3" x14ac:dyDescent="0.25">
      <c r="A715" t="s">
        <v>585</v>
      </c>
      <c r="B715">
        <v>1</v>
      </c>
      <c r="C715">
        <v>0.01</v>
      </c>
    </row>
    <row r="716" spans="1:3" x14ac:dyDescent="0.25">
      <c r="A716" t="s">
        <v>588</v>
      </c>
      <c r="B716">
        <v>1</v>
      </c>
      <c r="C716">
        <v>0.01</v>
      </c>
    </row>
    <row r="717" spans="1:3" x14ac:dyDescent="0.25">
      <c r="A717" t="s">
        <v>589</v>
      </c>
      <c r="B717">
        <v>1</v>
      </c>
      <c r="C717">
        <v>0.01</v>
      </c>
    </row>
    <row r="718" spans="1:3" x14ac:dyDescent="0.25">
      <c r="A718" t="s">
        <v>590</v>
      </c>
      <c r="B718">
        <v>1</v>
      </c>
      <c r="C718">
        <v>0.01</v>
      </c>
    </row>
    <row r="719" spans="1:3" x14ac:dyDescent="0.25">
      <c r="A719" t="s">
        <v>591</v>
      </c>
      <c r="B719">
        <v>1</v>
      </c>
      <c r="C719">
        <v>0.01</v>
      </c>
    </row>
    <row r="720" spans="1:3" x14ac:dyDescent="0.25">
      <c r="A720" t="s">
        <v>592</v>
      </c>
      <c r="B720">
        <v>1</v>
      </c>
      <c r="C720">
        <v>0.01</v>
      </c>
    </row>
    <row r="721" spans="1:3" x14ac:dyDescent="0.25">
      <c r="A721" t="s">
        <v>593</v>
      </c>
      <c r="B721">
        <v>1</v>
      </c>
      <c r="C721">
        <v>0.01</v>
      </c>
    </row>
    <row r="722" spans="1:3" x14ac:dyDescent="0.25">
      <c r="A722" t="s">
        <v>594</v>
      </c>
      <c r="B722">
        <v>1</v>
      </c>
      <c r="C722">
        <v>0.01</v>
      </c>
    </row>
    <row r="723" spans="1:3" x14ac:dyDescent="0.25">
      <c r="A723" t="s">
        <v>595</v>
      </c>
      <c r="B723">
        <v>1</v>
      </c>
      <c r="C723">
        <v>0.01</v>
      </c>
    </row>
    <row r="724" spans="1:3" x14ac:dyDescent="0.25">
      <c r="A724" t="s">
        <v>597</v>
      </c>
      <c r="B724">
        <v>1</v>
      </c>
      <c r="C724">
        <v>0.01</v>
      </c>
    </row>
    <row r="725" spans="1:3" x14ac:dyDescent="0.25">
      <c r="A725" t="s">
        <v>599</v>
      </c>
      <c r="B725">
        <v>1</v>
      </c>
      <c r="C725">
        <v>0.01</v>
      </c>
    </row>
    <row r="726" spans="1:3" x14ac:dyDescent="0.25">
      <c r="A726" t="s">
        <v>600</v>
      </c>
      <c r="B726">
        <v>1</v>
      </c>
      <c r="C726">
        <v>0.01</v>
      </c>
    </row>
    <row r="727" spans="1:3" x14ac:dyDescent="0.25">
      <c r="A727" t="s">
        <v>603</v>
      </c>
      <c r="B727">
        <v>1</v>
      </c>
      <c r="C727">
        <v>0.01</v>
      </c>
    </row>
    <row r="728" spans="1:3" x14ac:dyDescent="0.25">
      <c r="A728" t="s">
        <v>604</v>
      </c>
      <c r="B728">
        <v>1</v>
      </c>
      <c r="C728">
        <v>0.01</v>
      </c>
    </row>
    <row r="729" spans="1:3" x14ac:dyDescent="0.25">
      <c r="A729" t="s">
        <v>604</v>
      </c>
      <c r="B729">
        <v>1</v>
      </c>
      <c r="C729">
        <v>0.01</v>
      </c>
    </row>
    <row r="730" spans="1:3" x14ac:dyDescent="0.25">
      <c r="A730" t="s">
        <v>605</v>
      </c>
      <c r="B730">
        <v>1</v>
      </c>
      <c r="C730">
        <v>0.01</v>
      </c>
    </row>
    <row r="731" spans="1:3" x14ac:dyDescent="0.25">
      <c r="A731" t="s">
        <v>606</v>
      </c>
      <c r="B731">
        <v>1</v>
      </c>
      <c r="C731">
        <v>0.01</v>
      </c>
    </row>
    <row r="732" spans="1:3" x14ac:dyDescent="0.25">
      <c r="A732" t="s">
        <v>607</v>
      </c>
      <c r="B732">
        <v>1</v>
      </c>
      <c r="C732">
        <v>0.01</v>
      </c>
    </row>
    <row r="733" spans="1:3" x14ac:dyDescent="0.25">
      <c r="A733" t="s">
        <v>609</v>
      </c>
      <c r="B733">
        <v>1</v>
      </c>
      <c r="C733">
        <v>0.01</v>
      </c>
    </row>
    <row r="734" spans="1:3" x14ac:dyDescent="0.25">
      <c r="A734" t="s">
        <v>610</v>
      </c>
      <c r="B734">
        <v>1</v>
      </c>
      <c r="C734">
        <v>0.01</v>
      </c>
    </row>
    <row r="735" spans="1:3" x14ac:dyDescent="0.25">
      <c r="A735" t="s">
        <v>611</v>
      </c>
      <c r="B735">
        <v>1</v>
      </c>
      <c r="C735">
        <v>0.01</v>
      </c>
    </row>
    <row r="736" spans="1:3" x14ac:dyDescent="0.25">
      <c r="A736" t="s">
        <v>612</v>
      </c>
      <c r="B736">
        <v>1</v>
      </c>
      <c r="C736">
        <v>0.01</v>
      </c>
    </row>
    <row r="737" spans="1:3" x14ac:dyDescent="0.25">
      <c r="A737" t="s">
        <v>613</v>
      </c>
      <c r="B737">
        <v>1</v>
      </c>
      <c r="C737">
        <v>0.01</v>
      </c>
    </row>
    <row r="738" spans="1:3" x14ac:dyDescent="0.25">
      <c r="A738" t="s">
        <v>614</v>
      </c>
      <c r="B738">
        <v>1</v>
      </c>
      <c r="C738">
        <v>0.01</v>
      </c>
    </row>
    <row r="739" spans="1:3" x14ac:dyDescent="0.25">
      <c r="A739" t="s">
        <v>615</v>
      </c>
      <c r="B739">
        <v>1</v>
      </c>
      <c r="C739">
        <v>0.01</v>
      </c>
    </row>
    <row r="740" spans="1:3" x14ac:dyDescent="0.25">
      <c r="A740" t="s">
        <v>616</v>
      </c>
      <c r="B740">
        <v>1</v>
      </c>
      <c r="C740">
        <v>0.01</v>
      </c>
    </row>
    <row r="741" spans="1:3" x14ac:dyDescent="0.25">
      <c r="A741" t="s">
        <v>617</v>
      </c>
      <c r="B741">
        <v>1</v>
      </c>
      <c r="C741">
        <v>0.01</v>
      </c>
    </row>
    <row r="742" spans="1:3" x14ac:dyDescent="0.25">
      <c r="A742" t="s">
        <v>618</v>
      </c>
      <c r="B742">
        <v>1</v>
      </c>
      <c r="C742">
        <v>0.01</v>
      </c>
    </row>
    <row r="743" spans="1:3" x14ac:dyDescent="0.25">
      <c r="A743" t="s">
        <v>620</v>
      </c>
      <c r="B743">
        <v>1</v>
      </c>
      <c r="C743">
        <v>0.01</v>
      </c>
    </row>
    <row r="744" spans="1:3" x14ac:dyDescent="0.25">
      <c r="A744" t="s">
        <v>621</v>
      </c>
      <c r="B744">
        <v>1</v>
      </c>
      <c r="C744">
        <v>0.01</v>
      </c>
    </row>
    <row r="745" spans="1:3" x14ac:dyDescent="0.25">
      <c r="A745" t="s">
        <v>622</v>
      </c>
      <c r="B745">
        <v>1</v>
      </c>
      <c r="C745">
        <v>0.01</v>
      </c>
    </row>
    <row r="746" spans="1:3" x14ac:dyDescent="0.25">
      <c r="A746" t="s">
        <v>623</v>
      </c>
      <c r="B746">
        <v>1</v>
      </c>
      <c r="C746">
        <v>0.01</v>
      </c>
    </row>
    <row r="747" spans="1:3" x14ac:dyDescent="0.25">
      <c r="A747" t="s">
        <v>626</v>
      </c>
      <c r="B747">
        <v>1</v>
      </c>
      <c r="C747">
        <v>0.01</v>
      </c>
    </row>
    <row r="748" spans="1:3" x14ac:dyDescent="0.25">
      <c r="A748" t="s">
        <v>628</v>
      </c>
      <c r="B748">
        <v>1</v>
      </c>
      <c r="C748">
        <v>0.01</v>
      </c>
    </row>
    <row r="749" spans="1:3" x14ac:dyDescent="0.25">
      <c r="A749" t="s">
        <v>630</v>
      </c>
      <c r="B749">
        <v>1</v>
      </c>
      <c r="C749">
        <v>0.01</v>
      </c>
    </row>
    <row r="750" spans="1:3" x14ac:dyDescent="0.25">
      <c r="A750" t="s">
        <v>631</v>
      </c>
      <c r="B750">
        <v>1</v>
      </c>
      <c r="C750">
        <v>0.01</v>
      </c>
    </row>
    <row r="751" spans="1:3" x14ac:dyDescent="0.25">
      <c r="A751" t="s">
        <v>632</v>
      </c>
      <c r="B751">
        <v>1</v>
      </c>
      <c r="C751">
        <v>0.01</v>
      </c>
    </row>
    <row r="752" spans="1:3" x14ac:dyDescent="0.25">
      <c r="A752" t="s">
        <v>633</v>
      </c>
      <c r="B752">
        <v>1</v>
      </c>
      <c r="C752">
        <v>0.01</v>
      </c>
    </row>
    <row r="753" spans="1:3" x14ac:dyDescent="0.25">
      <c r="A753" t="s">
        <v>634</v>
      </c>
      <c r="B753">
        <v>1</v>
      </c>
      <c r="C753">
        <v>0.01</v>
      </c>
    </row>
    <row r="754" spans="1:3" x14ac:dyDescent="0.25">
      <c r="A754" t="s">
        <v>635</v>
      </c>
      <c r="B754">
        <v>1</v>
      </c>
      <c r="C754">
        <v>0.01</v>
      </c>
    </row>
    <row r="755" spans="1:3" x14ac:dyDescent="0.25">
      <c r="A755" t="s">
        <v>637</v>
      </c>
      <c r="B755">
        <v>1</v>
      </c>
      <c r="C755">
        <v>0.01</v>
      </c>
    </row>
    <row r="756" spans="1:3" x14ac:dyDescent="0.25">
      <c r="A756" t="s">
        <v>639</v>
      </c>
      <c r="B756">
        <v>1</v>
      </c>
      <c r="C756">
        <v>0.01</v>
      </c>
    </row>
    <row r="757" spans="1:3" x14ac:dyDescent="0.25">
      <c r="A757" t="s">
        <v>640</v>
      </c>
      <c r="B757">
        <v>1</v>
      </c>
      <c r="C757">
        <v>0.01</v>
      </c>
    </row>
    <row r="758" spans="1:3" x14ac:dyDescent="0.25">
      <c r="A758" t="s">
        <v>641</v>
      </c>
      <c r="B758">
        <v>1</v>
      </c>
      <c r="C758">
        <v>0.01</v>
      </c>
    </row>
    <row r="759" spans="1:3" x14ac:dyDescent="0.25">
      <c r="A759" t="s">
        <v>645</v>
      </c>
      <c r="B759">
        <v>1</v>
      </c>
      <c r="C759">
        <v>0.01</v>
      </c>
    </row>
    <row r="760" spans="1:3" x14ac:dyDescent="0.25">
      <c r="A760" t="s">
        <v>646</v>
      </c>
      <c r="B760">
        <v>1</v>
      </c>
      <c r="C760">
        <v>0.01</v>
      </c>
    </row>
    <row r="761" spans="1:3" x14ac:dyDescent="0.25">
      <c r="A761" t="s">
        <v>647</v>
      </c>
      <c r="B761">
        <v>1</v>
      </c>
      <c r="C761">
        <v>0.01</v>
      </c>
    </row>
    <row r="762" spans="1:3" x14ac:dyDescent="0.25">
      <c r="A762" t="s">
        <v>648</v>
      </c>
      <c r="B762">
        <v>1</v>
      </c>
      <c r="C762">
        <v>0.01</v>
      </c>
    </row>
    <row r="763" spans="1:3" x14ac:dyDescent="0.25">
      <c r="A763" t="s">
        <v>649</v>
      </c>
      <c r="B763">
        <v>1</v>
      </c>
      <c r="C763">
        <v>0.01</v>
      </c>
    </row>
    <row r="764" spans="1:3" x14ac:dyDescent="0.25">
      <c r="A764" t="s">
        <v>651</v>
      </c>
      <c r="B764">
        <v>1</v>
      </c>
      <c r="C764">
        <v>0.01</v>
      </c>
    </row>
    <row r="765" spans="1:3" x14ac:dyDescent="0.25">
      <c r="A765" t="s">
        <v>652</v>
      </c>
      <c r="B765">
        <v>1</v>
      </c>
      <c r="C765">
        <v>0.01</v>
      </c>
    </row>
    <row r="766" spans="1:3" x14ac:dyDescent="0.25">
      <c r="A766" t="s">
        <v>653</v>
      </c>
      <c r="B766">
        <v>1</v>
      </c>
      <c r="C766">
        <v>0.01</v>
      </c>
    </row>
    <row r="767" spans="1:3" x14ac:dyDescent="0.25">
      <c r="A767" t="s">
        <v>654</v>
      </c>
      <c r="B767">
        <v>1</v>
      </c>
      <c r="C767">
        <v>0.01</v>
      </c>
    </row>
    <row r="768" spans="1:3" x14ac:dyDescent="0.25">
      <c r="A768" t="s">
        <v>658</v>
      </c>
      <c r="B768">
        <v>1</v>
      </c>
      <c r="C768">
        <v>0.01</v>
      </c>
    </row>
    <row r="769" spans="1:3" x14ac:dyDescent="0.25">
      <c r="A769" t="s">
        <v>659</v>
      </c>
      <c r="B769">
        <v>1</v>
      </c>
      <c r="C769">
        <v>0.01</v>
      </c>
    </row>
    <row r="770" spans="1:3" x14ac:dyDescent="0.25">
      <c r="A770" t="s">
        <v>660</v>
      </c>
      <c r="B770">
        <v>1</v>
      </c>
      <c r="C770">
        <v>0.01</v>
      </c>
    </row>
    <row r="771" spans="1:3" x14ac:dyDescent="0.25">
      <c r="A771" t="s">
        <v>661</v>
      </c>
      <c r="B771">
        <v>1</v>
      </c>
      <c r="C771">
        <v>0.01</v>
      </c>
    </row>
    <row r="772" spans="1:3" x14ac:dyDescent="0.25">
      <c r="A772" t="s">
        <v>662</v>
      </c>
      <c r="B772">
        <v>1</v>
      </c>
      <c r="C772">
        <v>0.01</v>
      </c>
    </row>
    <row r="773" spans="1:3" x14ac:dyDescent="0.25">
      <c r="A773" t="s">
        <v>663</v>
      </c>
      <c r="B773">
        <v>1</v>
      </c>
      <c r="C773">
        <v>0.01</v>
      </c>
    </row>
    <row r="774" spans="1:3" x14ac:dyDescent="0.25">
      <c r="A774" t="s">
        <v>665</v>
      </c>
      <c r="B774">
        <v>1</v>
      </c>
      <c r="C774">
        <v>0.01</v>
      </c>
    </row>
    <row r="775" spans="1:3" x14ac:dyDescent="0.25">
      <c r="A775" t="s">
        <v>667</v>
      </c>
      <c r="B775">
        <v>1</v>
      </c>
      <c r="C775">
        <v>0.01</v>
      </c>
    </row>
    <row r="776" spans="1:3" x14ac:dyDescent="0.25">
      <c r="A776" t="s">
        <v>669</v>
      </c>
      <c r="B776">
        <v>1</v>
      </c>
      <c r="C776">
        <v>0.01</v>
      </c>
    </row>
    <row r="777" spans="1:3" x14ac:dyDescent="0.25">
      <c r="A777" t="s">
        <v>670</v>
      </c>
      <c r="B777">
        <v>1</v>
      </c>
      <c r="C777">
        <v>0.01</v>
      </c>
    </row>
    <row r="778" spans="1:3" x14ac:dyDescent="0.25">
      <c r="A778" t="s">
        <v>671</v>
      </c>
      <c r="B778">
        <v>1</v>
      </c>
      <c r="C778">
        <v>0.01</v>
      </c>
    </row>
    <row r="779" spans="1:3" x14ac:dyDescent="0.25">
      <c r="A779" t="s">
        <v>672</v>
      </c>
      <c r="B779">
        <v>1</v>
      </c>
      <c r="C779">
        <v>0.01</v>
      </c>
    </row>
    <row r="780" spans="1:3" x14ac:dyDescent="0.25">
      <c r="A780" t="s">
        <v>673</v>
      </c>
      <c r="B780">
        <v>1</v>
      </c>
      <c r="C780">
        <v>0.01</v>
      </c>
    </row>
    <row r="781" spans="1:3" x14ac:dyDescent="0.25">
      <c r="A781" t="s">
        <v>674</v>
      </c>
      <c r="B781">
        <v>1</v>
      </c>
      <c r="C781">
        <v>0.01</v>
      </c>
    </row>
    <row r="782" spans="1:3" x14ac:dyDescent="0.25">
      <c r="A782" t="s">
        <v>675</v>
      </c>
      <c r="B782">
        <v>1</v>
      </c>
      <c r="C782">
        <v>0.01</v>
      </c>
    </row>
    <row r="783" spans="1:3" x14ac:dyDescent="0.25">
      <c r="A783" t="s">
        <v>676</v>
      </c>
      <c r="B783">
        <v>1</v>
      </c>
      <c r="C783">
        <v>0.01</v>
      </c>
    </row>
    <row r="784" spans="1:3" x14ac:dyDescent="0.25">
      <c r="A784" t="s">
        <v>678</v>
      </c>
      <c r="B784">
        <v>1</v>
      </c>
      <c r="C784">
        <v>0.01</v>
      </c>
    </row>
    <row r="785" spans="1:3" x14ac:dyDescent="0.25">
      <c r="A785" t="s">
        <v>680</v>
      </c>
      <c r="B785">
        <v>1</v>
      </c>
      <c r="C785">
        <v>0.01</v>
      </c>
    </row>
    <row r="786" spans="1:3" x14ac:dyDescent="0.25">
      <c r="A786" t="s">
        <v>682</v>
      </c>
      <c r="B786">
        <v>1</v>
      </c>
      <c r="C786">
        <v>0.01</v>
      </c>
    </row>
    <row r="787" spans="1:3" x14ac:dyDescent="0.25">
      <c r="A787" t="s">
        <v>683</v>
      </c>
      <c r="B787">
        <v>1</v>
      </c>
      <c r="C787">
        <v>0.01</v>
      </c>
    </row>
    <row r="788" spans="1:3" x14ac:dyDescent="0.25">
      <c r="A788" t="s">
        <v>684</v>
      </c>
      <c r="B788">
        <v>1</v>
      </c>
      <c r="C788">
        <v>0.01</v>
      </c>
    </row>
    <row r="789" spans="1:3" x14ac:dyDescent="0.25">
      <c r="A789" t="s">
        <v>686</v>
      </c>
      <c r="B789">
        <v>1</v>
      </c>
      <c r="C789">
        <v>0.01</v>
      </c>
    </row>
    <row r="790" spans="1:3" x14ac:dyDescent="0.25">
      <c r="A790" t="s">
        <v>687</v>
      </c>
      <c r="B790">
        <v>1</v>
      </c>
      <c r="C790">
        <v>0.01</v>
      </c>
    </row>
    <row r="791" spans="1:3" x14ac:dyDescent="0.25">
      <c r="A791" t="s">
        <v>688</v>
      </c>
      <c r="B791">
        <v>1</v>
      </c>
      <c r="C791">
        <v>0.01</v>
      </c>
    </row>
    <row r="792" spans="1:3" x14ac:dyDescent="0.25">
      <c r="A792" t="s">
        <v>689</v>
      </c>
      <c r="B792">
        <v>1</v>
      </c>
      <c r="C792">
        <v>0.01</v>
      </c>
    </row>
    <row r="793" spans="1:3" x14ac:dyDescent="0.25">
      <c r="A793" t="s">
        <v>690</v>
      </c>
      <c r="B793">
        <v>1</v>
      </c>
      <c r="C793">
        <v>0.01</v>
      </c>
    </row>
    <row r="794" spans="1:3" x14ac:dyDescent="0.25">
      <c r="A794" t="s">
        <v>691</v>
      </c>
      <c r="B794">
        <v>1</v>
      </c>
      <c r="C794">
        <v>0.01</v>
      </c>
    </row>
    <row r="795" spans="1:3" x14ac:dyDescent="0.25">
      <c r="A795" t="s">
        <v>692</v>
      </c>
      <c r="B795">
        <v>1</v>
      </c>
      <c r="C795">
        <v>0.01</v>
      </c>
    </row>
    <row r="796" spans="1:3" x14ac:dyDescent="0.25">
      <c r="A796" t="s">
        <v>694</v>
      </c>
      <c r="B796">
        <v>1</v>
      </c>
      <c r="C796">
        <v>0.01</v>
      </c>
    </row>
    <row r="797" spans="1:3" x14ac:dyDescent="0.25">
      <c r="A797" t="s">
        <v>695</v>
      </c>
      <c r="B797">
        <v>1</v>
      </c>
      <c r="C797">
        <v>0.01</v>
      </c>
    </row>
    <row r="798" spans="1:3" x14ac:dyDescent="0.25">
      <c r="A798" t="s">
        <v>697</v>
      </c>
      <c r="B798">
        <v>1</v>
      </c>
      <c r="C798">
        <v>0.01</v>
      </c>
    </row>
    <row r="799" spans="1:3" x14ac:dyDescent="0.25">
      <c r="A799" t="s">
        <v>698</v>
      </c>
      <c r="B799">
        <v>1</v>
      </c>
      <c r="C799">
        <v>0.01</v>
      </c>
    </row>
    <row r="800" spans="1:3" x14ac:dyDescent="0.25">
      <c r="A800" t="s">
        <v>699</v>
      </c>
      <c r="B800">
        <v>1</v>
      </c>
      <c r="C800">
        <v>0.01</v>
      </c>
    </row>
    <row r="801" spans="1:3" x14ac:dyDescent="0.25">
      <c r="A801" t="s">
        <v>701</v>
      </c>
      <c r="B801">
        <v>1</v>
      </c>
      <c r="C801">
        <v>0.01</v>
      </c>
    </row>
    <row r="802" spans="1:3" x14ac:dyDescent="0.25">
      <c r="A802" t="s">
        <v>702</v>
      </c>
      <c r="B802">
        <v>1</v>
      </c>
      <c r="C802">
        <v>0.01</v>
      </c>
    </row>
    <row r="803" spans="1:3" x14ac:dyDescent="0.25">
      <c r="A803" t="s">
        <v>703</v>
      </c>
      <c r="B803">
        <v>1</v>
      </c>
      <c r="C803">
        <v>0.01</v>
      </c>
    </row>
    <row r="804" spans="1:3" x14ac:dyDescent="0.25">
      <c r="A804" t="s">
        <v>704</v>
      </c>
      <c r="B804">
        <v>1</v>
      </c>
      <c r="C804">
        <v>0.01</v>
      </c>
    </row>
    <row r="805" spans="1:3" x14ac:dyDescent="0.25">
      <c r="A805" t="s">
        <v>705</v>
      </c>
      <c r="B805">
        <v>1</v>
      </c>
      <c r="C805">
        <v>0.01</v>
      </c>
    </row>
    <row r="806" spans="1:3" x14ac:dyDescent="0.25">
      <c r="A806" t="s">
        <v>706</v>
      </c>
      <c r="B806">
        <v>1</v>
      </c>
      <c r="C806">
        <v>0.01</v>
      </c>
    </row>
    <row r="807" spans="1:3" x14ac:dyDescent="0.25">
      <c r="A807" t="s">
        <v>707</v>
      </c>
      <c r="B807">
        <v>1</v>
      </c>
      <c r="C807">
        <v>0.01</v>
      </c>
    </row>
    <row r="808" spans="1:3" x14ac:dyDescent="0.25">
      <c r="A808" t="s">
        <v>711</v>
      </c>
      <c r="B808">
        <v>1</v>
      </c>
      <c r="C808">
        <v>0.01</v>
      </c>
    </row>
    <row r="809" spans="1:3" x14ac:dyDescent="0.25">
      <c r="A809" t="s">
        <v>712</v>
      </c>
      <c r="B809">
        <v>1</v>
      </c>
      <c r="C809">
        <v>0.01</v>
      </c>
    </row>
    <row r="810" spans="1:3" x14ac:dyDescent="0.25">
      <c r="A810" t="s">
        <v>713</v>
      </c>
      <c r="B810">
        <v>1</v>
      </c>
      <c r="C810">
        <v>0.01</v>
      </c>
    </row>
    <row r="811" spans="1:3" x14ac:dyDescent="0.25">
      <c r="A811" t="s">
        <v>715</v>
      </c>
      <c r="B811">
        <v>1</v>
      </c>
      <c r="C811">
        <v>0.01</v>
      </c>
    </row>
    <row r="812" spans="1:3" x14ac:dyDescent="0.25">
      <c r="A812" t="s">
        <v>717</v>
      </c>
      <c r="B812">
        <v>1</v>
      </c>
      <c r="C812">
        <v>0.01</v>
      </c>
    </row>
    <row r="813" spans="1:3" x14ac:dyDescent="0.25">
      <c r="A813" t="s">
        <v>718</v>
      </c>
      <c r="B813">
        <v>1</v>
      </c>
      <c r="C813">
        <v>0.01</v>
      </c>
    </row>
    <row r="814" spans="1:3" x14ac:dyDescent="0.25">
      <c r="A814" t="s">
        <v>719</v>
      </c>
      <c r="B814">
        <v>1</v>
      </c>
      <c r="C814">
        <v>0.01</v>
      </c>
    </row>
    <row r="815" spans="1:3" x14ac:dyDescent="0.25">
      <c r="A815" t="s">
        <v>720</v>
      </c>
      <c r="B815">
        <v>1</v>
      </c>
      <c r="C815">
        <v>0.01</v>
      </c>
    </row>
    <row r="816" spans="1:3" x14ac:dyDescent="0.25">
      <c r="A816" t="s">
        <v>721</v>
      </c>
      <c r="B816">
        <v>1</v>
      </c>
      <c r="C816">
        <v>0.01</v>
      </c>
    </row>
    <row r="817" spans="1:3" x14ac:dyDescent="0.25">
      <c r="A817" t="s">
        <v>722</v>
      </c>
      <c r="B817">
        <v>1</v>
      </c>
      <c r="C817">
        <v>0.01</v>
      </c>
    </row>
    <row r="818" spans="1:3" x14ac:dyDescent="0.25">
      <c r="A818" t="s">
        <v>726</v>
      </c>
      <c r="B818">
        <v>1</v>
      </c>
      <c r="C818">
        <v>0.01</v>
      </c>
    </row>
    <row r="819" spans="1:3" x14ac:dyDescent="0.25">
      <c r="A819" t="s">
        <v>727</v>
      </c>
      <c r="B819">
        <v>1</v>
      </c>
      <c r="C819">
        <v>0.01</v>
      </c>
    </row>
    <row r="820" spans="1:3" x14ac:dyDescent="0.25">
      <c r="A820" t="s">
        <v>728</v>
      </c>
      <c r="B820">
        <v>1</v>
      </c>
      <c r="C820">
        <v>0.01</v>
      </c>
    </row>
    <row r="821" spans="1:3" x14ac:dyDescent="0.25">
      <c r="A821" t="s">
        <v>729</v>
      </c>
      <c r="B821">
        <v>1</v>
      </c>
      <c r="C821">
        <v>0.01</v>
      </c>
    </row>
    <row r="822" spans="1:3" x14ac:dyDescent="0.25">
      <c r="A822" t="s">
        <v>730</v>
      </c>
      <c r="B822">
        <v>1</v>
      </c>
      <c r="C822">
        <v>0.01</v>
      </c>
    </row>
    <row r="823" spans="1:3" x14ac:dyDescent="0.25">
      <c r="A823" t="s">
        <v>732</v>
      </c>
      <c r="B823">
        <v>1</v>
      </c>
      <c r="C823">
        <v>0.01</v>
      </c>
    </row>
    <row r="824" spans="1:3" x14ac:dyDescent="0.25">
      <c r="A824" t="s">
        <v>733</v>
      </c>
      <c r="B824">
        <v>1</v>
      </c>
      <c r="C824">
        <v>0.01</v>
      </c>
    </row>
    <row r="825" spans="1:3" x14ac:dyDescent="0.25">
      <c r="A825" t="s">
        <v>734</v>
      </c>
      <c r="B825">
        <v>1</v>
      </c>
      <c r="C825">
        <v>0.01</v>
      </c>
    </row>
    <row r="826" spans="1:3" x14ac:dyDescent="0.25">
      <c r="A826" t="s">
        <v>738</v>
      </c>
      <c r="B826">
        <v>1</v>
      </c>
      <c r="C826">
        <v>0.01</v>
      </c>
    </row>
    <row r="827" spans="1:3" x14ac:dyDescent="0.25">
      <c r="A827" t="s">
        <v>739</v>
      </c>
      <c r="B827">
        <v>1</v>
      </c>
      <c r="C827">
        <v>0.01</v>
      </c>
    </row>
    <row r="828" spans="1:3" x14ac:dyDescent="0.25">
      <c r="A828" t="s">
        <v>740</v>
      </c>
      <c r="B828">
        <v>1</v>
      </c>
      <c r="C828">
        <v>0.01</v>
      </c>
    </row>
    <row r="829" spans="1:3" x14ac:dyDescent="0.25">
      <c r="A829" t="s">
        <v>741</v>
      </c>
      <c r="B829">
        <v>1</v>
      </c>
      <c r="C829">
        <v>0.01</v>
      </c>
    </row>
    <row r="830" spans="1:3" x14ac:dyDescent="0.25">
      <c r="A830" t="s">
        <v>742</v>
      </c>
      <c r="B830">
        <v>1</v>
      </c>
      <c r="C830">
        <v>0.01</v>
      </c>
    </row>
    <row r="831" spans="1:3" x14ac:dyDescent="0.25">
      <c r="A831" t="s">
        <v>745</v>
      </c>
      <c r="B831">
        <v>1</v>
      </c>
      <c r="C831">
        <v>0.01</v>
      </c>
    </row>
    <row r="832" spans="1:3" x14ac:dyDescent="0.25">
      <c r="A832" t="s">
        <v>746</v>
      </c>
      <c r="B832">
        <v>1</v>
      </c>
      <c r="C832">
        <v>0.01</v>
      </c>
    </row>
    <row r="833" spans="1:3" x14ac:dyDescent="0.25">
      <c r="A833" t="s">
        <v>747</v>
      </c>
      <c r="B833">
        <v>1</v>
      </c>
      <c r="C833">
        <v>0.01</v>
      </c>
    </row>
    <row r="834" spans="1:3" x14ac:dyDescent="0.25">
      <c r="A834" t="s">
        <v>748</v>
      </c>
      <c r="B834">
        <v>1</v>
      </c>
      <c r="C834">
        <v>0.01</v>
      </c>
    </row>
    <row r="835" spans="1:3" x14ac:dyDescent="0.25">
      <c r="A835" t="s">
        <v>749</v>
      </c>
      <c r="B835">
        <v>1</v>
      </c>
      <c r="C835">
        <v>0.01</v>
      </c>
    </row>
    <row r="836" spans="1:3" x14ac:dyDescent="0.25">
      <c r="A836" t="s">
        <v>753</v>
      </c>
      <c r="B836">
        <v>1</v>
      </c>
      <c r="C836">
        <v>0.01</v>
      </c>
    </row>
    <row r="837" spans="1:3" x14ac:dyDescent="0.25">
      <c r="A837" t="s">
        <v>756</v>
      </c>
      <c r="B837">
        <v>1</v>
      </c>
      <c r="C837">
        <v>0.01</v>
      </c>
    </row>
    <row r="838" spans="1:3" x14ac:dyDescent="0.25">
      <c r="A838" t="s">
        <v>757</v>
      </c>
      <c r="B838">
        <v>1</v>
      </c>
      <c r="C838">
        <v>0.01</v>
      </c>
    </row>
    <row r="839" spans="1:3" x14ac:dyDescent="0.25">
      <c r="A839" t="s">
        <v>758</v>
      </c>
      <c r="B839">
        <v>1</v>
      </c>
      <c r="C839">
        <v>0.01</v>
      </c>
    </row>
    <row r="840" spans="1:3" x14ac:dyDescent="0.25">
      <c r="A840" t="s">
        <v>760</v>
      </c>
      <c r="B840">
        <v>1</v>
      </c>
      <c r="C840">
        <v>0.01</v>
      </c>
    </row>
    <row r="841" spans="1:3" x14ac:dyDescent="0.25">
      <c r="A841" t="s">
        <v>761</v>
      </c>
      <c r="B841">
        <v>1</v>
      </c>
      <c r="C841">
        <v>0.01</v>
      </c>
    </row>
    <row r="842" spans="1:3" x14ac:dyDescent="0.25">
      <c r="A842" t="s">
        <v>763</v>
      </c>
      <c r="B842">
        <v>1</v>
      </c>
      <c r="C842">
        <v>0.01</v>
      </c>
    </row>
    <row r="843" spans="1:3" x14ac:dyDescent="0.25">
      <c r="A843" t="s">
        <v>764</v>
      </c>
      <c r="B843">
        <v>1</v>
      </c>
      <c r="C843">
        <v>0.01</v>
      </c>
    </row>
    <row r="844" spans="1:3" x14ac:dyDescent="0.25">
      <c r="A844" t="s">
        <v>765</v>
      </c>
      <c r="B844">
        <v>1</v>
      </c>
      <c r="C844">
        <v>0.01</v>
      </c>
    </row>
    <row r="845" spans="1:3" x14ac:dyDescent="0.25">
      <c r="A845" t="s">
        <v>766</v>
      </c>
      <c r="B845">
        <v>1</v>
      </c>
      <c r="C845">
        <v>0.01</v>
      </c>
    </row>
    <row r="846" spans="1:3" x14ac:dyDescent="0.25">
      <c r="A846" t="s">
        <v>768</v>
      </c>
      <c r="B846">
        <v>1</v>
      </c>
      <c r="C846">
        <v>0.01</v>
      </c>
    </row>
    <row r="847" spans="1:3" x14ac:dyDescent="0.25">
      <c r="A847" t="s">
        <v>772</v>
      </c>
      <c r="B847">
        <v>1</v>
      </c>
      <c r="C847">
        <v>0.01</v>
      </c>
    </row>
    <row r="848" spans="1:3" x14ac:dyDescent="0.25">
      <c r="A848" t="s">
        <v>774</v>
      </c>
      <c r="B848">
        <v>1</v>
      </c>
      <c r="C848">
        <v>0.01</v>
      </c>
    </row>
    <row r="849" spans="1:3" x14ac:dyDescent="0.25">
      <c r="A849" t="s">
        <v>775</v>
      </c>
      <c r="B849">
        <v>1</v>
      </c>
      <c r="C849">
        <v>0.01</v>
      </c>
    </row>
    <row r="850" spans="1:3" x14ac:dyDescent="0.25">
      <c r="A850" t="s">
        <v>776</v>
      </c>
      <c r="B850">
        <v>1</v>
      </c>
      <c r="C850">
        <v>0.01</v>
      </c>
    </row>
    <row r="851" spans="1:3" x14ac:dyDescent="0.25">
      <c r="A851" t="s">
        <v>777</v>
      </c>
      <c r="B851">
        <v>1</v>
      </c>
      <c r="C851">
        <v>0.01</v>
      </c>
    </row>
    <row r="852" spans="1:3" x14ac:dyDescent="0.25">
      <c r="A852" t="s">
        <v>778</v>
      </c>
      <c r="B852">
        <v>1</v>
      </c>
      <c r="C852">
        <v>0.01</v>
      </c>
    </row>
    <row r="853" spans="1:3" x14ac:dyDescent="0.25">
      <c r="A853" t="s">
        <v>779</v>
      </c>
      <c r="B853">
        <v>1</v>
      </c>
      <c r="C853">
        <v>0.01</v>
      </c>
    </row>
    <row r="854" spans="1:3" x14ac:dyDescent="0.25">
      <c r="A854" t="s">
        <v>780</v>
      </c>
      <c r="B854">
        <v>1</v>
      </c>
      <c r="C854">
        <v>0.01</v>
      </c>
    </row>
    <row r="855" spans="1:3" x14ac:dyDescent="0.25">
      <c r="A855" t="s">
        <v>781</v>
      </c>
      <c r="B855">
        <v>1</v>
      </c>
      <c r="C855">
        <v>0.01</v>
      </c>
    </row>
    <row r="856" spans="1:3" x14ac:dyDescent="0.25">
      <c r="A856" t="s">
        <v>783</v>
      </c>
      <c r="B856">
        <v>1</v>
      </c>
      <c r="C856">
        <v>0.01</v>
      </c>
    </row>
    <row r="857" spans="1:3" x14ac:dyDescent="0.25">
      <c r="A857" t="s">
        <v>785</v>
      </c>
      <c r="B857">
        <v>1</v>
      </c>
      <c r="C857">
        <v>0.01</v>
      </c>
    </row>
    <row r="858" spans="1:3" x14ac:dyDescent="0.25">
      <c r="A858" t="s">
        <v>787</v>
      </c>
      <c r="B858">
        <v>1</v>
      </c>
      <c r="C858">
        <v>0.01</v>
      </c>
    </row>
    <row r="859" spans="1:3" x14ac:dyDescent="0.25">
      <c r="A859" t="s">
        <v>788</v>
      </c>
      <c r="B859">
        <v>1</v>
      </c>
      <c r="C859">
        <v>0.01</v>
      </c>
    </row>
    <row r="860" spans="1:3" x14ac:dyDescent="0.25">
      <c r="A860" t="s">
        <v>792</v>
      </c>
      <c r="B860">
        <v>1</v>
      </c>
      <c r="C860">
        <v>0.01</v>
      </c>
    </row>
    <row r="861" spans="1:3" x14ac:dyDescent="0.25">
      <c r="A861" t="s">
        <v>793</v>
      </c>
      <c r="B861">
        <v>1</v>
      </c>
      <c r="C861">
        <v>0.01</v>
      </c>
    </row>
    <row r="862" spans="1:3" x14ac:dyDescent="0.25">
      <c r="A862" t="s">
        <v>794</v>
      </c>
      <c r="B862">
        <v>1</v>
      </c>
      <c r="C862">
        <v>0.01</v>
      </c>
    </row>
    <row r="863" spans="1:3" x14ac:dyDescent="0.25">
      <c r="A863" t="s">
        <v>795</v>
      </c>
      <c r="B863">
        <v>1</v>
      </c>
      <c r="C863">
        <v>0.01</v>
      </c>
    </row>
    <row r="864" spans="1:3" x14ac:dyDescent="0.25">
      <c r="A864" t="s">
        <v>800</v>
      </c>
      <c r="B864">
        <v>1</v>
      </c>
      <c r="C864">
        <v>0.01</v>
      </c>
    </row>
    <row r="865" spans="1:3" x14ac:dyDescent="0.25">
      <c r="A865" t="s">
        <v>802</v>
      </c>
      <c r="B865">
        <v>1</v>
      </c>
      <c r="C865">
        <v>0.01</v>
      </c>
    </row>
    <row r="866" spans="1:3" x14ac:dyDescent="0.25">
      <c r="A866" t="s">
        <v>804</v>
      </c>
      <c r="B866">
        <v>1</v>
      </c>
      <c r="C866">
        <v>0.01</v>
      </c>
    </row>
    <row r="867" spans="1:3" x14ac:dyDescent="0.25">
      <c r="A867" t="s">
        <v>805</v>
      </c>
      <c r="B867">
        <v>1</v>
      </c>
      <c r="C867">
        <v>0.01</v>
      </c>
    </row>
    <row r="868" spans="1:3" x14ac:dyDescent="0.25">
      <c r="A868" t="s">
        <v>806</v>
      </c>
      <c r="B868">
        <v>1</v>
      </c>
      <c r="C868">
        <v>0.01</v>
      </c>
    </row>
    <row r="869" spans="1:3" x14ac:dyDescent="0.25">
      <c r="A869" t="s">
        <v>808</v>
      </c>
      <c r="B869">
        <v>1</v>
      </c>
      <c r="C869">
        <v>0.01</v>
      </c>
    </row>
    <row r="870" spans="1:3" x14ac:dyDescent="0.25">
      <c r="A870" t="s">
        <v>810</v>
      </c>
      <c r="B870">
        <v>1</v>
      </c>
      <c r="C870">
        <v>0.01</v>
      </c>
    </row>
    <row r="871" spans="1:3" x14ac:dyDescent="0.25">
      <c r="A871" t="s">
        <v>811</v>
      </c>
      <c r="B871">
        <v>1</v>
      </c>
      <c r="C871">
        <v>0.01</v>
      </c>
    </row>
    <row r="872" spans="1:3" x14ac:dyDescent="0.25">
      <c r="A872" t="s">
        <v>812</v>
      </c>
      <c r="B872">
        <v>1</v>
      </c>
      <c r="C872">
        <v>0.01</v>
      </c>
    </row>
    <row r="873" spans="1:3" x14ac:dyDescent="0.25">
      <c r="A873" t="s">
        <v>815</v>
      </c>
      <c r="B873">
        <v>1</v>
      </c>
      <c r="C873">
        <v>0.01</v>
      </c>
    </row>
    <row r="874" spans="1:3" x14ac:dyDescent="0.25">
      <c r="A874" t="s">
        <v>817</v>
      </c>
      <c r="B874">
        <v>1</v>
      </c>
      <c r="C874">
        <v>0.01</v>
      </c>
    </row>
    <row r="875" spans="1:3" x14ac:dyDescent="0.25">
      <c r="A875" t="s">
        <v>819</v>
      </c>
      <c r="B875">
        <v>1</v>
      </c>
      <c r="C875">
        <v>0.01</v>
      </c>
    </row>
    <row r="876" spans="1:3" x14ac:dyDescent="0.25">
      <c r="A876" t="s">
        <v>821</v>
      </c>
      <c r="B876">
        <v>1</v>
      </c>
      <c r="C876">
        <v>0.01</v>
      </c>
    </row>
    <row r="877" spans="1:3" x14ac:dyDescent="0.25">
      <c r="A877" t="s">
        <v>822</v>
      </c>
      <c r="B877">
        <v>1</v>
      </c>
      <c r="C877">
        <v>0.01</v>
      </c>
    </row>
    <row r="878" spans="1:3" x14ac:dyDescent="0.25">
      <c r="A878" t="s">
        <v>823</v>
      </c>
      <c r="B878">
        <v>1</v>
      </c>
      <c r="C878">
        <v>0.01</v>
      </c>
    </row>
    <row r="879" spans="1:3" x14ac:dyDescent="0.25">
      <c r="A879" t="s">
        <v>825</v>
      </c>
      <c r="B879">
        <v>1</v>
      </c>
      <c r="C879">
        <v>0.01</v>
      </c>
    </row>
    <row r="880" spans="1:3" x14ac:dyDescent="0.25">
      <c r="A880" t="s">
        <v>827</v>
      </c>
      <c r="B880">
        <v>1</v>
      </c>
      <c r="C880">
        <v>0.01</v>
      </c>
    </row>
    <row r="881" spans="1:3" x14ac:dyDescent="0.25">
      <c r="A881" t="s">
        <v>828</v>
      </c>
      <c r="B881">
        <v>1</v>
      </c>
      <c r="C881">
        <v>0.01</v>
      </c>
    </row>
    <row r="882" spans="1:3" x14ac:dyDescent="0.25">
      <c r="A882" t="s">
        <v>829</v>
      </c>
      <c r="B882">
        <v>1</v>
      </c>
      <c r="C882">
        <v>0.01</v>
      </c>
    </row>
    <row r="883" spans="1:3" x14ac:dyDescent="0.25">
      <c r="A883" t="s">
        <v>830</v>
      </c>
      <c r="B883">
        <v>1</v>
      </c>
      <c r="C883">
        <v>0.01</v>
      </c>
    </row>
    <row r="884" spans="1:3" x14ac:dyDescent="0.25">
      <c r="A884" t="s">
        <v>831</v>
      </c>
      <c r="B884">
        <v>1</v>
      </c>
      <c r="C884">
        <v>0.01</v>
      </c>
    </row>
    <row r="885" spans="1:3" x14ac:dyDescent="0.25">
      <c r="A885" t="s">
        <v>833</v>
      </c>
      <c r="B885">
        <v>1</v>
      </c>
      <c r="C885">
        <v>0.01</v>
      </c>
    </row>
    <row r="886" spans="1:3" x14ac:dyDescent="0.25">
      <c r="A886" t="s">
        <v>834</v>
      </c>
      <c r="B886">
        <v>1</v>
      </c>
      <c r="C886">
        <v>0.01</v>
      </c>
    </row>
    <row r="887" spans="1:3" x14ac:dyDescent="0.25">
      <c r="A887" t="s">
        <v>836</v>
      </c>
      <c r="B887">
        <v>1</v>
      </c>
      <c r="C887">
        <v>0.01</v>
      </c>
    </row>
    <row r="888" spans="1:3" x14ac:dyDescent="0.25">
      <c r="A888" t="s">
        <v>837</v>
      </c>
      <c r="B888">
        <v>1</v>
      </c>
      <c r="C888">
        <v>0.01</v>
      </c>
    </row>
    <row r="889" spans="1:3" x14ac:dyDescent="0.25">
      <c r="A889" t="s">
        <v>838</v>
      </c>
      <c r="B889">
        <v>1</v>
      </c>
      <c r="C889">
        <v>0.01</v>
      </c>
    </row>
    <row r="890" spans="1:3" x14ac:dyDescent="0.25">
      <c r="A890" t="s">
        <v>839</v>
      </c>
      <c r="B890">
        <v>1</v>
      </c>
      <c r="C890">
        <v>0.01</v>
      </c>
    </row>
    <row r="891" spans="1:3" x14ac:dyDescent="0.25">
      <c r="A891" t="s">
        <v>840</v>
      </c>
      <c r="B891">
        <v>1</v>
      </c>
      <c r="C891">
        <v>0.01</v>
      </c>
    </row>
    <row r="892" spans="1:3" x14ac:dyDescent="0.25">
      <c r="A892" t="s">
        <v>842</v>
      </c>
      <c r="B892">
        <v>1</v>
      </c>
      <c r="C892">
        <v>0.01</v>
      </c>
    </row>
    <row r="893" spans="1:3" x14ac:dyDescent="0.25">
      <c r="A893" t="s">
        <v>843</v>
      </c>
      <c r="B893">
        <v>1</v>
      </c>
      <c r="C893">
        <v>0.01</v>
      </c>
    </row>
    <row r="894" spans="1:3" x14ac:dyDescent="0.25">
      <c r="A894" t="s">
        <v>844</v>
      </c>
      <c r="B894">
        <v>1</v>
      </c>
      <c r="C894">
        <v>0.01</v>
      </c>
    </row>
    <row r="895" spans="1:3" x14ac:dyDescent="0.25">
      <c r="A895" t="s">
        <v>847</v>
      </c>
      <c r="B895">
        <v>1</v>
      </c>
      <c r="C895">
        <v>0.01</v>
      </c>
    </row>
    <row r="896" spans="1:3" x14ac:dyDescent="0.25">
      <c r="A896" t="s">
        <v>849</v>
      </c>
      <c r="B896">
        <v>1</v>
      </c>
      <c r="C896">
        <v>0.01</v>
      </c>
    </row>
    <row r="897" spans="1:3" x14ac:dyDescent="0.25">
      <c r="A897" t="s">
        <v>851</v>
      </c>
      <c r="B897">
        <v>1</v>
      </c>
      <c r="C897">
        <v>0.01</v>
      </c>
    </row>
    <row r="898" spans="1:3" x14ac:dyDescent="0.25">
      <c r="A898" t="s">
        <v>852</v>
      </c>
      <c r="B898">
        <v>1</v>
      </c>
      <c r="C898">
        <v>0.01</v>
      </c>
    </row>
    <row r="899" spans="1:3" x14ac:dyDescent="0.25">
      <c r="A899" t="s">
        <v>854</v>
      </c>
      <c r="B899">
        <v>1</v>
      </c>
      <c r="C899">
        <v>0.01</v>
      </c>
    </row>
    <row r="900" spans="1:3" x14ac:dyDescent="0.25">
      <c r="A900" t="s">
        <v>855</v>
      </c>
      <c r="B900">
        <v>1</v>
      </c>
      <c r="C900">
        <v>0.01</v>
      </c>
    </row>
    <row r="901" spans="1:3" x14ac:dyDescent="0.25">
      <c r="A901" t="s">
        <v>856</v>
      </c>
      <c r="B901">
        <v>1</v>
      </c>
      <c r="C901">
        <v>0.01</v>
      </c>
    </row>
    <row r="902" spans="1:3" x14ac:dyDescent="0.25">
      <c r="A902" t="s">
        <v>857</v>
      </c>
      <c r="B902">
        <v>1</v>
      </c>
      <c r="C902">
        <v>0.01</v>
      </c>
    </row>
    <row r="903" spans="1:3" x14ac:dyDescent="0.25">
      <c r="A903" t="s">
        <v>858</v>
      </c>
      <c r="B903">
        <v>1</v>
      </c>
      <c r="C903">
        <v>0.01</v>
      </c>
    </row>
    <row r="904" spans="1:3" x14ac:dyDescent="0.25">
      <c r="A904" t="s">
        <v>859</v>
      </c>
      <c r="B904">
        <v>1</v>
      </c>
      <c r="C904">
        <v>0.01</v>
      </c>
    </row>
    <row r="905" spans="1:3" x14ac:dyDescent="0.25">
      <c r="A905" t="s">
        <v>860</v>
      </c>
      <c r="B905">
        <v>1</v>
      </c>
      <c r="C905">
        <v>0.01</v>
      </c>
    </row>
    <row r="906" spans="1:3" x14ac:dyDescent="0.25">
      <c r="A906" t="s">
        <v>861</v>
      </c>
      <c r="B906">
        <v>1</v>
      </c>
      <c r="C906">
        <v>0.01</v>
      </c>
    </row>
    <row r="907" spans="1:3" x14ac:dyDescent="0.25">
      <c r="A907" t="s">
        <v>863</v>
      </c>
      <c r="B907">
        <v>1</v>
      </c>
      <c r="C907">
        <v>0.01</v>
      </c>
    </row>
    <row r="908" spans="1:3" x14ac:dyDescent="0.25">
      <c r="A908" t="s">
        <v>864</v>
      </c>
      <c r="B908">
        <v>1</v>
      </c>
      <c r="C908">
        <v>0.01</v>
      </c>
    </row>
    <row r="909" spans="1:3" x14ac:dyDescent="0.25">
      <c r="A909" t="s">
        <v>865</v>
      </c>
      <c r="B909">
        <v>1</v>
      </c>
      <c r="C909">
        <v>0.01</v>
      </c>
    </row>
    <row r="910" spans="1:3" x14ac:dyDescent="0.25">
      <c r="A910" t="s">
        <v>866</v>
      </c>
      <c r="B910">
        <v>1</v>
      </c>
      <c r="C910">
        <v>0.01</v>
      </c>
    </row>
    <row r="911" spans="1:3" x14ac:dyDescent="0.25">
      <c r="A911" t="s">
        <v>867</v>
      </c>
      <c r="B911">
        <v>1</v>
      </c>
      <c r="C911">
        <v>0.01</v>
      </c>
    </row>
    <row r="912" spans="1:3" x14ac:dyDescent="0.25">
      <c r="A912" t="s">
        <v>868</v>
      </c>
      <c r="B912">
        <v>1</v>
      </c>
      <c r="C912">
        <v>0.01</v>
      </c>
    </row>
    <row r="913" spans="1:3" x14ac:dyDescent="0.25">
      <c r="A913" t="s">
        <v>869</v>
      </c>
      <c r="B913">
        <v>1</v>
      </c>
      <c r="C913">
        <v>0.01</v>
      </c>
    </row>
    <row r="914" spans="1:3" x14ac:dyDescent="0.25">
      <c r="A914" t="s">
        <v>870</v>
      </c>
      <c r="B914">
        <v>1</v>
      </c>
      <c r="C914">
        <v>0.01</v>
      </c>
    </row>
    <row r="915" spans="1:3" x14ac:dyDescent="0.25">
      <c r="A915" t="s">
        <v>871</v>
      </c>
      <c r="B915">
        <v>1</v>
      </c>
      <c r="C915">
        <v>0.01</v>
      </c>
    </row>
    <row r="916" spans="1:3" x14ac:dyDescent="0.25">
      <c r="A916" t="s">
        <v>872</v>
      </c>
      <c r="B916">
        <v>1</v>
      </c>
      <c r="C916">
        <v>0.01</v>
      </c>
    </row>
    <row r="917" spans="1:3" x14ac:dyDescent="0.25">
      <c r="A917" t="s">
        <v>877</v>
      </c>
      <c r="B917">
        <v>1</v>
      </c>
      <c r="C917">
        <v>0.01</v>
      </c>
    </row>
    <row r="918" spans="1:3" x14ac:dyDescent="0.25">
      <c r="A918" t="s">
        <v>878</v>
      </c>
      <c r="B918">
        <v>1</v>
      </c>
      <c r="C918">
        <v>0.01</v>
      </c>
    </row>
    <row r="919" spans="1:3" x14ac:dyDescent="0.25">
      <c r="A919" t="s">
        <v>880</v>
      </c>
      <c r="B919">
        <v>1</v>
      </c>
      <c r="C919">
        <v>0.01</v>
      </c>
    </row>
    <row r="920" spans="1:3" x14ac:dyDescent="0.25">
      <c r="A920" t="s">
        <v>881</v>
      </c>
      <c r="B920">
        <v>1</v>
      </c>
      <c r="C920">
        <v>0.01</v>
      </c>
    </row>
    <row r="921" spans="1:3" x14ac:dyDescent="0.25">
      <c r="A921" t="s">
        <v>882</v>
      </c>
      <c r="B921">
        <v>1</v>
      </c>
      <c r="C921">
        <v>0.01</v>
      </c>
    </row>
    <row r="922" spans="1:3" x14ac:dyDescent="0.25">
      <c r="A922" t="s">
        <v>883</v>
      </c>
      <c r="B922">
        <v>1</v>
      </c>
      <c r="C922">
        <v>0.01</v>
      </c>
    </row>
    <row r="923" spans="1:3" x14ac:dyDescent="0.25">
      <c r="A923" t="s">
        <v>885</v>
      </c>
      <c r="B923">
        <v>1</v>
      </c>
      <c r="C923">
        <v>0.01</v>
      </c>
    </row>
    <row r="924" spans="1:3" x14ac:dyDescent="0.25">
      <c r="A924" t="s">
        <v>887</v>
      </c>
      <c r="B924">
        <v>1</v>
      </c>
      <c r="C924">
        <v>0.01</v>
      </c>
    </row>
    <row r="925" spans="1:3" x14ac:dyDescent="0.25">
      <c r="A925" t="s">
        <v>888</v>
      </c>
      <c r="B925">
        <v>1</v>
      </c>
      <c r="C925">
        <v>0.01</v>
      </c>
    </row>
    <row r="926" spans="1:3" x14ac:dyDescent="0.25">
      <c r="A926" t="s">
        <v>889</v>
      </c>
      <c r="B926">
        <v>1</v>
      </c>
      <c r="C926">
        <v>0.01</v>
      </c>
    </row>
    <row r="927" spans="1:3" x14ac:dyDescent="0.25">
      <c r="A927" t="s">
        <v>890</v>
      </c>
      <c r="B927">
        <v>1</v>
      </c>
      <c r="C927">
        <v>0.01</v>
      </c>
    </row>
    <row r="928" spans="1:3" x14ac:dyDescent="0.25">
      <c r="A928" t="s">
        <v>891</v>
      </c>
      <c r="B928">
        <v>1</v>
      </c>
      <c r="C928">
        <v>0.01</v>
      </c>
    </row>
    <row r="929" spans="1:3" x14ac:dyDescent="0.25">
      <c r="A929" t="s">
        <v>892</v>
      </c>
      <c r="B929">
        <v>1</v>
      </c>
      <c r="C929">
        <v>0.01</v>
      </c>
    </row>
    <row r="930" spans="1:3" x14ac:dyDescent="0.25">
      <c r="A930" t="s">
        <v>893</v>
      </c>
      <c r="B930">
        <v>1</v>
      </c>
      <c r="C930">
        <v>0.01</v>
      </c>
    </row>
    <row r="931" spans="1:3" x14ac:dyDescent="0.25">
      <c r="A931" t="s">
        <v>894</v>
      </c>
      <c r="B931">
        <v>1</v>
      </c>
      <c r="C931">
        <v>0.01</v>
      </c>
    </row>
    <row r="932" spans="1:3" x14ac:dyDescent="0.25">
      <c r="A932" t="s">
        <v>896</v>
      </c>
      <c r="B932">
        <v>1</v>
      </c>
      <c r="C932">
        <v>0.01</v>
      </c>
    </row>
    <row r="933" spans="1:3" x14ac:dyDescent="0.25">
      <c r="A933" t="s">
        <v>897</v>
      </c>
      <c r="B933">
        <v>1</v>
      </c>
      <c r="C933">
        <v>0.01</v>
      </c>
    </row>
    <row r="934" spans="1:3" x14ac:dyDescent="0.25">
      <c r="A934" t="s">
        <v>898</v>
      </c>
      <c r="B934">
        <v>1</v>
      </c>
      <c r="C934">
        <v>0.01</v>
      </c>
    </row>
    <row r="935" spans="1:3" x14ac:dyDescent="0.25">
      <c r="A935" t="s">
        <v>900</v>
      </c>
      <c r="B935">
        <v>1</v>
      </c>
      <c r="C935">
        <v>0.01</v>
      </c>
    </row>
    <row r="936" spans="1:3" x14ac:dyDescent="0.25">
      <c r="A936" t="s">
        <v>901</v>
      </c>
      <c r="B936">
        <v>1</v>
      </c>
      <c r="C936">
        <v>0.01</v>
      </c>
    </row>
    <row r="937" spans="1:3" x14ac:dyDescent="0.25">
      <c r="A937" t="s">
        <v>904</v>
      </c>
      <c r="B937">
        <v>1</v>
      </c>
      <c r="C937">
        <v>0.01</v>
      </c>
    </row>
    <row r="938" spans="1:3" x14ac:dyDescent="0.25">
      <c r="A938" t="s">
        <v>906</v>
      </c>
      <c r="B938">
        <v>1</v>
      </c>
      <c r="C938">
        <v>0.01</v>
      </c>
    </row>
    <row r="939" spans="1:3" x14ac:dyDescent="0.25">
      <c r="A939" t="s">
        <v>907</v>
      </c>
      <c r="B939">
        <v>1</v>
      </c>
      <c r="C939">
        <v>0.01</v>
      </c>
    </row>
    <row r="940" spans="1:3" x14ac:dyDescent="0.25">
      <c r="A940" t="s">
        <v>908</v>
      </c>
      <c r="B940">
        <v>1</v>
      </c>
      <c r="C940">
        <v>0.01</v>
      </c>
    </row>
    <row r="941" spans="1:3" x14ac:dyDescent="0.25">
      <c r="A941" t="s">
        <v>909</v>
      </c>
      <c r="B941">
        <v>1</v>
      </c>
      <c r="C941">
        <v>0.01</v>
      </c>
    </row>
    <row r="942" spans="1:3" x14ac:dyDescent="0.25">
      <c r="A942" t="s">
        <v>910</v>
      </c>
      <c r="B942">
        <v>1</v>
      </c>
      <c r="C942">
        <v>0.01</v>
      </c>
    </row>
    <row r="943" spans="1:3" x14ac:dyDescent="0.25">
      <c r="A943" t="s">
        <v>911</v>
      </c>
      <c r="B943">
        <v>1</v>
      </c>
      <c r="C943">
        <v>0.01</v>
      </c>
    </row>
    <row r="944" spans="1:3" x14ac:dyDescent="0.25">
      <c r="A944" t="s">
        <v>912</v>
      </c>
      <c r="B944">
        <v>1</v>
      </c>
      <c r="C944">
        <v>0.01</v>
      </c>
    </row>
    <row r="945" spans="1:3" x14ac:dyDescent="0.25">
      <c r="A945" t="s">
        <v>913</v>
      </c>
      <c r="B945">
        <v>1</v>
      </c>
      <c r="C945">
        <v>0.01</v>
      </c>
    </row>
    <row r="946" spans="1:3" x14ac:dyDescent="0.25">
      <c r="A946" t="s">
        <v>915</v>
      </c>
      <c r="B946">
        <v>1</v>
      </c>
      <c r="C946">
        <v>0.01</v>
      </c>
    </row>
    <row r="947" spans="1:3" x14ac:dyDescent="0.25">
      <c r="A947" t="s">
        <v>916</v>
      </c>
      <c r="B947">
        <v>1</v>
      </c>
      <c r="C947">
        <v>0.01</v>
      </c>
    </row>
    <row r="948" spans="1:3" x14ac:dyDescent="0.25">
      <c r="A948" t="s">
        <v>918</v>
      </c>
      <c r="B948">
        <v>1</v>
      </c>
      <c r="C948">
        <v>0.01</v>
      </c>
    </row>
    <row r="949" spans="1:3" x14ac:dyDescent="0.25">
      <c r="A949" t="s">
        <v>919</v>
      </c>
      <c r="B949">
        <v>1</v>
      </c>
      <c r="C949">
        <v>0.01</v>
      </c>
    </row>
    <row r="950" spans="1:3" x14ac:dyDescent="0.25">
      <c r="A950" t="s">
        <v>920</v>
      </c>
      <c r="B950">
        <v>1</v>
      </c>
      <c r="C950">
        <v>0.01</v>
      </c>
    </row>
    <row r="951" spans="1:3" x14ac:dyDescent="0.25">
      <c r="A951" t="s">
        <v>921</v>
      </c>
      <c r="B951">
        <v>1</v>
      </c>
      <c r="C951">
        <v>0.01</v>
      </c>
    </row>
    <row r="952" spans="1:3" x14ac:dyDescent="0.25">
      <c r="A952" t="s">
        <v>923</v>
      </c>
      <c r="B952">
        <v>1</v>
      </c>
      <c r="C952">
        <v>0.01</v>
      </c>
    </row>
    <row r="953" spans="1:3" x14ac:dyDescent="0.25">
      <c r="A953" t="s">
        <v>925</v>
      </c>
      <c r="B953">
        <v>1</v>
      </c>
      <c r="C953">
        <v>0.01</v>
      </c>
    </row>
    <row r="954" spans="1:3" x14ac:dyDescent="0.25">
      <c r="A954" t="s">
        <v>928</v>
      </c>
      <c r="B954">
        <v>1</v>
      </c>
      <c r="C954">
        <v>0.01</v>
      </c>
    </row>
    <row r="955" spans="1:3" x14ac:dyDescent="0.25">
      <c r="A955" t="s">
        <v>929</v>
      </c>
      <c r="B955">
        <v>1</v>
      </c>
      <c r="C955">
        <v>0.01</v>
      </c>
    </row>
    <row r="956" spans="1:3" x14ac:dyDescent="0.25">
      <c r="A956" t="s">
        <v>930</v>
      </c>
      <c r="B956">
        <v>1</v>
      </c>
      <c r="C956">
        <v>0.01</v>
      </c>
    </row>
    <row r="957" spans="1:3" x14ac:dyDescent="0.25">
      <c r="A957" t="s">
        <v>931</v>
      </c>
      <c r="B957">
        <v>1</v>
      </c>
      <c r="C957">
        <v>0.01</v>
      </c>
    </row>
    <row r="958" spans="1:3" x14ac:dyDescent="0.25">
      <c r="A958" t="s">
        <v>932</v>
      </c>
      <c r="B958">
        <v>1</v>
      </c>
      <c r="C958">
        <v>0.01</v>
      </c>
    </row>
    <row r="959" spans="1:3" x14ac:dyDescent="0.25">
      <c r="A959" t="s">
        <v>933</v>
      </c>
      <c r="B959">
        <v>1</v>
      </c>
      <c r="C959">
        <v>0.01</v>
      </c>
    </row>
    <row r="960" spans="1:3" x14ac:dyDescent="0.25">
      <c r="A960" t="s">
        <v>934</v>
      </c>
      <c r="B960">
        <v>1</v>
      </c>
      <c r="C960">
        <v>0.01</v>
      </c>
    </row>
    <row r="961" spans="1:3" x14ac:dyDescent="0.25">
      <c r="A961" t="s">
        <v>935</v>
      </c>
      <c r="B961">
        <v>1</v>
      </c>
      <c r="C961">
        <v>0.01</v>
      </c>
    </row>
    <row r="962" spans="1:3" x14ac:dyDescent="0.25">
      <c r="A962" t="s">
        <v>936</v>
      </c>
      <c r="B962">
        <v>1</v>
      </c>
      <c r="C962">
        <v>0.01</v>
      </c>
    </row>
    <row r="963" spans="1:3" x14ac:dyDescent="0.25">
      <c r="A963" t="s">
        <v>937</v>
      </c>
      <c r="B963">
        <v>1</v>
      </c>
      <c r="C963">
        <v>0.01</v>
      </c>
    </row>
    <row r="964" spans="1:3" x14ac:dyDescent="0.25">
      <c r="A964" t="s">
        <v>938</v>
      </c>
      <c r="B964">
        <v>1</v>
      </c>
      <c r="C964">
        <v>0.01</v>
      </c>
    </row>
    <row r="965" spans="1:3" x14ac:dyDescent="0.25">
      <c r="A965" t="s">
        <v>940</v>
      </c>
      <c r="B965">
        <v>1</v>
      </c>
      <c r="C965">
        <v>0.01</v>
      </c>
    </row>
    <row r="966" spans="1:3" x14ac:dyDescent="0.25">
      <c r="A966" t="s">
        <v>941</v>
      </c>
      <c r="B966">
        <v>1</v>
      </c>
      <c r="C966">
        <v>0.01</v>
      </c>
    </row>
    <row r="967" spans="1:3" x14ac:dyDescent="0.25">
      <c r="A967" t="s">
        <v>943</v>
      </c>
      <c r="B967">
        <v>1</v>
      </c>
      <c r="C967">
        <v>0.01</v>
      </c>
    </row>
    <row r="968" spans="1:3" x14ac:dyDescent="0.25">
      <c r="A968" t="s">
        <v>944</v>
      </c>
      <c r="B968">
        <v>1</v>
      </c>
      <c r="C968">
        <v>0.01</v>
      </c>
    </row>
    <row r="969" spans="1:3" x14ac:dyDescent="0.25">
      <c r="A969" t="s">
        <v>946</v>
      </c>
      <c r="B969">
        <v>1</v>
      </c>
      <c r="C969">
        <v>0.01</v>
      </c>
    </row>
    <row r="970" spans="1:3" x14ac:dyDescent="0.25">
      <c r="A970" t="s">
        <v>947</v>
      </c>
      <c r="B970">
        <v>1</v>
      </c>
      <c r="C970">
        <v>0.01</v>
      </c>
    </row>
    <row r="971" spans="1:3" x14ac:dyDescent="0.25">
      <c r="A971" t="s">
        <v>948</v>
      </c>
      <c r="B971">
        <v>1</v>
      </c>
      <c r="C971">
        <v>0.01</v>
      </c>
    </row>
    <row r="972" spans="1:3" x14ac:dyDescent="0.25">
      <c r="A972" t="s">
        <v>950</v>
      </c>
      <c r="B972">
        <v>1</v>
      </c>
      <c r="C972">
        <v>0.01</v>
      </c>
    </row>
    <row r="973" spans="1:3" x14ac:dyDescent="0.25">
      <c r="A973" t="s">
        <v>951</v>
      </c>
      <c r="B973">
        <v>1</v>
      </c>
      <c r="C973">
        <v>0.01</v>
      </c>
    </row>
    <row r="974" spans="1:3" x14ac:dyDescent="0.25">
      <c r="A974" t="s">
        <v>953</v>
      </c>
      <c r="B974">
        <v>1</v>
      </c>
      <c r="C974">
        <v>0.01</v>
      </c>
    </row>
    <row r="975" spans="1:3" x14ac:dyDescent="0.25">
      <c r="A975" t="s">
        <v>954</v>
      </c>
      <c r="B975">
        <v>1</v>
      </c>
      <c r="C975">
        <v>0.01</v>
      </c>
    </row>
    <row r="976" spans="1:3" x14ac:dyDescent="0.25">
      <c r="A976" t="s">
        <v>955</v>
      </c>
      <c r="B976">
        <v>1</v>
      </c>
      <c r="C976">
        <v>0.01</v>
      </c>
    </row>
    <row r="977" spans="1:3" x14ac:dyDescent="0.25">
      <c r="A977" t="s">
        <v>957</v>
      </c>
      <c r="B977">
        <v>1</v>
      </c>
      <c r="C977">
        <v>0.01</v>
      </c>
    </row>
    <row r="978" spans="1:3" x14ac:dyDescent="0.25">
      <c r="A978" t="s">
        <v>958</v>
      </c>
      <c r="B978">
        <v>1</v>
      </c>
      <c r="C978">
        <v>0.01</v>
      </c>
    </row>
    <row r="979" spans="1:3" x14ac:dyDescent="0.25">
      <c r="A979" t="s">
        <v>961</v>
      </c>
      <c r="B979">
        <v>1</v>
      </c>
      <c r="C979">
        <v>0.01</v>
      </c>
    </row>
    <row r="980" spans="1:3" x14ac:dyDescent="0.25">
      <c r="A980" t="s">
        <v>962</v>
      </c>
      <c r="B980">
        <v>1</v>
      </c>
      <c r="C980">
        <v>0.01</v>
      </c>
    </row>
    <row r="981" spans="1:3" x14ac:dyDescent="0.25">
      <c r="A981" t="s">
        <v>963</v>
      </c>
      <c r="B981">
        <v>1</v>
      </c>
      <c r="C981">
        <v>0.01</v>
      </c>
    </row>
    <row r="982" spans="1:3" x14ac:dyDescent="0.25">
      <c r="A982" t="s">
        <v>964</v>
      </c>
      <c r="B982">
        <v>1</v>
      </c>
      <c r="C982">
        <v>0.01</v>
      </c>
    </row>
    <row r="983" spans="1:3" x14ac:dyDescent="0.25">
      <c r="A983" t="s">
        <v>966</v>
      </c>
      <c r="B983">
        <v>1</v>
      </c>
      <c r="C983">
        <v>0.01</v>
      </c>
    </row>
    <row r="984" spans="1:3" x14ac:dyDescent="0.25">
      <c r="A984" t="s">
        <v>968</v>
      </c>
      <c r="B984">
        <v>1</v>
      </c>
      <c r="C984">
        <v>0.01</v>
      </c>
    </row>
    <row r="985" spans="1:3" x14ac:dyDescent="0.25">
      <c r="A985" t="s">
        <v>970</v>
      </c>
      <c r="B985">
        <v>1</v>
      </c>
      <c r="C985">
        <v>0.01</v>
      </c>
    </row>
    <row r="986" spans="1:3" x14ac:dyDescent="0.25">
      <c r="A986" t="s">
        <v>971</v>
      </c>
      <c r="B986">
        <v>1</v>
      </c>
      <c r="C986">
        <v>0.01</v>
      </c>
    </row>
    <row r="987" spans="1:3" x14ac:dyDescent="0.25">
      <c r="A987" t="s">
        <v>976</v>
      </c>
      <c r="B987">
        <v>1</v>
      </c>
      <c r="C987">
        <v>0.01</v>
      </c>
    </row>
    <row r="988" spans="1:3" x14ac:dyDescent="0.25">
      <c r="A988" t="s">
        <v>977</v>
      </c>
      <c r="B988">
        <v>1</v>
      </c>
      <c r="C988">
        <v>0.01</v>
      </c>
    </row>
    <row r="989" spans="1:3" x14ac:dyDescent="0.25">
      <c r="A989" t="s">
        <v>978</v>
      </c>
      <c r="B989">
        <v>1</v>
      </c>
      <c r="C989">
        <v>0.01</v>
      </c>
    </row>
    <row r="990" spans="1:3" x14ac:dyDescent="0.25">
      <c r="A990" t="s">
        <v>980</v>
      </c>
      <c r="B990">
        <v>1</v>
      </c>
      <c r="C990">
        <v>0.01</v>
      </c>
    </row>
    <row r="991" spans="1:3" x14ac:dyDescent="0.25">
      <c r="A991" t="s">
        <v>981</v>
      </c>
      <c r="B991">
        <v>1</v>
      </c>
      <c r="C991">
        <v>0.01</v>
      </c>
    </row>
    <row r="992" spans="1:3" x14ac:dyDescent="0.25">
      <c r="A992" t="s">
        <v>983</v>
      </c>
      <c r="B992">
        <v>1</v>
      </c>
      <c r="C992">
        <v>0.01</v>
      </c>
    </row>
    <row r="993" spans="1:3" x14ac:dyDescent="0.25">
      <c r="A993" t="s">
        <v>985</v>
      </c>
      <c r="B993">
        <v>1</v>
      </c>
      <c r="C993">
        <v>0.01</v>
      </c>
    </row>
    <row r="994" spans="1:3" x14ac:dyDescent="0.25">
      <c r="A994" t="s">
        <v>986</v>
      </c>
      <c r="B994">
        <v>1</v>
      </c>
      <c r="C994">
        <v>0.01</v>
      </c>
    </row>
    <row r="995" spans="1:3" x14ac:dyDescent="0.25">
      <c r="A995" t="s">
        <v>987</v>
      </c>
      <c r="B995">
        <v>1</v>
      </c>
      <c r="C995">
        <v>0.01</v>
      </c>
    </row>
    <row r="996" spans="1:3" x14ac:dyDescent="0.25">
      <c r="A996" t="s">
        <v>989</v>
      </c>
      <c r="B996">
        <v>1</v>
      </c>
      <c r="C996">
        <v>0.01</v>
      </c>
    </row>
    <row r="997" spans="1:3" x14ac:dyDescent="0.25">
      <c r="A997" t="s">
        <v>990</v>
      </c>
      <c r="B997">
        <v>1</v>
      </c>
      <c r="C997">
        <v>0.01</v>
      </c>
    </row>
    <row r="998" spans="1:3" x14ac:dyDescent="0.25">
      <c r="A998" t="s">
        <v>992</v>
      </c>
      <c r="B998">
        <v>1</v>
      </c>
      <c r="C998">
        <v>0.01</v>
      </c>
    </row>
    <row r="999" spans="1:3" x14ac:dyDescent="0.25">
      <c r="A999" t="s">
        <v>993</v>
      </c>
      <c r="B999">
        <v>1</v>
      </c>
      <c r="C999">
        <v>0.01</v>
      </c>
    </row>
    <row r="1000" spans="1:3" x14ac:dyDescent="0.25">
      <c r="A1000" t="s">
        <v>995</v>
      </c>
      <c r="B1000">
        <v>1</v>
      </c>
      <c r="C1000">
        <v>0.01</v>
      </c>
    </row>
    <row r="1001" spans="1:3" x14ac:dyDescent="0.25">
      <c r="A1001" t="s">
        <v>996</v>
      </c>
      <c r="B1001">
        <v>1</v>
      </c>
      <c r="C1001">
        <v>0.01</v>
      </c>
    </row>
    <row r="1002" spans="1:3" x14ac:dyDescent="0.25">
      <c r="A1002" t="s">
        <v>997</v>
      </c>
      <c r="B1002">
        <v>1</v>
      </c>
      <c r="C1002">
        <v>0.01</v>
      </c>
    </row>
    <row r="1003" spans="1:3" x14ac:dyDescent="0.25">
      <c r="A1003" t="s">
        <v>998</v>
      </c>
      <c r="B1003">
        <v>1</v>
      </c>
      <c r="C1003">
        <v>0.01</v>
      </c>
    </row>
    <row r="1004" spans="1:3" x14ac:dyDescent="0.25">
      <c r="A1004" t="s">
        <v>999</v>
      </c>
      <c r="B1004">
        <v>1</v>
      </c>
      <c r="C1004">
        <v>0.01</v>
      </c>
    </row>
    <row r="1005" spans="1:3" x14ac:dyDescent="0.25">
      <c r="A1005" t="s">
        <v>1000</v>
      </c>
      <c r="B1005">
        <v>1</v>
      </c>
      <c r="C1005">
        <v>0.01</v>
      </c>
    </row>
    <row r="1006" spans="1:3" x14ac:dyDescent="0.25">
      <c r="A1006" t="s">
        <v>1002</v>
      </c>
      <c r="B1006">
        <v>1</v>
      </c>
      <c r="C1006">
        <v>0.01</v>
      </c>
    </row>
    <row r="1007" spans="1:3" x14ac:dyDescent="0.25">
      <c r="A1007" t="s">
        <v>1003</v>
      </c>
      <c r="B1007">
        <v>1</v>
      </c>
      <c r="C1007">
        <v>0.01</v>
      </c>
    </row>
    <row r="1008" spans="1:3" x14ac:dyDescent="0.25">
      <c r="A1008" t="s">
        <v>1006</v>
      </c>
      <c r="B1008">
        <v>1</v>
      </c>
      <c r="C1008">
        <v>0.01</v>
      </c>
    </row>
    <row r="1009" spans="1:3" x14ac:dyDescent="0.25">
      <c r="A1009" t="s">
        <v>1007</v>
      </c>
      <c r="B1009">
        <v>1</v>
      </c>
      <c r="C1009">
        <v>0.01</v>
      </c>
    </row>
    <row r="1010" spans="1:3" x14ac:dyDescent="0.25">
      <c r="A1010" t="s">
        <v>1008</v>
      </c>
      <c r="B1010">
        <v>1</v>
      </c>
      <c r="C1010">
        <v>0.01</v>
      </c>
    </row>
    <row r="1011" spans="1:3" x14ac:dyDescent="0.25">
      <c r="A1011" t="s">
        <v>1009</v>
      </c>
      <c r="B1011">
        <v>1</v>
      </c>
      <c r="C1011">
        <v>0.01</v>
      </c>
    </row>
    <row r="1012" spans="1:3" x14ac:dyDescent="0.25">
      <c r="A1012" t="s">
        <v>1010</v>
      </c>
      <c r="B1012">
        <v>1</v>
      </c>
      <c r="C1012">
        <v>0.01</v>
      </c>
    </row>
    <row r="1013" spans="1:3" x14ac:dyDescent="0.25">
      <c r="A1013" t="s">
        <v>1012</v>
      </c>
      <c r="B1013">
        <v>1</v>
      </c>
      <c r="C1013">
        <v>0.01</v>
      </c>
    </row>
    <row r="1014" spans="1:3" x14ac:dyDescent="0.25">
      <c r="A1014" t="s">
        <v>1013</v>
      </c>
      <c r="B1014">
        <v>1</v>
      </c>
      <c r="C1014">
        <v>0.01</v>
      </c>
    </row>
    <row r="1015" spans="1:3" x14ac:dyDescent="0.25">
      <c r="A1015" t="s">
        <v>1017</v>
      </c>
      <c r="B1015">
        <v>1</v>
      </c>
      <c r="C1015">
        <v>0.01</v>
      </c>
    </row>
    <row r="1016" spans="1:3" x14ac:dyDescent="0.25">
      <c r="A1016" t="s">
        <v>1018</v>
      </c>
      <c r="B1016">
        <v>1</v>
      </c>
      <c r="C1016">
        <v>0.01</v>
      </c>
    </row>
    <row r="1017" spans="1:3" x14ac:dyDescent="0.25">
      <c r="A1017" t="s">
        <v>1019</v>
      </c>
      <c r="B1017">
        <v>1</v>
      </c>
      <c r="C1017">
        <v>0.01</v>
      </c>
    </row>
    <row r="1018" spans="1:3" x14ac:dyDescent="0.25">
      <c r="A1018" t="s">
        <v>1020</v>
      </c>
      <c r="B1018">
        <v>1</v>
      </c>
      <c r="C1018">
        <v>0.01</v>
      </c>
    </row>
    <row r="1019" spans="1:3" x14ac:dyDescent="0.25">
      <c r="A1019" t="s">
        <v>1021</v>
      </c>
      <c r="B1019">
        <v>1</v>
      </c>
      <c r="C1019">
        <v>0.01</v>
      </c>
    </row>
    <row r="1020" spans="1:3" x14ac:dyDescent="0.25">
      <c r="A1020" t="s">
        <v>1023</v>
      </c>
      <c r="B1020">
        <v>1</v>
      </c>
      <c r="C1020">
        <v>0.01</v>
      </c>
    </row>
    <row r="1021" spans="1:3" x14ac:dyDescent="0.25">
      <c r="A1021" t="s">
        <v>1025</v>
      </c>
      <c r="B1021">
        <v>1</v>
      </c>
      <c r="C1021">
        <v>0.01</v>
      </c>
    </row>
    <row r="1022" spans="1:3" x14ac:dyDescent="0.25">
      <c r="A1022" t="s">
        <v>1026</v>
      </c>
      <c r="B1022">
        <v>1</v>
      </c>
      <c r="C1022">
        <v>0.01</v>
      </c>
    </row>
    <row r="1023" spans="1:3" x14ac:dyDescent="0.25">
      <c r="A1023" t="s">
        <v>1027</v>
      </c>
      <c r="B1023">
        <v>1</v>
      </c>
      <c r="C1023">
        <v>0.01</v>
      </c>
    </row>
    <row r="1024" spans="1:3" x14ac:dyDescent="0.25">
      <c r="A1024" t="s">
        <v>1028</v>
      </c>
      <c r="B1024">
        <v>1</v>
      </c>
      <c r="C1024">
        <v>0.01</v>
      </c>
    </row>
    <row r="1025" spans="1:3" x14ac:dyDescent="0.25">
      <c r="A1025" t="s">
        <v>1029</v>
      </c>
      <c r="B1025">
        <v>1</v>
      </c>
      <c r="C1025">
        <v>0.01</v>
      </c>
    </row>
    <row r="1026" spans="1:3" x14ac:dyDescent="0.25">
      <c r="A1026" t="s">
        <v>1031</v>
      </c>
      <c r="B1026">
        <v>1</v>
      </c>
      <c r="C1026">
        <v>0.01</v>
      </c>
    </row>
    <row r="1027" spans="1:3" x14ac:dyDescent="0.25">
      <c r="A1027" t="s">
        <v>1032</v>
      </c>
      <c r="B1027">
        <v>1</v>
      </c>
      <c r="C1027">
        <v>0.01</v>
      </c>
    </row>
    <row r="1028" spans="1:3" x14ac:dyDescent="0.25">
      <c r="A1028" t="s">
        <v>1033</v>
      </c>
      <c r="B1028">
        <v>1</v>
      </c>
      <c r="C1028">
        <v>0.01</v>
      </c>
    </row>
    <row r="1029" spans="1:3" x14ac:dyDescent="0.25">
      <c r="A1029" t="s">
        <v>1034</v>
      </c>
      <c r="B1029">
        <v>1</v>
      </c>
      <c r="C1029">
        <v>0.01</v>
      </c>
    </row>
    <row r="1030" spans="1:3" x14ac:dyDescent="0.25">
      <c r="A1030" t="s">
        <v>1035</v>
      </c>
      <c r="B1030">
        <v>1</v>
      </c>
      <c r="C1030">
        <v>0.01</v>
      </c>
    </row>
    <row r="1031" spans="1:3" x14ac:dyDescent="0.25">
      <c r="A1031" t="s">
        <v>1036</v>
      </c>
      <c r="B1031">
        <v>1</v>
      </c>
      <c r="C1031">
        <v>0.01</v>
      </c>
    </row>
    <row r="1032" spans="1:3" x14ac:dyDescent="0.25">
      <c r="A1032" t="s">
        <v>1037</v>
      </c>
      <c r="B1032">
        <v>1</v>
      </c>
      <c r="C1032">
        <v>0.01</v>
      </c>
    </row>
    <row r="1033" spans="1:3" x14ac:dyDescent="0.25">
      <c r="A1033" t="s">
        <v>1038</v>
      </c>
      <c r="B1033">
        <v>1</v>
      </c>
      <c r="C1033">
        <v>0.01</v>
      </c>
    </row>
    <row r="1034" spans="1:3" x14ac:dyDescent="0.25">
      <c r="A1034" t="s">
        <v>1039</v>
      </c>
      <c r="B1034">
        <v>1</v>
      </c>
      <c r="C1034">
        <v>0.01</v>
      </c>
    </row>
    <row r="1035" spans="1:3" x14ac:dyDescent="0.25">
      <c r="A1035" t="s">
        <v>1040</v>
      </c>
      <c r="B1035">
        <v>1</v>
      </c>
      <c r="C1035">
        <v>0.01</v>
      </c>
    </row>
    <row r="1036" spans="1:3" x14ac:dyDescent="0.25">
      <c r="A1036" t="s">
        <v>1042</v>
      </c>
      <c r="B1036">
        <v>1</v>
      </c>
      <c r="C1036">
        <v>0.01</v>
      </c>
    </row>
    <row r="1037" spans="1:3" x14ac:dyDescent="0.25">
      <c r="A1037" t="s">
        <v>1043</v>
      </c>
      <c r="B1037">
        <v>1</v>
      </c>
      <c r="C1037">
        <v>0.01</v>
      </c>
    </row>
    <row r="1038" spans="1:3" x14ac:dyDescent="0.25">
      <c r="A1038" t="s">
        <v>1044</v>
      </c>
      <c r="B1038">
        <v>1</v>
      </c>
      <c r="C1038">
        <v>0.01</v>
      </c>
    </row>
    <row r="1039" spans="1:3" x14ac:dyDescent="0.25">
      <c r="A1039" t="s">
        <v>1045</v>
      </c>
      <c r="B1039">
        <v>1</v>
      </c>
      <c r="C1039">
        <v>0.01</v>
      </c>
    </row>
    <row r="1040" spans="1:3" x14ac:dyDescent="0.25">
      <c r="A1040" t="s">
        <v>1046</v>
      </c>
      <c r="B1040">
        <v>1</v>
      </c>
      <c r="C1040">
        <v>0.01</v>
      </c>
    </row>
    <row r="1041" spans="1:3" x14ac:dyDescent="0.25">
      <c r="A1041" t="s">
        <v>1049</v>
      </c>
      <c r="B1041">
        <v>1</v>
      </c>
      <c r="C1041">
        <v>0.01</v>
      </c>
    </row>
    <row r="1042" spans="1:3" x14ac:dyDescent="0.25">
      <c r="A1042" t="s">
        <v>1051</v>
      </c>
      <c r="B1042">
        <v>1</v>
      </c>
      <c r="C1042">
        <v>0.01</v>
      </c>
    </row>
    <row r="1043" spans="1:3" x14ac:dyDescent="0.25">
      <c r="A1043" t="s">
        <v>1052</v>
      </c>
      <c r="B1043">
        <v>1</v>
      </c>
      <c r="C1043">
        <v>0.01</v>
      </c>
    </row>
    <row r="1044" spans="1:3" x14ac:dyDescent="0.25">
      <c r="A1044" t="s">
        <v>1054</v>
      </c>
      <c r="B1044">
        <v>1</v>
      </c>
      <c r="C1044">
        <v>0.01</v>
      </c>
    </row>
    <row r="1045" spans="1:3" x14ac:dyDescent="0.25">
      <c r="A1045" t="s">
        <v>1057</v>
      </c>
      <c r="B1045">
        <v>1</v>
      </c>
      <c r="C1045">
        <v>0.01</v>
      </c>
    </row>
    <row r="1046" spans="1:3" x14ac:dyDescent="0.25">
      <c r="A1046" t="s">
        <v>1059</v>
      </c>
      <c r="B1046">
        <v>1</v>
      </c>
      <c r="C1046">
        <v>0.01</v>
      </c>
    </row>
    <row r="1047" spans="1:3" x14ac:dyDescent="0.25">
      <c r="A1047" t="s">
        <v>1060</v>
      </c>
      <c r="B1047">
        <v>1</v>
      </c>
      <c r="C1047">
        <v>0.01</v>
      </c>
    </row>
    <row r="1048" spans="1:3" x14ac:dyDescent="0.25">
      <c r="A1048" t="s">
        <v>1061</v>
      </c>
      <c r="B1048">
        <v>1</v>
      </c>
      <c r="C1048">
        <v>0.01</v>
      </c>
    </row>
    <row r="1049" spans="1:3" x14ac:dyDescent="0.25">
      <c r="A1049" t="s">
        <v>1062</v>
      </c>
      <c r="B1049">
        <v>1</v>
      </c>
      <c r="C1049">
        <v>0.01</v>
      </c>
    </row>
    <row r="1050" spans="1:3" x14ac:dyDescent="0.25">
      <c r="A1050" t="s">
        <v>1066</v>
      </c>
      <c r="B1050">
        <v>1</v>
      </c>
      <c r="C1050">
        <v>0.01</v>
      </c>
    </row>
    <row r="1051" spans="1:3" x14ac:dyDescent="0.25">
      <c r="A1051" t="s">
        <v>1067</v>
      </c>
      <c r="B1051">
        <v>1</v>
      </c>
      <c r="C1051">
        <v>0.01</v>
      </c>
    </row>
    <row r="1052" spans="1:3" x14ac:dyDescent="0.25">
      <c r="A1052" t="s">
        <v>1068</v>
      </c>
      <c r="B1052">
        <v>1</v>
      </c>
      <c r="C1052">
        <v>0.01</v>
      </c>
    </row>
    <row r="1053" spans="1:3" x14ac:dyDescent="0.25">
      <c r="A1053" t="s">
        <v>1069</v>
      </c>
      <c r="B1053">
        <v>1</v>
      </c>
      <c r="C1053">
        <v>0.01</v>
      </c>
    </row>
    <row r="1054" spans="1:3" x14ac:dyDescent="0.25">
      <c r="A1054" t="s">
        <v>1071</v>
      </c>
      <c r="B1054">
        <v>1</v>
      </c>
      <c r="C1054">
        <v>0.01</v>
      </c>
    </row>
    <row r="1055" spans="1:3" x14ac:dyDescent="0.25">
      <c r="A1055" t="s">
        <v>1072</v>
      </c>
      <c r="B1055">
        <v>1</v>
      </c>
      <c r="C1055">
        <v>0.01</v>
      </c>
    </row>
    <row r="1056" spans="1:3" x14ac:dyDescent="0.25">
      <c r="A1056" t="s">
        <v>1073</v>
      </c>
      <c r="B1056">
        <v>1</v>
      </c>
      <c r="C1056">
        <v>0.01</v>
      </c>
    </row>
    <row r="1057" spans="1:3" x14ac:dyDescent="0.25">
      <c r="A1057" t="s">
        <v>1074</v>
      </c>
      <c r="B1057">
        <v>1</v>
      </c>
      <c r="C1057">
        <v>0.01</v>
      </c>
    </row>
    <row r="1058" spans="1:3" x14ac:dyDescent="0.25">
      <c r="A1058" t="s">
        <v>1075</v>
      </c>
      <c r="B1058">
        <v>1</v>
      </c>
      <c r="C1058">
        <v>0.01</v>
      </c>
    </row>
    <row r="1059" spans="1:3" x14ac:dyDescent="0.25">
      <c r="A1059" t="s">
        <v>1076</v>
      </c>
      <c r="B1059">
        <v>1</v>
      </c>
      <c r="C1059">
        <v>0.01</v>
      </c>
    </row>
    <row r="1060" spans="1:3" x14ac:dyDescent="0.25">
      <c r="A1060" t="s">
        <v>1077</v>
      </c>
      <c r="B1060">
        <v>1</v>
      </c>
      <c r="C1060">
        <v>0.01</v>
      </c>
    </row>
    <row r="1061" spans="1:3" x14ac:dyDescent="0.25">
      <c r="A1061" t="s">
        <v>1078</v>
      </c>
      <c r="B1061">
        <v>1</v>
      </c>
      <c r="C1061">
        <v>0.01</v>
      </c>
    </row>
    <row r="1062" spans="1:3" x14ac:dyDescent="0.25">
      <c r="A1062" t="s">
        <v>1079</v>
      </c>
      <c r="B1062">
        <v>1</v>
      </c>
      <c r="C1062">
        <v>0.01</v>
      </c>
    </row>
    <row r="1063" spans="1:3" x14ac:dyDescent="0.25">
      <c r="A1063" t="s">
        <v>1081</v>
      </c>
      <c r="B1063">
        <v>1</v>
      </c>
      <c r="C1063">
        <v>0.01</v>
      </c>
    </row>
    <row r="1064" spans="1:3" x14ac:dyDescent="0.25">
      <c r="A1064" t="s">
        <v>1082</v>
      </c>
      <c r="B1064">
        <v>1</v>
      </c>
      <c r="C1064">
        <v>0.01</v>
      </c>
    </row>
    <row r="1065" spans="1:3" x14ac:dyDescent="0.25">
      <c r="A1065" t="s">
        <v>1084</v>
      </c>
      <c r="B1065">
        <v>1</v>
      </c>
      <c r="C1065">
        <v>0.01</v>
      </c>
    </row>
    <row r="1066" spans="1:3" x14ac:dyDescent="0.25">
      <c r="A1066" t="s">
        <v>1085</v>
      </c>
      <c r="B1066">
        <v>1</v>
      </c>
      <c r="C1066">
        <v>0.01</v>
      </c>
    </row>
    <row r="1067" spans="1:3" x14ac:dyDescent="0.25">
      <c r="A1067" t="s">
        <v>1086</v>
      </c>
      <c r="B1067">
        <v>1</v>
      </c>
      <c r="C1067">
        <v>0.01</v>
      </c>
    </row>
    <row r="1068" spans="1:3" x14ac:dyDescent="0.25">
      <c r="A1068" t="s">
        <v>1087</v>
      </c>
      <c r="B1068">
        <v>1</v>
      </c>
      <c r="C1068">
        <v>0.01</v>
      </c>
    </row>
    <row r="1069" spans="1:3" x14ac:dyDescent="0.25">
      <c r="A1069" t="s">
        <v>1089</v>
      </c>
      <c r="B1069">
        <v>1</v>
      </c>
      <c r="C1069">
        <v>0.01</v>
      </c>
    </row>
    <row r="1070" spans="1:3" x14ac:dyDescent="0.25">
      <c r="A1070" t="s">
        <v>1092</v>
      </c>
      <c r="B1070">
        <v>1</v>
      </c>
      <c r="C1070">
        <v>0.01</v>
      </c>
    </row>
    <row r="1071" spans="1:3" x14ac:dyDescent="0.25">
      <c r="A1071" t="s">
        <v>1093</v>
      </c>
      <c r="B1071">
        <v>1</v>
      </c>
      <c r="C1071">
        <v>0.01</v>
      </c>
    </row>
    <row r="1072" spans="1:3" x14ac:dyDescent="0.25">
      <c r="A1072" t="s">
        <v>1094</v>
      </c>
      <c r="B1072">
        <v>1</v>
      </c>
      <c r="C1072">
        <v>0.01</v>
      </c>
    </row>
    <row r="1073" spans="1:3" x14ac:dyDescent="0.25">
      <c r="A1073" t="s">
        <v>1095</v>
      </c>
      <c r="B1073">
        <v>1</v>
      </c>
      <c r="C1073">
        <v>0.01</v>
      </c>
    </row>
    <row r="1074" spans="1:3" x14ac:dyDescent="0.25">
      <c r="A1074" t="s">
        <v>1096</v>
      </c>
      <c r="B1074">
        <v>1</v>
      </c>
      <c r="C1074">
        <v>0.01</v>
      </c>
    </row>
    <row r="1075" spans="1:3" x14ac:dyDescent="0.25">
      <c r="A1075" t="s">
        <v>1098</v>
      </c>
      <c r="B1075">
        <v>1</v>
      </c>
      <c r="C1075">
        <v>0.01</v>
      </c>
    </row>
    <row r="1076" spans="1:3" x14ac:dyDescent="0.25">
      <c r="A1076" t="s">
        <v>1101</v>
      </c>
      <c r="B1076">
        <v>1</v>
      </c>
      <c r="C1076">
        <v>0.01</v>
      </c>
    </row>
    <row r="1077" spans="1:3" x14ac:dyDescent="0.25">
      <c r="A1077" t="s">
        <v>1102</v>
      </c>
      <c r="B1077">
        <v>1</v>
      </c>
      <c r="C1077">
        <v>0.01</v>
      </c>
    </row>
    <row r="1078" spans="1:3" x14ac:dyDescent="0.25">
      <c r="A1078" t="s">
        <v>1103</v>
      </c>
      <c r="B1078">
        <v>1</v>
      </c>
      <c r="C1078">
        <v>0.01</v>
      </c>
    </row>
    <row r="1079" spans="1:3" x14ac:dyDescent="0.25">
      <c r="A1079" t="s">
        <v>1105</v>
      </c>
      <c r="B1079">
        <v>1</v>
      </c>
      <c r="C1079">
        <v>0.01</v>
      </c>
    </row>
    <row r="1080" spans="1:3" x14ac:dyDescent="0.25">
      <c r="A1080" t="s">
        <v>1107</v>
      </c>
      <c r="B1080">
        <v>1</v>
      </c>
      <c r="C1080">
        <v>0.01</v>
      </c>
    </row>
    <row r="1081" spans="1:3" x14ac:dyDescent="0.25">
      <c r="A1081" t="s">
        <v>1109</v>
      </c>
      <c r="B1081">
        <v>1</v>
      </c>
      <c r="C1081">
        <v>0.01</v>
      </c>
    </row>
    <row r="1082" spans="1:3" x14ac:dyDescent="0.25">
      <c r="A1082" t="s">
        <v>1110</v>
      </c>
      <c r="B1082">
        <v>1</v>
      </c>
      <c r="C1082">
        <v>0.01</v>
      </c>
    </row>
    <row r="1083" spans="1:3" x14ac:dyDescent="0.25">
      <c r="A1083" t="s">
        <v>1112</v>
      </c>
      <c r="B1083">
        <v>1</v>
      </c>
      <c r="C1083">
        <v>0.01</v>
      </c>
    </row>
    <row r="1084" spans="1:3" x14ac:dyDescent="0.25">
      <c r="A1084" t="s">
        <v>1113</v>
      </c>
      <c r="B1084">
        <v>1</v>
      </c>
      <c r="C1084">
        <v>0.01</v>
      </c>
    </row>
    <row r="1085" spans="1:3" x14ac:dyDescent="0.25">
      <c r="A1085" t="s">
        <v>1114</v>
      </c>
      <c r="B1085">
        <v>1</v>
      </c>
      <c r="C1085">
        <v>0.01</v>
      </c>
    </row>
    <row r="1086" spans="1:3" x14ac:dyDescent="0.25">
      <c r="A1086" t="s">
        <v>1116</v>
      </c>
      <c r="B1086">
        <v>1</v>
      </c>
      <c r="C1086">
        <v>0.01</v>
      </c>
    </row>
    <row r="1087" spans="1:3" x14ac:dyDescent="0.25">
      <c r="A1087" t="s">
        <v>1118</v>
      </c>
      <c r="B1087">
        <v>1</v>
      </c>
      <c r="C1087">
        <v>0.01</v>
      </c>
    </row>
    <row r="1088" spans="1:3" x14ac:dyDescent="0.25">
      <c r="A1088" t="s">
        <v>1119</v>
      </c>
      <c r="B1088">
        <v>1</v>
      </c>
      <c r="C1088">
        <v>0.01</v>
      </c>
    </row>
    <row r="1089" spans="1:3" x14ac:dyDescent="0.25">
      <c r="A1089" t="s">
        <v>1120</v>
      </c>
      <c r="B1089">
        <v>1</v>
      </c>
      <c r="C1089">
        <v>0.01</v>
      </c>
    </row>
    <row r="1090" spans="1:3" x14ac:dyDescent="0.25">
      <c r="A1090" t="s">
        <v>1123</v>
      </c>
      <c r="B1090">
        <v>1</v>
      </c>
      <c r="C1090">
        <v>0.01</v>
      </c>
    </row>
    <row r="1091" spans="1:3" x14ac:dyDescent="0.25">
      <c r="A1091" t="s">
        <v>1124</v>
      </c>
      <c r="B1091">
        <v>1</v>
      </c>
      <c r="C1091">
        <v>0.01</v>
      </c>
    </row>
    <row r="1092" spans="1:3" x14ac:dyDescent="0.25">
      <c r="A1092" t="s">
        <v>1129</v>
      </c>
      <c r="B1092">
        <v>1</v>
      </c>
      <c r="C1092">
        <v>0.01</v>
      </c>
    </row>
    <row r="1093" spans="1:3" x14ac:dyDescent="0.25">
      <c r="A1093" t="s">
        <v>1130</v>
      </c>
      <c r="B1093">
        <v>1</v>
      </c>
      <c r="C1093">
        <v>0.01</v>
      </c>
    </row>
    <row r="1094" spans="1:3" x14ac:dyDescent="0.25">
      <c r="A1094" t="s">
        <v>1131</v>
      </c>
      <c r="B1094">
        <v>1</v>
      </c>
      <c r="C1094">
        <v>0.01</v>
      </c>
    </row>
    <row r="1095" spans="1:3" x14ac:dyDescent="0.25">
      <c r="A1095" t="s">
        <v>1132</v>
      </c>
      <c r="B1095">
        <v>1</v>
      </c>
      <c r="C1095">
        <v>0.01</v>
      </c>
    </row>
    <row r="1096" spans="1:3" x14ac:dyDescent="0.25">
      <c r="A1096" t="s">
        <v>1133</v>
      </c>
      <c r="B1096">
        <v>1</v>
      </c>
      <c r="C1096">
        <v>0.01</v>
      </c>
    </row>
    <row r="1097" spans="1:3" x14ac:dyDescent="0.25">
      <c r="A1097" t="s">
        <v>1134</v>
      </c>
      <c r="B1097">
        <v>1</v>
      </c>
      <c r="C1097">
        <v>0.01</v>
      </c>
    </row>
    <row r="1098" spans="1:3" x14ac:dyDescent="0.25">
      <c r="A1098" t="s">
        <v>1136</v>
      </c>
      <c r="B1098">
        <v>1</v>
      </c>
      <c r="C1098">
        <v>0.01</v>
      </c>
    </row>
    <row r="1099" spans="1:3" x14ac:dyDescent="0.25">
      <c r="A1099" t="s">
        <v>1137</v>
      </c>
      <c r="B1099">
        <v>1</v>
      </c>
      <c r="C1099">
        <v>0.01</v>
      </c>
    </row>
    <row r="1100" spans="1:3" x14ac:dyDescent="0.25">
      <c r="A1100" t="s">
        <v>1140</v>
      </c>
      <c r="B1100">
        <v>1</v>
      </c>
      <c r="C1100">
        <v>0.01</v>
      </c>
    </row>
    <row r="1101" spans="1:3" x14ac:dyDescent="0.25">
      <c r="A1101" t="s">
        <v>1141</v>
      </c>
      <c r="B1101">
        <v>1</v>
      </c>
      <c r="C1101">
        <v>0.01</v>
      </c>
    </row>
    <row r="1102" spans="1:3" x14ac:dyDescent="0.25">
      <c r="A1102" t="s">
        <v>1142</v>
      </c>
      <c r="B1102">
        <v>1</v>
      </c>
      <c r="C1102">
        <v>0.01</v>
      </c>
    </row>
    <row r="1103" spans="1:3" x14ac:dyDescent="0.25">
      <c r="A1103" t="s">
        <v>1144</v>
      </c>
      <c r="B1103">
        <v>1</v>
      </c>
      <c r="C1103">
        <v>0.01</v>
      </c>
    </row>
    <row r="1104" spans="1:3" x14ac:dyDescent="0.25">
      <c r="A1104" t="s">
        <v>1145</v>
      </c>
      <c r="B1104">
        <v>1</v>
      </c>
      <c r="C1104">
        <v>0.01</v>
      </c>
    </row>
    <row r="1105" spans="1:3" x14ac:dyDescent="0.25">
      <c r="A1105" t="s">
        <v>1146</v>
      </c>
      <c r="B1105">
        <v>1</v>
      </c>
      <c r="C1105">
        <v>0.01</v>
      </c>
    </row>
    <row r="1106" spans="1:3" x14ac:dyDescent="0.25">
      <c r="A1106" t="s">
        <v>1149</v>
      </c>
      <c r="B1106">
        <v>1</v>
      </c>
      <c r="C1106">
        <v>0.01</v>
      </c>
    </row>
    <row r="1107" spans="1:3" x14ac:dyDescent="0.25">
      <c r="A1107" t="s">
        <v>1150</v>
      </c>
      <c r="B1107">
        <v>1</v>
      </c>
      <c r="C1107">
        <v>0.01</v>
      </c>
    </row>
    <row r="1108" spans="1:3" x14ac:dyDescent="0.25">
      <c r="A1108" t="s">
        <v>1151</v>
      </c>
      <c r="B1108">
        <v>1</v>
      </c>
      <c r="C1108">
        <v>0.01</v>
      </c>
    </row>
    <row r="1109" spans="1:3" x14ac:dyDescent="0.25">
      <c r="A1109" t="s">
        <v>1152</v>
      </c>
      <c r="B1109">
        <v>1</v>
      </c>
      <c r="C1109">
        <v>0.01</v>
      </c>
    </row>
    <row r="1110" spans="1:3" x14ac:dyDescent="0.25">
      <c r="A1110" t="s">
        <v>1153</v>
      </c>
      <c r="B1110">
        <v>1</v>
      </c>
      <c r="C1110">
        <v>0.01</v>
      </c>
    </row>
    <row r="1111" spans="1:3" x14ac:dyDescent="0.25">
      <c r="A1111" t="s">
        <v>1155</v>
      </c>
      <c r="B1111">
        <v>1</v>
      </c>
      <c r="C1111">
        <v>0.01</v>
      </c>
    </row>
    <row r="1112" spans="1:3" x14ac:dyDescent="0.25">
      <c r="A1112" t="s">
        <v>1156</v>
      </c>
      <c r="B1112">
        <v>1</v>
      </c>
      <c r="C1112">
        <v>0.01</v>
      </c>
    </row>
    <row r="1113" spans="1:3" x14ac:dyDescent="0.25">
      <c r="A1113" t="s">
        <v>1157</v>
      </c>
      <c r="B1113">
        <v>1</v>
      </c>
      <c r="C1113">
        <v>0.01</v>
      </c>
    </row>
    <row r="1114" spans="1:3" x14ac:dyDescent="0.25">
      <c r="A1114" t="s">
        <v>1158</v>
      </c>
      <c r="B1114">
        <v>1</v>
      </c>
      <c r="C1114">
        <v>0.01</v>
      </c>
    </row>
    <row r="1115" spans="1:3" x14ac:dyDescent="0.25">
      <c r="A1115" t="s">
        <v>1161</v>
      </c>
      <c r="B1115">
        <v>1</v>
      </c>
      <c r="C1115">
        <v>0.01</v>
      </c>
    </row>
    <row r="1116" spans="1:3" x14ac:dyDescent="0.25">
      <c r="A1116" t="s">
        <v>1162</v>
      </c>
      <c r="B1116">
        <v>1</v>
      </c>
      <c r="C1116">
        <v>0.01</v>
      </c>
    </row>
    <row r="1117" spans="1:3" x14ac:dyDescent="0.25">
      <c r="A1117" t="s">
        <v>1163</v>
      </c>
      <c r="B1117">
        <v>1</v>
      </c>
      <c r="C1117">
        <v>0.01</v>
      </c>
    </row>
    <row r="1118" spans="1:3" x14ac:dyDescent="0.25">
      <c r="A1118" t="s">
        <v>1164</v>
      </c>
      <c r="B1118">
        <v>1</v>
      </c>
      <c r="C1118">
        <v>0.01</v>
      </c>
    </row>
    <row r="1119" spans="1:3" x14ac:dyDescent="0.25">
      <c r="A1119" t="s">
        <v>1167</v>
      </c>
      <c r="B1119">
        <v>1</v>
      </c>
      <c r="C1119">
        <v>0.01</v>
      </c>
    </row>
    <row r="1120" spans="1:3" x14ac:dyDescent="0.25">
      <c r="A1120" t="s">
        <v>1168</v>
      </c>
      <c r="B1120">
        <v>1</v>
      </c>
      <c r="C1120">
        <v>0.01</v>
      </c>
    </row>
    <row r="1121" spans="1:3" x14ac:dyDescent="0.25">
      <c r="A1121" t="s">
        <v>1172</v>
      </c>
      <c r="B1121">
        <v>1</v>
      </c>
      <c r="C1121">
        <v>0.01</v>
      </c>
    </row>
    <row r="1122" spans="1:3" x14ac:dyDescent="0.25">
      <c r="A1122" t="s">
        <v>1173</v>
      </c>
      <c r="B1122">
        <v>1</v>
      </c>
      <c r="C1122">
        <v>0.01</v>
      </c>
    </row>
    <row r="1123" spans="1:3" x14ac:dyDescent="0.25">
      <c r="A1123" t="s">
        <v>1174</v>
      </c>
      <c r="B1123">
        <v>1</v>
      </c>
      <c r="C1123">
        <v>0.01</v>
      </c>
    </row>
    <row r="1124" spans="1:3" x14ac:dyDescent="0.25">
      <c r="A1124" t="s">
        <v>1175</v>
      </c>
      <c r="B1124">
        <v>1</v>
      </c>
      <c r="C1124">
        <v>0.01</v>
      </c>
    </row>
    <row r="1125" spans="1:3" x14ac:dyDescent="0.25">
      <c r="A1125" t="s">
        <v>1180</v>
      </c>
      <c r="B1125">
        <v>1</v>
      </c>
      <c r="C1125">
        <v>0.01</v>
      </c>
    </row>
    <row r="1126" spans="1:3" x14ac:dyDescent="0.25">
      <c r="A1126" t="s">
        <v>1181</v>
      </c>
      <c r="B1126">
        <v>1</v>
      </c>
      <c r="C1126">
        <v>0.01</v>
      </c>
    </row>
    <row r="1127" spans="1:3" x14ac:dyDescent="0.25">
      <c r="A1127" t="s">
        <v>1182</v>
      </c>
      <c r="B1127">
        <v>1</v>
      </c>
      <c r="C1127">
        <v>0.01</v>
      </c>
    </row>
    <row r="1128" spans="1:3" x14ac:dyDescent="0.25">
      <c r="A1128" t="s">
        <v>1183</v>
      </c>
      <c r="B1128">
        <v>1</v>
      </c>
      <c r="C1128">
        <v>0.01</v>
      </c>
    </row>
    <row r="1129" spans="1:3" x14ac:dyDescent="0.25">
      <c r="A1129" t="s">
        <v>1185</v>
      </c>
      <c r="B1129">
        <v>1</v>
      </c>
      <c r="C1129">
        <v>0.01</v>
      </c>
    </row>
    <row r="1130" spans="1:3" x14ac:dyDescent="0.25">
      <c r="A1130" t="s">
        <v>1186</v>
      </c>
      <c r="B1130">
        <v>1</v>
      </c>
      <c r="C1130">
        <v>0.01</v>
      </c>
    </row>
    <row r="1131" spans="1:3" x14ac:dyDescent="0.25">
      <c r="A1131" t="s">
        <v>1187</v>
      </c>
      <c r="B1131">
        <v>1</v>
      </c>
      <c r="C1131">
        <v>0.01</v>
      </c>
    </row>
    <row r="1132" spans="1:3" x14ac:dyDescent="0.25">
      <c r="A1132" t="s">
        <v>1189</v>
      </c>
      <c r="B1132">
        <v>1</v>
      </c>
      <c r="C1132">
        <v>0.01</v>
      </c>
    </row>
    <row r="1133" spans="1:3" x14ac:dyDescent="0.25">
      <c r="A1133" t="s">
        <v>1191</v>
      </c>
      <c r="B1133">
        <v>1</v>
      </c>
      <c r="C1133">
        <v>0.01</v>
      </c>
    </row>
    <row r="1134" spans="1:3" x14ac:dyDescent="0.25">
      <c r="A1134" t="s">
        <v>1193</v>
      </c>
      <c r="B1134">
        <v>1</v>
      </c>
      <c r="C1134">
        <v>0.01</v>
      </c>
    </row>
    <row r="1135" spans="1:3" x14ac:dyDescent="0.25">
      <c r="A1135" t="s">
        <v>1194</v>
      </c>
      <c r="B1135">
        <v>1</v>
      </c>
      <c r="C1135">
        <v>0.01</v>
      </c>
    </row>
    <row r="1136" spans="1:3" x14ac:dyDescent="0.25">
      <c r="A1136" t="s">
        <v>1196</v>
      </c>
      <c r="B1136">
        <v>1</v>
      </c>
      <c r="C1136">
        <v>0.01</v>
      </c>
    </row>
    <row r="1137" spans="1:3" x14ac:dyDescent="0.25">
      <c r="A1137" t="s">
        <v>1197</v>
      </c>
      <c r="B1137">
        <v>1</v>
      </c>
      <c r="C1137">
        <v>0.01</v>
      </c>
    </row>
    <row r="1138" spans="1:3" x14ac:dyDescent="0.25">
      <c r="A1138" t="s">
        <v>1198</v>
      </c>
      <c r="B1138">
        <v>1</v>
      </c>
      <c r="C1138">
        <v>0.01</v>
      </c>
    </row>
    <row r="1139" spans="1:3" x14ac:dyDescent="0.25">
      <c r="A1139" t="s">
        <v>1200</v>
      </c>
      <c r="B1139">
        <v>1</v>
      </c>
      <c r="C1139">
        <v>0.01</v>
      </c>
    </row>
    <row r="1140" spans="1:3" x14ac:dyDescent="0.25">
      <c r="A1140" t="s">
        <v>1202</v>
      </c>
      <c r="B1140">
        <v>1</v>
      </c>
      <c r="C1140">
        <v>0.01</v>
      </c>
    </row>
    <row r="1141" spans="1:3" x14ac:dyDescent="0.25">
      <c r="A1141" t="s">
        <v>1203</v>
      </c>
      <c r="B1141">
        <v>1</v>
      </c>
      <c r="C1141">
        <v>0.01</v>
      </c>
    </row>
    <row r="1142" spans="1:3" x14ac:dyDescent="0.25">
      <c r="A1142" t="s">
        <v>1204</v>
      </c>
      <c r="B1142">
        <v>1</v>
      </c>
      <c r="C1142">
        <v>0.01</v>
      </c>
    </row>
    <row r="1143" spans="1:3" x14ac:dyDescent="0.25">
      <c r="A1143" t="s">
        <v>1205</v>
      </c>
      <c r="B1143">
        <v>1</v>
      </c>
      <c r="C1143">
        <v>0.01</v>
      </c>
    </row>
    <row r="1144" spans="1:3" x14ac:dyDescent="0.25">
      <c r="A1144" t="s">
        <v>1206</v>
      </c>
      <c r="B1144">
        <v>1</v>
      </c>
      <c r="C1144">
        <v>0.01</v>
      </c>
    </row>
    <row r="1145" spans="1:3" x14ac:dyDescent="0.25">
      <c r="A1145" t="s">
        <v>1209</v>
      </c>
      <c r="B1145">
        <v>1</v>
      </c>
      <c r="C1145">
        <v>0.01</v>
      </c>
    </row>
    <row r="1146" spans="1:3" x14ac:dyDescent="0.25">
      <c r="A1146" t="s">
        <v>1211</v>
      </c>
      <c r="B1146">
        <v>1</v>
      </c>
      <c r="C1146">
        <v>0.01</v>
      </c>
    </row>
    <row r="1147" spans="1:3" x14ac:dyDescent="0.25">
      <c r="A1147" t="s">
        <v>1212</v>
      </c>
      <c r="B1147">
        <v>1</v>
      </c>
      <c r="C1147">
        <v>0.01</v>
      </c>
    </row>
    <row r="1148" spans="1:3" x14ac:dyDescent="0.25">
      <c r="A1148" t="s">
        <v>1213</v>
      </c>
      <c r="B1148">
        <v>1</v>
      </c>
      <c r="C1148">
        <v>0.01</v>
      </c>
    </row>
    <row r="1149" spans="1:3" x14ac:dyDescent="0.25">
      <c r="A1149" t="s">
        <v>1215</v>
      </c>
      <c r="B1149">
        <v>1</v>
      </c>
      <c r="C1149">
        <v>0.01</v>
      </c>
    </row>
    <row r="1150" spans="1:3" x14ac:dyDescent="0.25">
      <c r="A1150" t="s">
        <v>1216</v>
      </c>
      <c r="B1150">
        <v>1</v>
      </c>
      <c r="C1150">
        <v>0.01</v>
      </c>
    </row>
    <row r="1151" spans="1:3" x14ac:dyDescent="0.25">
      <c r="A1151" t="s">
        <v>1217</v>
      </c>
      <c r="B1151">
        <v>1</v>
      </c>
      <c r="C1151">
        <v>0.01</v>
      </c>
    </row>
    <row r="1152" spans="1:3" x14ac:dyDescent="0.25">
      <c r="A1152" t="s">
        <v>1219</v>
      </c>
      <c r="B1152">
        <v>1</v>
      </c>
      <c r="C1152">
        <v>0.01</v>
      </c>
    </row>
    <row r="1153" spans="1:3" x14ac:dyDescent="0.25">
      <c r="A1153" t="s">
        <v>1221</v>
      </c>
      <c r="B1153">
        <v>1</v>
      </c>
      <c r="C1153">
        <v>0.01</v>
      </c>
    </row>
    <row r="1154" spans="1:3" x14ac:dyDescent="0.25">
      <c r="A1154" t="s">
        <v>1223</v>
      </c>
      <c r="B1154">
        <v>1</v>
      </c>
      <c r="C1154">
        <v>0.01</v>
      </c>
    </row>
    <row r="1155" spans="1:3" x14ac:dyDescent="0.25">
      <c r="A1155" t="s">
        <v>1225</v>
      </c>
      <c r="B1155">
        <v>1</v>
      </c>
      <c r="C1155">
        <v>0.01</v>
      </c>
    </row>
    <row r="1156" spans="1:3" x14ac:dyDescent="0.25">
      <c r="A1156" t="s">
        <v>1226</v>
      </c>
      <c r="B1156">
        <v>1</v>
      </c>
      <c r="C1156">
        <v>0.01</v>
      </c>
    </row>
    <row r="1157" spans="1:3" x14ac:dyDescent="0.25">
      <c r="A1157" t="s">
        <v>1230</v>
      </c>
      <c r="B1157">
        <v>1</v>
      </c>
      <c r="C1157">
        <v>0.01</v>
      </c>
    </row>
    <row r="1158" spans="1:3" x14ac:dyDescent="0.25">
      <c r="A1158" t="s">
        <v>1231</v>
      </c>
      <c r="B1158">
        <v>1</v>
      </c>
      <c r="C1158">
        <v>0.01</v>
      </c>
    </row>
    <row r="1159" spans="1:3" x14ac:dyDescent="0.25">
      <c r="A1159" t="s">
        <v>1232</v>
      </c>
      <c r="B1159">
        <v>1</v>
      </c>
      <c r="C1159">
        <v>0.01</v>
      </c>
    </row>
    <row r="1160" spans="1:3" x14ac:dyDescent="0.25">
      <c r="A1160" t="s">
        <v>1234</v>
      </c>
      <c r="B1160">
        <v>1</v>
      </c>
      <c r="C1160">
        <v>0.01</v>
      </c>
    </row>
    <row r="1161" spans="1:3" x14ac:dyDescent="0.25">
      <c r="A1161" t="s">
        <v>1235</v>
      </c>
      <c r="B1161">
        <v>1</v>
      </c>
      <c r="C1161">
        <v>0.01</v>
      </c>
    </row>
    <row r="1162" spans="1:3" x14ac:dyDescent="0.25">
      <c r="A1162" t="s">
        <v>1236</v>
      </c>
      <c r="B1162">
        <v>1</v>
      </c>
      <c r="C1162">
        <v>0.01</v>
      </c>
    </row>
    <row r="1163" spans="1:3" x14ac:dyDescent="0.25">
      <c r="A1163" t="s">
        <v>1237</v>
      </c>
      <c r="B1163">
        <v>1</v>
      </c>
      <c r="C1163">
        <v>0.01</v>
      </c>
    </row>
    <row r="1164" spans="1:3" x14ac:dyDescent="0.25">
      <c r="A1164" t="s">
        <v>1238</v>
      </c>
      <c r="B1164">
        <v>1</v>
      </c>
      <c r="C1164">
        <v>0.01</v>
      </c>
    </row>
    <row r="1165" spans="1:3" x14ac:dyDescent="0.25">
      <c r="A1165" t="s">
        <v>1239</v>
      </c>
      <c r="B1165">
        <v>1</v>
      </c>
      <c r="C1165">
        <v>0.01</v>
      </c>
    </row>
    <row r="1166" spans="1:3" x14ac:dyDescent="0.25">
      <c r="A1166" t="s">
        <v>1240</v>
      </c>
      <c r="B1166">
        <v>1</v>
      </c>
      <c r="C1166">
        <v>0.01</v>
      </c>
    </row>
    <row r="1167" spans="1:3" x14ac:dyDescent="0.25">
      <c r="A1167" t="s">
        <v>1241</v>
      </c>
      <c r="B1167">
        <v>1</v>
      </c>
      <c r="C1167">
        <v>0.01</v>
      </c>
    </row>
    <row r="1168" spans="1:3" x14ac:dyDescent="0.25">
      <c r="A1168" t="s">
        <v>1242</v>
      </c>
      <c r="B1168">
        <v>1</v>
      </c>
      <c r="C1168">
        <v>0.01</v>
      </c>
    </row>
    <row r="1169" spans="1:3" x14ac:dyDescent="0.25">
      <c r="A1169" t="s">
        <v>1243</v>
      </c>
      <c r="B1169">
        <v>1</v>
      </c>
      <c r="C1169">
        <v>0.01</v>
      </c>
    </row>
    <row r="1170" spans="1:3" x14ac:dyDescent="0.25">
      <c r="A1170" t="s">
        <v>1244</v>
      </c>
      <c r="B1170">
        <v>1</v>
      </c>
      <c r="C1170">
        <v>0.01</v>
      </c>
    </row>
    <row r="1171" spans="1:3" x14ac:dyDescent="0.25">
      <c r="A1171" t="s">
        <v>1247</v>
      </c>
      <c r="B1171">
        <v>1</v>
      </c>
      <c r="C1171">
        <v>0.01</v>
      </c>
    </row>
    <row r="1172" spans="1:3" x14ac:dyDescent="0.25">
      <c r="A1172" t="s">
        <v>1248</v>
      </c>
      <c r="B1172">
        <v>1</v>
      </c>
      <c r="C1172">
        <v>0.01</v>
      </c>
    </row>
    <row r="1173" spans="1:3" x14ac:dyDescent="0.25">
      <c r="A1173" t="s">
        <v>1249</v>
      </c>
      <c r="B1173">
        <v>1</v>
      </c>
      <c r="C1173">
        <v>0.01</v>
      </c>
    </row>
    <row r="1174" spans="1:3" x14ac:dyDescent="0.25">
      <c r="A1174" t="s">
        <v>1251</v>
      </c>
      <c r="B1174">
        <v>1</v>
      </c>
      <c r="C1174">
        <v>0.01</v>
      </c>
    </row>
    <row r="1175" spans="1:3" x14ac:dyDescent="0.25">
      <c r="A1175" t="s">
        <v>1252</v>
      </c>
      <c r="B1175">
        <v>1</v>
      </c>
      <c r="C1175">
        <v>0.01</v>
      </c>
    </row>
    <row r="1176" spans="1:3" x14ac:dyDescent="0.25">
      <c r="A1176" t="s">
        <v>1253</v>
      </c>
      <c r="B1176">
        <v>1</v>
      </c>
      <c r="C1176">
        <v>0.01</v>
      </c>
    </row>
    <row r="1177" spans="1:3" x14ac:dyDescent="0.25">
      <c r="A1177" t="s">
        <v>1254</v>
      </c>
      <c r="B1177">
        <v>1</v>
      </c>
      <c r="C1177">
        <v>0.01</v>
      </c>
    </row>
    <row r="1178" spans="1:3" x14ac:dyDescent="0.25">
      <c r="A1178" t="s">
        <v>1255</v>
      </c>
      <c r="B1178">
        <v>1</v>
      </c>
      <c r="C1178">
        <v>0.01</v>
      </c>
    </row>
    <row r="1179" spans="1:3" x14ac:dyDescent="0.25">
      <c r="A1179" t="s">
        <v>1257</v>
      </c>
      <c r="B1179">
        <v>1</v>
      </c>
      <c r="C1179">
        <v>0.01</v>
      </c>
    </row>
    <row r="1180" spans="1:3" x14ac:dyDescent="0.25">
      <c r="A1180" t="s">
        <v>1258</v>
      </c>
      <c r="B1180">
        <v>1</v>
      </c>
      <c r="C1180">
        <v>0.01</v>
      </c>
    </row>
    <row r="1181" spans="1:3" x14ac:dyDescent="0.25">
      <c r="A1181" t="s">
        <v>1259</v>
      </c>
      <c r="B1181">
        <v>1</v>
      </c>
      <c r="C1181">
        <v>0.01</v>
      </c>
    </row>
    <row r="1182" spans="1:3" x14ac:dyDescent="0.25">
      <c r="A1182" t="s">
        <v>1260</v>
      </c>
      <c r="B1182">
        <v>1</v>
      </c>
      <c r="C1182">
        <v>0.01</v>
      </c>
    </row>
    <row r="1183" spans="1:3" x14ac:dyDescent="0.25">
      <c r="A1183" t="s">
        <v>1262</v>
      </c>
      <c r="B1183">
        <v>1</v>
      </c>
      <c r="C1183">
        <v>0.01</v>
      </c>
    </row>
    <row r="1184" spans="1:3" x14ac:dyDescent="0.25">
      <c r="A1184" t="s">
        <v>1263</v>
      </c>
      <c r="B1184">
        <v>1</v>
      </c>
      <c r="C1184">
        <v>0.01</v>
      </c>
    </row>
    <row r="1185" spans="1:3" x14ac:dyDescent="0.25">
      <c r="A1185" t="s">
        <v>1264</v>
      </c>
      <c r="B1185">
        <v>1</v>
      </c>
      <c r="C1185">
        <v>0.01</v>
      </c>
    </row>
    <row r="1186" spans="1:3" x14ac:dyDescent="0.25">
      <c r="A1186" t="s">
        <v>1265</v>
      </c>
      <c r="B1186">
        <v>1</v>
      </c>
      <c r="C1186">
        <v>0.01</v>
      </c>
    </row>
    <row r="1187" spans="1:3" x14ac:dyDescent="0.25">
      <c r="A1187" t="s">
        <v>1266</v>
      </c>
      <c r="B1187">
        <v>1</v>
      </c>
      <c r="C1187">
        <v>0.01</v>
      </c>
    </row>
    <row r="1188" spans="1:3" x14ac:dyDescent="0.25">
      <c r="A1188" t="s">
        <v>1268</v>
      </c>
      <c r="B1188">
        <v>1</v>
      </c>
      <c r="C1188">
        <v>0.01</v>
      </c>
    </row>
    <row r="1189" spans="1:3" x14ac:dyDescent="0.25">
      <c r="A1189" t="s">
        <v>1269</v>
      </c>
      <c r="B1189">
        <v>1</v>
      </c>
      <c r="C1189">
        <v>0.01</v>
      </c>
    </row>
    <row r="1190" spans="1:3" x14ac:dyDescent="0.25">
      <c r="A1190" t="s">
        <v>1270</v>
      </c>
      <c r="B1190">
        <v>1</v>
      </c>
      <c r="C1190">
        <v>0.01</v>
      </c>
    </row>
    <row r="1191" spans="1:3" x14ac:dyDescent="0.25">
      <c r="A1191" t="s">
        <v>1271</v>
      </c>
      <c r="B1191">
        <v>1</v>
      </c>
      <c r="C1191">
        <v>0.01</v>
      </c>
    </row>
    <row r="1192" spans="1:3" x14ac:dyDescent="0.25">
      <c r="A1192" t="s">
        <v>1272</v>
      </c>
      <c r="B1192">
        <v>1</v>
      </c>
      <c r="C1192">
        <v>0.01</v>
      </c>
    </row>
    <row r="1193" spans="1:3" x14ac:dyDescent="0.25">
      <c r="A1193" t="s">
        <v>1273</v>
      </c>
      <c r="B1193">
        <v>1</v>
      </c>
      <c r="C1193">
        <v>0.01</v>
      </c>
    </row>
    <row r="1194" spans="1:3" x14ac:dyDescent="0.25">
      <c r="A1194" t="s">
        <v>1274</v>
      </c>
      <c r="B1194">
        <v>1</v>
      </c>
      <c r="C1194">
        <v>0.01</v>
      </c>
    </row>
    <row r="1195" spans="1:3" x14ac:dyDescent="0.25">
      <c r="A1195" t="s">
        <v>1275</v>
      </c>
      <c r="B1195">
        <v>1</v>
      </c>
      <c r="C1195">
        <v>0.01</v>
      </c>
    </row>
    <row r="1196" spans="1:3" x14ac:dyDescent="0.25">
      <c r="A1196" t="s">
        <v>1276</v>
      </c>
      <c r="B1196">
        <v>1</v>
      </c>
      <c r="C1196">
        <v>0.01</v>
      </c>
    </row>
    <row r="1197" spans="1:3" x14ac:dyDescent="0.25">
      <c r="A1197" t="s">
        <v>1277</v>
      </c>
      <c r="B1197">
        <v>1</v>
      </c>
      <c r="C1197">
        <v>0.01</v>
      </c>
    </row>
    <row r="1198" spans="1:3" x14ac:dyDescent="0.25">
      <c r="A1198" t="s">
        <v>1278</v>
      </c>
      <c r="B1198">
        <v>1</v>
      </c>
      <c r="C1198">
        <v>0.01</v>
      </c>
    </row>
    <row r="1199" spans="1:3" x14ac:dyDescent="0.25">
      <c r="A1199" t="s">
        <v>1279</v>
      </c>
      <c r="B1199">
        <v>1</v>
      </c>
      <c r="C1199">
        <v>0.01</v>
      </c>
    </row>
    <row r="1200" spans="1:3" x14ac:dyDescent="0.25">
      <c r="A1200" t="s">
        <v>1280</v>
      </c>
      <c r="B1200">
        <v>1</v>
      </c>
      <c r="C1200">
        <v>0.01</v>
      </c>
    </row>
    <row r="1201" spans="1:3" x14ac:dyDescent="0.25">
      <c r="A1201" t="s">
        <v>1281</v>
      </c>
      <c r="B1201">
        <v>1</v>
      </c>
      <c r="C1201">
        <v>0.01</v>
      </c>
    </row>
    <row r="1202" spans="1:3" x14ac:dyDescent="0.25">
      <c r="A1202" t="s">
        <v>1282</v>
      </c>
      <c r="B1202">
        <v>1</v>
      </c>
      <c r="C1202">
        <v>0.01</v>
      </c>
    </row>
    <row r="1203" spans="1:3" x14ac:dyDescent="0.25">
      <c r="A1203" t="s">
        <v>1283</v>
      </c>
      <c r="B1203">
        <v>1</v>
      </c>
      <c r="C1203">
        <v>0.01</v>
      </c>
    </row>
    <row r="1204" spans="1:3" x14ac:dyDescent="0.25">
      <c r="A1204" t="s">
        <v>1284</v>
      </c>
      <c r="B1204">
        <v>1</v>
      </c>
      <c r="C1204">
        <v>0.01</v>
      </c>
    </row>
    <row r="1205" spans="1:3" x14ac:dyDescent="0.25">
      <c r="A1205" t="s">
        <v>1285</v>
      </c>
      <c r="B1205">
        <v>1</v>
      </c>
      <c r="C1205">
        <v>0.01</v>
      </c>
    </row>
    <row r="1206" spans="1:3" x14ac:dyDescent="0.25">
      <c r="A1206" t="s">
        <v>1288</v>
      </c>
      <c r="B1206">
        <v>1</v>
      </c>
      <c r="C1206">
        <v>0.01</v>
      </c>
    </row>
    <row r="1207" spans="1:3" x14ac:dyDescent="0.25">
      <c r="A1207" t="s">
        <v>1291</v>
      </c>
      <c r="B1207">
        <v>1</v>
      </c>
      <c r="C1207">
        <v>0.01</v>
      </c>
    </row>
    <row r="1208" spans="1:3" x14ac:dyDescent="0.25">
      <c r="A1208" t="s">
        <v>1294</v>
      </c>
      <c r="B1208">
        <v>1</v>
      </c>
      <c r="C1208">
        <v>0.01</v>
      </c>
    </row>
    <row r="1209" spans="1:3" x14ac:dyDescent="0.25">
      <c r="A1209" t="s">
        <v>1295</v>
      </c>
      <c r="B1209">
        <v>1</v>
      </c>
      <c r="C1209">
        <v>0.01</v>
      </c>
    </row>
    <row r="1210" spans="1:3" x14ac:dyDescent="0.25">
      <c r="A1210" t="s">
        <v>1297</v>
      </c>
      <c r="B1210">
        <v>1</v>
      </c>
      <c r="C1210">
        <v>0.01</v>
      </c>
    </row>
    <row r="1211" spans="1:3" x14ac:dyDescent="0.25">
      <c r="A1211" t="s">
        <v>1298</v>
      </c>
      <c r="B1211">
        <v>1</v>
      </c>
      <c r="C1211">
        <v>0.01</v>
      </c>
    </row>
    <row r="1212" spans="1:3" x14ac:dyDescent="0.25">
      <c r="A1212" t="s">
        <v>1300</v>
      </c>
      <c r="B1212">
        <v>1</v>
      </c>
      <c r="C1212">
        <v>0.01</v>
      </c>
    </row>
    <row r="1213" spans="1:3" x14ac:dyDescent="0.25">
      <c r="A1213" t="s">
        <v>1301</v>
      </c>
      <c r="B1213">
        <v>1</v>
      </c>
      <c r="C1213">
        <v>0.01</v>
      </c>
    </row>
    <row r="1214" spans="1:3" x14ac:dyDescent="0.25">
      <c r="A1214" t="s">
        <v>1303</v>
      </c>
      <c r="B1214">
        <v>1</v>
      </c>
      <c r="C1214">
        <v>0.01</v>
      </c>
    </row>
    <row r="1215" spans="1:3" x14ac:dyDescent="0.25">
      <c r="A1215" t="s">
        <v>1304</v>
      </c>
      <c r="B1215">
        <v>1</v>
      </c>
      <c r="C1215">
        <v>0.01</v>
      </c>
    </row>
    <row r="1216" spans="1:3" x14ac:dyDescent="0.25">
      <c r="A1216" t="s">
        <v>1305</v>
      </c>
      <c r="B1216">
        <v>1</v>
      </c>
      <c r="C1216">
        <v>0.01</v>
      </c>
    </row>
    <row r="1217" spans="1:3" x14ac:dyDescent="0.25">
      <c r="A1217" t="s">
        <v>1306</v>
      </c>
      <c r="B1217">
        <v>1</v>
      </c>
      <c r="C1217">
        <v>0.01</v>
      </c>
    </row>
    <row r="1218" spans="1:3" x14ac:dyDescent="0.25">
      <c r="A1218" t="s">
        <v>1307</v>
      </c>
      <c r="B1218">
        <v>1</v>
      </c>
      <c r="C1218">
        <v>0.01</v>
      </c>
    </row>
    <row r="1219" spans="1:3" x14ac:dyDescent="0.25">
      <c r="A1219" t="s">
        <v>1308</v>
      </c>
      <c r="B1219">
        <v>1</v>
      </c>
      <c r="C1219">
        <v>0.01</v>
      </c>
    </row>
    <row r="1220" spans="1:3" x14ac:dyDescent="0.25">
      <c r="A1220" t="s">
        <v>1309</v>
      </c>
      <c r="B1220">
        <v>1</v>
      </c>
      <c r="C1220">
        <v>0.01</v>
      </c>
    </row>
    <row r="1221" spans="1:3" x14ac:dyDescent="0.25">
      <c r="A1221" t="s">
        <v>1310</v>
      </c>
      <c r="B1221">
        <v>1</v>
      </c>
      <c r="C1221">
        <v>0.01</v>
      </c>
    </row>
    <row r="1222" spans="1:3" x14ac:dyDescent="0.25">
      <c r="A1222" t="s">
        <v>1312</v>
      </c>
      <c r="B1222">
        <v>1</v>
      </c>
      <c r="C1222">
        <v>0.01</v>
      </c>
    </row>
    <row r="1223" spans="1:3" x14ac:dyDescent="0.25">
      <c r="A1223" t="s">
        <v>1314</v>
      </c>
      <c r="B1223">
        <v>1</v>
      </c>
      <c r="C1223">
        <v>0.01</v>
      </c>
    </row>
    <row r="1224" spans="1:3" x14ac:dyDescent="0.25">
      <c r="A1224" t="s">
        <v>1317</v>
      </c>
      <c r="B1224">
        <v>1</v>
      </c>
      <c r="C1224">
        <v>0.01</v>
      </c>
    </row>
    <row r="1225" spans="1:3" x14ac:dyDescent="0.25">
      <c r="A1225" t="s">
        <v>1318</v>
      </c>
      <c r="B1225">
        <v>1</v>
      </c>
      <c r="C1225">
        <v>0.01</v>
      </c>
    </row>
    <row r="1226" spans="1:3" x14ac:dyDescent="0.25">
      <c r="A1226" t="s">
        <v>1320</v>
      </c>
      <c r="B1226">
        <v>1</v>
      </c>
      <c r="C1226">
        <v>0.01</v>
      </c>
    </row>
    <row r="1227" spans="1:3" x14ac:dyDescent="0.25">
      <c r="A1227" t="s">
        <v>1321</v>
      </c>
      <c r="B1227">
        <v>1</v>
      </c>
      <c r="C1227">
        <v>0.01</v>
      </c>
    </row>
    <row r="1228" spans="1:3" x14ac:dyDescent="0.25">
      <c r="A1228" t="s">
        <v>1322</v>
      </c>
      <c r="B1228">
        <v>1</v>
      </c>
      <c r="C1228">
        <v>0.01</v>
      </c>
    </row>
    <row r="1229" spans="1:3" x14ac:dyDescent="0.25">
      <c r="A1229" t="s">
        <v>1324</v>
      </c>
      <c r="B1229">
        <v>1</v>
      </c>
      <c r="C1229">
        <v>0.01</v>
      </c>
    </row>
    <row r="1230" spans="1:3" x14ac:dyDescent="0.25">
      <c r="A1230" t="s">
        <v>1325</v>
      </c>
      <c r="B1230">
        <v>1</v>
      </c>
      <c r="C1230">
        <v>0.01</v>
      </c>
    </row>
    <row r="1231" spans="1:3" x14ac:dyDescent="0.25">
      <c r="A1231" t="s">
        <v>1326</v>
      </c>
      <c r="B1231">
        <v>1</v>
      </c>
      <c r="C1231">
        <v>0.01</v>
      </c>
    </row>
    <row r="1232" spans="1:3" x14ac:dyDescent="0.25">
      <c r="A1232" t="s">
        <v>1327</v>
      </c>
      <c r="B1232">
        <v>1</v>
      </c>
      <c r="C1232">
        <v>0.01</v>
      </c>
    </row>
    <row r="1233" spans="1:3" x14ac:dyDescent="0.25">
      <c r="A1233" t="s">
        <v>1329</v>
      </c>
      <c r="B1233">
        <v>1</v>
      </c>
      <c r="C1233">
        <v>0.01</v>
      </c>
    </row>
    <row r="1234" spans="1:3" x14ac:dyDescent="0.25">
      <c r="A1234" t="s">
        <v>1330</v>
      </c>
      <c r="B1234">
        <v>1</v>
      </c>
      <c r="C1234">
        <v>0.01</v>
      </c>
    </row>
    <row r="1235" spans="1:3" x14ac:dyDescent="0.25">
      <c r="A1235" t="s">
        <v>1331</v>
      </c>
      <c r="B1235">
        <v>1</v>
      </c>
      <c r="C1235">
        <v>0.01</v>
      </c>
    </row>
    <row r="1236" spans="1:3" x14ac:dyDescent="0.25">
      <c r="A1236" t="s">
        <v>1332</v>
      </c>
      <c r="B1236">
        <v>1</v>
      </c>
      <c r="C1236">
        <v>0.01</v>
      </c>
    </row>
    <row r="1237" spans="1:3" x14ac:dyDescent="0.25">
      <c r="A1237" t="s">
        <v>1333</v>
      </c>
      <c r="B1237">
        <v>1</v>
      </c>
      <c r="C1237">
        <v>0.01</v>
      </c>
    </row>
    <row r="1238" spans="1:3" x14ac:dyDescent="0.25">
      <c r="A1238" t="s">
        <v>1334</v>
      </c>
      <c r="B1238">
        <v>1</v>
      </c>
      <c r="C1238">
        <v>0.01</v>
      </c>
    </row>
    <row r="1239" spans="1:3" x14ac:dyDescent="0.25">
      <c r="A1239" t="s">
        <v>1335</v>
      </c>
      <c r="B1239">
        <v>1</v>
      </c>
      <c r="C1239">
        <v>0.01</v>
      </c>
    </row>
    <row r="1240" spans="1:3" x14ac:dyDescent="0.25">
      <c r="A1240" t="s">
        <v>1336</v>
      </c>
      <c r="B1240">
        <v>1</v>
      </c>
      <c r="C1240">
        <v>0.01</v>
      </c>
    </row>
    <row r="1241" spans="1:3" x14ac:dyDescent="0.25">
      <c r="A1241" t="s">
        <v>1340</v>
      </c>
      <c r="B1241">
        <v>1</v>
      </c>
      <c r="C1241">
        <v>0.01</v>
      </c>
    </row>
    <row r="1242" spans="1:3" x14ac:dyDescent="0.25">
      <c r="A1242" t="s">
        <v>1341</v>
      </c>
      <c r="B1242">
        <v>1</v>
      </c>
      <c r="C1242">
        <v>0.01</v>
      </c>
    </row>
    <row r="1243" spans="1:3" x14ac:dyDescent="0.25">
      <c r="A1243" t="s">
        <v>1342</v>
      </c>
      <c r="B1243">
        <v>1</v>
      </c>
      <c r="C1243">
        <v>0.01</v>
      </c>
    </row>
    <row r="1244" spans="1:3" x14ac:dyDescent="0.25">
      <c r="A1244" t="s">
        <v>1346</v>
      </c>
      <c r="B1244">
        <v>1</v>
      </c>
      <c r="C1244">
        <v>0.01</v>
      </c>
    </row>
    <row r="1245" spans="1:3" x14ac:dyDescent="0.25">
      <c r="A1245" t="s">
        <v>1347</v>
      </c>
      <c r="B1245">
        <v>1</v>
      </c>
      <c r="C1245">
        <v>0.01</v>
      </c>
    </row>
    <row r="1246" spans="1:3" x14ac:dyDescent="0.25">
      <c r="A1246" t="s">
        <v>1349</v>
      </c>
      <c r="B1246">
        <v>1</v>
      </c>
      <c r="C1246">
        <v>0.01</v>
      </c>
    </row>
    <row r="1247" spans="1:3" x14ac:dyDescent="0.25">
      <c r="A1247" t="s">
        <v>1350</v>
      </c>
      <c r="B1247">
        <v>1</v>
      </c>
      <c r="C1247">
        <v>0.01</v>
      </c>
    </row>
    <row r="1248" spans="1:3" x14ac:dyDescent="0.25">
      <c r="A1248" t="s">
        <v>1351</v>
      </c>
      <c r="B1248">
        <v>1</v>
      </c>
      <c r="C1248">
        <v>0.01</v>
      </c>
    </row>
    <row r="1249" spans="1:3" x14ac:dyDescent="0.25">
      <c r="A1249" t="s">
        <v>1353</v>
      </c>
      <c r="B1249">
        <v>1</v>
      </c>
      <c r="C1249">
        <v>0.01</v>
      </c>
    </row>
    <row r="1250" spans="1:3" x14ac:dyDescent="0.25">
      <c r="A1250" t="s">
        <v>1354</v>
      </c>
      <c r="B1250">
        <v>1</v>
      </c>
      <c r="C1250">
        <v>0.01</v>
      </c>
    </row>
    <row r="1251" spans="1:3" x14ac:dyDescent="0.25">
      <c r="A1251" t="s">
        <v>1359</v>
      </c>
      <c r="B1251">
        <v>1</v>
      </c>
      <c r="C1251">
        <v>0.01</v>
      </c>
    </row>
    <row r="1252" spans="1:3" x14ac:dyDescent="0.25">
      <c r="A1252" t="s">
        <v>1360</v>
      </c>
      <c r="B1252">
        <v>1</v>
      </c>
      <c r="C1252">
        <v>0.01</v>
      </c>
    </row>
    <row r="1253" spans="1:3" x14ac:dyDescent="0.25">
      <c r="A1253" t="s">
        <v>1361</v>
      </c>
      <c r="B1253">
        <v>1</v>
      </c>
      <c r="C1253">
        <v>0.01</v>
      </c>
    </row>
    <row r="1254" spans="1:3" x14ac:dyDescent="0.25">
      <c r="A1254" t="s">
        <v>1362</v>
      </c>
      <c r="B1254">
        <v>1</v>
      </c>
      <c r="C1254">
        <v>0.01</v>
      </c>
    </row>
    <row r="1255" spans="1:3" x14ac:dyDescent="0.25">
      <c r="A1255" t="s">
        <v>1363</v>
      </c>
      <c r="B1255">
        <v>1</v>
      </c>
      <c r="C1255">
        <v>0.01</v>
      </c>
    </row>
    <row r="1256" spans="1:3" x14ac:dyDescent="0.25">
      <c r="A1256" t="s">
        <v>1365</v>
      </c>
      <c r="B1256">
        <v>1</v>
      </c>
      <c r="C1256">
        <v>0.01</v>
      </c>
    </row>
    <row r="1257" spans="1:3" x14ac:dyDescent="0.25">
      <c r="A1257" t="s">
        <v>1367</v>
      </c>
      <c r="B1257">
        <v>1</v>
      </c>
      <c r="C1257">
        <v>0.01</v>
      </c>
    </row>
    <row r="1258" spans="1:3" x14ac:dyDescent="0.25">
      <c r="A1258" t="s">
        <v>1369</v>
      </c>
      <c r="B1258">
        <v>1</v>
      </c>
      <c r="C1258">
        <v>0.01</v>
      </c>
    </row>
    <row r="1259" spans="1:3" x14ac:dyDescent="0.25">
      <c r="A1259" t="s">
        <v>1370</v>
      </c>
      <c r="B1259">
        <v>1</v>
      </c>
      <c r="C1259">
        <v>0.01</v>
      </c>
    </row>
    <row r="1260" spans="1:3" x14ac:dyDescent="0.25">
      <c r="A1260" t="s">
        <v>1372</v>
      </c>
      <c r="B1260">
        <v>1</v>
      </c>
      <c r="C1260">
        <v>0.01</v>
      </c>
    </row>
    <row r="1261" spans="1:3" x14ac:dyDescent="0.25">
      <c r="A1261" t="s">
        <v>1373</v>
      </c>
      <c r="B1261">
        <v>1</v>
      </c>
      <c r="C1261">
        <v>0.01</v>
      </c>
    </row>
    <row r="1262" spans="1:3" x14ac:dyDescent="0.25">
      <c r="A1262" t="s">
        <v>1374</v>
      </c>
      <c r="B1262">
        <v>1</v>
      </c>
      <c r="C1262">
        <v>0.01</v>
      </c>
    </row>
    <row r="1263" spans="1:3" x14ac:dyDescent="0.25">
      <c r="A1263" t="s">
        <v>1375</v>
      </c>
      <c r="B1263">
        <v>1</v>
      </c>
      <c r="C1263">
        <v>0.01</v>
      </c>
    </row>
    <row r="1264" spans="1:3" x14ac:dyDescent="0.25">
      <c r="A1264" t="s">
        <v>1376</v>
      </c>
      <c r="B1264">
        <v>1</v>
      </c>
      <c r="C1264">
        <v>0.01</v>
      </c>
    </row>
    <row r="1265" spans="1:3" x14ac:dyDescent="0.25">
      <c r="A1265" t="s">
        <v>1379</v>
      </c>
      <c r="B1265">
        <v>1</v>
      </c>
      <c r="C1265">
        <v>0.01</v>
      </c>
    </row>
    <row r="1266" spans="1:3" x14ac:dyDescent="0.25">
      <c r="A1266" t="s">
        <v>1380</v>
      </c>
      <c r="B1266">
        <v>1</v>
      </c>
      <c r="C1266">
        <v>0.01</v>
      </c>
    </row>
    <row r="1267" spans="1:3" x14ac:dyDescent="0.25">
      <c r="A1267" t="s">
        <v>1382</v>
      </c>
      <c r="B1267">
        <v>1</v>
      </c>
      <c r="C1267">
        <v>0.01</v>
      </c>
    </row>
    <row r="1268" spans="1:3" x14ac:dyDescent="0.25">
      <c r="A1268" t="s">
        <v>1384</v>
      </c>
      <c r="B1268">
        <v>1</v>
      </c>
      <c r="C1268">
        <v>0.01</v>
      </c>
    </row>
    <row r="1269" spans="1:3" x14ac:dyDescent="0.25">
      <c r="A1269" t="s">
        <v>1385</v>
      </c>
      <c r="B1269">
        <v>1</v>
      </c>
      <c r="C1269">
        <v>0.01</v>
      </c>
    </row>
    <row r="1270" spans="1:3" x14ac:dyDescent="0.25">
      <c r="A1270" t="s">
        <v>1391</v>
      </c>
      <c r="B1270">
        <v>1</v>
      </c>
      <c r="C1270">
        <v>0.01</v>
      </c>
    </row>
    <row r="1271" spans="1:3" x14ac:dyDescent="0.25">
      <c r="A1271" t="s">
        <v>1393</v>
      </c>
      <c r="B1271">
        <v>1</v>
      </c>
      <c r="C1271">
        <v>0.01</v>
      </c>
    </row>
    <row r="1272" spans="1:3" x14ac:dyDescent="0.25">
      <c r="A1272" t="s">
        <v>1394</v>
      </c>
      <c r="B1272">
        <v>1</v>
      </c>
      <c r="C1272">
        <v>0.01</v>
      </c>
    </row>
    <row r="1273" spans="1:3" x14ac:dyDescent="0.25">
      <c r="A1273" t="s">
        <v>1395</v>
      </c>
      <c r="B1273">
        <v>1</v>
      </c>
      <c r="C1273">
        <v>0.01</v>
      </c>
    </row>
    <row r="1274" spans="1:3" x14ac:dyDescent="0.25">
      <c r="A1274" t="s">
        <v>1396</v>
      </c>
      <c r="B1274">
        <v>1</v>
      </c>
      <c r="C1274">
        <v>0.01</v>
      </c>
    </row>
    <row r="1275" spans="1:3" x14ac:dyDescent="0.25">
      <c r="A1275" t="s">
        <v>1397</v>
      </c>
      <c r="B1275">
        <v>1</v>
      </c>
      <c r="C1275">
        <v>0.01</v>
      </c>
    </row>
    <row r="1276" spans="1:3" x14ac:dyDescent="0.25">
      <c r="A1276" t="s">
        <v>1399</v>
      </c>
      <c r="B1276">
        <v>1</v>
      </c>
      <c r="C1276">
        <v>0.01</v>
      </c>
    </row>
    <row r="1277" spans="1:3" x14ac:dyDescent="0.25">
      <c r="A1277" t="s">
        <v>1401</v>
      </c>
      <c r="B1277">
        <v>1</v>
      </c>
      <c r="C1277">
        <v>0.01</v>
      </c>
    </row>
    <row r="1278" spans="1:3" x14ac:dyDescent="0.25">
      <c r="A1278" t="s">
        <v>1402</v>
      </c>
      <c r="B1278">
        <v>1</v>
      </c>
      <c r="C1278">
        <v>0.01</v>
      </c>
    </row>
    <row r="1279" spans="1:3" x14ac:dyDescent="0.25">
      <c r="A1279" t="s">
        <v>1404</v>
      </c>
      <c r="B1279">
        <v>1</v>
      </c>
      <c r="C1279">
        <v>0.01</v>
      </c>
    </row>
    <row r="1280" spans="1:3" x14ac:dyDescent="0.25">
      <c r="A1280" t="s">
        <v>1405</v>
      </c>
      <c r="B1280">
        <v>1</v>
      </c>
      <c r="C1280">
        <v>0.01</v>
      </c>
    </row>
    <row r="1281" spans="1:3" x14ac:dyDescent="0.25">
      <c r="A1281" t="s">
        <v>1406</v>
      </c>
      <c r="B1281">
        <v>1</v>
      </c>
      <c r="C1281">
        <v>0.01</v>
      </c>
    </row>
    <row r="1282" spans="1:3" x14ac:dyDescent="0.25">
      <c r="A1282" t="s">
        <v>1407</v>
      </c>
      <c r="B1282">
        <v>1</v>
      </c>
      <c r="C1282">
        <v>0.01</v>
      </c>
    </row>
    <row r="1283" spans="1:3" x14ac:dyDescent="0.25">
      <c r="A1283" t="s">
        <v>1408</v>
      </c>
      <c r="B1283">
        <v>1</v>
      </c>
      <c r="C1283">
        <v>0.01</v>
      </c>
    </row>
    <row r="1284" spans="1:3" x14ac:dyDescent="0.25">
      <c r="A1284" t="s">
        <v>1409</v>
      </c>
      <c r="B1284">
        <v>1</v>
      </c>
      <c r="C1284">
        <v>0.01</v>
      </c>
    </row>
    <row r="1285" spans="1:3" x14ac:dyDescent="0.25">
      <c r="A1285" t="s">
        <v>1410</v>
      </c>
      <c r="B1285">
        <v>1</v>
      </c>
      <c r="C1285">
        <v>0.01</v>
      </c>
    </row>
    <row r="1286" spans="1:3" x14ac:dyDescent="0.25">
      <c r="A1286" t="s">
        <v>1411</v>
      </c>
      <c r="B1286">
        <v>1</v>
      </c>
      <c r="C1286">
        <v>0.01</v>
      </c>
    </row>
    <row r="1287" spans="1:3" x14ac:dyDescent="0.25">
      <c r="A1287" t="s">
        <v>1413</v>
      </c>
      <c r="B1287">
        <v>1</v>
      </c>
      <c r="C1287">
        <v>0.01</v>
      </c>
    </row>
    <row r="1288" spans="1:3" x14ac:dyDescent="0.25">
      <c r="A1288" t="s">
        <v>1414</v>
      </c>
      <c r="B1288">
        <v>1</v>
      </c>
      <c r="C1288">
        <v>0.01</v>
      </c>
    </row>
    <row r="1289" spans="1:3" x14ac:dyDescent="0.25">
      <c r="A1289" t="s">
        <v>1415</v>
      </c>
      <c r="B1289">
        <v>1</v>
      </c>
      <c r="C1289">
        <v>0.01</v>
      </c>
    </row>
    <row r="1290" spans="1:3" x14ac:dyDescent="0.25">
      <c r="A1290" t="s">
        <v>1417</v>
      </c>
      <c r="B1290">
        <v>1</v>
      </c>
      <c r="C1290">
        <v>0.01</v>
      </c>
    </row>
    <row r="1291" spans="1:3" x14ac:dyDescent="0.25">
      <c r="A1291" t="s">
        <v>1418</v>
      </c>
      <c r="B1291">
        <v>1</v>
      </c>
      <c r="C1291">
        <v>0.01</v>
      </c>
    </row>
    <row r="1292" spans="1:3" x14ac:dyDescent="0.25">
      <c r="A1292" t="s">
        <v>1420</v>
      </c>
      <c r="B1292">
        <v>1</v>
      </c>
      <c r="C1292">
        <v>0.01</v>
      </c>
    </row>
    <row r="1293" spans="1:3" x14ac:dyDescent="0.25">
      <c r="A1293" t="s">
        <v>1421</v>
      </c>
      <c r="B1293">
        <v>1</v>
      </c>
      <c r="C1293">
        <v>0.01</v>
      </c>
    </row>
    <row r="1294" spans="1:3" x14ac:dyDescent="0.25">
      <c r="A1294" t="s">
        <v>1422</v>
      </c>
      <c r="B1294">
        <v>1</v>
      </c>
      <c r="C1294">
        <v>0.01</v>
      </c>
    </row>
    <row r="1295" spans="1:3" x14ac:dyDescent="0.25">
      <c r="A1295" t="s">
        <v>1423</v>
      </c>
      <c r="B1295">
        <v>1</v>
      </c>
      <c r="C1295">
        <v>0.01</v>
      </c>
    </row>
    <row r="1296" spans="1:3" x14ac:dyDescent="0.25">
      <c r="A1296" t="s">
        <v>1424</v>
      </c>
      <c r="B1296">
        <v>1</v>
      </c>
      <c r="C1296">
        <v>0.01</v>
      </c>
    </row>
    <row r="1297" spans="1:3" x14ac:dyDescent="0.25">
      <c r="A1297" t="s">
        <v>1426</v>
      </c>
      <c r="B1297">
        <v>1</v>
      </c>
      <c r="C1297">
        <v>0.01</v>
      </c>
    </row>
    <row r="1298" spans="1:3" x14ac:dyDescent="0.25">
      <c r="A1298" t="s">
        <v>1427</v>
      </c>
      <c r="B1298">
        <v>1</v>
      </c>
      <c r="C1298">
        <v>0.01</v>
      </c>
    </row>
    <row r="1299" spans="1:3" x14ac:dyDescent="0.25">
      <c r="A1299" t="s">
        <v>1428</v>
      </c>
      <c r="B1299">
        <v>1</v>
      </c>
      <c r="C1299">
        <v>0.01</v>
      </c>
    </row>
    <row r="1300" spans="1:3" x14ac:dyDescent="0.25">
      <c r="A1300" t="s">
        <v>1429</v>
      </c>
      <c r="B1300">
        <v>1</v>
      </c>
      <c r="C1300">
        <v>0.01</v>
      </c>
    </row>
    <row r="1301" spans="1:3" x14ac:dyDescent="0.25">
      <c r="A1301" t="s">
        <v>1430</v>
      </c>
      <c r="B1301">
        <v>1</v>
      </c>
      <c r="C1301">
        <v>0.01</v>
      </c>
    </row>
    <row r="1302" spans="1:3" x14ac:dyDescent="0.25">
      <c r="A1302" t="s">
        <v>1431</v>
      </c>
      <c r="B1302">
        <v>1</v>
      </c>
      <c r="C1302">
        <v>0.01</v>
      </c>
    </row>
    <row r="1303" spans="1:3" x14ac:dyDescent="0.25">
      <c r="A1303" t="s">
        <v>1432</v>
      </c>
      <c r="B1303">
        <v>1</v>
      </c>
      <c r="C1303">
        <v>0.01</v>
      </c>
    </row>
    <row r="1304" spans="1:3" x14ac:dyDescent="0.25">
      <c r="A1304" t="s">
        <v>1433</v>
      </c>
      <c r="B1304">
        <v>1</v>
      </c>
      <c r="C1304">
        <v>0.01</v>
      </c>
    </row>
    <row r="1305" spans="1:3" x14ac:dyDescent="0.25">
      <c r="A1305" t="s">
        <v>1437</v>
      </c>
      <c r="B1305">
        <v>1</v>
      </c>
      <c r="C1305">
        <v>0.01</v>
      </c>
    </row>
    <row r="1306" spans="1:3" x14ac:dyDescent="0.25">
      <c r="A1306" t="s">
        <v>1439</v>
      </c>
      <c r="B1306">
        <v>1</v>
      </c>
      <c r="C1306">
        <v>0.01</v>
      </c>
    </row>
    <row r="1307" spans="1:3" x14ac:dyDescent="0.25">
      <c r="A1307" t="s">
        <v>1440</v>
      </c>
      <c r="B1307">
        <v>1</v>
      </c>
      <c r="C1307">
        <v>0.01</v>
      </c>
    </row>
    <row r="1308" spans="1:3" x14ac:dyDescent="0.25">
      <c r="A1308" t="s">
        <v>1441</v>
      </c>
      <c r="B1308">
        <v>1</v>
      </c>
      <c r="C1308">
        <v>0.01</v>
      </c>
    </row>
    <row r="1309" spans="1:3" x14ac:dyDescent="0.25">
      <c r="A1309" t="s">
        <v>1442</v>
      </c>
      <c r="B1309">
        <v>1</v>
      </c>
      <c r="C1309">
        <v>0.01</v>
      </c>
    </row>
    <row r="1310" spans="1:3" x14ac:dyDescent="0.25">
      <c r="A1310" t="s">
        <v>1443</v>
      </c>
      <c r="B1310">
        <v>1</v>
      </c>
      <c r="C1310">
        <v>0.01</v>
      </c>
    </row>
    <row r="1311" spans="1:3" x14ac:dyDescent="0.25">
      <c r="A1311" t="s">
        <v>1445</v>
      </c>
      <c r="B1311">
        <v>1</v>
      </c>
      <c r="C1311">
        <v>0.01</v>
      </c>
    </row>
    <row r="1312" spans="1:3" x14ac:dyDescent="0.25">
      <c r="A1312" t="s">
        <v>1447</v>
      </c>
      <c r="B1312">
        <v>1</v>
      </c>
      <c r="C1312">
        <v>0.01</v>
      </c>
    </row>
    <row r="1313" spans="1:3" x14ac:dyDescent="0.25">
      <c r="A1313" t="s">
        <v>1448</v>
      </c>
      <c r="B1313">
        <v>1</v>
      </c>
      <c r="C1313">
        <v>0.01</v>
      </c>
    </row>
    <row r="1314" spans="1:3" x14ac:dyDescent="0.25">
      <c r="A1314" t="s">
        <v>1449</v>
      </c>
      <c r="B1314">
        <v>1</v>
      </c>
      <c r="C1314">
        <v>0.01</v>
      </c>
    </row>
    <row r="1315" spans="1:3" x14ac:dyDescent="0.25">
      <c r="A1315" t="s">
        <v>1451</v>
      </c>
      <c r="B1315">
        <v>1</v>
      </c>
      <c r="C1315">
        <v>0.01</v>
      </c>
    </row>
    <row r="1316" spans="1:3" x14ac:dyDescent="0.25">
      <c r="A1316" t="s">
        <v>1452</v>
      </c>
      <c r="B1316">
        <v>1</v>
      </c>
      <c r="C1316">
        <v>0.01</v>
      </c>
    </row>
    <row r="1317" spans="1:3" x14ac:dyDescent="0.25">
      <c r="A1317" t="s">
        <v>1454</v>
      </c>
      <c r="B1317">
        <v>1</v>
      </c>
      <c r="C1317">
        <v>0.01</v>
      </c>
    </row>
    <row r="1318" spans="1:3" x14ac:dyDescent="0.25">
      <c r="A1318" t="s">
        <v>1456</v>
      </c>
      <c r="B1318">
        <v>1</v>
      </c>
      <c r="C1318">
        <v>0.01</v>
      </c>
    </row>
    <row r="1319" spans="1:3" x14ac:dyDescent="0.25">
      <c r="A1319" t="s">
        <v>1457</v>
      </c>
      <c r="B1319">
        <v>1</v>
      </c>
      <c r="C1319">
        <v>0.01</v>
      </c>
    </row>
    <row r="1320" spans="1:3" x14ac:dyDescent="0.25">
      <c r="A1320" t="s">
        <v>1458</v>
      </c>
      <c r="B1320">
        <v>1</v>
      </c>
      <c r="C1320">
        <v>0.01</v>
      </c>
    </row>
    <row r="1321" spans="1:3" x14ac:dyDescent="0.25">
      <c r="A1321" t="s">
        <v>1459</v>
      </c>
      <c r="B1321">
        <v>1</v>
      </c>
      <c r="C1321">
        <v>0.01</v>
      </c>
    </row>
    <row r="1322" spans="1:3" x14ac:dyDescent="0.25">
      <c r="A1322" t="s">
        <v>1461</v>
      </c>
      <c r="B1322">
        <v>1</v>
      </c>
      <c r="C1322">
        <v>0.01</v>
      </c>
    </row>
    <row r="1323" spans="1:3" x14ac:dyDescent="0.25">
      <c r="A1323" t="s">
        <v>1462</v>
      </c>
      <c r="B1323">
        <v>1</v>
      </c>
      <c r="C1323">
        <v>0.01</v>
      </c>
    </row>
    <row r="1324" spans="1:3" x14ac:dyDescent="0.25">
      <c r="A1324" t="s">
        <v>1464</v>
      </c>
      <c r="B1324">
        <v>1</v>
      </c>
      <c r="C1324">
        <v>0.01</v>
      </c>
    </row>
    <row r="1325" spans="1:3" x14ac:dyDescent="0.25">
      <c r="A1325" t="s">
        <v>1467</v>
      </c>
      <c r="B1325">
        <v>1</v>
      </c>
      <c r="C1325">
        <v>0.01</v>
      </c>
    </row>
    <row r="1326" spans="1:3" x14ac:dyDescent="0.25">
      <c r="A1326" t="s">
        <v>1468</v>
      </c>
      <c r="B1326">
        <v>1</v>
      </c>
      <c r="C1326">
        <v>0.01</v>
      </c>
    </row>
    <row r="1327" spans="1:3" x14ac:dyDescent="0.25">
      <c r="A1327" t="s">
        <v>1469</v>
      </c>
      <c r="B1327">
        <v>1</v>
      </c>
      <c r="C1327">
        <v>0.01</v>
      </c>
    </row>
    <row r="1328" spans="1:3" x14ac:dyDescent="0.25">
      <c r="A1328" t="s">
        <v>1470</v>
      </c>
      <c r="B1328">
        <v>1</v>
      </c>
      <c r="C1328">
        <v>0.01</v>
      </c>
    </row>
    <row r="1329" spans="1:3" x14ac:dyDescent="0.25">
      <c r="A1329" t="s">
        <v>1472</v>
      </c>
      <c r="B1329">
        <v>1</v>
      </c>
      <c r="C1329">
        <v>0.01</v>
      </c>
    </row>
    <row r="1330" spans="1:3" x14ac:dyDescent="0.25">
      <c r="A1330" t="s">
        <v>1473</v>
      </c>
      <c r="B1330">
        <v>1</v>
      </c>
      <c r="C1330">
        <v>0.01</v>
      </c>
    </row>
    <row r="1331" spans="1:3" x14ac:dyDescent="0.25">
      <c r="A1331" t="s">
        <v>1475</v>
      </c>
      <c r="B1331">
        <v>1</v>
      </c>
      <c r="C1331">
        <v>0.01</v>
      </c>
    </row>
    <row r="1332" spans="1:3" x14ac:dyDescent="0.25">
      <c r="A1332" t="s">
        <v>1476</v>
      </c>
      <c r="B1332">
        <v>1</v>
      </c>
      <c r="C1332">
        <v>0.01</v>
      </c>
    </row>
    <row r="1333" spans="1:3" x14ac:dyDescent="0.25">
      <c r="A1333" t="s">
        <v>1477</v>
      </c>
      <c r="B1333">
        <v>1</v>
      </c>
      <c r="C1333">
        <v>0.01</v>
      </c>
    </row>
    <row r="1334" spans="1:3" x14ac:dyDescent="0.25">
      <c r="A1334" t="s">
        <v>1479</v>
      </c>
      <c r="B1334">
        <v>1</v>
      </c>
      <c r="C1334">
        <v>0.01</v>
      </c>
    </row>
    <row r="1335" spans="1:3" x14ac:dyDescent="0.25">
      <c r="A1335" t="s">
        <v>1480</v>
      </c>
      <c r="B1335">
        <v>1</v>
      </c>
      <c r="C1335">
        <v>0.01</v>
      </c>
    </row>
    <row r="1336" spans="1:3" x14ac:dyDescent="0.25">
      <c r="A1336" t="s">
        <v>1482</v>
      </c>
      <c r="B1336">
        <v>1</v>
      </c>
      <c r="C1336">
        <v>0.01</v>
      </c>
    </row>
    <row r="1337" spans="1:3" x14ac:dyDescent="0.25">
      <c r="A1337" t="s">
        <v>1483</v>
      </c>
      <c r="B1337">
        <v>1</v>
      </c>
      <c r="C1337">
        <v>0.01</v>
      </c>
    </row>
    <row r="1338" spans="1:3" x14ac:dyDescent="0.25">
      <c r="A1338" t="s">
        <v>1486</v>
      </c>
      <c r="B1338">
        <v>1</v>
      </c>
      <c r="C1338">
        <v>0.01</v>
      </c>
    </row>
    <row r="1339" spans="1:3" x14ac:dyDescent="0.25">
      <c r="A1339" t="s">
        <v>1487</v>
      </c>
      <c r="B1339">
        <v>1</v>
      </c>
      <c r="C1339">
        <v>0.01</v>
      </c>
    </row>
    <row r="1340" spans="1:3" x14ac:dyDescent="0.25">
      <c r="A1340" t="s">
        <v>1488</v>
      </c>
      <c r="B1340">
        <v>1</v>
      </c>
      <c r="C1340">
        <v>0.01</v>
      </c>
    </row>
    <row r="1341" spans="1:3" x14ac:dyDescent="0.25">
      <c r="A1341" t="s">
        <v>1491</v>
      </c>
      <c r="B1341">
        <v>1</v>
      </c>
      <c r="C1341">
        <v>0.01</v>
      </c>
    </row>
    <row r="1342" spans="1:3" x14ac:dyDescent="0.25">
      <c r="A1342" t="s">
        <v>1494</v>
      </c>
      <c r="B1342">
        <v>1</v>
      </c>
      <c r="C1342">
        <v>0.01</v>
      </c>
    </row>
    <row r="1343" spans="1:3" x14ac:dyDescent="0.25">
      <c r="A1343" t="s">
        <v>1496</v>
      </c>
      <c r="B1343">
        <v>1</v>
      </c>
      <c r="C1343">
        <v>0.01</v>
      </c>
    </row>
    <row r="1344" spans="1:3" x14ac:dyDescent="0.25">
      <c r="A1344" t="s">
        <v>1497</v>
      </c>
      <c r="B1344">
        <v>1</v>
      </c>
      <c r="C1344">
        <v>0.01</v>
      </c>
    </row>
    <row r="1345" spans="1:3" x14ac:dyDescent="0.25">
      <c r="A1345" t="s">
        <v>1498</v>
      </c>
      <c r="B1345">
        <v>1</v>
      </c>
      <c r="C1345">
        <v>0.01</v>
      </c>
    </row>
    <row r="1346" spans="1:3" x14ac:dyDescent="0.25">
      <c r="A1346" t="s">
        <v>1499</v>
      </c>
      <c r="B1346">
        <v>1</v>
      </c>
      <c r="C1346">
        <v>0.01</v>
      </c>
    </row>
    <row r="1347" spans="1:3" x14ac:dyDescent="0.25">
      <c r="A1347" t="s">
        <v>1500</v>
      </c>
      <c r="B1347">
        <v>1</v>
      </c>
      <c r="C1347">
        <v>0.01</v>
      </c>
    </row>
    <row r="1348" spans="1:3" x14ac:dyDescent="0.25">
      <c r="A1348" t="s">
        <v>1501</v>
      </c>
      <c r="B1348">
        <v>1</v>
      </c>
      <c r="C1348">
        <v>0.01</v>
      </c>
    </row>
    <row r="1349" spans="1:3" x14ac:dyDescent="0.25">
      <c r="A1349" t="s">
        <v>1502</v>
      </c>
      <c r="B1349">
        <v>1</v>
      </c>
      <c r="C1349">
        <v>0.01</v>
      </c>
    </row>
    <row r="1350" spans="1:3" x14ac:dyDescent="0.25">
      <c r="A1350" t="s">
        <v>1503</v>
      </c>
      <c r="B1350">
        <v>1</v>
      </c>
      <c r="C1350">
        <v>0.01</v>
      </c>
    </row>
    <row r="1351" spans="1:3" x14ac:dyDescent="0.25">
      <c r="A1351" t="s">
        <v>1504</v>
      </c>
      <c r="B1351">
        <v>1</v>
      </c>
      <c r="C1351">
        <v>0.01</v>
      </c>
    </row>
    <row r="1352" spans="1:3" x14ac:dyDescent="0.25">
      <c r="A1352" t="s">
        <v>1505</v>
      </c>
      <c r="B1352">
        <v>1</v>
      </c>
      <c r="C1352">
        <v>0.01</v>
      </c>
    </row>
    <row r="1353" spans="1:3" x14ac:dyDescent="0.25">
      <c r="A1353" t="s">
        <v>1506</v>
      </c>
      <c r="B1353">
        <v>1</v>
      </c>
      <c r="C1353">
        <v>0.01</v>
      </c>
    </row>
    <row r="1354" spans="1:3" x14ac:dyDescent="0.25">
      <c r="A1354" t="s">
        <v>1507</v>
      </c>
      <c r="B1354">
        <v>1</v>
      </c>
      <c r="C1354">
        <v>0.01</v>
      </c>
    </row>
    <row r="1355" spans="1:3" x14ac:dyDescent="0.25">
      <c r="A1355" t="s">
        <v>1509</v>
      </c>
      <c r="B1355">
        <v>1</v>
      </c>
      <c r="C1355">
        <v>0.01</v>
      </c>
    </row>
    <row r="1356" spans="1:3" x14ac:dyDescent="0.25">
      <c r="A1356" t="s">
        <v>1510</v>
      </c>
      <c r="B1356">
        <v>1</v>
      </c>
      <c r="C1356">
        <v>0.01</v>
      </c>
    </row>
    <row r="1357" spans="1:3" x14ac:dyDescent="0.25">
      <c r="A1357" t="s">
        <v>1511</v>
      </c>
      <c r="B1357">
        <v>1</v>
      </c>
      <c r="C1357">
        <v>0.01</v>
      </c>
    </row>
    <row r="1358" spans="1:3" x14ac:dyDescent="0.25">
      <c r="A1358" t="s">
        <v>1512</v>
      </c>
      <c r="B1358">
        <v>1</v>
      </c>
      <c r="C1358">
        <v>0.01</v>
      </c>
    </row>
    <row r="1359" spans="1:3" x14ac:dyDescent="0.25">
      <c r="A1359" t="s">
        <v>1513</v>
      </c>
      <c r="B1359">
        <v>1</v>
      </c>
      <c r="C1359">
        <v>0.01</v>
      </c>
    </row>
    <row r="1360" spans="1:3" x14ac:dyDescent="0.25">
      <c r="A1360" t="s">
        <v>1514</v>
      </c>
      <c r="B1360">
        <v>1</v>
      </c>
      <c r="C1360">
        <v>0.01</v>
      </c>
    </row>
    <row r="1361" spans="1:3" x14ac:dyDescent="0.25">
      <c r="A1361" t="s">
        <v>1515</v>
      </c>
      <c r="B1361">
        <v>1</v>
      </c>
      <c r="C1361">
        <v>0.01</v>
      </c>
    </row>
    <row r="1362" spans="1:3" x14ac:dyDescent="0.25">
      <c r="A1362" t="s">
        <v>1516</v>
      </c>
      <c r="B1362">
        <v>1</v>
      </c>
      <c r="C1362">
        <v>0.01</v>
      </c>
    </row>
    <row r="1363" spans="1:3" x14ac:dyDescent="0.25">
      <c r="A1363" t="s">
        <v>1517</v>
      </c>
      <c r="B1363">
        <v>1</v>
      </c>
      <c r="C1363">
        <v>0.01</v>
      </c>
    </row>
    <row r="1364" spans="1:3" x14ac:dyDescent="0.25">
      <c r="A1364" t="s">
        <v>1518</v>
      </c>
      <c r="B1364">
        <v>1</v>
      </c>
      <c r="C1364">
        <v>0.01</v>
      </c>
    </row>
    <row r="1365" spans="1:3" x14ac:dyDescent="0.25">
      <c r="A1365" t="s">
        <v>1519</v>
      </c>
      <c r="B1365">
        <v>1</v>
      </c>
      <c r="C1365">
        <v>0.01</v>
      </c>
    </row>
    <row r="1366" spans="1:3" x14ac:dyDescent="0.25">
      <c r="A1366" t="s">
        <v>1520</v>
      </c>
      <c r="B1366">
        <v>1</v>
      </c>
      <c r="C1366">
        <v>0.01</v>
      </c>
    </row>
    <row r="1367" spans="1:3" x14ac:dyDescent="0.25">
      <c r="A1367" t="s">
        <v>1521</v>
      </c>
      <c r="B1367">
        <v>1</v>
      </c>
      <c r="C1367">
        <v>0.01</v>
      </c>
    </row>
    <row r="1368" spans="1:3" x14ac:dyDescent="0.25">
      <c r="A1368" t="s">
        <v>1522</v>
      </c>
      <c r="B1368">
        <v>1</v>
      </c>
      <c r="C1368">
        <v>0.01</v>
      </c>
    </row>
    <row r="1369" spans="1:3" x14ac:dyDescent="0.25">
      <c r="A1369" t="s">
        <v>1523</v>
      </c>
      <c r="B1369">
        <v>1</v>
      </c>
      <c r="C1369">
        <v>0.01</v>
      </c>
    </row>
    <row r="1370" spans="1:3" x14ac:dyDescent="0.25">
      <c r="A1370" t="s">
        <v>1524</v>
      </c>
      <c r="B1370">
        <v>1</v>
      </c>
      <c r="C1370">
        <v>0.01</v>
      </c>
    </row>
    <row r="1371" spans="1:3" x14ac:dyDescent="0.25">
      <c r="A1371" t="s">
        <v>1525</v>
      </c>
      <c r="B1371">
        <v>1</v>
      </c>
      <c r="C1371">
        <v>0.01</v>
      </c>
    </row>
    <row r="1372" spans="1:3" x14ac:dyDescent="0.25">
      <c r="A1372" t="s">
        <v>1526</v>
      </c>
      <c r="B1372">
        <v>1</v>
      </c>
      <c r="C1372">
        <v>0.01</v>
      </c>
    </row>
    <row r="1373" spans="1:3" x14ac:dyDescent="0.25">
      <c r="A1373" t="s">
        <v>1527</v>
      </c>
      <c r="B1373">
        <v>1</v>
      </c>
      <c r="C1373">
        <v>0.01</v>
      </c>
    </row>
    <row r="1374" spans="1:3" x14ac:dyDescent="0.25">
      <c r="A1374" t="s">
        <v>1528</v>
      </c>
      <c r="B1374">
        <v>1</v>
      </c>
      <c r="C1374">
        <v>0.01</v>
      </c>
    </row>
    <row r="1375" spans="1:3" x14ac:dyDescent="0.25">
      <c r="A1375" t="s">
        <v>1530</v>
      </c>
      <c r="B1375">
        <v>1</v>
      </c>
      <c r="C1375">
        <v>0.01</v>
      </c>
    </row>
  </sheetData>
  <sortState ref="A2:C1375">
    <sortCondition descending="1" ref="B2:B137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"/>
  <sheetViews>
    <sheetView workbookViewId="0">
      <selection activeCell="K142" sqref="A73:K142"/>
    </sheetView>
  </sheetViews>
  <sheetFormatPr defaultRowHeight="15" x14ac:dyDescent="0.25"/>
  <sheetData>
    <row r="1" spans="1:16" x14ac:dyDescent="0.25">
      <c r="A1" t="s">
        <v>1611</v>
      </c>
      <c r="B1" t="s">
        <v>119</v>
      </c>
      <c r="C1" t="s">
        <v>120</v>
      </c>
      <c r="D1" t="s">
        <v>1681</v>
      </c>
      <c r="E1" t="s">
        <v>1682</v>
      </c>
      <c r="F1" t="s">
        <v>71</v>
      </c>
      <c r="G1" t="s">
        <v>123</v>
      </c>
      <c r="H1" t="s">
        <v>79</v>
      </c>
      <c r="I1" t="s">
        <v>92</v>
      </c>
      <c r="J1" t="s">
        <v>1683</v>
      </c>
      <c r="K1" t="s">
        <v>100</v>
      </c>
      <c r="L1" t="s">
        <v>57</v>
      </c>
    </row>
    <row r="2" spans="1:16" x14ac:dyDescent="0.25">
      <c r="A2">
        <v>0</v>
      </c>
      <c r="B2">
        <v>7</v>
      </c>
      <c r="C2">
        <v>6</v>
      </c>
      <c r="D2">
        <v>8</v>
      </c>
      <c r="E2">
        <v>4</v>
      </c>
      <c r="F2">
        <v>151</v>
      </c>
      <c r="G2">
        <v>2</v>
      </c>
      <c r="H2">
        <v>48</v>
      </c>
      <c r="I2">
        <v>16</v>
      </c>
      <c r="J2">
        <v>14</v>
      </c>
      <c r="K2">
        <v>3</v>
      </c>
      <c r="L2">
        <v>259</v>
      </c>
      <c r="P2" t="s">
        <v>1625</v>
      </c>
    </row>
    <row r="3" spans="1:16" x14ac:dyDescent="0.25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P3" s="6" t="s">
        <v>1612</v>
      </c>
    </row>
    <row r="4" spans="1:16" x14ac:dyDescent="0.25">
      <c r="A4">
        <v>3</v>
      </c>
      <c r="B4">
        <v>23</v>
      </c>
      <c r="C4">
        <v>3</v>
      </c>
      <c r="D4">
        <v>10</v>
      </c>
      <c r="E4">
        <v>0</v>
      </c>
      <c r="F4">
        <v>171</v>
      </c>
      <c r="G4">
        <v>3</v>
      </c>
      <c r="H4">
        <v>19</v>
      </c>
      <c r="I4">
        <v>37</v>
      </c>
      <c r="J4">
        <v>5</v>
      </c>
      <c r="K4">
        <v>8</v>
      </c>
      <c r="L4">
        <v>279</v>
      </c>
      <c r="P4" t="s">
        <v>1613</v>
      </c>
    </row>
    <row r="5" spans="1:16" x14ac:dyDescent="0.25">
      <c r="A5">
        <v>4</v>
      </c>
      <c r="B5">
        <v>1</v>
      </c>
      <c r="C5">
        <v>0</v>
      </c>
      <c r="D5">
        <v>0</v>
      </c>
      <c r="E5">
        <v>0</v>
      </c>
      <c r="F5">
        <v>9</v>
      </c>
      <c r="G5">
        <v>0</v>
      </c>
      <c r="H5">
        <v>0</v>
      </c>
      <c r="I5">
        <v>1</v>
      </c>
      <c r="J5">
        <v>0</v>
      </c>
      <c r="K5">
        <v>0</v>
      </c>
      <c r="L5">
        <v>11</v>
      </c>
      <c r="P5" t="s">
        <v>1614</v>
      </c>
    </row>
    <row r="6" spans="1:16" x14ac:dyDescent="0.25">
      <c r="A6">
        <v>6</v>
      </c>
      <c r="B6">
        <v>4</v>
      </c>
      <c r="C6">
        <v>1</v>
      </c>
      <c r="D6">
        <v>2</v>
      </c>
      <c r="E6">
        <v>0</v>
      </c>
      <c r="F6">
        <v>42</v>
      </c>
      <c r="G6">
        <v>0</v>
      </c>
      <c r="H6">
        <v>19</v>
      </c>
      <c r="I6">
        <v>12</v>
      </c>
      <c r="J6">
        <v>0</v>
      </c>
      <c r="K6">
        <v>1</v>
      </c>
      <c r="L6">
        <v>81</v>
      </c>
      <c r="P6" t="s">
        <v>1615</v>
      </c>
    </row>
    <row r="7" spans="1:16" x14ac:dyDescent="0.25">
      <c r="A7">
        <v>10</v>
      </c>
      <c r="B7">
        <v>1</v>
      </c>
      <c r="C7">
        <v>1</v>
      </c>
      <c r="D7">
        <v>0</v>
      </c>
      <c r="E7">
        <v>0</v>
      </c>
      <c r="F7">
        <v>10</v>
      </c>
      <c r="G7">
        <v>0</v>
      </c>
      <c r="H7">
        <v>7</v>
      </c>
      <c r="I7">
        <v>3</v>
      </c>
      <c r="J7">
        <v>0</v>
      </c>
      <c r="K7">
        <v>0</v>
      </c>
      <c r="L7">
        <v>22</v>
      </c>
      <c r="P7" t="s">
        <v>1624</v>
      </c>
    </row>
    <row r="8" spans="1:16" x14ac:dyDescent="0.25">
      <c r="A8">
        <v>11</v>
      </c>
      <c r="B8">
        <v>4</v>
      </c>
      <c r="C8">
        <v>0</v>
      </c>
      <c r="D8">
        <v>3</v>
      </c>
      <c r="E8">
        <v>0</v>
      </c>
      <c r="F8">
        <v>22</v>
      </c>
      <c r="G8">
        <v>0</v>
      </c>
      <c r="H8">
        <v>4</v>
      </c>
      <c r="I8">
        <v>4</v>
      </c>
      <c r="J8">
        <v>5</v>
      </c>
      <c r="K8">
        <v>0</v>
      </c>
      <c r="L8">
        <v>42</v>
      </c>
      <c r="P8" t="s">
        <v>1616</v>
      </c>
    </row>
    <row r="9" spans="1:16" x14ac:dyDescent="0.25">
      <c r="A9">
        <v>12</v>
      </c>
      <c r="B9">
        <v>2</v>
      </c>
      <c r="C9">
        <v>0</v>
      </c>
      <c r="D9">
        <v>2</v>
      </c>
      <c r="E9">
        <v>0</v>
      </c>
      <c r="F9">
        <v>6</v>
      </c>
      <c r="G9">
        <v>0</v>
      </c>
      <c r="H9">
        <v>1</v>
      </c>
      <c r="I9">
        <v>0</v>
      </c>
      <c r="J9">
        <v>0</v>
      </c>
      <c r="K9">
        <v>2</v>
      </c>
      <c r="L9">
        <v>13</v>
      </c>
      <c r="P9" t="s">
        <v>1617</v>
      </c>
    </row>
    <row r="10" spans="1:16" x14ac:dyDescent="0.25">
      <c r="A10">
        <v>13</v>
      </c>
      <c r="B10">
        <v>2</v>
      </c>
      <c r="C10">
        <v>1</v>
      </c>
      <c r="D10">
        <v>1</v>
      </c>
      <c r="E10">
        <v>2</v>
      </c>
      <c r="F10">
        <v>26</v>
      </c>
      <c r="G10">
        <v>0</v>
      </c>
      <c r="H10">
        <v>15</v>
      </c>
      <c r="I10">
        <v>3</v>
      </c>
      <c r="J10">
        <v>0</v>
      </c>
      <c r="K10">
        <v>0</v>
      </c>
      <c r="L10">
        <v>50</v>
      </c>
      <c r="P10" t="s">
        <v>1618</v>
      </c>
    </row>
    <row r="11" spans="1:16" x14ac:dyDescent="0.25">
      <c r="A11">
        <v>15</v>
      </c>
      <c r="B11">
        <v>1</v>
      </c>
      <c r="C11">
        <v>0</v>
      </c>
      <c r="D11">
        <v>0</v>
      </c>
      <c r="E11">
        <v>0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10</v>
      </c>
      <c r="P11" t="s">
        <v>1619</v>
      </c>
    </row>
    <row r="12" spans="1:16" x14ac:dyDescent="0.25">
      <c r="A12">
        <v>16</v>
      </c>
      <c r="B12">
        <v>4</v>
      </c>
      <c r="C12">
        <v>0</v>
      </c>
      <c r="D12">
        <v>1</v>
      </c>
      <c r="E12">
        <v>1</v>
      </c>
      <c r="F12">
        <v>19</v>
      </c>
      <c r="G12">
        <v>0</v>
      </c>
      <c r="H12">
        <v>1</v>
      </c>
      <c r="I12">
        <v>0</v>
      </c>
      <c r="J12">
        <v>0</v>
      </c>
      <c r="K12">
        <v>0</v>
      </c>
      <c r="L12">
        <v>26</v>
      </c>
      <c r="P12" t="s">
        <v>1620</v>
      </c>
    </row>
    <row r="13" spans="1:16" x14ac:dyDescent="0.25">
      <c r="A13">
        <v>17</v>
      </c>
      <c r="B13">
        <v>0</v>
      </c>
      <c r="C13">
        <v>2</v>
      </c>
      <c r="D13">
        <v>2</v>
      </c>
      <c r="E13">
        <v>0</v>
      </c>
      <c r="F13">
        <v>61</v>
      </c>
      <c r="G13">
        <v>1</v>
      </c>
      <c r="H13">
        <v>5</v>
      </c>
      <c r="I13">
        <v>2</v>
      </c>
      <c r="J13">
        <v>0</v>
      </c>
      <c r="K13">
        <v>0</v>
      </c>
      <c r="L13">
        <v>73</v>
      </c>
      <c r="P13" t="s">
        <v>1621</v>
      </c>
    </row>
    <row r="14" spans="1:16" x14ac:dyDescent="0.25">
      <c r="A14">
        <v>18</v>
      </c>
      <c r="B14">
        <v>0</v>
      </c>
      <c r="C14">
        <v>0</v>
      </c>
      <c r="D14">
        <v>2</v>
      </c>
      <c r="E14">
        <v>0</v>
      </c>
      <c r="F14">
        <v>19</v>
      </c>
      <c r="G14">
        <v>0</v>
      </c>
      <c r="H14">
        <v>0</v>
      </c>
      <c r="I14">
        <v>3</v>
      </c>
      <c r="J14">
        <v>1</v>
      </c>
      <c r="K14">
        <v>1</v>
      </c>
      <c r="L14">
        <v>26</v>
      </c>
      <c r="P14" t="s">
        <v>1622</v>
      </c>
    </row>
    <row r="15" spans="1:16" x14ac:dyDescent="0.25">
      <c r="A15">
        <v>19</v>
      </c>
      <c r="B15">
        <v>0</v>
      </c>
      <c r="C15">
        <v>0</v>
      </c>
      <c r="D15">
        <v>0</v>
      </c>
      <c r="E15">
        <v>0</v>
      </c>
      <c r="F15">
        <v>4</v>
      </c>
      <c r="G15">
        <v>1</v>
      </c>
      <c r="H15">
        <v>0</v>
      </c>
      <c r="I15">
        <v>0</v>
      </c>
      <c r="J15">
        <v>0</v>
      </c>
      <c r="K15">
        <v>0</v>
      </c>
      <c r="L15">
        <v>5</v>
      </c>
      <c r="P15" t="s">
        <v>1623</v>
      </c>
    </row>
    <row r="16" spans="1:16" x14ac:dyDescent="0.25">
      <c r="A16">
        <v>21</v>
      </c>
      <c r="B16">
        <v>0</v>
      </c>
      <c r="C16">
        <v>1</v>
      </c>
      <c r="D16">
        <v>2</v>
      </c>
      <c r="E16">
        <v>0</v>
      </c>
      <c r="F16">
        <v>10</v>
      </c>
      <c r="G16">
        <v>0</v>
      </c>
      <c r="H16">
        <v>4</v>
      </c>
      <c r="I16">
        <v>3</v>
      </c>
      <c r="J16">
        <v>0</v>
      </c>
      <c r="K16">
        <v>0</v>
      </c>
      <c r="L16">
        <v>20</v>
      </c>
      <c r="P16" t="s">
        <v>1626</v>
      </c>
    </row>
    <row r="17" spans="1:16" x14ac:dyDescent="0.25">
      <c r="A17">
        <v>22</v>
      </c>
      <c r="B17">
        <v>1</v>
      </c>
      <c r="C17">
        <v>0</v>
      </c>
      <c r="D17">
        <v>0</v>
      </c>
      <c r="E17">
        <v>0</v>
      </c>
      <c r="F17">
        <v>34</v>
      </c>
      <c r="G17">
        <v>0</v>
      </c>
      <c r="H17">
        <v>4</v>
      </c>
      <c r="I17">
        <v>7</v>
      </c>
      <c r="J17">
        <v>3</v>
      </c>
      <c r="K17">
        <v>1</v>
      </c>
      <c r="L17">
        <v>50</v>
      </c>
      <c r="P17" t="s">
        <v>1627</v>
      </c>
    </row>
    <row r="18" spans="1:16" x14ac:dyDescent="0.25">
      <c r="A18">
        <v>30</v>
      </c>
      <c r="B18">
        <v>53</v>
      </c>
      <c r="C18">
        <v>7</v>
      </c>
      <c r="D18">
        <v>20</v>
      </c>
      <c r="E18">
        <v>4</v>
      </c>
      <c r="F18">
        <v>490</v>
      </c>
      <c r="G18">
        <v>2</v>
      </c>
      <c r="H18">
        <v>116</v>
      </c>
      <c r="I18">
        <v>65</v>
      </c>
      <c r="J18">
        <v>45</v>
      </c>
      <c r="K18">
        <v>10</v>
      </c>
      <c r="L18">
        <v>812</v>
      </c>
      <c r="P18" t="s">
        <v>1628</v>
      </c>
    </row>
    <row r="19" spans="1:16" x14ac:dyDescent="0.25">
      <c r="A19">
        <v>31</v>
      </c>
      <c r="B19">
        <v>2</v>
      </c>
      <c r="C19">
        <v>0</v>
      </c>
      <c r="D19">
        <v>1</v>
      </c>
      <c r="E19">
        <v>0</v>
      </c>
      <c r="F19">
        <v>3</v>
      </c>
      <c r="G19">
        <v>0</v>
      </c>
      <c r="H19">
        <v>0</v>
      </c>
      <c r="I19">
        <v>2</v>
      </c>
      <c r="J19">
        <v>1</v>
      </c>
      <c r="K19">
        <v>0</v>
      </c>
      <c r="L19">
        <v>9</v>
      </c>
      <c r="P19" t="s">
        <v>1629</v>
      </c>
    </row>
    <row r="20" spans="1:16" x14ac:dyDescent="0.25">
      <c r="A20">
        <v>32</v>
      </c>
      <c r="B20">
        <v>2</v>
      </c>
      <c r="C20">
        <v>0</v>
      </c>
      <c r="D20">
        <v>0</v>
      </c>
      <c r="E20">
        <v>1</v>
      </c>
      <c r="F20">
        <v>12</v>
      </c>
      <c r="G20">
        <v>0</v>
      </c>
      <c r="H20">
        <v>3</v>
      </c>
      <c r="I20">
        <v>1</v>
      </c>
      <c r="J20">
        <v>0</v>
      </c>
      <c r="K20">
        <v>0</v>
      </c>
      <c r="L20">
        <v>19</v>
      </c>
      <c r="P20" t="s">
        <v>1630</v>
      </c>
    </row>
    <row r="21" spans="1:16" x14ac:dyDescent="0.25">
      <c r="A21">
        <v>33</v>
      </c>
      <c r="B21">
        <v>13</v>
      </c>
      <c r="C21">
        <v>0</v>
      </c>
      <c r="D21">
        <v>1</v>
      </c>
      <c r="E21">
        <v>0</v>
      </c>
      <c r="F21">
        <v>19</v>
      </c>
      <c r="G21">
        <v>1</v>
      </c>
      <c r="H21">
        <v>10</v>
      </c>
      <c r="I21">
        <v>6</v>
      </c>
      <c r="J21">
        <v>0</v>
      </c>
      <c r="K21">
        <v>1</v>
      </c>
      <c r="L21">
        <v>51</v>
      </c>
      <c r="P21" t="s">
        <v>1631</v>
      </c>
    </row>
    <row r="22" spans="1:16" x14ac:dyDescent="0.25">
      <c r="A22">
        <v>36</v>
      </c>
      <c r="B22">
        <v>5</v>
      </c>
      <c r="C22">
        <v>0</v>
      </c>
      <c r="D22">
        <v>0</v>
      </c>
      <c r="E22">
        <v>7</v>
      </c>
      <c r="F22">
        <v>42</v>
      </c>
      <c r="G22">
        <v>0</v>
      </c>
      <c r="H22">
        <v>8</v>
      </c>
      <c r="I22">
        <v>12</v>
      </c>
      <c r="J22">
        <v>9</v>
      </c>
      <c r="K22">
        <v>2</v>
      </c>
      <c r="L22">
        <v>85</v>
      </c>
      <c r="P22" t="s">
        <v>1632</v>
      </c>
    </row>
    <row r="23" spans="1:16" x14ac:dyDescent="0.25">
      <c r="A23">
        <v>37</v>
      </c>
      <c r="B23">
        <v>1</v>
      </c>
      <c r="C23">
        <v>0</v>
      </c>
      <c r="D23">
        <v>0</v>
      </c>
      <c r="E23">
        <v>0</v>
      </c>
      <c r="F23">
        <v>13</v>
      </c>
      <c r="G23">
        <v>0</v>
      </c>
      <c r="H23">
        <v>5</v>
      </c>
      <c r="I23">
        <v>6</v>
      </c>
      <c r="J23">
        <v>0</v>
      </c>
      <c r="K23">
        <v>0</v>
      </c>
      <c r="L23">
        <v>25</v>
      </c>
      <c r="P23" t="s">
        <v>1633</v>
      </c>
    </row>
    <row r="24" spans="1:16" x14ac:dyDescent="0.25">
      <c r="A24">
        <v>38</v>
      </c>
      <c r="B24">
        <v>4</v>
      </c>
      <c r="C24">
        <v>1</v>
      </c>
      <c r="D24">
        <v>7</v>
      </c>
      <c r="E24">
        <v>4</v>
      </c>
      <c r="F24">
        <v>20</v>
      </c>
      <c r="G24">
        <v>1</v>
      </c>
      <c r="H24">
        <v>5</v>
      </c>
      <c r="I24">
        <v>8</v>
      </c>
      <c r="J24">
        <v>3</v>
      </c>
      <c r="K24">
        <v>0</v>
      </c>
      <c r="L24">
        <v>53</v>
      </c>
      <c r="P24" t="s">
        <v>1634</v>
      </c>
    </row>
    <row r="25" spans="1:16" x14ac:dyDescent="0.25">
      <c r="A25">
        <v>39</v>
      </c>
      <c r="B25">
        <v>1</v>
      </c>
      <c r="C25">
        <v>0</v>
      </c>
      <c r="D25">
        <v>2</v>
      </c>
      <c r="E25">
        <v>1</v>
      </c>
      <c r="F25">
        <v>31</v>
      </c>
      <c r="G25">
        <v>0</v>
      </c>
      <c r="H25">
        <v>8</v>
      </c>
      <c r="I25">
        <v>16</v>
      </c>
      <c r="J25">
        <v>0</v>
      </c>
      <c r="K25">
        <v>2</v>
      </c>
      <c r="L25">
        <v>61</v>
      </c>
      <c r="P25" t="s">
        <v>1635</v>
      </c>
    </row>
    <row r="26" spans="1:16" x14ac:dyDescent="0.25">
      <c r="A26">
        <v>41</v>
      </c>
      <c r="B26">
        <v>11</v>
      </c>
      <c r="C26">
        <v>1</v>
      </c>
      <c r="D26">
        <v>6</v>
      </c>
      <c r="E26">
        <v>1</v>
      </c>
      <c r="F26">
        <v>254</v>
      </c>
      <c r="G26">
        <v>0</v>
      </c>
      <c r="H26">
        <v>43</v>
      </c>
      <c r="I26">
        <v>58</v>
      </c>
      <c r="J26">
        <v>11</v>
      </c>
      <c r="K26">
        <v>8</v>
      </c>
      <c r="L26">
        <v>393</v>
      </c>
      <c r="P26" t="s">
        <v>1636</v>
      </c>
    </row>
    <row r="27" spans="1:16" x14ac:dyDescent="0.25">
      <c r="A27">
        <v>42</v>
      </c>
      <c r="B27">
        <v>0</v>
      </c>
      <c r="C27">
        <v>0</v>
      </c>
      <c r="D27">
        <v>0</v>
      </c>
      <c r="E27">
        <v>0</v>
      </c>
      <c r="F27">
        <v>2</v>
      </c>
      <c r="G27">
        <v>0</v>
      </c>
      <c r="H27">
        <v>0</v>
      </c>
      <c r="I27">
        <v>1</v>
      </c>
      <c r="J27">
        <v>0</v>
      </c>
      <c r="K27">
        <v>0</v>
      </c>
      <c r="L27">
        <v>3</v>
      </c>
      <c r="P27" t="s">
        <v>1637</v>
      </c>
    </row>
    <row r="28" spans="1:16" x14ac:dyDescent="0.25">
      <c r="A28">
        <v>43</v>
      </c>
      <c r="B28">
        <v>5</v>
      </c>
      <c r="C28">
        <v>0</v>
      </c>
      <c r="D28">
        <v>4</v>
      </c>
      <c r="E28">
        <v>0</v>
      </c>
      <c r="F28">
        <v>106</v>
      </c>
      <c r="G28">
        <v>0</v>
      </c>
      <c r="H28">
        <v>28</v>
      </c>
      <c r="I28">
        <v>24</v>
      </c>
      <c r="J28">
        <v>2</v>
      </c>
      <c r="K28">
        <v>0</v>
      </c>
      <c r="L28">
        <v>169</v>
      </c>
      <c r="P28" t="s">
        <v>1638</v>
      </c>
    </row>
    <row r="29" spans="1:16" x14ac:dyDescent="0.25">
      <c r="A29">
        <v>44</v>
      </c>
      <c r="B29">
        <v>2</v>
      </c>
      <c r="C29">
        <v>0</v>
      </c>
      <c r="D29">
        <v>8</v>
      </c>
      <c r="E29">
        <v>0</v>
      </c>
      <c r="F29">
        <v>38</v>
      </c>
      <c r="G29">
        <v>1</v>
      </c>
      <c r="H29">
        <v>9</v>
      </c>
      <c r="I29">
        <v>3</v>
      </c>
      <c r="J29">
        <v>0</v>
      </c>
      <c r="K29">
        <v>1</v>
      </c>
      <c r="L29">
        <v>62</v>
      </c>
      <c r="P29" t="s">
        <v>1639</v>
      </c>
    </row>
    <row r="30" spans="1:16" x14ac:dyDescent="0.25">
      <c r="A30">
        <v>45</v>
      </c>
      <c r="B30">
        <v>2</v>
      </c>
      <c r="C30">
        <v>1</v>
      </c>
      <c r="D30">
        <v>2</v>
      </c>
      <c r="E30">
        <v>3</v>
      </c>
      <c r="F30">
        <v>40</v>
      </c>
      <c r="G30">
        <v>0</v>
      </c>
      <c r="H30">
        <v>26</v>
      </c>
      <c r="I30">
        <v>6</v>
      </c>
      <c r="J30">
        <v>4</v>
      </c>
      <c r="K30">
        <v>3</v>
      </c>
      <c r="L30">
        <v>87</v>
      </c>
      <c r="P30" t="s">
        <v>1640</v>
      </c>
    </row>
    <row r="31" spans="1:16" x14ac:dyDescent="0.25">
      <c r="A31">
        <v>51</v>
      </c>
      <c r="B31">
        <v>0</v>
      </c>
      <c r="C31">
        <v>0</v>
      </c>
      <c r="D31">
        <v>0</v>
      </c>
      <c r="E31">
        <v>0</v>
      </c>
      <c r="F31">
        <v>14</v>
      </c>
      <c r="G31">
        <v>0</v>
      </c>
      <c r="H31">
        <v>1</v>
      </c>
      <c r="I31">
        <v>3</v>
      </c>
      <c r="J31">
        <v>0</v>
      </c>
      <c r="K31">
        <v>0</v>
      </c>
      <c r="L31">
        <v>18</v>
      </c>
      <c r="P31" t="s">
        <v>1641</v>
      </c>
    </row>
    <row r="32" spans="1:16" x14ac:dyDescent="0.25">
      <c r="A32">
        <v>53</v>
      </c>
      <c r="B32">
        <v>5</v>
      </c>
      <c r="C32">
        <v>1</v>
      </c>
      <c r="D32">
        <v>1</v>
      </c>
      <c r="E32">
        <v>0</v>
      </c>
      <c r="F32">
        <v>67</v>
      </c>
      <c r="G32">
        <v>1</v>
      </c>
      <c r="H32">
        <v>12</v>
      </c>
      <c r="I32">
        <v>22</v>
      </c>
      <c r="J32">
        <v>0</v>
      </c>
      <c r="K32">
        <v>1</v>
      </c>
      <c r="L32">
        <v>110</v>
      </c>
      <c r="P32" t="s">
        <v>1642</v>
      </c>
    </row>
    <row r="33" spans="1:16" x14ac:dyDescent="0.25">
      <c r="A33">
        <v>54</v>
      </c>
      <c r="B33">
        <v>1</v>
      </c>
      <c r="C33">
        <v>0</v>
      </c>
      <c r="D33">
        <v>0</v>
      </c>
      <c r="E33">
        <v>0</v>
      </c>
      <c r="F33">
        <v>65</v>
      </c>
      <c r="G33">
        <v>0</v>
      </c>
      <c r="H33">
        <v>8</v>
      </c>
      <c r="I33">
        <v>12</v>
      </c>
      <c r="J33">
        <v>0</v>
      </c>
      <c r="K33">
        <v>0</v>
      </c>
      <c r="L33">
        <v>86</v>
      </c>
      <c r="P33" t="s">
        <v>1643</v>
      </c>
    </row>
    <row r="34" spans="1:16" x14ac:dyDescent="0.25">
      <c r="A34">
        <v>55</v>
      </c>
      <c r="B34">
        <v>0</v>
      </c>
      <c r="C34">
        <v>0</v>
      </c>
      <c r="D34">
        <v>2</v>
      </c>
      <c r="E34">
        <v>1</v>
      </c>
      <c r="F34">
        <v>34</v>
      </c>
      <c r="G34">
        <v>0</v>
      </c>
      <c r="H34">
        <v>4</v>
      </c>
      <c r="I34">
        <v>4</v>
      </c>
      <c r="J34">
        <v>0</v>
      </c>
      <c r="K34">
        <v>0</v>
      </c>
      <c r="L34">
        <v>45</v>
      </c>
      <c r="P34" t="s">
        <v>1644</v>
      </c>
    </row>
    <row r="35" spans="1:16" x14ac:dyDescent="0.25">
      <c r="A35">
        <v>56</v>
      </c>
      <c r="B35">
        <v>1</v>
      </c>
      <c r="C35">
        <v>0</v>
      </c>
      <c r="D35">
        <v>0</v>
      </c>
      <c r="E35">
        <v>0</v>
      </c>
      <c r="F35">
        <v>5</v>
      </c>
      <c r="G35">
        <v>0</v>
      </c>
      <c r="H35">
        <v>0</v>
      </c>
      <c r="I35">
        <v>1</v>
      </c>
      <c r="J35">
        <v>0</v>
      </c>
      <c r="K35">
        <v>0</v>
      </c>
      <c r="L35">
        <v>7</v>
      </c>
      <c r="P35" t="s">
        <v>1645</v>
      </c>
    </row>
    <row r="36" spans="1:16" x14ac:dyDescent="0.25">
      <c r="A36">
        <v>57</v>
      </c>
      <c r="B36">
        <v>1</v>
      </c>
      <c r="C36">
        <v>0</v>
      </c>
      <c r="D36">
        <v>0</v>
      </c>
      <c r="E36">
        <v>0</v>
      </c>
      <c r="F36">
        <v>16</v>
      </c>
      <c r="G36">
        <v>0</v>
      </c>
      <c r="H36">
        <v>4</v>
      </c>
      <c r="I36">
        <v>3</v>
      </c>
      <c r="J36">
        <v>0</v>
      </c>
      <c r="K36">
        <v>0</v>
      </c>
      <c r="L36">
        <v>24</v>
      </c>
      <c r="P36" t="s">
        <v>1646</v>
      </c>
    </row>
    <row r="37" spans="1:16" x14ac:dyDescent="0.25">
      <c r="A37">
        <v>58</v>
      </c>
      <c r="B37">
        <v>32</v>
      </c>
      <c r="C37">
        <v>7</v>
      </c>
      <c r="D37">
        <v>15</v>
      </c>
      <c r="E37">
        <v>44</v>
      </c>
      <c r="F37">
        <v>395</v>
      </c>
      <c r="G37">
        <v>3</v>
      </c>
      <c r="H37">
        <v>114</v>
      </c>
      <c r="I37">
        <v>96</v>
      </c>
      <c r="J37">
        <v>18</v>
      </c>
      <c r="K37">
        <v>7</v>
      </c>
      <c r="L37">
        <v>731</v>
      </c>
      <c r="P37" t="s">
        <v>1647</v>
      </c>
    </row>
    <row r="38" spans="1:16" x14ac:dyDescent="0.25">
      <c r="A38">
        <v>59</v>
      </c>
      <c r="B38">
        <v>0</v>
      </c>
      <c r="C38">
        <v>0</v>
      </c>
      <c r="D38">
        <v>1</v>
      </c>
      <c r="E38">
        <v>0</v>
      </c>
      <c r="F38">
        <v>19</v>
      </c>
      <c r="G38">
        <v>0</v>
      </c>
      <c r="H38">
        <v>3</v>
      </c>
      <c r="I38">
        <v>0</v>
      </c>
      <c r="J38">
        <v>0</v>
      </c>
      <c r="K38">
        <v>1</v>
      </c>
      <c r="L38">
        <v>24</v>
      </c>
      <c r="P38" t="s">
        <v>1648</v>
      </c>
    </row>
    <row r="39" spans="1:16" x14ac:dyDescent="0.25">
      <c r="A39">
        <v>61</v>
      </c>
      <c r="B39">
        <v>3</v>
      </c>
      <c r="C39">
        <v>2</v>
      </c>
      <c r="D39">
        <v>0</v>
      </c>
      <c r="E39">
        <v>8</v>
      </c>
      <c r="F39">
        <v>33</v>
      </c>
      <c r="G39">
        <v>1</v>
      </c>
      <c r="H39">
        <v>5</v>
      </c>
      <c r="I39">
        <v>4</v>
      </c>
      <c r="J39">
        <v>1</v>
      </c>
      <c r="K39">
        <v>1</v>
      </c>
      <c r="L39">
        <v>58</v>
      </c>
      <c r="P39" t="s">
        <v>1598</v>
      </c>
    </row>
    <row r="40" spans="1:16" x14ac:dyDescent="0.25">
      <c r="A40">
        <v>62</v>
      </c>
      <c r="B40">
        <v>145</v>
      </c>
      <c r="C40">
        <v>3</v>
      </c>
      <c r="D40">
        <v>54</v>
      </c>
      <c r="E40">
        <v>180</v>
      </c>
      <c r="F40">
        <v>777</v>
      </c>
      <c r="G40">
        <v>5</v>
      </c>
      <c r="H40">
        <v>200</v>
      </c>
      <c r="I40">
        <v>200</v>
      </c>
      <c r="J40">
        <v>67</v>
      </c>
      <c r="K40">
        <v>15</v>
      </c>
      <c r="L40">
        <v>1647</v>
      </c>
      <c r="P40" t="s">
        <v>1649</v>
      </c>
    </row>
    <row r="41" spans="1:16" x14ac:dyDescent="0.25">
      <c r="A41">
        <v>63</v>
      </c>
      <c r="B41">
        <v>8</v>
      </c>
      <c r="C41">
        <v>0</v>
      </c>
      <c r="D41">
        <v>5</v>
      </c>
      <c r="E41">
        <v>0</v>
      </c>
      <c r="F41">
        <v>2</v>
      </c>
      <c r="G41">
        <v>0</v>
      </c>
      <c r="H41">
        <v>1</v>
      </c>
      <c r="I41">
        <v>3</v>
      </c>
      <c r="J41">
        <v>0</v>
      </c>
      <c r="K41">
        <v>0</v>
      </c>
      <c r="L41">
        <v>19</v>
      </c>
      <c r="P41" t="s">
        <v>1650</v>
      </c>
    </row>
    <row r="42" spans="1:16" x14ac:dyDescent="0.25">
      <c r="A42">
        <v>64</v>
      </c>
      <c r="B42">
        <v>0</v>
      </c>
      <c r="C42">
        <v>0</v>
      </c>
      <c r="D42">
        <v>0</v>
      </c>
      <c r="E42">
        <v>0</v>
      </c>
      <c r="F42">
        <v>22</v>
      </c>
      <c r="G42">
        <v>0</v>
      </c>
      <c r="H42">
        <v>2</v>
      </c>
      <c r="I42">
        <v>27</v>
      </c>
      <c r="J42">
        <v>0</v>
      </c>
      <c r="K42">
        <v>0</v>
      </c>
      <c r="L42">
        <v>51</v>
      </c>
      <c r="P42" t="s">
        <v>1651</v>
      </c>
    </row>
    <row r="43" spans="1:16" x14ac:dyDescent="0.25">
      <c r="A43">
        <v>71</v>
      </c>
      <c r="B43">
        <v>22</v>
      </c>
      <c r="C43">
        <v>0</v>
      </c>
      <c r="D43">
        <v>11</v>
      </c>
      <c r="E43">
        <v>3</v>
      </c>
      <c r="F43">
        <v>68</v>
      </c>
      <c r="G43">
        <v>0</v>
      </c>
      <c r="H43">
        <v>8</v>
      </c>
      <c r="I43">
        <v>34</v>
      </c>
      <c r="J43">
        <v>5</v>
      </c>
      <c r="K43">
        <v>12</v>
      </c>
      <c r="L43">
        <v>164</v>
      </c>
      <c r="P43" t="s">
        <v>1652</v>
      </c>
    </row>
    <row r="44" spans="1:16" x14ac:dyDescent="0.25">
      <c r="A44">
        <v>72</v>
      </c>
      <c r="B44">
        <v>4</v>
      </c>
      <c r="C44">
        <v>0</v>
      </c>
      <c r="D44">
        <v>2</v>
      </c>
      <c r="E44">
        <v>0</v>
      </c>
      <c r="F44">
        <v>30</v>
      </c>
      <c r="G44">
        <v>0</v>
      </c>
      <c r="H44">
        <v>4</v>
      </c>
      <c r="I44">
        <v>11</v>
      </c>
      <c r="J44">
        <v>1</v>
      </c>
      <c r="K44">
        <v>1</v>
      </c>
      <c r="L44">
        <v>53</v>
      </c>
      <c r="P44" t="s">
        <v>1653</v>
      </c>
    </row>
    <row r="45" spans="1:16" x14ac:dyDescent="0.25">
      <c r="A45">
        <v>73</v>
      </c>
      <c r="B45">
        <v>1</v>
      </c>
      <c r="C45">
        <v>0</v>
      </c>
      <c r="D45">
        <v>1</v>
      </c>
      <c r="E45">
        <v>0</v>
      </c>
      <c r="F45">
        <v>2</v>
      </c>
      <c r="G45">
        <v>0</v>
      </c>
      <c r="H45">
        <v>0</v>
      </c>
      <c r="I45">
        <v>1</v>
      </c>
      <c r="J45">
        <v>0</v>
      </c>
      <c r="K45">
        <v>0</v>
      </c>
      <c r="L45">
        <v>5</v>
      </c>
      <c r="P45" t="s">
        <v>1654</v>
      </c>
    </row>
    <row r="46" spans="1:16" x14ac:dyDescent="0.25">
      <c r="A46">
        <v>74</v>
      </c>
      <c r="B46">
        <v>0</v>
      </c>
      <c r="C46">
        <v>0</v>
      </c>
      <c r="D46">
        <v>0</v>
      </c>
      <c r="E46">
        <v>0</v>
      </c>
      <c r="F46">
        <v>6</v>
      </c>
      <c r="G46">
        <v>0</v>
      </c>
      <c r="H46">
        <v>0</v>
      </c>
      <c r="I46">
        <v>2</v>
      </c>
      <c r="J46">
        <v>1</v>
      </c>
      <c r="K46">
        <v>0</v>
      </c>
      <c r="L46">
        <v>9</v>
      </c>
      <c r="P46" t="s">
        <v>1655</v>
      </c>
    </row>
    <row r="47" spans="1:16" x14ac:dyDescent="0.25">
      <c r="A47">
        <v>75</v>
      </c>
      <c r="B47">
        <v>1</v>
      </c>
      <c r="C47">
        <v>0</v>
      </c>
      <c r="D47">
        <v>0</v>
      </c>
      <c r="E47">
        <v>0</v>
      </c>
      <c r="F47">
        <v>36</v>
      </c>
      <c r="G47">
        <v>0</v>
      </c>
      <c r="H47">
        <v>2</v>
      </c>
      <c r="I47">
        <v>4</v>
      </c>
      <c r="J47">
        <v>0</v>
      </c>
      <c r="K47">
        <v>0</v>
      </c>
      <c r="L47">
        <v>43</v>
      </c>
      <c r="P47" t="s">
        <v>1656</v>
      </c>
    </row>
    <row r="48" spans="1:16" x14ac:dyDescent="0.25">
      <c r="A48">
        <v>76</v>
      </c>
      <c r="B48">
        <v>2</v>
      </c>
      <c r="C48">
        <v>0</v>
      </c>
      <c r="D48">
        <v>0</v>
      </c>
      <c r="E48">
        <v>0</v>
      </c>
      <c r="F48">
        <v>7</v>
      </c>
      <c r="G48">
        <v>0</v>
      </c>
      <c r="H48">
        <v>1</v>
      </c>
      <c r="I48">
        <v>6</v>
      </c>
      <c r="J48">
        <v>0</v>
      </c>
      <c r="K48">
        <v>0</v>
      </c>
      <c r="L48">
        <v>16</v>
      </c>
      <c r="P48" t="s">
        <v>1657</v>
      </c>
    </row>
    <row r="49" spans="1:16" x14ac:dyDescent="0.25">
      <c r="A49">
        <v>77</v>
      </c>
      <c r="B49">
        <v>17</v>
      </c>
      <c r="C49">
        <v>0</v>
      </c>
      <c r="D49">
        <v>8</v>
      </c>
      <c r="E49">
        <v>0</v>
      </c>
      <c r="F49">
        <v>309</v>
      </c>
      <c r="G49">
        <v>0</v>
      </c>
      <c r="H49">
        <v>15</v>
      </c>
      <c r="I49">
        <v>67</v>
      </c>
      <c r="J49">
        <v>9</v>
      </c>
      <c r="K49">
        <v>7</v>
      </c>
      <c r="L49">
        <v>432</v>
      </c>
      <c r="P49" t="s">
        <v>1658</v>
      </c>
    </row>
    <row r="50" spans="1:16" x14ac:dyDescent="0.25">
      <c r="A50">
        <v>78</v>
      </c>
      <c r="B50">
        <v>0</v>
      </c>
      <c r="C50">
        <v>0</v>
      </c>
      <c r="D50">
        <v>0</v>
      </c>
      <c r="E50">
        <v>0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5</v>
      </c>
      <c r="P50" t="s">
        <v>1659</v>
      </c>
    </row>
    <row r="51" spans="1:16" x14ac:dyDescent="0.25">
      <c r="A51">
        <v>79</v>
      </c>
      <c r="B51">
        <v>9</v>
      </c>
      <c r="C51">
        <v>0</v>
      </c>
      <c r="D51">
        <v>1</v>
      </c>
      <c r="E51">
        <v>0</v>
      </c>
      <c r="F51">
        <v>63</v>
      </c>
      <c r="G51">
        <v>1</v>
      </c>
      <c r="H51">
        <v>12</v>
      </c>
      <c r="I51">
        <v>23</v>
      </c>
      <c r="J51">
        <v>1</v>
      </c>
      <c r="K51">
        <v>2</v>
      </c>
      <c r="L51">
        <v>112</v>
      </c>
      <c r="P51" t="s">
        <v>1660</v>
      </c>
    </row>
    <row r="52" spans="1:16" x14ac:dyDescent="0.25">
      <c r="A52">
        <v>80</v>
      </c>
      <c r="B52">
        <v>12</v>
      </c>
      <c r="C52">
        <v>0</v>
      </c>
      <c r="D52">
        <v>7</v>
      </c>
      <c r="E52">
        <v>3</v>
      </c>
      <c r="F52">
        <v>105</v>
      </c>
      <c r="G52">
        <v>0</v>
      </c>
      <c r="H52">
        <v>19</v>
      </c>
      <c r="I52">
        <v>22</v>
      </c>
      <c r="J52">
        <v>3</v>
      </c>
      <c r="K52">
        <v>7</v>
      </c>
      <c r="L52">
        <v>178</v>
      </c>
      <c r="P52" t="s">
        <v>1661</v>
      </c>
    </row>
    <row r="53" spans="1:16" x14ac:dyDescent="0.25">
      <c r="A53">
        <v>81</v>
      </c>
      <c r="B53">
        <v>7</v>
      </c>
      <c r="C53">
        <v>0</v>
      </c>
      <c r="D53">
        <v>0</v>
      </c>
      <c r="E53">
        <v>0</v>
      </c>
      <c r="F53">
        <v>50</v>
      </c>
      <c r="G53">
        <v>1</v>
      </c>
      <c r="H53">
        <v>2</v>
      </c>
      <c r="I53">
        <v>8</v>
      </c>
      <c r="J53">
        <v>1</v>
      </c>
      <c r="K53">
        <v>0</v>
      </c>
      <c r="L53">
        <v>69</v>
      </c>
      <c r="P53" t="s">
        <v>1662</v>
      </c>
    </row>
    <row r="54" spans="1:16" x14ac:dyDescent="0.25">
      <c r="A54">
        <v>82</v>
      </c>
      <c r="B54">
        <v>2</v>
      </c>
      <c r="C54">
        <v>0</v>
      </c>
      <c r="D54">
        <v>1</v>
      </c>
      <c r="E54">
        <v>5</v>
      </c>
      <c r="F54">
        <v>21</v>
      </c>
      <c r="G54">
        <v>0</v>
      </c>
      <c r="H54">
        <v>1</v>
      </c>
      <c r="I54">
        <v>23</v>
      </c>
      <c r="J54">
        <v>2</v>
      </c>
      <c r="K54">
        <v>0</v>
      </c>
      <c r="L54">
        <v>55</v>
      </c>
      <c r="P54" t="s">
        <v>1663</v>
      </c>
    </row>
    <row r="55" spans="1:16" x14ac:dyDescent="0.25">
      <c r="A55">
        <v>83</v>
      </c>
      <c r="B55">
        <v>29</v>
      </c>
      <c r="C55">
        <v>1</v>
      </c>
      <c r="D55">
        <v>11</v>
      </c>
      <c r="E55">
        <v>1</v>
      </c>
      <c r="F55">
        <v>147</v>
      </c>
      <c r="G55">
        <v>0</v>
      </c>
      <c r="H55">
        <v>14</v>
      </c>
      <c r="I55">
        <v>37</v>
      </c>
      <c r="J55">
        <v>6</v>
      </c>
      <c r="K55">
        <v>4</v>
      </c>
      <c r="L55">
        <v>250</v>
      </c>
      <c r="P55" t="s">
        <v>1664</v>
      </c>
    </row>
    <row r="56" spans="1:16" x14ac:dyDescent="0.25">
      <c r="A56">
        <v>84</v>
      </c>
      <c r="B56">
        <v>14</v>
      </c>
      <c r="C56">
        <v>1</v>
      </c>
      <c r="D56">
        <v>1</v>
      </c>
      <c r="E56">
        <v>3</v>
      </c>
      <c r="F56">
        <v>100</v>
      </c>
      <c r="G56">
        <v>2</v>
      </c>
      <c r="H56">
        <v>16</v>
      </c>
      <c r="I56">
        <v>20</v>
      </c>
      <c r="J56">
        <v>9</v>
      </c>
      <c r="K56">
        <v>1</v>
      </c>
      <c r="L56">
        <v>167</v>
      </c>
      <c r="P56" t="s">
        <v>1665</v>
      </c>
    </row>
    <row r="57" spans="1:16" x14ac:dyDescent="0.25">
      <c r="A57">
        <v>85</v>
      </c>
      <c r="B57">
        <v>7</v>
      </c>
      <c r="C57">
        <v>0</v>
      </c>
      <c r="D57">
        <v>0</v>
      </c>
      <c r="E57">
        <v>2</v>
      </c>
      <c r="F57">
        <v>43</v>
      </c>
      <c r="G57">
        <v>0</v>
      </c>
      <c r="H57">
        <v>2</v>
      </c>
      <c r="I57">
        <v>3</v>
      </c>
      <c r="J57">
        <v>1</v>
      </c>
      <c r="K57">
        <v>1</v>
      </c>
      <c r="L57">
        <v>59</v>
      </c>
      <c r="P57" t="s">
        <v>1666</v>
      </c>
    </row>
    <row r="58" spans="1:16" x14ac:dyDescent="0.25">
      <c r="A58">
        <v>87</v>
      </c>
      <c r="B58">
        <v>13</v>
      </c>
      <c r="C58">
        <v>0</v>
      </c>
      <c r="D58">
        <v>3</v>
      </c>
      <c r="E58">
        <v>1</v>
      </c>
      <c r="F58">
        <v>79</v>
      </c>
      <c r="G58">
        <v>2</v>
      </c>
      <c r="H58">
        <v>2</v>
      </c>
      <c r="I58">
        <v>27</v>
      </c>
      <c r="J58">
        <v>6</v>
      </c>
      <c r="K58">
        <v>2</v>
      </c>
      <c r="L58">
        <v>135</v>
      </c>
      <c r="P58" t="s">
        <v>1667</v>
      </c>
    </row>
    <row r="59" spans="1:16" x14ac:dyDescent="0.25">
      <c r="A59">
        <v>88</v>
      </c>
      <c r="B59">
        <v>1</v>
      </c>
      <c r="C59">
        <v>0</v>
      </c>
      <c r="D59">
        <v>0</v>
      </c>
      <c r="E59">
        <v>0</v>
      </c>
      <c r="F59">
        <v>15</v>
      </c>
      <c r="G59">
        <v>0</v>
      </c>
      <c r="H59">
        <v>0</v>
      </c>
      <c r="I59">
        <v>0</v>
      </c>
      <c r="J59">
        <v>0</v>
      </c>
      <c r="K59">
        <v>0</v>
      </c>
      <c r="L59">
        <v>16</v>
      </c>
      <c r="P59" t="s">
        <v>1668</v>
      </c>
    </row>
    <row r="60" spans="1:16" x14ac:dyDescent="0.25">
      <c r="A60">
        <v>89</v>
      </c>
      <c r="B60">
        <v>4</v>
      </c>
      <c r="C60">
        <v>0</v>
      </c>
      <c r="D60">
        <v>0</v>
      </c>
      <c r="E60">
        <v>1</v>
      </c>
      <c r="F60">
        <v>25</v>
      </c>
      <c r="G60">
        <v>0</v>
      </c>
      <c r="H60">
        <v>1</v>
      </c>
      <c r="I60">
        <v>10</v>
      </c>
      <c r="J60">
        <v>1</v>
      </c>
      <c r="K60">
        <v>1</v>
      </c>
      <c r="L60">
        <v>43</v>
      </c>
      <c r="P60" t="s">
        <v>1669</v>
      </c>
    </row>
    <row r="61" spans="1:16" x14ac:dyDescent="0.25">
      <c r="A61">
        <v>90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1</v>
      </c>
      <c r="J61">
        <v>0</v>
      </c>
      <c r="K61">
        <v>0</v>
      </c>
      <c r="L61">
        <v>3</v>
      </c>
      <c r="P61" t="s">
        <v>1670</v>
      </c>
    </row>
    <row r="62" spans="1:16" x14ac:dyDescent="0.25">
      <c r="A62">
        <v>91</v>
      </c>
      <c r="B62">
        <v>0</v>
      </c>
      <c r="C62">
        <v>0</v>
      </c>
      <c r="D62">
        <v>0</v>
      </c>
      <c r="E62">
        <v>0</v>
      </c>
      <c r="F62">
        <v>4</v>
      </c>
      <c r="G62">
        <v>0</v>
      </c>
      <c r="H62">
        <v>0</v>
      </c>
      <c r="I62">
        <v>2</v>
      </c>
      <c r="J62">
        <v>1</v>
      </c>
      <c r="K62">
        <v>0</v>
      </c>
      <c r="L62">
        <v>7</v>
      </c>
      <c r="P62" t="s">
        <v>1671</v>
      </c>
    </row>
    <row r="63" spans="1:16" x14ac:dyDescent="0.25">
      <c r="A63">
        <v>92</v>
      </c>
      <c r="B63">
        <v>7</v>
      </c>
      <c r="C63">
        <v>0</v>
      </c>
      <c r="D63">
        <v>0</v>
      </c>
      <c r="E63">
        <v>2</v>
      </c>
      <c r="F63">
        <v>54</v>
      </c>
      <c r="G63">
        <v>1</v>
      </c>
      <c r="H63">
        <v>1</v>
      </c>
      <c r="I63">
        <v>5</v>
      </c>
      <c r="J63">
        <v>1</v>
      </c>
      <c r="K63">
        <v>2</v>
      </c>
      <c r="L63">
        <v>73</v>
      </c>
      <c r="P63" t="s">
        <v>1672</v>
      </c>
    </row>
    <row r="64" spans="1:16" x14ac:dyDescent="0.25">
      <c r="A64">
        <v>93</v>
      </c>
      <c r="B64">
        <v>4</v>
      </c>
      <c r="C64">
        <v>0</v>
      </c>
      <c r="D64">
        <v>5</v>
      </c>
      <c r="E64">
        <v>1</v>
      </c>
      <c r="F64">
        <v>62</v>
      </c>
      <c r="G64">
        <v>1</v>
      </c>
      <c r="H64">
        <v>5</v>
      </c>
      <c r="I64">
        <v>6</v>
      </c>
      <c r="J64">
        <v>3</v>
      </c>
      <c r="K64">
        <v>0</v>
      </c>
      <c r="L64">
        <v>87</v>
      </c>
      <c r="P64" t="s">
        <v>1673</v>
      </c>
    </row>
    <row r="65" spans="1:16" x14ac:dyDescent="0.25">
      <c r="A65">
        <v>94</v>
      </c>
      <c r="B65">
        <v>1</v>
      </c>
      <c r="C65">
        <v>0</v>
      </c>
      <c r="D65">
        <v>0</v>
      </c>
      <c r="E65">
        <v>0</v>
      </c>
      <c r="F65">
        <v>11</v>
      </c>
      <c r="G65">
        <v>0</v>
      </c>
      <c r="H65">
        <v>0</v>
      </c>
      <c r="I65">
        <v>1</v>
      </c>
      <c r="J65">
        <v>0</v>
      </c>
      <c r="K65">
        <v>0</v>
      </c>
      <c r="L65">
        <v>13</v>
      </c>
      <c r="P65" t="s">
        <v>1674</v>
      </c>
    </row>
    <row r="66" spans="1:16" x14ac:dyDescent="0.25">
      <c r="A66">
        <v>95</v>
      </c>
      <c r="B66">
        <v>24</v>
      </c>
      <c r="C66">
        <v>0</v>
      </c>
      <c r="D66">
        <v>11</v>
      </c>
      <c r="E66">
        <v>7</v>
      </c>
      <c r="F66">
        <v>293</v>
      </c>
      <c r="G66">
        <v>2</v>
      </c>
      <c r="H66">
        <v>25</v>
      </c>
      <c r="I66">
        <v>52</v>
      </c>
      <c r="J66">
        <v>19</v>
      </c>
      <c r="K66">
        <v>8</v>
      </c>
      <c r="L66">
        <v>441</v>
      </c>
      <c r="P66" t="s">
        <v>1675</v>
      </c>
    </row>
    <row r="67" spans="1:16" x14ac:dyDescent="0.25">
      <c r="A67">
        <v>96</v>
      </c>
      <c r="B67">
        <v>8</v>
      </c>
      <c r="C67">
        <v>0</v>
      </c>
      <c r="D67">
        <v>2</v>
      </c>
      <c r="E67">
        <v>0</v>
      </c>
      <c r="F67">
        <v>20</v>
      </c>
      <c r="G67">
        <v>0</v>
      </c>
      <c r="H67">
        <v>4</v>
      </c>
      <c r="I67">
        <v>11</v>
      </c>
      <c r="J67">
        <v>3</v>
      </c>
      <c r="K67">
        <v>0</v>
      </c>
      <c r="L67">
        <v>48</v>
      </c>
      <c r="P67" t="s">
        <v>1676</v>
      </c>
    </row>
    <row r="68" spans="1:16" x14ac:dyDescent="0.25">
      <c r="A68">
        <v>97</v>
      </c>
      <c r="B68">
        <v>6</v>
      </c>
      <c r="C68">
        <v>0</v>
      </c>
      <c r="D68">
        <v>3</v>
      </c>
      <c r="E68">
        <v>0</v>
      </c>
      <c r="F68">
        <v>48</v>
      </c>
      <c r="G68">
        <v>0</v>
      </c>
      <c r="H68">
        <v>6</v>
      </c>
      <c r="I68">
        <v>10</v>
      </c>
      <c r="J68">
        <v>2</v>
      </c>
      <c r="K68">
        <v>0</v>
      </c>
      <c r="L68">
        <v>75</v>
      </c>
      <c r="P68" t="s">
        <v>1677</v>
      </c>
    </row>
    <row r="69" spans="1:16" x14ac:dyDescent="0.25">
      <c r="A69">
        <v>98</v>
      </c>
      <c r="B69">
        <v>24</v>
      </c>
      <c r="C69">
        <v>2</v>
      </c>
      <c r="D69">
        <v>6</v>
      </c>
      <c r="E69">
        <v>0</v>
      </c>
      <c r="F69">
        <v>188</v>
      </c>
      <c r="G69">
        <v>0</v>
      </c>
      <c r="H69">
        <v>21</v>
      </c>
      <c r="I69">
        <v>56</v>
      </c>
      <c r="J69">
        <v>4</v>
      </c>
      <c r="K69">
        <v>4</v>
      </c>
      <c r="L69">
        <v>305</v>
      </c>
      <c r="P69" t="s">
        <v>1678</v>
      </c>
    </row>
    <row r="70" spans="1:16" x14ac:dyDescent="0.25">
      <c r="A70">
        <v>99</v>
      </c>
      <c r="B70">
        <v>18</v>
      </c>
      <c r="C70">
        <v>0</v>
      </c>
      <c r="D70">
        <v>8</v>
      </c>
      <c r="E70">
        <v>3</v>
      </c>
      <c r="F70">
        <v>165</v>
      </c>
      <c r="G70">
        <v>0</v>
      </c>
      <c r="H70">
        <v>38</v>
      </c>
      <c r="I70">
        <v>36</v>
      </c>
      <c r="J70">
        <v>0</v>
      </c>
      <c r="K70">
        <v>3</v>
      </c>
      <c r="L70">
        <v>271</v>
      </c>
      <c r="P70" t="s">
        <v>1679</v>
      </c>
    </row>
    <row r="71" spans="1:16" x14ac:dyDescent="0.25">
      <c r="A71" t="s">
        <v>57</v>
      </c>
      <c r="B71">
        <v>584</v>
      </c>
      <c r="C71">
        <v>42</v>
      </c>
      <c r="D71">
        <v>243</v>
      </c>
      <c r="E71">
        <v>293</v>
      </c>
      <c r="F71">
        <v>5071</v>
      </c>
      <c r="G71">
        <v>32</v>
      </c>
      <c r="H71">
        <v>941</v>
      </c>
      <c r="I71">
        <v>1152</v>
      </c>
      <c r="J71">
        <v>268</v>
      </c>
      <c r="K71">
        <v>123</v>
      </c>
      <c r="L71">
        <v>8751</v>
      </c>
    </row>
    <row r="73" spans="1:16" x14ac:dyDescent="0.25">
      <c r="A73" t="s">
        <v>1611</v>
      </c>
      <c r="B73" t="s">
        <v>119</v>
      </c>
      <c r="C73" t="s">
        <v>120</v>
      </c>
      <c r="D73" t="s">
        <v>1681</v>
      </c>
      <c r="E73" t="s">
        <v>1682</v>
      </c>
      <c r="F73" t="s">
        <v>71</v>
      </c>
      <c r="G73" t="s">
        <v>123</v>
      </c>
      <c r="H73" t="s">
        <v>79</v>
      </c>
      <c r="I73" t="s">
        <v>92</v>
      </c>
      <c r="J73" t="s">
        <v>1683</v>
      </c>
      <c r="K73" t="s">
        <v>100</v>
      </c>
    </row>
    <row r="74" spans="1:16" x14ac:dyDescent="0.25">
      <c r="A74">
        <v>0</v>
      </c>
      <c r="B74" s="1">
        <f t="shared" ref="B74:K74" si="0">B2/B$71</f>
        <v>1.1986301369863013E-2</v>
      </c>
      <c r="C74" s="1">
        <f t="shared" si="0"/>
        <v>0.14285714285714285</v>
      </c>
      <c r="D74" s="1">
        <f t="shared" si="0"/>
        <v>3.292181069958848E-2</v>
      </c>
      <c r="E74" s="1">
        <f t="shared" si="0"/>
        <v>1.3651877133105802E-2</v>
      </c>
      <c r="F74" s="1">
        <f t="shared" si="0"/>
        <v>2.9777164267402879E-2</v>
      </c>
      <c r="G74" s="1">
        <f t="shared" si="0"/>
        <v>6.25E-2</v>
      </c>
      <c r="H74" s="1">
        <f t="shared" si="0"/>
        <v>5.1009564293304992E-2</v>
      </c>
      <c r="I74" s="1">
        <f t="shared" si="0"/>
        <v>1.3888888888888888E-2</v>
      </c>
      <c r="J74" s="1">
        <f t="shared" si="0"/>
        <v>5.2238805970149252E-2</v>
      </c>
      <c r="K74" s="1">
        <f t="shared" si="0"/>
        <v>2.4390243902439025E-2</v>
      </c>
      <c r="P74" t="s">
        <v>1625</v>
      </c>
    </row>
    <row r="75" spans="1:16" x14ac:dyDescent="0.25">
      <c r="A75">
        <v>1</v>
      </c>
      <c r="B75" s="1">
        <f t="shared" ref="B75:K75" si="1">B3/B$71</f>
        <v>0</v>
      </c>
      <c r="C75" s="1">
        <f t="shared" si="1"/>
        <v>0</v>
      </c>
      <c r="D75" s="1">
        <f t="shared" si="1"/>
        <v>0</v>
      </c>
      <c r="E75" s="1">
        <f t="shared" si="1"/>
        <v>0</v>
      </c>
      <c r="F75" s="1">
        <f t="shared" si="1"/>
        <v>1.9719976336028398E-4</v>
      </c>
      <c r="G75" s="1">
        <f t="shared" si="1"/>
        <v>0</v>
      </c>
      <c r="H75" s="1">
        <f t="shared" si="1"/>
        <v>0</v>
      </c>
      <c r="I75" s="1">
        <f t="shared" si="1"/>
        <v>0</v>
      </c>
      <c r="J75" s="1">
        <f t="shared" si="1"/>
        <v>0</v>
      </c>
      <c r="K75" s="1">
        <f t="shared" si="1"/>
        <v>0</v>
      </c>
      <c r="P75" s="6" t="s">
        <v>1612</v>
      </c>
    </row>
    <row r="76" spans="1:16" x14ac:dyDescent="0.25">
      <c r="A76">
        <v>3</v>
      </c>
      <c r="B76" s="1">
        <f t="shared" ref="B76:K76" si="2">B4/B$71</f>
        <v>3.9383561643835614E-2</v>
      </c>
      <c r="C76" s="1">
        <f t="shared" si="2"/>
        <v>7.1428571428571425E-2</v>
      </c>
      <c r="D76" s="1">
        <f t="shared" si="2"/>
        <v>4.1152263374485597E-2</v>
      </c>
      <c r="E76" s="1">
        <f t="shared" si="2"/>
        <v>0</v>
      </c>
      <c r="F76" s="1">
        <f t="shared" si="2"/>
        <v>3.3721159534608559E-2</v>
      </c>
      <c r="G76" s="1">
        <f t="shared" si="2"/>
        <v>9.375E-2</v>
      </c>
      <c r="H76" s="1">
        <f t="shared" si="2"/>
        <v>2.0191285866099893E-2</v>
      </c>
      <c r="I76" s="1">
        <f t="shared" si="2"/>
        <v>3.2118055555555552E-2</v>
      </c>
      <c r="J76" s="1">
        <f t="shared" si="2"/>
        <v>1.8656716417910446E-2</v>
      </c>
      <c r="K76" s="1">
        <f t="shared" si="2"/>
        <v>6.5040650406504072E-2</v>
      </c>
      <c r="P76" t="s">
        <v>1613</v>
      </c>
    </row>
    <row r="77" spans="1:16" x14ac:dyDescent="0.25">
      <c r="A77">
        <v>4</v>
      </c>
      <c r="B77" s="1">
        <f t="shared" ref="B77:K77" si="3">B5/B$71</f>
        <v>1.7123287671232876E-3</v>
      </c>
      <c r="C77" s="1">
        <f t="shared" si="3"/>
        <v>0</v>
      </c>
      <c r="D77" s="1">
        <f t="shared" si="3"/>
        <v>0</v>
      </c>
      <c r="E77" s="1">
        <f t="shared" si="3"/>
        <v>0</v>
      </c>
      <c r="F77" s="1">
        <f t="shared" si="3"/>
        <v>1.7747978702425558E-3</v>
      </c>
      <c r="G77" s="1">
        <f t="shared" si="3"/>
        <v>0</v>
      </c>
      <c r="H77" s="1">
        <f t="shared" si="3"/>
        <v>0</v>
      </c>
      <c r="I77" s="1">
        <f t="shared" si="3"/>
        <v>8.6805555555555551E-4</v>
      </c>
      <c r="J77" s="1">
        <f t="shared" si="3"/>
        <v>0</v>
      </c>
      <c r="K77" s="1">
        <f t="shared" si="3"/>
        <v>0</v>
      </c>
      <c r="P77" t="s">
        <v>1614</v>
      </c>
    </row>
    <row r="78" spans="1:16" x14ac:dyDescent="0.25">
      <c r="A78">
        <v>6</v>
      </c>
      <c r="B78" s="1">
        <f t="shared" ref="B78:K78" si="4">B6/B$71</f>
        <v>6.8493150684931503E-3</v>
      </c>
      <c r="C78" s="1">
        <f t="shared" si="4"/>
        <v>2.3809523809523808E-2</v>
      </c>
      <c r="D78" s="1">
        <f t="shared" si="4"/>
        <v>8.23045267489712E-3</v>
      </c>
      <c r="E78" s="1">
        <f t="shared" si="4"/>
        <v>0</v>
      </c>
      <c r="F78" s="1">
        <f t="shared" si="4"/>
        <v>8.2823900611319265E-3</v>
      </c>
      <c r="G78" s="1">
        <f t="shared" si="4"/>
        <v>0</v>
      </c>
      <c r="H78" s="1">
        <f t="shared" si="4"/>
        <v>2.0191285866099893E-2</v>
      </c>
      <c r="I78" s="1">
        <f t="shared" si="4"/>
        <v>1.0416666666666666E-2</v>
      </c>
      <c r="J78" s="1">
        <f t="shared" si="4"/>
        <v>0</v>
      </c>
      <c r="K78" s="1">
        <f t="shared" si="4"/>
        <v>8.130081300813009E-3</v>
      </c>
      <c r="P78" t="s">
        <v>1615</v>
      </c>
    </row>
    <row r="79" spans="1:16" x14ac:dyDescent="0.25">
      <c r="A79">
        <v>10</v>
      </c>
      <c r="B79" s="1">
        <f t="shared" ref="B79:K79" si="5">B7/B$71</f>
        <v>1.7123287671232876E-3</v>
      </c>
      <c r="C79" s="1">
        <f t="shared" si="5"/>
        <v>2.3809523809523808E-2</v>
      </c>
      <c r="D79" s="1">
        <f t="shared" si="5"/>
        <v>0</v>
      </c>
      <c r="E79" s="1">
        <f t="shared" si="5"/>
        <v>0</v>
      </c>
      <c r="F79" s="1">
        <f t="shared" si="5"/>
        <v>1.9719976336028395E-3</v>
      </c>
      <c r="G79" s="1">
        <f t="shared" si="5"/>
        <v>0</v>
      </c>
      <c r="H79" s="1">
        <f t="shared" si="5"/>
        <v>7.4388947927736451E-3</v>
      </c>
      <c r="I79" s="1">
        <f t="shared" si="5"/>
        <v>2.6041666666666665E-3</v>
      </c>
      <c r="J79" s="1">
        <f t="shared" si="5"/>
        <v>0</v>
      </c>
      <c r="K79" s="1">
        <f t="shared" si="5"/>
        <v>0</v>
      </c>
      <c r="P79" t="s">
        <v>1624</v>
      </c>
    </row>
    <row r="80" spans="1:16" x14ac:dyDescent="0.25">
      <c r="A80">
        <v>11</v>
      </c>
      <c r="B80" s="1">
        <f t="shared" ref="B80:K80" si="6">B8/B$71</f>
        <v>6.8493150684931503E-3</v>
      </c>
      <c r="C80" s="1">
        <f t="shared" si="6"/>
        <v>0</v>
      </c>
      <c r="D80" s="1">
        <f t="shared" si="6"/>
        <v>1.2345679012345678E-2</v>
      </c>
      <c r="E80" s="1">
        <f t="shared" si="6"/>
        <v>0</v>
      </c>
      <c r="F80" s="1">
        <f t="shared" si="6"/>
        <v>4.3383947939262474E-3</v>
      </c>
      <c r="G80" s="1">
        <f t="shared" si="6"/>
        <v>0</v>
      </c>
      <c r="H80" s="1">
        <f t="shared" si="6"/>
        <v>4.2507970244420826E-3</v>
      </c>
      <c r="I80" s="1">
        <f t="shared" si="6"/>
        <v>3.472222222222222E-3</v>
      </c>
      <c r="J80" s="1">
        <f t="shared" si="6"/>
        <v>1.8656716417910446E-2</v>
      </c>
      <c r="K80" s="1">
        <f t="shared" si="6"/>
        <v>0</v>
      </c>
      <c r="P80" t="s">
        <v>1616</v>
      </c>
    </row>
    <row r="81" spans="1:16" x14ac:dyDescent="0.25">
      <c r="A81">
        <v>12</v>
      </c>
      <c r="B81" s="1">
        <f t="shared" ref="B81:K81" si="7">B9/B$71</f>
        <v>3.4246575342465752E-3</v>
      </c>
      <c r="C81" s="1">
        <f t="shared" si="7"/>
        <v>0</v>
      </c>
      <c r="D81" s="1">
        <f t="shared" si="7"/>
        <v>8.23045267489712E-3</v>
      </c>
      <c r="E81" s="1">
        <f t="shared" si="7"/>
        <v>0</v>
      </c>
      <c r="F81" s="1">
        <f t="shared" si="7"/>
        <v>1.1831985801617037E-3</v>
      </c>
      <c r="G81" s="1">
        <f t="shared" si="7"/>
        <v>0</v>
      </c>
      <c r="H81" s="1">
        <f t="shared" si="7"/>
        <v>1.0626992561105207E-3</v>
      </c>
      <c r="I81" s="1">
        <f t="shared" si="7"/>
        <v>0</v>
      </c>
      <c r="J81" s="1">
        <f t="shared" si="7"/>
        <v>0</v>
      </c>
      <c r="K81" s="1">
        <f t="shared" si="7"/>
        <v>1.6260162601626018E-2</v>
      </c>
      <c r="P81" t="s">
        <v>1617</v>
      </c>
    </row>
    <row r="82" spans="1:16" x14ac:dyDescent="0.25">
      <c r="A82">
        <v>13</v>
      </c>
      <c r="B82" s="1">
        <f t="shared" ref="B82:K82" si="8">B10/B$71</f>
        <v>3.4246575342465752E-3</v>
      </c>
      <c r="C82" s="1">
        <f t="shared" si="8"/>
        <v>2.3809523809523808E-2</v>
      </c>
      <c r="D82" s="1">
        <f t="shared" si="8"/>
        <v>4.11522633744856E-3</v>
      </c>
      <c r="E82" s="1">
        <f t="shared" si="8"/>
        <v>6.8259385665529011E-3</v>
      </c>
      <c r="F82" s="1">
        <f t="shared" si="8"/>
        <v>5.1271938473673832E-3</v>
      </c>
      <c r="G82" s="1">
        <f t="shared" si="8"/>
        <v>0</v>
      </c>
      <c r="H82" s="1">
        <f t="shared" si="8"/>
        <v>1.5940488841657812E-2</v>
      </c>
      <c r="I82" s="1">
        <f t="shared" si="8"/>
        <v>2.6041666666666665E-3</v>
      </c>
      <c r="J82" s="1">
        <f t="shared" si="8"/>
        <v>0</v>
      </c>
      <c r="K82" s="1">
        <f t="shared" si="8"/>
        <v>0</v>
      </c>
      <c r="P82" t="s">
        <v>1618</v>
      </c>
    </row>
    <row r="83" spans="1:16" x14ac:dyDescent="0.25">
      <c r="A83">
        <v>15</v>
      </c>
      <c r="B83" s="1">
        <f t="shared" ref="B83:K83" si="9">B11/B$71</f>
        <v>1.7123287671232876E-3</v>
      </c>
      <c r="C83" s="1">
        <f t="shared" si="9"/>
        <v>0</v>
      </c>
      <c r="D83" s="1">
        <f t="shared" si="9"/>
        <v>0</v>
      </c>
      <c r="E83" s="1">
        <f t="shared" si="9"/>
        <v>0</v>
      </c>
      <c r="F83" s="1">
        <f t="shared" si="9"/>
        <v>1.7747978702425558E-3</v>
      </c>
      <c r="G83" s="1">
        <f t="shared" si="9"/>
        <v>0</v>
      </c>
      <c r="H83" s="1">
        <f t="shared" si="9"/>
        <v>0</v>
      </c>
      <c r="I83" s="1">
        <f t="shared" si="9"/>
        <v>0</v>
      </c>
      <c r="J83" s="1">
        <f t="shared" si="9"/>
        <v>0</v>
      </c>
      <c r="K83" s="1">
        <f t="shared" si="9"/>
        <v>0</v>
      </c>
      <c r="P83" t="s">
        <v>1619</v>
      </c>
    </row>
    <row r="84" spans="1:16" x14ac:dyDescent="0.25">
      <c r="A84">
        <v>16</v>
      </c>
      <c r="B84" s="1">
        <f t="shared" ref="B84:K84" si="10">B12/B$71</f>
        <v>6.8493150684931503E-3</v>
      </c>
      <c r="C84" s="1">
        <f t="shared" si="10"/>
        <v>0</v>
      </c>
      <c r="D84" s="1">
        <f t="shared" si="10"/>
        <v>4.11522633744856E-3</v>
      </c>
      <c r="E84" s="1">
        <f t="shared" si="10"/>
        <v>3.4129692832764505E-3</v>
      </c>
      <c r="F84" s="1">
        <f t="shared" si="10"/>
        <v>3.7467955038453953E-3</v>
      </c>
      <c r="G84" s="1">
        <f t="shared" si="10"/>
        <v>0</v>
      </c>
      <c r="H84" s="1">
        <f t="shared" si="10"/>
        <v>1.0626992561105207E-3</v>
      </c>
      <c r="I84" s="1">
        <f t="shared" si="10"/>
        <v>0</v>
      </c>
      <c r="J84" s="1">
        <f t="shared" si="10"/>
        <v>0</v>
      </c>
      <c r="K84" s="1">
        <f t="shared" si="10"/>
        <v>0</v>
      </c>
      <c r="P84" t="s">
        <v>1620</v>
      </c>
    </row>
    <row r="85" spans="1:16" x14ac:dyDescent="0.25">
      <c r="A85">
        <v>17</v>
      </c>
      <c r="B85" s="1">
        <f t="shared" ref="B85:K85" si="11">B13/B$71</f>
        <v>0</v>
      </c>
      <c r="C85" s="1">
        <f t="shared" si="11"/>
        <v>4.7619047619047616E-2</v>
      </c>
      <c r="D85" s="1">
        <f t="shared" si="11"/>
        <v>8.23045267489712E-3</v>
      </c>
      <c r="E85" s="1">
        <f t="shared" si="11"/>
        <v>0</v>
      </c>
      <c r="F85" s="1">
        <f t="shared" si="11"/>
        <v>1.2029185564977321E-2</v>
      </c>
      <c r="G85" s="1">
        <f t="shared" si="11"/>
        <v>3.125E-2</v>
      </c>
      <c r="H85" s="1">
        <f t="shared" si="11"/>
        <v>5.3134962805526037E-3</v>
      </c>
      <c r="I85" s="1">
        <f t="shared" si="11"/>
        <v>1.736111111111111E-3</v>
      </c>
      <c r="J85" s="1">
        <f t="shared" si="11"/>
        <v>0</v>
      </c>
      <c r="K85" s="1">
        <f t="shared" si="11"/>
        <v>0</v>
      </c>
      <c r="P85" t="s">
        <v>1621</v>
      </c>
    </row>
    <row r="86" spans="1:16" x14ac:dyDescent="0.25">
      <c r="A86">
        <v>18</v>
      </c>
      <c r="B86" s="1">
        <f t="shared" ref="B86:K86" si="12">B14/B$71</f>
        <v>0</v>
      </c>
      <c r="C86" s="1">
        <f t="shared" si="12"/>
        <v>0</v>
      </c>
      <c r="D86" s="1">
        <f t="shared" si="12"/>
        <v>8.23045267489712E-3</v>
      </c>
      <c r="E86" s="1">
        <f t="shared" si="12"/>
        <v>0</v>
      </c>
      <c r="F86" s="1">
        <f t="shared" si="12"/>
        <v>3.7467955038453953E-3</v>
      </c>
      <c r="G86" s="1">
        <f t="shared" si="12"/>
        <v>0</v>
      </c>
      <c r="H86" s="1">
        <f t="shared" si="12"/>
        <v>0</v>
      </c>
      <c r="I86" s="1">
        <f t="shared" si="12"/>
        <v>2.6041666666666665E-3</v>
      </c>
      <c r="J86" s="1">
        <f t="shared" si="12"/>
        <v>3.7313432835820895E-3</v>
      </c>
      <c r="K86" s="1">
        <f t="shared" si="12"/>
        <v>8.130081300813009E-3</v>
      </c>
      <c r="P86" t="s">
        <v>1622</v>
      </c>
    </row>
    <row r="87" spans="1:16" x14ac:dyDescent="0.25">
      <c r="A87">
        <v>19</v>
      </c>
      <c r="B87" s="1">
        <f t="shared" ref="B87:K87" si="13">B15/B$71</f>
        <v>0</v>
      </c>
      <c r="C87" s="1">
        <f t="shared" si="13"/>
        <v>0</v>
      </c>
      <c r="D87" s="1">
        <f t="shared" si="13"/>
        <v>0</v>
      </c>
      <c r="E87" s="1">
        <f t="shared" si="13"/>
        <v>0</v>
      </c>
      <c r="F87" s="1">
        <f t="shared" si="13"/>
        <v>7.8879905344113592E-4</v>
      </c>
      <c r="G87" s="1">
        <f t="shared" si="13"/>
        <v>3.125E-2</v>
      </c>
      <c r="H87" s="1">
        <f t="shared" si="13"/>
        <v>0</v>
      </c>
      <c r="I87" s="1">
        <f t="shared" si="13"/>
        <v>0</v>
      </c>
      <c r="J87" s="1">
        <f t="shared" si="13"/>
        <v>0</v>
      </c>
      <c r="K87" s="1">
        <f t="shared" si="13"/>
        <v>0</v>
      </c>
      <c r="P87" t="s">
        <v>1623</v>
      </c>
    </row>
    <row r="88" spans="1:16" x14ac:dyDescent="0.25">
      <c r="A88">
        <v>21</v>
      </c>
      <c r="B88" s="1">
        <f t="shared" ref="B88:K88" si="14">B16/B$71</f>
        <v>0</v>
      </c>
      <c r="C88" s="1">
        <f t="shared" si="14"/>
        <v>2.3809523809523808E-2</v>
      </c>
      <c r="D88" s="1">
        <f t="shared" si="14"/>
        <v>8.23045267489712E-3</v>
      </c>
      <c r="E88" s="1">
        <f t="shared" si="14"/>
        <v>0</v>
      </c>
      <c r="F88" s="1">
        <f t="shared" si="14"/>
        <v>1.9719976336028395E-3</v>
      </c>
      <c r="G88" s="1">
        <f t="shared" si="14"/>
        <v>0</v>
      </c>
      <c r="H88" s="1">
        <f t="shared" si="14"/>
        <v>4.2507970244420826E-3</v>
      </c>
      <c r="I88" s="1">
        <f t="shared" si="14"/>
        <v>2.6041666666666665E-3</v>
      </c>
      <c r="J88" s="1">
        <f t="shared" si="14"/>
        <v>0</v>
      </c>
      <c r="K88" s="1">
        <f t="shared" si="14"/>
        <v>0</v>
      </c>
      <c r="P88" t="s">
        <v>1626</v>
      </c>
    </row>
    <row r="89" spans="1:16" x14ac:dyDescent="0.25">
      <c r="A89">
        <v>22</v>
      </c>
      <c r="B89" s="1">
        <f t="shared" ref="B89:K89" si="15">B17/B$71</f>
        <v>1.7123287671232876E-3</v>
      </c>
      <c r="C89" s="1">
        <f t="shared" si="15"/>
        <v>0</v>
      </c>
      <c r="D89" s="1">
        <f t="shared" si="15"/>
        <v>0</v>
      </c>
      <c r="E89" s="1">
        <f t="shared" si="15"/>
        <v>0</v>
      </c>
      <c r="F89" s="1">
        <f t="shared" si="15"/>
        <v>6.7047919542496549E-3</v>
      </c>
      <c r="G89" s="1">
        <f t="shared" si="15"/>
        <v>0</v>
      </c>
      <c r="H89" s="1">
        <f t="shared" si="15"/>
        <v>4.2507970244420826E-3</v>
      </c>
      <c r="I89" s="1">
        <f t="shared" si="15"/>
        <v>6.076388888888889E-3</v>
      </c>
      <c r="J89" s="1">
        <f t="shared" si="15"/>
        <v>1.1194029850746268E-2</v>
      </c>
      <c r="K89" s="1">
        <f t="shared" si="15"/>
        <v>8.130081300813009E-3</v>
      </c>
      <c r="P89" t="s">
        <v>1627</v>
      </c>
    </row>
    <row r="90" spans="1:16" x14ac:dyDescent="0.25">
      <c r="A90">
        <v>30</v>
      </c>
      <c r="B90" s="1">
        <f t="shared" ref="B90:K90" si="16">B18/B$71</f>
        <v>9.0753424657534248E-2</v>
      </c>
      <c r="C90" s="1">
        <f t="shared" si="16"/>
        <v>0.16666666666666666</v>
      </c>
      <c r="D90" s="1">
        <f t="shared" si="16"/>
        <v>8.2304526748971193E-2</v>
      </c>
      <c r="E90" s="1">
        <f t="shared" si="16"/>
        <v>1.3651877133105802E-2</v>
      </c>
      <c r="F90" s="1">
        <f t="shared" si="16"/>
        <v>9.6627884046539145E-2</v>
      </c>
      <c r="G90" s="1">
        <f t="shared" si="16"/>
        <v>6.25E-2</v>
      </c>
      <c r="H90" s="1">
        <f t="shared" si="16"/>
        <v>0.12327311370882041</v>
      </c>
      <c r="I90" s="1">
        <f t="shared" si="16"/>
        <v>5.6423611111111112E-2</v>
      </c>
      <c r="J90" s="1">
        <f t="shared" si="16"/>
        <v>0.16791044776119404</v>
      </c>
      <c r="K90" s="1">
        <f t="shared" si="16"/>
        <v>8.1300813008130079E-2</v>
      </c>
      <c r="P90" t="s">
        <v>1628</v>
      </c>
    </row>
    <row r="91" spans="1:16" x14ac:dyDescent="0.25">
      <c r="A91">
        <v>31</v>
      </c>
      <c r="B91" s="1">
        <f t="shared" ref="B91:K91" si="17">B19/B$71</f>
        <v>3.4246575342465752E-3</v>
      </c>
      <c r="C91" s="1">
        <f t="shared" si="17"/>
        <v>0</v>
      </c>
      <c r="D91" s="1">
        <f t="shared" si="17"/>
        <v>4.11522633744856E-3</v>
      </c>
      <c r="E91" s="1">
        <f t="shared" si="17"/>
        <v>0</v>
      </c>
      <c r="F91" s="1">
        <f t="shared" si="17"/>
        <v>5.9159929008085186E-4</v>
      </c>
      <c r="G91" s="1">
        <f t="shared" si="17"/>
        <v>0</v>
      </c>
      <c r="H91" s="1">
        <f t="shared" si="17"/>
        <v>0</v>
      </c>
      <c r="I91" s="1">
        <f t="shared" si="17"/>
        <v>1.736111111111111E-3</v>
      </c>
      <c r="J91" s="1">
        <f t="shared" si="17"/>
        <v>3.7313432835820895E-3</v>
      </c>
      <c r="K91" s="1">
        <f t="shared" si="17"/>
        <v>0</v>
      </c>
      <c r="P91" t="s">
        <v>1629</v>
      </c>
    </row>
    <row r="92" spans="1:16" x14ac:dyDescent="0.25">
      <c r="A92">
        <v>32</v>
      </c>
      <c r="B92" s="1">
        <f t="shared" ref="B92:K92" si="18">B20/B$71</f>
        <v>3.4246575342465752E-3</v>
      </c>
      <c r="C92" s="1">
        <f t="shared" si="18"/>
        <v>0</v>
      </c>
      <c r="D92" s="1">
        <f t="shared" si="18"/>
        <v>0</v>
      </c>
      <c r="E92" s="1">
        <f t="shared" si="18"/>
        <v>3.4129692832764505E-3</v>
      </c>
      <c r="F92" s="1">
        <f t="shared" si="18"/>
        <v>2.3663971603234074E-3</v>
      </c>
      <c r="G92" s="1">
        <f t="shared" si="18"/>
        <v>0</v>
      </c>
      <c r="H92" s="1">
        <f t="shared" si="18"/>
        <v>3.188097768331562E-3</v>
      </c>
      <c r="I92" s="1">
        <f t="shared" si="18"/>
        <v>8.6805555555555551E-4</v>
      </c>
      <c r="J92" s="1">
        <f t="shared" si="18"/>
        <v>0</v>
      </c>
      <c r="K92" s="1">
        <f t="shared" si="18"/>
        <v>0</v>
      </c>
      <c r="P92" t="s">
        <v>1630</v>
      </c>
    </row>
    <row r="93" spans="1:16" x14ac:dyDescent="0.25">
      <c r="A93">
        <v>33</v>
      </c>
      <c r="B93" s="1">
        <f t="shared" ref="B93:K93" si="19">B21/B$71</f>
        <v>2.2260273972602738E-2</v>
      </c>
      <c r="C93" s="1">
        <f t="shared" si="19"/>
        <v>0</v>
      </c>
      <c r="D93" s="1">
        <f t="shared" si="19"/>
        <v>4.11522633744856E-3</v>
      </c>
      <c r="E93" s="1">
        <f t="shared" si="19"/>
        <v>0</v>
      </c>
      <c r="F93" s="1">
        <f t="shared" si="19"/>
        <v>3.7467955038453953E-3</v>
      </c>
      <c r="G93" s="1">
        <f t="shared" si="19"/>
        <v>3.125E-2</v>
      </c>
      <c r="H93" s="1">
        <f t="shared" si="19"/>
        <v>1.0626992561105207E-2</v>
      </c>
      <c r="I93" s="1">
        <f t="shared" si="19"/>
        <v>5.208333333333333E-3</v>
      </c>
      <c r="J93" s="1">
        <f t="shared" si="19"/>
        <v>0</v>
      </c>
      <c r="K93" s="1">
        <f t="shared" si="19"/>
        <v>8.130081300813009E-3</v>
      </c>
      <c r="P93" t="s">
        <v>1631</v>
      </c>
    </row>
    <row r="94" spans="1:16" x14ac:dyDescent="0.25">
      <c r="A94">
        <v>36</v>
      </c>
      <c r="B94" s="1">
        <f t="shared" ref="B94:K94" si="20">B22/B$71</f>
        <v>8.5616438356164379E-3</v>
      </c>
      <c r="C94" s="1">
        <f t="shared" si="20"/>
        <v>0</v>
      </c>
      <c r="D94" s="1">
        <f t="shared" si="20"/>
        <v>0</v>
      </c>
      <c r="E94" s="1">
        <f t="shared" si="20"/>
        <v>2.3890784982935155E-2</v>
      </c>
      <c r="F94" s="1">
        <f t="shared" si="20"/>
        <v>8.2823900611319265E-3</v>
      </c>
      <c r="G94" s="1">
        <f t="shared" si="20"/>
        <v>0</v>
      </c>
      <c r="H94" s="1">
        <f t="shared" si="20"/>
        <v>8.5015940488841653E-3</v>
      </c>
      <c r="I94" s="1">
        <f t="shared" si="20"/>
        <v>1.0416666666666666E-2</v>
      </c>
      <c r="J94" s="1">
        <f t="shared" si="20"/>
        <v>3.3582089552238806E-2</v>
      </c>
      <c r="K94" s="1">
        <f t="shared" si="20"/>
        <v>1.6260162601626018E-2</v>
      </c>
      <c r="P94" t="s">
        <v>1632</v>
      </c>
    </row>
    <row r="95" spans="1:16" x14ac:dyDescent="0.25">
      <c r="A95">
        <v>37</v>
      </c>
      <c r="B95" s="1">
        <f t="shared" ref="B95:K95" si="21">B23/B$71</f>
        <v>1.7123287671232876E-3</v>
      </c>
      <c r="C95" s="1">
        <f t="shared" si="21"/>
        <v>0</v>
      </c>
      <c r="D95" s="1">
        <f t="shared" si="21"/>
        <v>0</v>
      </c>
      <c r="E95" s="1">
        <f t="shared" si="21"/>
        <v>0</v>
      </c>
      <c r="F95" s="1">
        <f t="shared" si="21"/>
        <v>2.5635969236836916E-3</v>
      </c>
      <c r="G95" s="1">
        <f t="shared" si="21"/>
        <v>0</v>
      </c>
      <c r="H95" s="1">
        <f t="shared" si="21"/>
        <v>5.3134962805526037E-3</v>
      </c>
      <c r="I95" s="1">
        <f t="shared" si="21"/>
        <v>5.208333333333333E-3</v>
      </c>
      <c r="J95" s="1">
        <f t="shared" si="21"/>
        <v>0</v>
      </c>
      <c r="K95" s="1">
        <f t="shared" si="21"/>
        <v>0</v>
      </c>
      <c r="P95" t="s">
        <v>1633</v>
      </c>
    </row>
    <row r="96" spans="1:16" x14ac:dyDescent="0.25">
      <c r="A96">
        <v>38</v>
      </c>
      <c r="B96" s="1">
        <f t="shared" ref="B96:K96" si="22">B24/B$71</f>
        <v>6.8493150684931503E-3</v>
      </c>
      <c r="C96" s="1">
        <f t="shared" si="22"/>
        <v>2.3809523809523808E-2</v>
      </c>
      <c r="D96" s="1">
        <f t="shared" si="22"/>
        <v>2.8806584362139918E-2</v>
      </c>
      <c r="E96" s="1">
        <f t="shared" si="22"/>
        <v>1.3651877133105802E-2</v>
      </c>
      <c r="F96" s="1">
        <f t="shared" si="22"/>
        <v>3.9439952672056791E-3</v>
      </c>
      <c r="G96" s="1">
        <f t="shared" si="22"/>
        <v>3.125E-2</v>
      </c>
      <c r="H96" s="1">
        <f t="shared" si="22"/>
        <v>5.3134962805526037E-3</v>
      </c>
      <c r="I96" s="1">
        <f t="shared" si="22"/>
        <v>6.9444444444444441E-3</v>
      </c>
      <c r="J96" s="1">
        <f t="shared" si="22"/>
        <v>1.1194029850746268E-2</v>
      </c>
      <c r="K96" s="1">
        <f t="shared" si="22"/>
        <v>0</v>
      </c>
      <c r="P96" t="s">
        <v>1634</v>
      </c>
    </row>
    <row r="97" spans="1:16" x14ac:dyDescent="0.25">
      <c r="A97">
        <v>39</v>
      </c>
      <c r="B97" s="1">
        <f t="shared" ref="B97:K97" si="23">B25/B$71</f>
        <v>1.7123287671232876E-3</v>
      </c>
      <c r="C97" s="1">
        <f t="shared" si="23"/>
        <v>0</v>
      </c>
      <c r="D97" s="1">
        <f t="shared" si="23"/>
        <v>8.23045267489712E-3</v>
      </c>
      <c r="E97" s="1">
        <f t="shared" si="23"/>
        <v>3.4129692832764505E-3</v>
      </c>
      <c r="F97" s="1">
        <f t="shared" si="23"/>
        <v>6.1131926641688032E-3</v>
      </c>
      <c r="G97" s="1">
        <f t="shared" si="23"/>
        <v>0</v>
      </c>
      <c r="H97" s="1">
        <f t="shared" si="23"/>
        <v>8.5015940488841653E-3</v>
      </c>
      <c r="I97" s="1">
        <f t="shared" si="23"/>
        <v>1.3888888888888888E-2</v>
      </c>
      <c r="J97" s="1">
        <f t="shared" si="23"/>
        <v>0</v>
      </c>
      <c r="K97" s="1">
        <f t="shared" si="23"/>
        <v>1.6260162601626018E-2</v>
      </c>
      <c r="P97" t="s">
        <v>1635</v>
      </c>
    </row>
    <row r="98" spans="1:16" x14ac:dyDescent="0.25">
      <c r="A98">
        <v>41</v>
      </c>
      <c r="B98" s="1">
        <f t="shared" ref="B98:K98" si="24">B26/B$71</f>
        <v>1.8835616438356163E-2</v>
      </c>
      <c r="C98" s="1">
        <f t="shared" si="24"/>
        <v>2.3809523809523808E-2</v>
      </c>
      <c r="D98" s="1">
        <f t="shared" si="24"/>
        <v>2.4691358024691357E-2</v>
      </c>
      <c r="E98" s="1">
        <f t="shared" si="24"/>
        <v>3.4129692832764505E-3</v>
      </c>
      <c r="F98" s="1">
        <f t="shared" si="24"/>
        <v>5.0088739893512126E-2</v>
      </c>
      <c r="G98" s="1">
        <f t="shared" si="24"/>
        <v>0</v>
      </c>
      <c r="H98" s="1">
        <f t="shared" si="24"/>
        <v>4.5696068012752389E-2</v>
      </c>
      <c r="I98" s="1">
        <f t="shared" si="24"/>
        <v>5.0347222222222224E-2</v>
      </c>
      <c r="J98" s="1">
        <f t="shared" si="24"/>
        <v>4.1044776119402986E-2</v>
      </c>
      <c r="K98" s="1">
        <f t="shared" si="24"/>
        <v>6.5040650406504072E-2</v>
      </c>
      <c r="P98" t="s">
        <v>1636</v>
      </c>
    </row>
    <row r="99" spans="1:16" x14ac:dyDescent="0.25">
      <c r="A99">
        <v>42</v>
      </c>
      <c r="B99" s="1">
        <f t="shared" ref="B99:K99" si="25">B27/B$71</f>
        <v>0</v>
      </c>
      <c r="C99" s="1">
        <f t="shared" si="25"/>
        <v>0</v>
      </c>
      <c r="D99" s="1">
        <f t="shared" si="25"/>
        <v>0</v>
      </c>
      <c r="E99" s="1">
        <f t="shared" si="25"/>
        <v>0</v>
      </c>
      <c r="F99" s="1">
        <f t="shared" si="25"/>
        <v>3.9439952672056796E-4</v>
      </c>
      <c r="G99" s="1">
        <f t="shared" si="25"/>
        <v>0</v>
      </c>
      <c r="H99" s="1">
        <f t="shared" si="25"/>
        <v>0</v>
      </c>
      <c r="I99" s="1">
        <f t="shared" si="25"/>
        <v>8.6805555555555551E-4</v>
      </c>
      <c r="J99" s="1">
        <f t="shared" si="25"/>
        <v>0</v>
      </c>
      <c r="K99" s="1">
        <f t="shared" si="25"/>
        <v>0</v>
      </c>
      <c r="P99" t="s">
        <v>1637</v>
      </c>
    </row>
    <row r="100" spans="1:16" x14ac:dyDescent="0.25">
      <c r="A100">
        <v>43</v>
      </c>
      <c r="B100" s="1">
        <f t="shared" ref="B100:K100" si="26">B28/B$71</f>
        <v>8.5616438356164379E-3</v>
      </c>
      <c r="C100" s="1">
        <f t="shared" si="26"/>
        <v>0</v>
      </c>
      <c r="D100" s="1">
        <f t="shared" si="26"/>
        <v>1.646090534979424E-2</v>
      </c>
      <c r="E100" s="1">
        <f t="shared" si="26"/>
        <v>0</v>
      </c>
      <c r="F100" s="1">
        <f t="shared" si="26"/>
        <v>2.09031749161901E-2</v>
      </c>
      <c r="G100" s="1">
        <f t="shared" si="26"/>
        <v>0</v>
      </c>
      <c r="H100" s="1">
        <f t="shared" si="26"/>
        <v>2.975557917109458E-2</v>
      </c>
      <c r="I100" s="1">
        <f t="shared" si="26"/>
        <v>2.0833333333333332E-2</v>
      </c>
      <c r="J100" s="1">
        <f t="shared" si="26"/>
        <v>7.462686567164179E-3</v>
      </c>
      <c r="K100" s="1">
        <f t="shared" si="26"/>
        <v>0</v>
      </c>
      <c r="P100" t="s">
        <v>1638</v>
      </c>
    </row>
    <row r="101" spans="1:16" x14ac:dyDescent="0.25">
      <c r="A101">
        <v>44</v>
      </c>
      <c r="B101" s="1">
        <f t="shared" ref="B101:K101" si="27">B29/B$71</f>
        <v>3.4246575342465752E-3</v>
      </c>
      <c r="C101" s="1">
        <f t="shared" si="27"/>
        <v>0</v>
      </c>
      <c r="D101" s="1">
        <f t="shared" si="27"/>
        <v>3.292181069958848E-2</v>
      </c>
      <c r="E101" s="1">
        <f t="shared" si="27"/>
        <v>0</v>
      </c>
      <c r="F101" s="1">
        <f t="shared" si="27"/>
        <v>7.4935910076907907E-3</v>
      </c>
      <c r="G101" s="1">
        <f t="shared" si="27"/>
        <v>3.125E-2</v>
      </c>
      <c r="H101" s="1">
        <f t="shared" si="27"/>
        <v>9.5642933049946872E-3</v>
      </c>
      <c r="I101" s="1">
        <f t="shared" si="27"/>
        <v>2.6041666666666665E-3</v>
      </c>
      <c r="J101" s="1">
        <f t="shared" si="27"/>
        <v>0</v>
      </c>
      <c r="K101" s="1">
        <f t="shared" si="27"/>
        <v>8.130081300813009E-3</v>
      </c>
      <c r="P101" t="s">
        <v>1639</v>
      </c>
    </row>
    <row r="102" spans="1:16" x14ac:dyDescent="0.25">
      <c r="A102">
        <v>45</v>
      </c>
      <c r="B102" s="1">
        <f t="shared" ref="B102:K102" si="28">B30/B$71</f>
        <v>3.4246575342465752E-3</v>
      </c>
      <c r="C102" s="1">
        <f t="shared" si="28"/>
        <v>2.3809523809523808E-2</v>
      </c>
      <c r="D102" s="1">
        <f t="shared" si="28"/>
        <v>8.23045267489712E-3</v>
      </c>
      <c r="E102" s="1">
        <f t="shared" si="28"/>
        <v>1.0238907849829351E-2</v>
      </c>
      <c r="F102" s="1">
        <f t="shared" si="28"/>
        <v>7.8879905344113582E-3</v>
      </c>
      <c r="G102" s="1">
        <f t="shared" si="28"/>
        <v>0</v>
      </c>
      <c r="H102" s="1">
        <f t="shared" si="28"/>
        <v>2.763018065887354E-2</v>
      </c>
      <c r="I102" s="1">
        <f t="shared" si="28"/>
        <v>5.208333333333333E-3</v>
      </c>
      <c r="J102" s="1">
        <f t="shared" si="28"/>
        <v>1.4925373134328358E-2</v>
      </c>
      <c r="K102" s="1">
        <f t="shared" si="28"/>
        <v>2.4390243902439025E-2</v>
      </c>
      <c r="P102" t="s">
        <v>1640</v>
      </c>
    </row>
    <row r="103" spans="1:16" x14ac:dyDescent="0.25">
      <c r="A103">
        <v>51</v>
      </c>
      <c r="B103" s="1">
        <f t="shared" ref="B103:K103" si="29">B31/B$71</f>
        <v>0</v>
      </c>
      <c r="C103" s="1">
        <f t="shared" si="29"/>
        <v>0</v>
      </c>
      <c r="D103" s="1">
        <f t="shared" si="29"/>
        <v>0</v>
      </c>
      <c r="E103" s="1">
        <f t="shared" si="29"/>
        <v>0</v>
      </c>
      <c r="F103" s="1">
        <f t="shared" si="29"/>
        <v>2.7607966870439754E-3</v>
      </c>
      <c r="G103" s="1">
        <f t="shared" si="29"/>
        <v>0</v>
      </c>
      <c r="H103" s="1">
        <f t="shared" si="29"/>
        <v>1.0626992561105207E-3</v>
      </c>
      <c r="I103" s="1">
        <f t="shared" si="29"/>
        <v>2.6041666666666665E-3</v>
      </c>
      <c r="J103" s="1">
        <f t="shared" si="29"/>
        <v>0</v>
      </c>
      <c r="K103" s="1">
        <f t="shared" si="29"/>
        <v>0</v>
      </c>
      <c r="P103" t="s">
        <v>1641</v>
      </c>
    </row>
    <row r="104" spans="1:16" x14ac:dyDescent="0.25">
      <c r="A104">
        <v>53</v>
      </c>
      <c r="B104" s="1">
        <f t="shared" ref="B104:K104" si="30">B32/B$71</f>
        <v>8.5616438356164379E-3</v>
      </c>
      <c r="C104" s="1">
        <f t="shared" si="30"/>
        <v>2.3809523809523808E-2</v>
      </c>
      <c r="D104" s="1">
        <f t="shared" si="30"/>
        <v>4.11522633744856E-3</v>
      </c>
      <c r="E104" s="1">
        <f t="shared" si="30"/>
        <v>0</v>
      </c>
      <c r="F104" s="1">
        <f t="shared" si="30"/>
        <v>1.3212384145139026E-2</v>
      </c>
      <c r="G104" s="1">
        <f t="shared" si="30"/>
        <v>3.125E-2</v>
      </c>
      <c r="H104" s="1">
        <f t="shared" si="30"/>
        <v>1.2752391073326248E-2</v>
      </c>
      <c r="I104" s="1">
        <f t="shared" si="30"/>
        <v>1.9097222222222224E-2</v>
      </c>
      <c r="J104" s="1">
        <f t="shared" si="30"/>
        <v>0</v>
      </c>
      <c r="K104" s="1">
        <f t="shared" si="30"/>
        <v>8.130081300813009E-3</v>
      </c>
      <c r="P104" t="s">
        <v>1642</v>
      </c>
    </row>
    <row r="105" spans="1:16" x14ac:dyDescent="0.25">
      <c r="A105">
        <v>54</v>
      </c>
      <c r="B105" s="1">
        <f t="shared" ref="B105:K105" si="31">B33/B$71</f>
        <v>1.7123287671232876E-3</v>
      </c>
      <c r="C105" s="1">
        <f t="shared" si="31"/>
        <v>0</v>
      </c>
      <c r="D105" s="1">
        <f t="shared" si="31"/>
        <v>0</v>
      </c>
      <c r="E105" s="1">
        <f t="shared" si="31"/>
        <v>0</v>
      </c>
      <c r="F105" s="1">
        <f t="shared" si="31"/>
        <v>1.2817984618418458E-2</v>
      </c>
      <c r="G105" s="1">
        <f t="shared" si="31"/>
        <v>0</v>
      </c>
      <c r="H105" s="1">
        <f t="shared" si="31"/>
        <v>8.5015940488841653E-3</v>
      </c>
      <c r="I105" s="1">
        <f t="shared" si="31"/>
        <v>1.0416666666666666E-2</v>
      </c>
      <c r="J105" s="1">
        <f t="shared" si="31"/>
        <v>0</v>
      </c>
      <c r="K105" s="1">
        <f t="shared" si="31"/>
        <v>0</v>
      </c>
      <c r="P105" t="s">
        <v>1643</v>
      </c>
    </row>
    <row r="106" spans="1:16" x14ac:dyDescent="0.25">
      <c r="A106">
        <v>55</v>
      </c>
      <c r="B106" s="1">
        <f t="shared" ref="B106:K106" si="32">B34/B$71</f>
        <v>0</v>
      </c>
      <c r="C106" s="1">
        <f t="shared" si="32"/>
        <v>0</v>
      </c>
      <c r="D106" s="1">
        <f t="shared" si="32"/>
        <v>8.23045267489712E-3</v>
      </c>
      <c r="E106" s="1">
        <f t="shared" si="32"/>
        <v>3.4129692832764505E-3</v>
      </c>
      <c r="F106" s="1">
        <f t="shared" si="32"/>
        <v>6.7047919542496549E-3</v>
      </c>
      <c r="G106" s="1">
        <f t="shared" si="32"/>
        <v>0</v>
      </c>
      <c r="H106" s="1">
        <f t="shared" si="32"/>
        <v>4.2507970244420826E-3</v>
      </c>
      <c r="I106" s="1">
        <f t="shared" si="32"/>
        <v>3.472222222222222E-3</v>
      </c>
      <c r="J106" s="1">
        <f t="shared" si="32"/>
        <v>0</v>
      </c>
      <c r="K106" s="1">
        <f t="shared" si="32"/>
        <v>0</v>
      </c>
      <c r="P106" t="s">
        <v>1644</v>
      </c>
    </row>
    <row r="107" spans="1:16" x14ac:dyDescent="0.25">
      <c r="A107">
        <v>56</v>
      </c>
      <c r="B107" s="1">
        <f t="shared" ref="B107:K107" si="33">B35/B$71</f>
        <v>1.7123287671232876E-3</v>
      </c>
      <c r="C107" s="1">
        <f t="shared" si="33"/>
        <v>0</v>
      </c>
      <c r="D107" s="1">
        <f t="shared" si="33"/>
        <v>0</v>
      </c>
      <c r="E107" s="1">
        <f t="shared" si="33"/>
        <v>0</v>
      </c>
      <c r="F107" s="1">
        <f t="shared" si="33"/>
        <v>9.8599881680141977E-4</v>
      </c>
      <c r="G107" s="1">
        <f t="shared" si="33"/>
        <v>0</v>
      </c>
      <c r="H107" s="1">
        <f t="shared" si="33"/>
        <v>0</v>
      </c>
      <c r="I107" s="1">
        <f t="shared" si="33"/>
        <v>8.6805555555555551E-4</v>
      </c>
      <c r="J107" s="1">
        <f t="shared" si="33"/>
        <v>0</v>
      </c>
      <c r="K107" s="1">
        <f t="shared" si="33"/>
        <v>0</v>
      </c>
      <c r="P107" t="s">
        <v>1645</v>
      </c>
    </row>
    <row r="108" spans="1:16" x14ac:dyDescent="0.25">
      <c r="A108">
        <v>57</v>
      </c>
      <c r="B108" s="1">
        <f t="shared" ref="B108:K108" si="34">B36/B$71</f>
        <v>1.7123287671232876E-3</v>
      </c>
      <c r="C108" s="1">
        <f t="shared" si="34"/>
        <v>0</v>
      </c>
      <c r="D108" s="1">
        <f t="shared" si="34"/>
        <v>0</v>
      </c>
      <c r="E108" s="1">
        <f t="shared" si="34"/>
        <v>0</v>
      </c>
      <c r="F108" s="1">
        <f t="shared" si="34"/>
        <v>3.1551962137645437E-3</v>
      </c>
      <c r="G108" s="1">
        <f t="shared" si="34"/>
        <v>0</v>
      </c>
      <c r="H108" s="1">
        <f t="shared" si="34"/>
        <v>4.2507970244420826E-3</v>
      </c>
      <c r="I108" s="1">
        <f t="shared" si="34"/>
        <v>2.6041666666666665E-3</v>
      </c>
      <c r="J108" s="1">
        <f t="shared" si="34"/>
        <v>0</v>
      </c>
      <c r="K108" s="1">
        <f t="shared" si="34"/>
        <v>0</v>
      </c>
      <c r="P108" t="s">
        <v>1646</v>
      </c>
    </row>
    <row r="109" spans="1:16" x14ac:dyDescent="0.25">
      <c r="A109">
        <v>58</v>
      </c>
      <c r="B109" s="1">
        <f t="shared" ref="B109:K109" si="35">B37/B$71</f>
        <v>5.4794520547945202E-2</v>
      </c>
      <c r="C109" s="1">
        <f t="shared" si="35"/>
        <v>0.16666666666666666</v>
      </c>
      <c r="D109" s="1">
        <f t="shared" si="35"/>
        <v>6.1728395061728392E-2</v>
      </c>
      <c r="E109" s="1">
        <f t="shared" si="35"/>
        <v>0.15017064846416384</v>
      </c>
      <c r="F109" s="1">
        <f t="shared" si="35"/>
        <v>7.7893906527312165E-2</v>
      </c>
      <c r="G109" s="1">
        <f t="shared" si="35"/>
        <v>9.375E-2</v>
      </c>
      <c r="H109" s="1">
        <f t="shared" si="35"/>
        <v>0.12114771519659936</v>
      </c>
      <c r="I109" s="1">
        <f t="shared" si="35"/>
        <v>8.3333333333333329E-2</v>
      </c>
      <c r="J109" s="1">
        <f t="shared" si="35"/>
        <v>6.7164179104477612E-2</v>
      </c>
      <c r="K109" s="1">
        <f t="shared" si="35"/>
        <v>5.6910569105691054E-2</v>
      </c>
      <c r="P109" t="s">
        <v>1647</v>
      </c>
    </row>
    <row r="110" spans="1:16" x14ac:dyDescent="0.25">
      <c r="A110">
        <v>59</v>
      </c>
      <c r="B110" s="1">
        <f t="shared" ref="B110:K110" si="36">B38/B$71</f>
        <v>0</v>
      </c>
      <c r="C110" s="1">
        <f t="shared" si="36"/>
        <v>0</v>
      </c>
      <c r="D110" s="1">
        <f t="shared" si="36"/>
        <v>4.11522633744856E-3</v>
      </c>
      <c r="E110" s="1">
        <f t="shared" si="36"/>
        <v>0</v>
      </c>
      <c r="F110" s="1">
        <f t="shared" si="36"/>
        <v>3.7467955038453953E-3</v>
      </c>
      <c r="G110" s="1">
        <f t="shared" si="36"/>
        <v>0</v>
      </c>
      <c r="H110" s="1">
        <f t="shared" si="36"/>
        <v>3.188097768331562E-3</v>
      </c>
      <c r="I110" s="1">
        <f t="shared" si="36"/>
        <v>0</v>
      </c>
      <c r="J110" s="1">
        <f t="shared" si="36"/>
        <v>0</v>
      </c>
      <c r="K110" s="1">
        <f t="shared" si="36"/>
        <v>8.130081300813009E-3</v>
      </c>
      <c r="P110" t="s">
        <v>1648</v>
      </c>
    </row>
    <row r="111" spans="1:16" x14ac:dyDescent="0.25">
      <c r="A111">
        <v>61</v>
      </c>
      <c r="B111" s="1">
        <f t="shared" ref="B111:K111" si="37">B39/B$71</f>
        <v>5.1369863013698627E-3</v>
      </c>
      <c r="C111" s="1">
        <f t="shared" si="37"/>
        <v>4.7619047619047616E-2</v>
      </c>
      <c r="D111" s="1">
        <f t="shared" si="37"/>
        <v>0</v>
      </c>
      <c r="E111" s="1">
        <f t="shared" si="37"/>
        <v>2.7303754266211604E-2</v>
      </c>
      <c r="F111" s="1">
        <f t="shared" si="37"/>
        <v>6.5075921908893707E-3</v>
      </c>
      <c r="G111" s="1">
        <f t="shared" si="37"/>
        <v>3.125E-2</v>
      </c>
      <c r="H111" s="1">
        <f t="shared" si="37"/>
        <v>5.3134962805526037E-3</v>
      </c>
      <c r="I111" s="1">
        <f t="shared" si="37"/>
        <v>3.472222222222222E-3</v>
      </c>
      <c r="J111" s="1">
        <f t="shared" si="37"/>
        <v>3.7313432835820895E-3</v>
      </c>
      <c r="K111" s="1">
        <f t="shared" si="37"/>
        <v>8.130081300813009E-3</v>
      </c>
      <c r="P111" t="s">
        <v>1598</v>
      </c>
    </row>
    <row r="112" spans="1:16" x14ac:dyDescent="0.25">
      <c r="A112">
        <v>62</v>
      </c>
      <c r="B112" s="1">
        <f t="shared" ref="B112:K112" si="38">B40/B$71</f>
        <v>0.24828767123287671</v>
      </c>
      <c r="C112" s="1">
        <f t="shared" si="38"/>
        <v>7.1428571428571425E-2</v>
      </c>
      <c r="D112" s="1">
        <f t="shared" si="38"/>
        <v>0.22222222222222221</v>
      </c>
      <c r="E112" s="1">
        <f t="shared" si="38"/>
        <v>0.61433447098976113</v>
      </c>
      <c r="F112" s="1">
        <f t="shared" si="38"/>
        <v>0.15322421613094064</v>
      </c>
      <c r="G112" s="1">
        <f t="shared" si="38"/>
        <v>0.15625</v>
      </c>
      <c r="H112" s="1">
        <f t="shared" si="38"/>
        <v>0.21253985122210414</v>
      </c>
      <c r="I112" s="1">
        <f t="shared" si="38"/>
        <v>0.1736111111111111</v>
      </c>
      <c r="J112" s="1">
        <f t="shared" si="38"/>
        <v>0.25</v>
      </c>
      <c r="K112" s="1">
        <f t="shared" si="38"/>
        <v>0.12195121951219512</v>
      </c>
      <c r="P112" t="s">
        <v>1649</v>
      </c>
    </row>
    <row r="113" spans="1:16" x14ac:dyDescent="0.25">
      <c r="A113">
        <v>63</v>
      </c>
      <c r="B113" s="1">
        <f t="shared" ref="B113:K113" si="39">B41/B$71</f>
        <v>1.3698630136986301E-2</v>
      </c>
      <c r="C113" s="1">
        <f t="shared" si="39"/>
        <v>0</v>
      </c>
      <c r="D113" s="1">
        <f t="shared" si="39"/>
        <v>2.0576131687242798E-2</v>
      </c>
      <c r="E113" s="1">
        <f t="shared" si="39"/>
        <v>0</v>
      </c>
      <c r="F113" s="1">
        <f t="shared" si="39"/>
        <v>3.9439952672056796E-4</v>
      </c>
      <c r="G113" s="1">
        <f t="shared" si="39"/>
        <v>0</v>
      </c>
      <c r="H113" s="1">
        <f t="shared" si="39"/>
        <v>1.0626992561105207E-3</v>
      </c>
      <c r="I113" s="1">
        <f t="shared" si="39"/>
        <v>2.6041666666666665E-3</v>
      </c>
      <c r="J113" s="1">
        <f t="shared" si="39"/>
        <v>0</v>
      </c>
      <c r="K113" s="1">
        <f t="shared" si="39"/>
        <v>0</v>
      </c>
      <c r="P113" t="s">
        <v>1650</v>
      </c>
    </row>
    <row r="114" spans="1:16" x14ac:dyDescent="0.25">
      <c r="A114">
        <v>64</v>
      </c>
      <c r="B114" s="1">
        <f t="shared" ref="B114:K114" si="40">B42/B$71</f>
        <v>0</v>
      </c>
      <c r="C114" s="1">
        <f t="shared" si="40"/>
        <v>0</v>
      </c>
      <c r="D114" s="1">
        <f t="shared" si="40"/>
        <v>0</v>
      </c>
      <c r="E114" s="1">
        <f t="shared" si="40"/>
        <v>0</v>
      </c>
      <c r="F114" s="1">
        <f t="shared" si="40"/>
        <v>4.3383947939262474E-3</v>
      </c>
      <c r="G114" s="1">
        <f t="shared" si="40"/>
        <v>0</v>
      </c>
      <c r="H114" s="1">
        <f t="shared" si="40"/>
        <v>2.1253985122210413E-3</v>
      </c>
      <c r="I114" s="1">
        <f t="shared" si="40"/>
        <v>2.34375E-2</v>
      </c>
      <c r="J114" s="1">
        <f t="shared" si="40"/>
        <v>0</v>
      </c>
      <c r="K114" s="1">
        <f t="shared" si="40"/>
        <v>0</v>
      </c>
      <c r="P114" t="s">
        <v>1651</v>
      </c>
    </row>
    <row r="115" spans="1:16" x14ac:dyDescent="0.25">
      <c r="A115">
        <v>71</v>
      </c>
      <c r="B115" s="1">
        <f t="shared" ref="B115:K115" si="41">B43/B$71</f>
        <v>3.7671232876712327E-2</v>
      </c>
      <c r="C115" s="1">
        <f t="shared" si="41"/>
        <v>0</v>
      </c>
      <c r="D115" s="1">
        <f t="shared" si="41"/>
        <v>4.5267489711934158E-2</v>
      </c>
      <c r="E115" s="1">
        <f t="shared" si="41"/>
        <v>1.0238907849829351E-2</v>
      </c>
      <c r="F115" s="1">
        <f t="shared" si="41"/>
        <v>1.340958390849931E-2</v>
      </c>
      <c r="G115" s="1">
        <f t="shared" si="41"/>
        <v>0</v>
      </c>
      <c r="H115" s="1">
        <f t="shared" si="41"/>
        <v>8.5015940488841653E-3</v>
      </c>
      <c r="I115" s="1">
        <f t="shared" si="41"/>
        <v>2.9513888888888888E-2</v>
      </c>
      <c r="J115" s="1">
        <f t="shared" si="41"/>
        <v>1.8656716417910446E-2</v>
      </c>
      <c r="K115" s="1">
        <f t="shared" si="41"/>
        <v>9.7560975609756101E-2</v>
      </c>
      <c r="P115" t="s">
        <v>1652</v>
      </c>
    </row>
    <row r="116" spans="1:16" x14ac:dyDescent="0.25">
      <c r="A116">
        <v>72</v>
      </c>
      <c r="B116" s="1">
        <f t="shared" ref="B116:K116" si="42">B44/B$71</f>
        <v>6.8493150684931503E-3</v>
      </c>
      <c r="C116" s="1">
        <f t="shared" si="42"/>
        <v>0</v>
      </c>
      <c r="D116" s="1">
        <f t="shared" si="42"/>
        <v>8.23045267489712E-3</v>
      </c>
      <c r="E116" s="1">
        <f t="shared" si="42"/>
        <v>0</v>
      </c>
      <c r="F116" s="1">
        <f t="shared" si="42"/>
        <v>5.915992900808519E-3</v>
      </c>
      <c r="G116" s="1">
        <f t="shared" si="42"/>
        <v>0</v>
      </c>
      <c r="H116" s="1">
        <f t="shared" si="42"/>
        <v>4.2507970244420826E-3</v>
      </c>
      <c r="I116" s="1">
        <f t="shared" si="42"/>
        <v>9.5486111111111119E-3</v>
      </c>
      <c r="J116" s="1">
        <f t="shared" si="42"/>
        <v>3.7313432835820895E-3</v>
      </c>
      <c r="K116" s="1">
        <f t="shared" si="42"/>
        <v>8.130081300813009E-3</v>
      </c>
      <c r="P116" t="s">
        <v>1653</v>
      </c>
    </row>
    <row r="117" spans="1:16" x14ac:dyDescent="0.25">
      <c r="A117">
        <v>73</v>
      </c>
      <c r="B117" s="1">
        <f t="shared" ref="B117:K117" si="43">B45/B$71</f>
        <v>1.7123287671232876E-3</v>
      </c>
      <c r="C117" s="1">
        <f t="shared" si="43"/>
        <v>0</v>
      </c>
      <c r="D117" s="1">
        <f t="shared" si="43"/>
        <v>4.11522633744856E-3</v>
      </c>
      <c r="E117" s="1">
        <f t="shared" si="43"/>
        <v>0</v>
      </c>
      <c r="F117" s="1">
        <f t="shared" si="43"/>
        <v>3.9439952672056796E-4</v>
      </c>
      <c r="G117" s="1">
        <f t="shared" si="43"/>
        <v>0</v>
      </c>
      <c r="H117" s="1">
        <f t="shared" si="43"/>
        <v>0</v>
      </c>
      <c r="I117" s="1">
        <f t="shared" si="43"/>
        <v>8.6805555555555551E-4</v>
      </c>
      <c r="J117" s="1">
        <f t="shared" si="43"/>
        <v>0</v>
      </c>
      <c r="K117" s="1">
        <f t="shared" si="43"/>
        <v>0</v>
      </c>
      <c r="P117" t="s">
        <v>1654</v>
      </c>
    </row>
    <row r="118" spans="1:16" x14ac:dyDescent="0.25">
      <c r="A118">
        <v>74</v>
      </c>
      <c r="B118" s="1">
        <f t="shared" ref="B118:K118" si="44">B46/B$71</f>
        <v>0</v>
      </c>
      <c r="C118" s="1">
        <f t="shared" si="44"/>
        <v>0</v>
      </c>
      <c r="D118" s="1">
        <f t="shared" si="44"/>
        <v>0</v>
      </c>
      <c r="E118" s="1">
        <f t="shared" si="44"/>
        <v>0</v>
      </c>
      <c r="F118" s="1">
        <f t="shared" si="44"/>
        <v>1.1831985801617037E-3</v>
      </c>
      <c r="G118" s="1">
        <f t="shared" si="44"/>
        <v>0</v>
      </c>
      <c r="H118" s="1">
        <f t="shared" si="44"/>
        <v>0</v>
      </c>
      <c r="I118" s="1">
        <f t="shared" si="44"/>
        <v>1.736111111111111E-3</v>
      </c>
      <c r="J118" s="1">
        <f t="shared" si="44"/>
        <v>3.7313432835820895E-3</v>
      </c>
      <c r="K118" s="1">
        <f t="shared" si="44"/>
        <v>0</v>
      </c>
      <c r="P118" t="s">
        <v>1655</v>
      </c>
    </row>
    <row r="119" spans="1:16" x14ac:dyDescent="0.25">
      <c r="A119">
        <v>75</v>
      </c>
      <c r="B119" s="1">
        <f t="shared" ref="B119:K119" si="45">B47/B$71</f>
        <v>1.7123287671232876E-3</v>
      </c>
      <c r="C119" s="1">
        <f t="shared" si="45"/>
        <v>0</v>
      </c>
      <c r="D119" s="1">
        <f t="shared" si="45"/>
        <v>0</v>
      </c>
      <c r="E119" s="1">
        <f t="shared" si="45"/>
        <v>0</v>
      </c>
      <c r="F119" s="1">
        <f t="shared" si="45"/>
        <v>7.0991914809702232E-3</v>
      </c>
      <c r="G119" s="1">
        <f t="shared" si="45"/>
        <v>0</v>
      </c>
      <c r="H119" s="1">
        <f t="shared" si="45"/>
        <v>2.1253985122210413E-3</v>
      </c>
      <c r="I119" s="1">
        <f t="shared" si="45"/>
        <v>3.472222222222222E-3</v>
      </c>
      <c r="J119" s="1">
        <f t="shared" si="45"/>
        <v>0</v>
      </c>
      <c r="K119" s="1">
        <f t="shared" si="45"/>
        <v>0</v>
      </c>
      <c r="P119" t="s">
        <v>1656</v>
      </c>
    </row>
    <row r="120" spans="1:16" x14ac:dyDescent="0.25">
      <c r="A120">
        <v>76</v>
      </c>
      <c r="B120" s="1">
        <f t="shared" ref="B120:K120" si="46">B48/B$71</f>
        <v>3.4246575342465752E-3</v>
      </c>
      <c r="C120" s="1">
        <f t="shared" si="46"/>
        <v>0</v>
      </c>
      <c r="D120" s="1">
        <f t="shared" si="46"/>
        <v>0</v>
      </c>
      <c r="E120" s="1">
        <f t="shared" si="46"/>
        <v>0</v>
      </c>
      <c r="F120" s="1">
        <f t="shared" si="46"/>
        <v>1.3803983435219877E-3</v>
      </c>
      <c r="G120" s="1">
        <f t="shared" si="46"/>
        <v>0</v>
      </c>
      <c r="H120" s="1">
        <f t="shared" si="46"/>
        <v>1.0626992561105207E-3</v>
      </c>
      <c r="I120" s="1">
        <f t="shared" si="46"/>
        <v>5.208333333333333E-3</v>
      </c>
      <c r="J120" s="1">
        <f t="shared" si="46"/>
        <v>0</v>
      </c>
      <c r="K120" s="1">
        <f t="shared" si="46"/>
        <v>0</v>
      </c>
      <c r="P120" t="s">
        <v>1657</v>
      </c>
    </row>
    <row r="121" spans="1:16" x14ac:dyDescent="0.25">
      <c r="A121">
        <v>77</v>
      </c>
      <c r="B121" s="1">
        <f t="shared" ref="B121:K121" si="47">B49/B$71</f>
        <v>2.9109589041095889E-2</v>
      </c>
      <c r="C121" s="1">
        <f t="shared" si="47"/>
        <v>0</v>
      </c>
      <c r="D121" s="1">
        <f t="shared" si="47"/>
        <v>3.292181069958848E-2</v>
      </c>
      <c r="E121" s="1">
        <f t="shared" si="47"/>
        <v>0</v>
      </c>
      <c r="F121" s="1">
        <f t="shared" si="47"/>
        <v>6.0934726878327745E-2</v>
      </c>
      <c r="G121" s="1">
        <f t="shared" si="47"/>
        <v>0</v>
      </c>
      <c r="H121" s="1">
        <f t="shared" si="47"/>
        <v>1.5940488841657812E-2</v>
      </c>
      <c r="I121" s="1">
        <f t="shared" si="47"/>
        <v>5.8159722222222224E-2</v>
      </c>
      <c r="J121" s="1">
        <f t="shared" si="47"/>
        <v>3.3582089552238806E-2</v>
      </c>
      <c r="K121" s="1">
        <f t="shared" si="47"/>
        <v>5.6910569105691054E-2</v>
      </c>
      <c r="P121" t="s">
        <v>1658</v>
      </c>
    </row>
    <row r="122" spans="1:16" x14ac:dyDescent="0.25">
      <c r="A122">
        <v>78</v>
      </c>
      <c r="B122" s="1">
        <f t="shared" ref="B122:K122" si="48">B50/B$71</f>
        <v>0</v>
      </c>
      <c r="C122" s="1">
        <f t="shared" si="48"/>
        <v>0</v>
      </c>
      <c r="D122" s="1">
        <f t="shared" si="48"/>
        <v>0</v>
      </c>
      <c r="E122" s="1">
        <f t="shared" si="48"/>
        <v>0</v>
      </c>
      <c r="F122" s="1">
        <f t="shared" si="48"/>
        <v>9.8599881680141977E-4</v>
      </c>
      <c r="G122" s="1">
        <f t="shared" si="48"/>
        <v>0</v>
      </c>
      <c r="H122" s="1">
        <f t="shared" si="48"/>
        <v>0</v>
      </c>
      <c r="I122" s="1">
        <f t="shared" si="48"/>
        <v>0</v>
      </c>
      <c r="J122" s="1">
        <f t="shared" si="48"/>
        <v>0</v>
      </c>
      <c r="K122" s="1">
        <f t="shared" si="48"/>
        <v>0</v>
      </c>
      <c r="P122" t="s">
        <v>1659</v>
      </c>
    </row>
    <row r="123" spans="1:16" x14ac:dyDescent="0.25">
      <c r="A123">
        <v>79</v>
      </c>
      <c r="B123" s="1">
        <f t="shared" ref="B123:K123" si="49">B51/B$71</f>
        <v>1.5410958904109588E-2</v>
      </c>
      <c r="C123" s="1">
        <f t="shared" si="49"/>
        <v>0</v>
      </c>
      <c r="D123" s="1">
        <f t="shared" si="49"/>
        <v>4.11522633744856E-3</v>
      </c>
      <c r="E123" s="1">
        <f t="shared" si="49"/>
        <v>0</v>
      </c>
      <c r="F123" s="1">
        <f t="shared" si="49"/>
        <v>1.242358509169789E-2</v>
      </c>
      <c r="G123" s="1">
        <f t="shared" si="49"/>
        <v>3.125E-2</v>
      </c>
      <c r="H123" s="1">
        <f t="shared" si="49"/>
        <v>1.2752391073326248E-2</v>
      </c>
      <c r="I123" s="1">
        <f t="shared" si="49"/>
        <v>1.9965277777777776E-2</v>
      </c>
      <c r="J123" s="1">
        <f t="shared" si="49"/>
        <v>3.7313432835820895E-3</v>
      </c>
      <c r="K123" s="1">
        <f t="shared" si="49"/>
        <v>1.6260162601626018E-2</v>
      </c>
      <c r="P123" t="s">
        <v>1660</v>
      </c>
    </row>
    <row r="124" spans="1:16" x14ac:dyDescent="0.25">
      <c r="A124">
        <v>80</v>
      </c>
      <c r="B124" s="1">
        <f t="shared" ref="B124:K124" si="50">B52/B$71</f>
        <v>2.0547945205479451E-2</v>
      </c>
      <c r="C124" s="1">
        <f t="shared" si="50"/>
        <v>0</v>
      </c>
      <c r="D124" s="1">
        <f t="shared" si="50"/>
        <v>2.8806584362139918E-2</v>
      </c>
      <c r="E124" s="1">
        <f t="shared" si="50"/>
        <v>1.0238907849829351E-2</v>
      </c>
      <c r="F124" s="1">
        <f t="shared" si="50"/>
        <v>2.0705975152829816E-2</v>
      </c>
      <c r="G124" s="1">
        <f t="shared" si="50"/>
        <v>0</v>
      </c>
      <c r="H124" s="1">
        <f t="shared" si="50"/>
        <v>2.0191285866099893E-2</v>
      </c>
      <c r="I124" s="1">
        <f t="shared" si="50"/>
        <v>1.9097222222222224E-2</v>
      </c>
      <c r="J124" s="1">
        <f t="shared" si="50"/>
        <v>1.1194029850746268E-2</v>
      </c>
      <c r="K124" s="1">
        <f t="shared" si="50"/>
        <v>5.6910569105691054E-2</v>
      </c>
      <c r="P124" t="s">
        <v>1661</v>
      </c>
    </row>
    <row r="125" spans="1:16" x14ac:dyDescent="0.25">
      <c r="A125">
        <v>81</v>
      </c>
      <c r="B125" s="1">
        <f t="shared" ref="B125:K125" si="51">B53/B$71</f>
        <v>1.1986301369863013E-2</v>
      </c>
      <c r="C125" s="1">
        <f t="shared" si="51"/>
        <v>0</v>
      </c>
      <c r="D125" s="1">
        <f t="shared" si="51"/>
        <v>0</v>
      </c>
      <c r="E125" s="1">
        <f t="shared" si="51"/>
        <v>0</v>
      </c>
      <c r="F125" s="1">
        <f t="shared" si="51"/>
        <v>9.8599881680141981E-3</v>
      </c>
      <c r="G125" s="1">
        <f t="shared" si="51"/>
        <v>3.125E-2</v>
      </c>
      <c r="H125" s="1">
        <f t="shared" si="51"/>
        <v>2.1253985122210413E-3</v>
      </c>
      <c r="I125" s="1">
        <f t="shared" si="51"/>
        <v>6.9444444444444441E-3</v>
      </c>
      <c r="J125" s="1">
        <f t="shared" si="51"/>
        <v>3.7313432835820895E-3</v>
      </c>
      <c r="K125" s="1">
        <f t="shared" si="51"/>
        <v>0</v>
      </c>
      <c r="P125" t="s">
        <v>1662</v>
      </c>
    </row>
    <row r="126" spans="1:16" x14ac:dyDescent="0.25">
      <c r="A126">
        <v>82</v>
      </c>
      <c r="B126" s="1">
        <f t="shared" ref="B126:K126" si="52">B54/B$71</f>
        <v>3.4246575342465752E-3</v>
      </c>
      <c r="C126" s="1">
        <f t="shared" si="52"/>
        <v>0</v>
      </c>
      <c r="D126" s="1">
        <f t="shared" si="52"/>
        <v>4.11522633744856E-3</v>
      </c>
      <c r="E126" s="1">
        <f t="shared" si="52"/>
        <v>1.7064846416382253E-2</v>
      </c>
      <c r="F126" s="1">
        <f t="shared" si="52"/>
        <v>4.1411950305659632E-3</v>
      </c>
      <c r="G126" s="1">
        <f t="shared" si="52"/>
        <v>0</v>
      </c>
      <c r="H126" s="1">
        <f t="shared" si="52"/>
        <v>1.0626992561105207E-3</v>
      </c>
      <c r="I126" s="1">
        <f t="shared" si="52"/>
        <v>1.9965277777777776E-2</v>
      </c>
      <c r="J126" s="1">
        <f t="shared" si="52"/>
        <v>7.462686567164179E-3</v>
      </c>
      <c r="K126" s="1">
        <f t="shared" si="52"/>
        <v>0</v>
      </c>
      <c r="P126" t="s">
        <v>1663</v>
      </c>
    </row>
    <row r="127" spans="1:16" x14ac:dyDescent="0.25">
      <c r="A127">
        <v>83</v>
      </c>
      <c r="B127" s="1">
        <f t="shared" ref="B127:K127" si="53">B55/B$71</f>
        <v>4.965753424657534E-2</v>
      </c>
      <c r="C127" s="1">
        <f t="shared" si="53"/>
        <v>2.3809523809523808E-2</v>
      </c>
      <c r="D127" s="1">
        <f t="shared" si="53"/>
        <v>4.5267489711934158E-2</v>
      </c>
      <c r="E127" s="1">
        <f t="shared" si="53"/>
        <v>3.4129692832764505E-3</v>
      </c>
      <c r="F127" s="1">
        <f t="shared" si="53"/>
        <v>2.8988365213961743E-2</v>
      </c>
      <c r="G127" s="1">
        <f t="shared" si="53"/>
        <v>0</v>
      </c>
      <c r="H127" s="1">
        <f t="shared" si="53"/>
        <v>1.487778958554729E-2</v>
      </c>
      <c r="I127" s="1">
        <f t="shared" si="53"/>
        <v>3.2118055555555552E-2</v>
      </c>
      <c r="J127" s="1">
        <f t="shared" si="53"/>
        <v>2.2388059701492536E-2</v>
      </c>
      <c r="K127" s="1">
        <f t="shared" si="53"/>
        <v>3.2520325203252036E-2</v>
      </c>
      <c r="P127" t="s">
        <v>1664</v>
      </c>
    </row>
    <row r="128" spans="1:16" x14ac:dyDescent="0.25">
      <c r="A128">
        <v>84</v>
      </c>
      <c r="B128" s="1">
        <f t="shared" ref="B128:K128" si="54">B56/B$71</f>
        <v>2.3972602739726026E-2</v>
      </c>
      <c r="C128" s="1">
        <f t="shared" si="54"/>
        <v>2.3809523809523808E-2</v>
      </c>
      <c r="D128" s="1">
        <f t="shared" si="54"/>
        <v>4.11522633744856E-3</v>
      </c>
      <c r="E128" s="1">
        <f t="shared" si="54"/>
        <v>1.0238907849829351E-2</v>
      </c>
      <c r="F128" s="1">
        <f t="shared" si="54"/>
        <v>1.9719976336028396E-2</v>
      </c>
      <c r="G128" s="1">
        <f t="shared" si="54"/>
        <v>6.25E-2</v>
      </c>
      <c r="H128" s="1">
        <f t="shared" si="54"/>
        <v>1.7003188097768331E-2</v>
      </c>
      <c r="I128" s="1">
        <f t="shared" si="54"/>
        <v>1.7361111111111112E-2</v>
      </c>
      <c r="J128" s="1">
        <f t="shared" si="54"/>
        <v>3.3582089552238806E-2</v>
      </c>
      <c r="K128" s="1">
        <f t="shared" si="54"/>
        <v>8.130081300813009E-3</v>
      </c>
      <c r="P128" t="s">
        <v>1665</v>
      </c>
    </row>
    <row r="129" spans="1:16" x14ac:dyDescent="0.25">
      <c r="A129">
        <v>85</v>
      </c>
      <c r="B129" s="1">
        <f t="shared" ref="B129:K129" si="55">B57/B$71</f>
        <v>1.1986301369863013E-2</v>
      </c>
      <c r="C129" s="1">
        <f t="shared" si="55"/>
        <v>0</v>
      </c>
      <c r="D129" s="1">
        <f t="shared" si="55"/>
        <v>0</v>
      </c>
      <c r="E129" s="1">
        <f t="shared" si="55"/>
        <v>6.8259385665529011E-3</v>
      </c>
      <c r="F129" s="1">
        <f t="shared" si="55"/>
        <v>8.4795898244922098E-3</v>
      </c>
      <c r="G129" s="1">
        <f t="shared" si="55"/>
        <v>0</v>
      </c>
      <c r="H129" s="1">
        <f t="shared" si="55"/>
        <v>2.1253985122210413E-3</v>
      </c>
      <c r="I129" s="1">
        <f t="shared" si="55"/>
        <v>2.6041666666666665E-3</v>
      </c>
      <c r="J129" s="1">
        <f t="shared" si="55"/>
        <v>3.7313432835820895E-3</v>
      </c>
      <c r="K129" s="1">
        <f t="shared" si="55"/>
        <v>8.130081300813009E-3</v>
      </c>
      <c r="P129" t="s">
        <v>1666</v>
      </c>
    </row>
    <row r="130" spans="1:16" x14ac:dyDescent="0.25">
      <c r="A130">
        <v>87</v>
      </c>
      <c r="B130" s="1">
        <f t="shared" ref="B130:K130" si="56">B58/B$71</f>
        <v>2.2260273972602738E-2</v>
      </c>
      <c r="C130" s="1">
        <f t="shared" si="56"/>
        <v>0</v>
      </c>
      <c r="D130" s="1">
        <f t="shared" si="56"/>
        <v>1.2345679012345678E-2</v>
      </c>
      <c r="E130" s="1">
        <f t="shared" si="56"/>
        <v>3.4129692832764505E-3</v>
      </c>
      <c r="F130" s="1">
        <f t="shared" si="56"/>
        <v>1.5578781305462433E-2</v>
      </c>
      <c r="G130" s="1">
        <f t="shared" si="56"/>
        <v>6.25E-2</v>
      </c>
      <c r="H130" s="1">
        <f t="shared" si="56"/>
        <v>2.1253985122210413E-3</v>
      </c>
      <c r="I130" s="1">
        <f t="shared" si="56"/>
        <v>2.34375E-2</v>
      </c>
      <c r="J130" s="1">
        <f t="shared" si="56"/>
        <v>2.2388059701492536E-2</v>
      </c>
      <c r="K130" s="1">
        <f t="shared" si="56"/>
        <v>1.6260162601626018E-2</v>
      </c>
      <c r="P130" t="s">
        <v>1667</v>
      </c>
    </row>
    <row r="131" spans="1:16" x14ac:dyDescent="0.25">
      <c r="A131">
        <v>88</v>
      </c>
      <c r="B131" s="1">
        <f t="shared" ref="B131:K131" si="57">B59/B$71</f>
        <v>1.7123287671232876E-3</v>
      </c>
      <c r="C131" s="1">
        <f t="shared" si="57"/>
        <v>0</v>
      </c>
      <c r="D131" s="1">
        <f t="shared" si="57"/>
        <v>0</v>
      </c>
      <c r="E131" s="1">
        <f t="shared" si="57"/>
        <v>0</v>
      </c>
      <c r="F131" s="1">
        <f t="shared" si="57"/>
        <v>2.9579964504042595E-3</v>
      </c>
      <c r="G131" s="1">
        <f t="shared" si="57"/>
        <v>0</v>
      </c>
      <c r="H131" s="1">
        <f t="shared" si="57"/>
        <v>0</v>
      </c>
      <c r="I131" s="1">
        <f t="shared" si="57"/>
        <v>0</v>
      </c>
      <c r="J131" s="1">
        <f t="shared" si="57"/>
        <v>0</v>
      </c>
      <c r="K131" s="1">
        <f t="shared" si="57"/>
        <v>0</v>
      </c>
      <c r="P131" t="s">
        <v>1668</v>
      </c>
    </row>
    <row r="132" spans="1:16" x14ac:dyDescent="0.25">
      <c r="A132">
        <v>89</v>
      </c>
      <c r="B132" s="1">
        <f t="shared" ref="B132:K132" si="58">B60/B$71</f>
        <v>6.8493150684931503E-3</v>
      </c>
      <c r="C132" s="1">
        <f t="shared" si="58"/>
        <v>0</v>
      </c>
      <c r="D132" s="1">
        <f t="shared" si="58"/>
        <v>0</v>
      </c>
      <c r="E132" s="1">
        <f t="shared" si="58"/>
        <v>3.4129692832764505E-3</v>
      </c>
      <c r="F132" s="1">
        <f t="shared" si="58"/>
        <v>4.9299940840070991E-3</v>
      </c>
      <c r="G132" s="1">
        <f t="shared" si="58"/>
        <v>0</v>
      </c>
      <c r="H132" s="1">
        <f t="shared" si="58"/>
        <v>1.0626992561105207E-3</v>
      </c>
      <c r="I132" s="1">
        <f t="shared" si="58"/>
        <v>8.6805555555555559E-3</v>
      </c>
      <c r="J132" s="1">
        <f t="shared" si="58"/>
        <v>3.7313432835820895E-3</v>
      </c>
      <c r="K132" s="1">
        <f t="shared" si="58"/>
        <v>8.130081300813009E-3</v>
      </c>
      <c r="P132" t="s">
        <v>1669</v>
      </c>
    </row>
    <row r="133" spans="1:16" x14ac:dyDescent="0.25">
      <c r="A133">
        <v>90</v>
      </c>
      <c r="B133" s="1">
        <f t="shared" ref="B133:K133" si="59">B61/B$71</f>
        <v>0</v>
      </c>
      <c r="C133" s="1">
        <f t="shared" si="59"/>
        <v>0</v>
      </c>
      <c r="D133" s="1">
        <f t="shared" si="59"/>
        <v>0</v>
      </c>
      <c r="E133" s="1">
        <f t="shared" si="59"/>
        <v>0</v>
      </c>
      <c r="F133" s="1">
        <f t="shared" si="59"/>
        <v>3.9439952672056796E-4</v>
      </c>
      <c r="G133" s="1">
        <f t="shared" si="59"/>
        <v>0</v>
      </c>
      <c r="H133" s="1">
        <f t="shared" si="59"/>
        <v>0</v>
      </c>
      <c r="I133" s="1">
        <f t="shared" si="59"/>
        <v>8.6805555555555551E-4</v>
      </c>
      <c r="J133" s="1">
        <f t="shared" si="59"/>
        <v>0</v>
      </c>
      <c r="K133" s="1">
        <f t="shared" si="59"/>
        <v>0</v>
      </c>
      <c r="P133" t="s">
        <v>1670</v>
      </c>
    </row>
    <row r="134" spans="1:16" x14ac:dyDescent="0.25">
      <c r="A134">
        <v>91</v>
      </c>
      <c r="B134" s="1">
        <f t="shared" ref="B134:K134" si="60">B62/B$71</f>
        <v>0</v>
      </c>
      <c r="C134" s="1">
        <f t="shared" si="60"/>
        <v>0</v>
      </c>
      <c r="D134" s="1">
        <f t="shared" si="60"/>
        <v>0</v>
      </c>
      <c r="E134" s="1">
        <f t="shared" si="60"/>
        <v>0</v>
      </c>
      <c r="F134" s="1">
        <f t="shared" si="60"/>
        <v>7.8879905344113592E-4</v>
      </c>
      <c r="G134" s="1">
        <f t="shared" si="60"/>
        <v>0</v>
      </c>
      <c r="H134" s="1">
        <f t="shared" si="60"/>
        <v>0</v>
      </c>
      <c r="I134" s="1">
        <f t="shared" si="60"/>
        <v>1.736111111111111E-3</v>
      </c>
      <c r="J134" s="1">
        <f t="shared" si="60"/>
        <v>3.7313432835820895E-3</v>
      </c>
      <c r="K134" s="1">
        <f t="shared" si="60"/>
        <v>0</v>
      </c>
      <c r="P134" t="s">
        <v>1671</v>
      </c>
    </row>
    <row r="135" spans="1:16" x14ac:dyDescent="0.25">
      <c r="A135">
        <v>92</v>
      </c>
      <c r="B135" s="1">
        <f t="shared" ref="B135:K135" si="61">B63/B$71</f>
        <v>1.1986301369863013E-2</v>
      </c>
      <c r="C135" s="1">
        <f t="shared" si="61"/>
        <v>0</v>
      </c>
      <c r="D135" s="1">
        <f t="shared" si="61"/>
        <v>0</v>
      </c>
      <c r="E135" s="1">
        <f t="shared" si="61"/>
        <v>6.8259385665529011E-3</v>
      </c>
      <c r="F135" s="1">
        <f t="shared" si="61"/>
        <v>1.0648787221455335E-2</v>
      </c>
      <c r="G135" s="1">
        <f t="shared" si="61"/>
        <v>3.125E-2</v>
      </c>
      <c r="H135" s="1">
        <f t="shared" si="61"/>
        <v>1.0626992561105207E-3</v>
      </c>
      <c r="I135" s="1">
        <f t="shared" si="61"/>
        <v>4.340277777777778E-3</v>
      </c>
      <c r="J135" s="1">
        <f t="shared" si="61"/>
        <v>3.7313432835820895E-3</v>
      </c>
      <c r="K135" s="1">
        <f t="shared" si="61"/>
        <v>1.6260162601626018E-2</v>
      </c>
      <c r="P135" t="s">
        <v>1672</v>
      </c>
    </row>
    <row r="136" spans="1:16" x14ac:dyDescent="0.25">
      <c r="A136">
        <v>93</v>
      </c>
      <c r="B136" s="1">
        <f t="shared" ref="B136:K136" si="62">B64/B$71</f>
        <v>6.8493150684931503E-3</v>
      </c>
      <c r="C136" s="1">
        <f t="shared" si="62"/>
        <v>0</v>
      </c>
      <c r="D136" s="1">
        <f t="shared" si="62"/>
        <v>2.0576131687242798E-2</v>
      </c>
      <c r="E136" s="1">
        <f t="shared" si="62"/>
        <v>3.4129692832764505E-3</v>
      </c>
      <c r="F136" s="1">
        <f t="shared" si="62"/>
        <v>1.2226385328337606E-2</v>
      </c>
      <c r="G136" s="1">
        <f t="shared" si="62"/>
        <v>3.125E-2</v>
      </c>
      <c r="H136" s="1">
        <f t="shared" si="62"/>
        <v>5.3134962805526037E-3</v>
      </c>
      <c r="I136" s="1">
        <f t="shared" si="62"/>
        <v>5.208333333333333E-3</v>
      </c>
      <c r="J136" s="1">
        <f t="shared" si="62"/>
        <v>1.1194029850746268E-2</v>
      </c>
      <c r="K136" s="1">
        <f t="shared" si="62"/>
        <v>0</v>
      </c>
      <c r="P136" t="s">
        <v>1673</v>
      </c>
    </row>
    <row r="137" spans="1:16" x14ac:dyDescent="0.25">
      <c r="A137">
        <v>94</v>
      </c>
      <c r="B137" s="1">
        <f t="shared" ref="B137:K137" si="63">B65/B$71</f>
        <v>1.7123287671232876E-3</v>
      </c>
      <c r="C137" s="1">
        <f t="shared" si="63"/>
        <v>0</v>
      </c>
      <c r="D137" s="1">
        <f t="shared" si="63"/>
        <v>0</v>
      </c>
      <c r="E137" s="1">
        <f t="shared" si="63"/>
        <v>0</v>
      </c>
      <c r="F137" s="1">
        <f t="shared" si="63"/>
        <v>2.1691973969631237E-3</v>
      </c>
      <c r="G137" s="1">
        <f t="shared" si="63"/>
        <v>0</v>
      </c>
      <c r="H137" s="1">
        <f t="shared" si="63"/>
        <v>0</v>
      </c>
      <c r="I137" s="1">
        <f t="shared" si="63"/>
        <v>8.6805555555555551E-4</v>
      </c>
      <c r="J137" s="1">
        <f t="shared" si="63"/>
        <v>0</v>
      </c>
      <c r="K137" s="1">
        <f t="shared" si="63"/>
        <v>0</v>
      </c>
      <c r="P137" t="s">
        <v>1674</v>
      </c>
    </row>
    <row r="138" spans="1:16" x14ac:dyDescent="0.25">
      <c r="A138">
        <v>95</v>
      </c>
      <c r="B138" s="1">
        <f t="shared" ref="B138:K138" si="64">B66/B$71</f>
        <v>4.1095890410958902E-2</v>
      </c>
      <c r="C138" s="1">
        <f t="shared" si="64"/>
        <v>0</v>
      </c>
      <c r="D138" s="1">
        <f t="shared" si="64"/>
        <v>4.5267489711934158E-2</v>
      </c>
      <c r="E138" s="1">
        <f t="shared" si="64"/>
        <v>2.3890784982935155E-2</v>
      </c>
      <c r="F138" s="1">
        <f t="shared" si="64"/>
        <v>5.7779530664563206E-2</v>
      </c>
      <c r="G138" s="1">
        <f t="shared" si="64"/>
        <v>6.25E-2</v>
      </c>
      <c r="H138" s="1">
        <f t="shared" si="64"/>
        <v>2.6567481402763018E-2</v>
      </c>
      <c r="I138" s="1">
        <f t="shared" si="64"/>
        <v>4.5138888888888888E-2</v>
      </c>
      <c r="J138" s="1">
        <f t="shared" si="64"/>
        <v>7.0895522388059698E-2</v>
      </c>
      <c r="K138" s="1">
        <f t="shared" si="64"/>
        <v>6.5040650406504072E-2</v>
      </c>
      <c r="P138" t="s">
        <v>1675</v>
      </c>
    </row>
    <row r="139" spans="1:16" x14ac:dyDescent="0.25">
      <c r="A139">
        <v>96</v>
      </c>
      <c r="B139" s="1">
        <f t="shared" ref="B139:K139" si="65">B67/B$71</f>
        <v>1.3698630136986301E-2</v>
      </c>
      <c r="C139" s="1">
        <f t="shared" si="65"/>
        <v>0</v>
      </c>
      <c r="D139" s="1">
        <f t="shared" si="65"/>
        <v>8.23045267489712E-3</v>
      </c>
      <c r="E139" s="1">
        <f t="shared" si="65"/>
        <v>0</v>
      </c>
      <c r="F139" s="1">
        <f t="shared" si="65"/>
        <v>3.9439952672056791E-3</v>
      </c>
      <c r="G139" s="1">
        <f t="shared" si="65"/>
        <v>0</v>
      </c>
      <c r="H139" s="1">
        <f t="shared" si="65"/>
        <v>4.2507970244420826E-3</v>
      </c>
      <c r="I139" s="1">
        <f t="shared" si="65"/>
        <v>9.5486111111111119E-3</v>
      </c>
      <c r="J139" s="1">
        <f t="shared" si="65"/>
        <v>1.1194029850746268E-2</v>
      </c>
      <c r="K139" s="1">
        <f t="shared" si="65"/>
        <v>0</v>
      </c>
      <c r="P139" t="s">
        <v>1676</v>
      </c>
    </row>
    <row r="140" spans="1:16" x14ac:dyDescent="0.25">
      <c r="A140">
        <v>97</v>
      </c>
      <c r="B140" s="1">
        <f t="shared" ref="B140:K140" si="66">B68/B$71</f>
        <v>1.0273972602739725E-2</v>
      </c>
      <c r="C140" s="1">
        <f t="shared" si="66"/>
        <v>0</v>
      </c>
      <c r="D140" s="1">
        <f t="shared" si="66"/>
        <v>1.2345679012345678E-2</v>
      </c>
      <c r="E140" s="1">
        <f t="shared" si="66"/>
        <v>0</v>
      </c>
      <c r="F140" s="1">
        <f t="shared" si="66"/>
        <v>9.4655886412936298E-3</v>
      </c>
      <c r="G140" s="1">
        <f t="shared" si="66"/>
        <v>0</v>
      </c>
      <c r="H140" s="1">
        <f t="shared" si="66"/>
        <v>6.376195536663124E-3</v>
      </c>
      <c r="I140" s="1">
        <f t="shared" si="66"/>
        <v>8.6805555555555559E-3</v>
      </c>
      <c r="J140" s="1">
        <f t="shared" si="66"/>
        <v>7.462686567164179E-3</v>
      </c>
      <c r="K140" s="1">
        <f t="shared" si="66"/>
        <v>0</v>
      </c>
      <c r="P140" t="s">
        <v>1677</v>
      </c>
    </row>
    <row r="141" spans="1:16" x14ac:dyDescent="0.25">
      <c r="A141">
        <v>98</v>
      </c>
      <c r="B141" s="1">
        <f t="shared" ref="B141:K141" si="67">B69/B$71</f>
        <v>4.1095890410958902E-2</v>
      </c>
      <c r="C141" s="1">
        <f t="shared" si="67"/>
        <v>4.7619047619047616E-2</v>
      </c>
      <c r="D141" s="1">
        <f t="shared" si="67"/>
        <v>2.4691358024691357E-2</v>
      </c>
      <c r="E141" s="1">
        <f t="shared" si="67"/>
        <v>0</v>
      </c>
      <c r="F141" s="1">
        <f t="shared" si="67"/>
        <v>3.7073555511733386E-2</v>
      </c>
      <c r="G141" s="1">
        <f t="shared" si="67"/>
        <v>0</v>
      </c>
      <c r="H141" s="1">
        <f t="shared" si="67"/>
        <v>2.2316684378320937E-2</v>
      </c>
      <c r="I141" s="1">
        <f t="shared" si="67"/>
        <v>4.8611111111111112E-2</v>
      </c>
      <c r="J141" s="1">
        <f t="shared" si="67"/>
        <v>1.4925373134328358E-2</v>
      </c>
      <c r="K141" s="1">
        <f t="shared" si="67"/>
        <v>3.2520325203252036E-2</v>
      </c>
      <c r="P141" t="s">
        <v>1678</v>
      </c>
    </row>
    <row r="142" spans="1:16" x14ac:dyDescent="0.25">
      <c r="A142">
        <v>99</v>
      </c>
      <c r="B142" s="1">
        <f t="shared" ref="B142:K142" si="68">B70/B$71</f>
        <v>3.0821917808219176E-2</v>
      </c>
      <c r="C142" s="1">
        <f t="shared" si="68"/>
        <v>0</v>
      </c>
      <c r="D142" s="1">
        <f t="shared" si="68"/>
        <v>3.292181069958848E-2</v>
      </c>
      <c r="E142" s="1">
        <f t="shared" si="68"/>
        <v>1.0238907849829351E-2</v>
      </c>
      <c r="F142" s="1">
        <f t="shared" si="68"/>
        <v>3.2537960954446853E-2</v>
      </c>
      <c r="G142" s="1">
        <f t="shared" si="68"/>
        <v>0</v>
      </c>
      <c r="H142" s="1">
        <f t="shared" si="68"/>
        <v>4.0382571732199786E-2</v>
      </c>
      <c r="I142" s="1">
        <f t="shared" si="68"/>
        <v>3.125E-2</v>
      </c>
      <c r="J142" s="1">
        <f t="shared" si="68"/>
        <v>0</v>
      </c>
      <c r="K142" s="1">
        <f t="shared" si="68"/>
        <v>2.4390243902439025E-2</v>
      </c>
      <c r="P142" t="s">
        <v>1679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L16" sqref="L16"/>
    </sheetView>
  </sheetViews>
  <sheetFormatPr defaultRowHeight="15" x14ac:dyDescent="0.25"/>
  <cols>
    <col min="1" max="1" width="20.42578125" customWidth="1"/>
  </cols>
  <sheetData>
    <row r="1" spans="1:5" x14ac:dyDescent="0.25">
      <c r="B1" t="s">
        <v>1535</v>
      </c>
      <c r="C1" t="s">
        <v>1536</v>
      </c>
      <c r="D1" t="s">
        <v>1537</v>
      </c>
      <c r="E1" t="s">
        <v>1538</v>
      </c>
    </row>
    <row r="2" spans="1:5" x14ac:dyDescent="0.25">
      <c r="B2" t="s">
        <v>1593</v>
      </c>
      <c r="C2" t="s">
        <v>1594</v>
      </c>
      <c r="D2" t="s">
        <v>1595</v>
      </c>
      <c r="E2" t="s">
        <v>1596</v>
      </c>
    </row>
    <row r="3" spans="1:5" x14ac:dyDescent="0.25">
      <c r="A3" t="s">
        <v>1592</v>
      </c>
      <c r="B3" t="s">
        <v>1539</v>
      </c>
      <c r="C3" t="s">
        <v>1540</v>
      </c>
      <c r="D3" t="s">
        <v>1541</v>
      </c>
      <c r="E3" t="s">
        <v>1542</v>
      </c>
    </row>
    <row r="4" spans="1:5" x14ac:dyDescent="0.25">
      <c r="B4" t="s">
        <v>1543</v>
      </c>
      <c r="C4" t="s">
        <v>1544</v>
      </c>
      <c r="D4" t="s">
        <v>1545</v>
      </c>
      <c r="E4" t="s">
        <v>1546</v>
      </c>
    </row>
    <row r="5" spans="1:5" x14ac:dyDescent="0.25">
      <c r="A5" t="s">
        <v>126</v>
      </c>
      <c r="C5">
        <v>0</v>
      </c>
      <c r="D5">
        <v>0</v>
      </c>
      <c r="E5" t="s">
        <v>1547</v>
      </c>
    </row>
    <row r="6" spans="1:5" x14ac:dyDescent="0.25">
      <c r="C6" t="s">
        <v>1548</v>
      </c>
      <c r="D6" t="s">
        <v>1549</v>
      </c>
      <c r="E6" t="s">
        <v>1550</v>
      </c>
    </row>
    <row r="7" spans="1:5" x14ac:dyDescent="0.25">
      <c r="A7" t="s">
        <v>127</v>
      </c>
      <c r="C7" t="s">
        <v>1551</v>
      </c>
      <c r="D7">
        <v>0</v>
      </c>
      <c r="E7">
        <v>0</v>
      </c>
    </row>
    <row r="8" spans="1:5" x14ac:dyDescent="0.25">
      <c r="C8">
        <v>-2.37</v>
      </c>
      <c r="D8">
        <v>-1.9</v>
      </c>
      <c r="E8" t="s">
        <v>1552</v>
      </c>
    </row>
    <row r="9" spans="1:5" x14ac:dyDescent="0.25">
      <c r="A9" t="s">
        <v>128</v>
      </c>
      <c r="C9" t="s">
        <v>1553</v>
      </c>
      <c r="D9" t="s">
        <v>1554</v>
      </c>
      <c r="E9" t="s">
        <v>1551</v>
      </c>
    </row>
    <row r="10" spans="1:5" x14ac:dyDescent="0.25">
      <c r="C10" t="s">
        <v>1555</v>
      </c>
      <c r="D10" t="s">
        <v>1556</v>
      </c>
      <c r="E10">
        <v>-2.0099999999999998</v>
      </c>
    </row>
    <row r="11" spans="1:5" x14ac:dyDescent="0.25">
      <c r="A11" t="s">
        <v>1588</v>
      </c>
      <c r="D11" t="s">
        <v>1557</v>
      </c>
      <c r="E11">
        <v>2E-3</v>
      </c>
    </row>
    <row r="12" spans="1:5" x14ac:dyDescent="0.25">
      <c r="D12">
        <v>-3.54</v>
      </c>
      <c r="E12">
        <v>-1.47</v>
      </c>
    </row>
    <row r="13" spans="1:5" x14ac:dyDescent="0.25">
      <c r="A13" t="s">
        <v>1589</v>
      </c>
      <c r="D13" t="s">
        <v>1558</v>
      </c>
      <c r="E13">
        <v>2E-3</v>
      </c>
    </row>
    <row r="14" spans="1:5" x14ac:dyDescent="0.25">
      <c r="D14">
        <v>-4.12</v>
      </c>
      <c r="E14">
        <v>-1.38</v>
      </c>
    </row>
    <row r="15" spans="1:5" x14ac:dyDescent="0.25">
      <c r="A15" t="s">
        <v>119</v>
      </c>
      <c r="D15">
        <v>-2E-3</v>
      </c>
      <c r="E15">
        <v>-2E-3</v>
      </c>
    </row>
    <row r="16" spans="1:5" x14ac:dyDescent="0.25">
      <c r="D16" t="s">
        <v>1559</v>
      </c>
      <c r="E16" t="s">
        <v>1560</v>
      </c>
    </row>
    <row r="17" spans="1:5" x14ac:dyDescent="0.25">
      <c r="A17" t="s">
        <v>120</v>
      </c>
      <c r="D17">
        <v>1.2999999999999999E-2</v>
      </c>
      <c r="E17">
        <v>4.0000000000000001E-3</v>
      </c>
    </row>
    <row r="18" spans="1:5" x14ac:dyDescent="0.25">
      <c r="D18">
        <v>-1.74</v>
      </c>
      <c r="E18">
        <v>-0.68</v>
      </c>
    </row>
    <row r="19" spans="1:5" x14ac:dyDescent="0.25">
      <c r="A19" t="s">
        <v>121</v>
      </c>
      <c r="D19">
        <v>5.0000000000000001E-3</v>
      </c>
      <c r="E19">
        <v>1E-3</v>
      </c>
    </row>
    <row r="20" spans="1:5" x14ac:dyDescent="0.25">
      <c r="D20">
        <v>-1.54</v>
      </c>
      <c r="E20">
        <v>-0.2</v>
      </c>
    </row>
    <row r="21" spans="1:5" x14ac:dyDescent="0.25">
      <c r="A21" t="s">
        <v>122</v>
      </c>
      <c r="D21" t="s">
        <v>1561</v>
      </c>
      <c r="E21" t="s">
        <v>1562</v>
      </c>
    </row>
    <row r="22" spans="1:5" x14ac:dyDescent="0.25">
      <c r="D22" t="s">
        <v>1563</v>
      </c>
      <c r="E22" t="s">
        <v>1564</v>
      </c>
    </row>
    <row r="23" spans="1:5" x14ac:dyDescent="0.25">
      <c r="A23" t="s">
        <v>123</v>
      </c>
      <c r="D23">
        <v>5.0000000000000001E-3</v>
      </c>
      <c r="E23" t="s">
        <v>1565</v>
      </c>
    </row>
    <row r="24" spans="1:5" x14ac:dyDescent="0.25">
      <c r="D24">
        <v>-0.52</v>
      </c>
      <c r="E24" t="s">
        <v>1566</v>
      </c>
    </row>
    <row r="25" spans="1:5" x14ac:dyDescent="0.25">
      <c r="A25" t="s">
        <v>79</v>
      </c>
      <c r="D25">
        <v>0</v>
      </c>
      <c r="E25">
        <v>0</v>
      </c>
    </row>
    <row r="26" spans="1:5" x14ac:dyDescent="0.25">
      <c r="D26">
        <v>-0.25</v>
      </c>
      <c r="E26" t="s">
        <v>1567</v>
      </c>
    </row>
    <row r="27" spans="1:5" x14ac:dyDescent="0.25">
      <c r="A27" t="s">
        <v>92</v>
      </c>
      <c r="D27" t="s">
        <v>1568</v>
      </c>
      <c r="E27" t="s">
        <v>1568</v>
      </c>
    </row>
    <row r="28" spans="1:5" x14ac:dyDescent="0.25">
      <c r="D28" t="s">
        <v>1569</v>
      </c>
      <c r="E28" t="s">
        <v>1570</v>
      </c>
    </row>
    <row r="29" spans="1:5" x14ac:dyDescent="0.25">
      <c r="A29" t="s">
        <v>124</v>
      </c>
      <c r="D29" t="s">
        <v>1571</v>
      </c>
      <c r="E29" t="s">
        <v>1572</v>
      </c>
    </row>
    <row r="30" spans="1:5" x14ac:dyDescent="0.25">
      <c r="D30">
        <v>-2.7</v>
      </c>
      <c r="E30" t="s">
        <v>1573</v>
      </c>
    </row>
    <row r="31" spans="1:5" x14ac:dyDescent="0.25">
      <c r="A31" t="s">
        <v>100</v>
      </c>
      <c r="D31">
        <v>-1E-3</v>
      </c>
      <c r="E31">
        <v>-4.0000000000000001E-3</v>
      </c>
    </row>
    <row r="32" spans="1:5" x14ac:dyDescent="0.25">
      <c r="D32" t="s">
        <v>1574</v>
      </c>
      <c r="E32" t="s">
        <v>1575</v>
      </c>
    </row>
    <row r="33" spans="1:5" x14ac:dyDescent="0.25">
      <c r="A33">
        <v>1901</v>
      </c>
      <c r="E33">
        <v>-1.4E-2</v>
      </c>
    </row>
    <row r="34" spans="1:5" x14ac:dyDescent="0.25">
      <c r="E34" t="s">
        <v>1576</v>
      </c>
    </row>
    <row r="35" spans="1:5" x14ac:dyDescent="0.25">
      <c r="A35">
        <v>1902</v>
      </c>
      <c r="E35" t="s">
        <v>1577</v>
      </c>
    </row>
    <row r="36" spans="1:5" x14ac:dyDescent="0.25">
      <c r="E36" t="s">
        <v>1578</v>
      </c>
    </row>
    <row r="37" spans="1:5" x14ac:dyDescent="0.25">
      <c r="A37">
        <v>1903</v>
      </c>
      <c r="E37">
        <v>3.0000000000000001E-3</v>
      </c>
    </row>
    <row r="38" spans="1:5" x14ac:dyDescent="0.25">
      <c r="E38">
        <v>-0.3</v>
      </c>
    </row>
    <row r="39" spans="1:5" x14ac:dyDescent="0.25">
      <c r="A39">
        <v>1904</v>
      </c>
      <c r="E39">
        <v>-0.01</v>
      </c>
    </row>
    <row r="40" spans="1:5" x14ac:dyDescent="0.25">
      <c r="E40" t="s">
        <v>1579</v>
      </c>
    </row>
    <row r="41" spans="1:5" x14ac:dyDescent="0.25">
      <c r="A41">
        <v>1905</v>
      </c>
      <c r="E41">
        <v>-7.0000000000000001E-3</v>
      </c>
    </row>
    <row r="42" spans="1:5" x14ac:dyDescent="0.25">
      <c r="E42" t="s">
        <v>1580</v>
      </c>
    </row>
    <row r="43" spans="1:5" x14ac:dyDescent="0.25">
      <c r="A43">
        <v>1906</v>
      </c>
      <c r="E43" t="s">
        <v>1581</v>
      </c>
    </row>
    <row r="44" spans="1:5" x14ac:dyDescent="0.25">
      <c r="E44">
        <v>-13.22</v>
      </c>
    </row>
    <row r="45" spans="1:5" x14ac:dyDescent="0.25">
      <c r="A45">
        <v>1907</v>
      </c>
      <c r="E45" t="s">
        <v>1582</v>
      </c>
    </row>
    <row r="46" spans="1:5" x14ac:dyDescent="0.25">
      <c r="E46">
        <v>-19.93</v>
      </c>
    </row>
    <row r="47" spans="1:5" x14ac:dyDescent="0.25">
      <c r="A47" t="s">
        <v>1590</v>
      </c>
      <c r="B47" t="s">
        <v>1583</v>
      </c>
      <c r="C47" t="s">
        <v>1584</v>
      </c>
      <c r="D47" t="s">
        <v>1585</v>
      </c>
      <c r="E47" t="s">
        <v>1586</v>
      </c>
    </row>
    <row r="48" spans="1:5" x14ac:dyDescent="0.25">
      <c r="B48">
        <v>-194.35</v>
      </c>
      <c r="C48">
        <v>-88.26</v>
      </c>
      <c r="D48">
        <v>-88.1</v>
      </c>
      <c r="E48">
        <v>-97.72</v>
      </c>
    </row>
    <row r="49" spans="1:5" x14ac:dyDescent="0.25">
      <c r="A49" t="s">
        <v>1591</v>
      </c>
      <c r="B49">
        <v>0.14899999999999999</v>
      </c>
      <c r="C49">
        <v>0.159</v>
      </c>
      <c r="D49">
        <v>0.188</v>
      </c>
      <c r="E49">
        <v>0.47299999999999998</v>
      </c>
    </row>
    <row r="50" spans="1:5" x14ac:dyDescent="0.25">
      <c r="A50" t="s">
        <v>1587</v>
      </c>
      <c r="B50">
        <v>554</v>
      </c>
      <c r="C50">
        <v>8068</v>
      </c>
      <c r="D50">
        <v>8007</v>
      </c>
      <c r="E50">
        <v>8007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L24" sqref="A14:L24"/>
    </sheetView>
  </sheetViews>
  <sheetFormatPr defaultRowHeight="15" x14ac:dyDescent="0.25"/>
  <sheetData>
    <row r="1" spans="1:12" x14ac:dyDescent="0.25">
      <c r="A1" t="s">
        <v>1680</v>
      </c>
      <c r="B1" t="s">
        <v>119</v>
      </c>
      <c r="C1" t="s">
        <v>120</v>
      </c>
      <c r="D1" t="s">
        <v>1681</v>
      </c>
      <c r="E1" t="s">
        <v>1682</v>
      </c>
      <c r="F1" t="s">
        <v>71</v>
      </c>
      <c r="G1" t="s">
        <v>123</v>
      </c>
      <c r="H1" t="s">
        <v>79</v>
      </c>
      <c r="I1" t="s">
        <v>92</v>
      </c>
      <c r="J1" t="s">
        <v>1683</v>
      </c>
      <c r="K1" t="s">
        <v>100</v>
      </c>
      <c r="L1" t="s">
        <v>57</v>
      </c>
    </row>
    <row r="2" spans="1:12" x14ac:dyDescent="0.25">
      <c r="A2">
        <v>0</v>
      </c>
      <c r="B2">
        <v>35</v>
      </c>
      <c r="C2">
        <v>10</v>
      </c>
      <c r="D2">
        <v>20</v>
      </c>
      <c r="E2">
        <v>4</v>
      </c>
      <c r="F2">
        <v>374</v>
      </c>
      <c r="G2">
        <v>5</v>
      </c>
      <c r="H2">
        <v>86</v>
      </c>
      <c r="I2">
        <v>66</v>
      </c>
      <c r="J2">
        <v>19</v>
      </c>
      <c r="K2">
        <v>12</v>
      </c>
      <c r="L2">
        <v>631</v>
      </c>
    </row>
    <row r="3" spans="1:12" x14ac:dyDescent="0.25">
      <c r="A3">
        <v>1</v>
      </c>
      <c r="B3">
        <v>14</v>
      </c>
      <c r="C3">
        <v>4</v>
      </c>
      <c r="D3">
        <v>11</v>
      </c>
      <c r="E3">
        <v>3</v>
      </c>
      <c r="F3">
        <v>176</v>
      </c>
      <c r="G3">
        <v>2</v>
      </c>
      <c r="H3">
        <v>33</v>
      </c>
      <c r="I3">
        <v>15</v>
      </c>
      <c r="J3">
        <v>6</v>
      </c>
      <c r="K3">
        <v>3</v>
      </c>
      <c r="L3">
        <v>267</v>
      </c>
    </row>
    <row r="4" spans="1:12" x14ac:dyDescent="0.25">
      <c r="A4">
        <v>2</v>
      </c>
      <c r="B4">
        <v>1</v>
      </c>
      <c r="C4">
        <v>1</v>
      </c>
      <c r="D4">
        <v>2</v>
      </c>
      <c r="E4">
        <v>0</v>
      </c>
      <c r="F4">
        <v>44</v>
      </c>
      <c r="G4">
        <v>0</v>
      </c>
      <c r="H4">
        <v>8</v>
      </c>
      <c r="I4">
        <v>10</v>
      </c>
      <c r="J4">
        <v>3</v>
      </c>
      <c r="K4">
        <v>1</v>
      </c>
      <c r="L4">
        <v>70</v>
      </c>
    </row>
    <row r="5" spans="1:12" x14ac:dyDescent="0.25">
      <c r="A5">
        <v>3</v>
      </c>
      <c r="B5">
        <v>81</v>
      </c>
      <c r="C5">
        <v>8</v>
      </c>
      <c r="D5">
        <v>31</v>
      </c>
      <c r="E5">
        <v>17</v>
      </c>
      <c r="F5">
        <v>630</v>
      </c>
      <c r="G5">
        <v>4</v>
      </c>
      <c r="H5">
        <v>155</v>
      </c>
      <c r="I5">
        <v>116</v>
      </c>
      <c r="J5">
        <v>58</v>
      </c>
      <c r="K5">
        <v>15</v>
      </c>
      <c r="L5">
        <v>1115</v>
      </c>
    </row>
    <row r="6" spans="1:12" x14ac:dyDescent="0.25">
      <c r="A6">
        <v>4</v>
      </c>
      <c r="B6">
        <v>20</v>
      </c>
      <c r="C6">
        <v>2</v>
      </c>
      <c r="D6">
        <v>20</v>
      </c>
      <c r="E6">
        <v>4</v>
      </c>
      <c r="F6">
        <v>440</v>
      </c>
      <c r="G6">
        <v>1</v>
      </c>
      <c r="H6">
        <v>106</v>
      </c>
      <c r="I6">
        <v>92</v>
      </c>
      <c r="J6">
        <v>17</v>
      </c>
      <c r="K6">
        <v>12</v>
      </c>
      <c r="L6">
        <v>714</v>
      </c>
    </row>
    <row r="7" spans="1:12" x14ac:dyDescent="0.25">
      <c r="A7">
        <v>5</v>
      </c>
      <c r="B7">
        <v>40</v>
      </c>
      <c r="C7">
        <v>8</v>
      </c>
      <c r="D7">
        <v>19</v>
      </c>
      <c r="E7">
        <v>45</v>
      </c>
      <c r="F7">
        <v>615</v>
      </c>
      <c r="G7">
        <v>4</v>
      </c>
      <c r="H7">
        <v>146</v>
      </c>
      <c r="I7">
        <v>141</v>
      </c>
      <c r="J7">
        <v>18</v>
      </c>
      <c r="K7">
        <v>9</v>
      </c>
      <c r="L7">
        <v>1045</v>
      </c>
    </row>
    <row r="8" spans="1:12" x14ac:dyDescent="0.25">
      <c r="A8">
        <v>6</v>
      </c>
      <c r="B8">
        <v>156</v>
      </c>
      <c r="C8">
        <v>5</v>
      </c>
      <c r="D8">
        <v>59</v>
      </c>
      <c r="E8">
        <v>188</v>
      </c>
      <c r="F8">
        <v>834</v>
      </c>
      <c r="G8">
        <v>6</v>
      </c>
      <c r="H8">
        <v>208</v>
      </c>
      <c r="I8">
        <v>234</v>
      </c>
      <c r="J8">
        <v>68</v>
      </c>
      <c r="K8">
        <v>16</v>
      </c>
      <c r="L8">
        <v>1775</v>
      </c>
    </row>
    <row r="9" spans="1:12" x14ac:dyDescent="0.25">
      <c r="A9">
        <v>7</v>
      </c>
      <c r="B9">
        <v>56</v>
      </c>
      <c r="C9">
        <v>0</v>
      </c>
      <c r="D9">
        <v>23</v>
      </c>
      <c r="E9">
        <v>3</v>
      </c>
      <c r="F9">
        <v>526</v>
      </c>
      <c r="G9">
        <v>1</v>
      </c>
      <c r="H9">
        <v>42</v>
      </c>
      <c r="I9">
        <v>148</v>
      </c>
      <c r="J9">
        <v>17</v>
      </c>
      <c r="K9">
        <v>22</v>
      </c>
      <c r="L9">
        <v>839</v>
      </c>
    </row>
    <row r="10" spans="1:12" x14ac:dyDescent="0.25">
      <c r="A10">
        <v>8</v>
      </c>
      <c r="B10">
        <v>89</v>
      </c>
      <c r="C10">
        <v>2</v>
      </c>
      <c r="D10">
        <v>23</v>
      </c>
      <c r="E10">
        <v>16</v>
      </c>
      <c r="F10">
        <v>585</v>
      </c>
      <c r="G10">
        <v>5</v>
      </c>
      <c r="H10">
        <v>57</v>
      </c>
      <c r="I10">
        <v>150</v>
      </c>
      <c r="J10">
        <v>29</v>
      </c>
      <c r="K10">
        <v>16</v>
      </c>
      <c r="L10">
        <v>972</v>
      </c>
    </row>
    <row r="11" spans="1:12" x14ac:dyDescent="0.25">
      <c r="A11">
        <v>9</v>
      </c>
      <c r="B11">
        <v>92</v>
      </c>
      <c r="C11">
        <v>2</v>
      </c>
      <c r="D11">
        <v>35</v>
      </c>
      <c r="E11">
        <v>13</v>
      </c>
      <c r="F11">
        <v>847</v>
      </c>
      <c r="G11">
        <v>4</v>
      </c>
      <c r="H11">
        <v>100</v>
      </c>
      <c r="I11">
        <v>180</v>
      </c>
      <c r="J11">
        <v>33</v>
      </c>
      <c r="K11">
        <v>17</v>
      </c>
      <c r="L11">
        <v>1323</v>
      </c>
    </row>
    <row r="12" spans="1:12" x14ac:dyDescent="0.25">
      <c r="A12" t="s">
        <v>57</v>
      </c>
      <c r="B12">
        <v>584</v>
      </c>
      <c r="C12">
        <v>42</v>
      </c>
      <c r="D12">
        <v>243</v>
      </c>
      <c r="E12">
        <v>293</v>
      </c>
      <c r="F12">
        <v>5071</v>
      </c>
      <c r="G12">
        <v>32</v>
      </c>
      <c r="H12">
        <v>941</v>
      </c>
      <c r="I12">
        <v>1152</v>
      </c>
      <c r="J12">
        <v>268</v>
      </c>
      <c r="K12">
        <v>123</v>
      </c>
      <c r="L12">
        <v>8751</v>
      </c>
    </row>
    <row r="14" spans="1:12" x14ac:dyDescent="0.25">
      <c r="A14" t="s">
        <v>1680</v>
      </c>
      <c r="B14" t="s">
        <v>119</v>
      </c>
      <c r="C14" t="s">
        <v>120</v>
      </c>
      <c r="D14" t="s">
        <v>121</v>
      </c>
      <c r="E14" t="s">
        <v>122</v>
      </c>
      <c r="F14" t="s">
        <v>71</v>
      </c>
      <c r="G14" t="s">
        <v>123</v>
      </c>
      <c r="H14" t="s">
        <v>79</v>
      </c>
      <c r="I14" t="s">
        <v>92</v>
      </c>
      <c r="J14" t="s">
        <v>1684</v>
      </c>
      <c r="K14" t="s">
        <v>100</v>
      </c>
      <c r="L14" t="s">
        <v>57</v>
      </c>
    </row>
    <row r="15" spans="1:12" x14ac:dyDescent="0.25">
      <c r="A15">
        <v>0</v>
      </c>
      <c r="B15" s="1">
        <f t="shared" ref="B15:B24" si="0">B2/B$12</f>
        <v>5.9931506849315065E-2</v>
      </c>
      <c r="C15" s="1">
        <f t="shared" ref="C15:L15" si="1">C2/C$12</f>
        <v>0.23809523809523808</v>
      </c>
      <c r="D15" s="1">
        <f t="shared" si="1"/>
        <v>8.2304526748971193E-2</v>
      </c>
      <c r="E15" s="1">
        <f t="shared" si="1"/>
        <v>1.3651877133105802E-2</v>
      </c>
      <c r="F15" s="1">
        <f t="shared" si="1"/>
        <v>7.3752711496746198E-2</v>
      </c>
      <c r="G15" s="1">
        <f t="shared" si="1"/>
        <v>0.15625</v>
      </c>
      <c r="H15" s="1">
        <f t="shared" si="1"/>
        <v>9.1392136025504778E-2</v>
      </c>
      <c r="I15" s="1">
        <f t="shared" si="1"/>
        <v>5.7291666666666664E-2</v>
      </c>
      <c r="J15" s="1">
        <f t="shared" si="1"/>
        <v>7.0895522388059698E-2</v>
      </c>
      <c r="K15" s="1">
        <f t="shared" si="1"/>
        <v>9.7560975609756101E-2</v>
      </c>
      <c r="L15" s="1">
        <f t="shared" si="1"/>
        <v>7.2106045023425894E-2</v>
      </c>
    </row>
    <row r="16" spans="1:12" x14ac:dyDescent="0.25">
      <c r="A16">
        <v>1</v>
      </c>
      <c r="B16" s="1">
        <f t="shared" si="0"/>
        <v>2.3972602739726026E-2</v>
      </c>
      <c r="C16" s="1">
        <f t="shared" ref="C16:L16" si="2">C3/C$12</f>
        <v>9.5238095238095233E-2</v>
      </c>
      <c r="D16" s="1">
        <f t="shared" si="2"/>
        <v>4.5267489711934158E-2</v>
      </c>
      <c r="E16" s="1">
        <f t="shared" si="2"/>
        <v>1.0238907849829351E-2</v>
      </c>
      <c r="F16" s="1">
        <f t="shared" si="2"/>
        <v>3.4707158351409979E-2</v>
      </c>
      <c r="G16" s="1">
        <f t="shared" si="2"/>
        <v>6.25E-2</v>
      </c>
      <c r="H16" s="1">
        <f t="shared" si="2"/>
        <v>3.5069075451647183E-2</v>
      </c>
      <c r="I16" s="1">
        <f t="shared" si="2"/>
        <v>1.3020833333333334E-2</v>
      </c>
      <c r="J16" s="1">
        <f t="shared" si="2"/>
        <v>2.2388059701492536E-2</v>
      </c>
      <c r="K16" s="1">
        <f t="shared" si="2"/>
        <v>2.4390243902439025E-2</v>
      </c>
      <c r="L16" s="1">
        <f t="shared" si="2"/>
        <v>3.0510798765855329E-2</v>
      </c>
    </row>
    <row r="17" spans="1:12" x14ac:dyDescent="0.25">
      <c r="A17">
        <v>2</v>
      </c>
      <c r="B17" s="1">
        <f t="shared" si="0"/>
        <v>1.7123287671232876E-3</v>
      </c>
      <c r="C17" s="1">
        <f t="shared" ref="C17:L17" si="3">C4/C$12</f>
        <v>2.3809523809523808E-2</v>
      </c>
      <c r="D17" s="1">
        <f t="shared" si="3"/>
        <v>8.23045267489712E-3</v>
      </c>
      <c r="E17" s="1">
        <f t="shared" si="3"/>
        <v>0</v>
      </c>
      <c r="F17" s="1">
        <f t="shared" si="3"/>
        <v>8.6767895878524948E-3</v>
      </c>
      <c r="G17" s="1">
        <f t="shared" si="3"/>
        <v>0</v>
      </c>
      <c r="H17" s="1">
        <f t="shared" si="3"/>
        <v>8.5015940488841653E-3</v>
      </c>
      <c r="I17" s="1">
        <f t="shared" si="3"/>
        <v>8.6805555555555559E-3</v>
      </c>
      <c r="J17" s="1">
        <f t="shared" si="3"/>
        <v>1.1194029850746268E-2</v>
      </c>
      <c r="K17" s="1">
        <f t="shared" si="3"/>
        <v>8.130081300813009E-3</v>
      </c>
      <c r="L17" s="1">
        <f t="shared" si="3"/>
        <v>7.9990858187635704E-3</v>
      </c>
    </row>
    <row r="18" spans="1:12" x14ac:dyDescent="0.25">
      <c r="A18">
        <v>3</v>
      </c>
      <c r="B18" s="1">
        <f t="shared" si="0"/>
        <v>0.1386986301369863</v>
      </c>
      <c r="C18" s="1">
        <f t="shared" ref="C18:L18" si="4">C5/C$12</f>
        <v>0.19047619047619047</v>
      </c>
      <c r="D18" s="1">
        <f t="shared" si="4"/>
        <v>0.12757201646090535</v>
      </c>
      <c r="E18" s="1">
        <f t="shared" si="4"/>
        <v>5.8020477815699661E-2</v>
      </c>
      <c r="F18" s="1">
        <f t="shared" si="4"/>
        <v>0.1242358509169789</v>
      </c>
      <c r="G18" s="1">
        <f t="shared" si="4"/>
        <v>0.125</v>
      </c>
      <c r="H18" s="1">
        <f t="shared" si="4"/>
        <v>0.16471838469713071</v>
      </c>
      <c r="I18" s="1">
        <f t="shared" si="4"/>
        <v>0.10069444444444445</v>
      </c>
      <c r="J18" s="1">
        <f t="shared" si="4"/>
        <v>0.21641791044776118</v>
      </c>
      <c r="K18" s="1">
        <f t="shared" si="4"/>
        <v>0.12195121951219512</v>
      </c>
      <c r="L18" s="1">
        <f t="shared" si="4"/>
        <v>0.1274140098274483</v>
      </c>
    </row>
    <row r="19" spans="1:12" x14ac:dyDescent="0.25">
      <c r="A19">
        <v>4</v>
      </c>
      <c r="B19" s="1">
        <f t="shared" si="0"/>
        <v>3.4246575342465752E-2</v>
      </c>
      <c r="C19" s="1">
        <f t="shared" ref="C19:L19" si="5">C6/C$12</f>
        <v>4.7619047619047616E-2</v>
      </c>
      <c r="D19" s="1">
        <f t="shared" si="5"/>
        <v>8.2304526748971193E-2</v>
      </c>
      <c r="E19" s="1">
        <f t="shared" si="5"/>
        <v>1.3651877133105802E-2</v>
      </c>
      <c r="F19" s="1">
        <f t="shared" si="5"/>
        <v>8.6767895878524945E-2</v>
      </c>
      <c r="G19" s="1">
        <f t="shared" si="5"/>
        <v>3.125E-2</v>
      </c>
      <c r="H19" s="1">
        <f t="shared" si="5"/>
        <v>0.1126461211477152</v>
      </c>
      <c r="I19" s="1">
        <f t="shared" si="5"/>
        <v>7.9861111111111105E-2</v>
      </c>
      <c r="J19" s="1">
        <f t="shared" si="5"/>
        <v>6.3432835820895525E-2</v>
      </c>
      <c r="K19" s="1">
        <f t="shared" si="5"/>
        <v>9.7560975609756101E-2</v>
      </c>
      <c r="L19" s="1">
        <f t="shared" si="5"/>
        <v>8.1590675351388406E-2</v>
      </c>
    </row>
    <row r="20" spans="1:12" x14ac:dyDescent="0.25">
      <c r="A20">
        <v>5</v>
      </c>
      <c r="B20" s="1">
        <f t="shared" si="0"/>
        <v>6.8493150684931503E-2</v>
      </c>
      <c r="C20" s="1">
        <f t="shared" ref="C20:L20" si="6">C7/C$12</f>
        <v>0.19047619047619047</v>
      </c>
      <c r="D20" s="1">
        <f t="shared" si="6"/>
        <v>7.8189300411522639E-2</v>
      </c>
      <c r="E20" s="1">
        <f t="shared" si="6"/>
        <v>0.15358361774744028</v>
      </c>
      <c r="F20" s="1">
        <f t="shared" si="6"/>
        <v>0.12127785446657464</v>
      </c>
      <c r="G20" s="1">
        <f t="shared" si="6"/>
        <v>0.125</v>
      </c>
      <c r="H20" s="1">
        <f t="shared" si="6"/>
        <v>0.15515409139213601</v>
      </c>
      <c r="I20" s="1">
        <f t="shared" si="6"/>
        <v>0.12239583333333333</v>
      </c>
      <c r="J20" s="1">
        <f t="shared" si="6"/>
        <v>6.7164179104477612E-2</v>
      </c>
      <c r="K20" s="1">
        <f t="shared" si="6"/>
        <v>7.3170731707317069E-2</v>
      </c>
      <c r="L20" s="1">
        <f t="shared" si="6"/>
        <v>0.11941492400868473</v>
      </c>
    </row>
    <row r="21" spans="1:12" x14ac:dyDescent="0.25">
      <c r="A21">
        <v>6</v>
      </c>
      <c r="B21" s="1">
        <f t="shared" si="0"/>
        <v>0.26712328767123289</v>
      </c>
      <c r="C21" s="1">
        <f t="shared" ref="C21:L21" si="7">C8/C$12</f>
        <v>0.11904761904761904</v>
      </c>
      <c r="D21" s="1">
        <f t="shared" si="7"/>
        <v>0.24279835390946503</v>
      </c>
      <c r="E21" s="1">
        <f t="shared" si="7"/>
        <v>0.64163822525597269</v>
      </c>
      <c r="F21" s="1">
        <f t="shared" si="7"/>
        <v>0.16446460264247684</v>
      </c>
      <c r="G21" s="1">
        <f t="shared" si="7"/>
        <v>0.1875</v>
      </c>
      <c r="H21" s="1">
        <f t="shared" si="7"/>
        <v>0.22104144527098832</v>
      </c>
      <c r="I21" s="1">
        <f t="shared" si="7"/>
        <v>0.203125</v>
      </c>
      <c r="J21" s="1">
        <f t="shared" si="7"/>
        <v>0.2537313432835821</v>
      </c>
      <c r="K21" s="1">
        <f t="shared" si="7"/>
        <v>0.13008130081300814</v>
      </c>
      <c r="L21" s="1">
        <f t="shared" si="7"/>
        <v>0.20283396183293337</v>
      </c>
    </row>
    <row r="22" spans="1:12" x14ac:dyDescent="0.25">
      <c r="A22">
        <v>7</v>
      </c>
      <c r="B22" s="1">
        <f t="shared" si="0"/>
        <v>9.5890410958904104E-2</v>
      </c>
      <c r="C22" s="1">
        <f t="shared" ref="C22:L22" si="8">C9/C$12</f>
        <v>0</v>
      </c>
      <c r="D22" s="1">
        <f t="shared" si="8"/>
        <v>9.4650205761316872E-2</v>
      </c>
      <c r="E22" s="1">
        <f t="shared" si="8"/>
        <v>1.0238907849829351E-2</v>
      </c>
      <c r="F22" s="1">
        <f t="shared" si="8"/>
        <v>0.10372707552750937</v>
      </c>
      <c r="G22" s="1">
        <f t="shared" si="8"/>
        <v>3.125E-2</v>
      </c>
      <c r="H22" s="1">
        <f t="shared" si="8"/>
        <v>4.4633368756641874E-2</v>
      </c>
      <c r="I22" s="1">
        <f t="shared" si="8"/>
        <v>0.12847222222222221</v>
      </c>
      <c r="J22" s="1">
        <f t="shared" si="8"/>
        <v>6.3432835820895525E-2</v>
      </c>
      <c r="K22" s="1">
        <f t="shared" si="8"/>
        <v>0.17886178861788618</v>
      </c>
      <c r="L22" s="1">
        <f t="shared" si="8"/>
        <v>9.5874757170609073E-2</v>
      </c>
    </row>
    <row r="23" spans="1:12" x14ac:dyDescent="0.25">
      <c r="A23">
        <v>8</v>
      </c>
      <c r="B23" s="1">
        <f t="shared" si="0"/>
        <v>0.1523972602739726</v>
      </c>
      <c r="C23" s="1">
        <f t="shared" ref="C23:L23" si="9">C10/C$12</f>
        <v>4.7619047619047616E-2</v>
      </c>
      <c r="D23" s="1">
        <f t="shared" si="9"/>
        <v>9.4650205761316872E-2</v>
      </c>
      <c r="E23" s="1">
        <f t="shared" si="9"/>
        <v>5.4607508532423209E-2</v>
      </c>
      <c r="F23" s="1">
        <f t="shared" si="9"/>
        <v>0.11536186156576612</v>
      </c>
      <c r="G23" s="1">
        <f t="shared" si="9"/>
        <v>0.15625</v>
      </c>
      <c r="H23" s="1">
        <f t="shared" si="9"/>
        <v>6.0573857598299682E-2</v>
      </c>
      <c r="I23" s="1">
        <f t="shared" si="9"/>
        <v>0.13020833333333334</v>
      </c>
      <c r="J23" s="1">
        <f t="shared" si="9"/>
        <v>0.10820895522388059</v>
      </c>
      <c r="K23" s="1">
        <f t="shared" si="9"/>
        <v>0.13008130081300814</v>
      </c>
      <c r="L23" s="1">
        <f t="shared" si="9"/>
        <v>0.11107302022625985</v>
      </c>
    </row>
    <row r="24" spans="1:12" x14ac:dyDescent="0.25">
      <c r="A24">
        <v>9</v>
      </c>
      <c r="B24" s="1">
        <f t="shared" si="0"/>
        <v>0.15753424657534246</v>
      </c>
      <c r="C24" s="1">
        <f t="shared" ref="C24:L24" si="10">C11/C$12</f>
        <v>4.7619047619047616E-2</v>
      </c>
      <c r="D24" s="1">
        <f t="shared" si="10"/>
        <v>0.1440329218106996</v>
      </c>
      <c r="E24" s="1">
        <f t="shared" si="10"/>
        <v>4.4368600682593858E-2</v>
      </c>
      <c r="F24" s="1">
        <f t="shared" si="10"/>
        <v>0.16702819956616052</v>
      </c>
      <c r="G24" s="1">
        <f t="shared" si="10"/>
        <v>0.125</v>
      </c>
      <c r="H24" s="1">
        <f t="shared" si="10"/>
        <v>0.10626992561105207</v>
      </c>
      <c r="I24" s="1">
        <f t="shared" si="10"/>
        <v>0.15625</v>
      </c>
      <c r="J24" s="1">
        <f t="shared" si="10"/>
        <v>0.12313432835820895</v>
      </c>
      <c r="K24" s="1">
        <f t="shared" si="10"/>
        <v>0.13821138211382114</v>
      </c>
      <c r="L24" s="1">
        <f t="shared" si="10"/>
        <v>0.15118272197463148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0"/>
  <sheetViews>
    <sheetView workbookViewId="0">
      <selection activeCell="G35" sqref="G35"/>
    </sheetView>
  </sheetViews>
  <sheetFormatPr defaultRowHeight="15" x14ac:dyDescent="0.25"/>
  <sheetData>
    <row r="3" spans="1:7" x14ac:dyDescent="0.25">
      <c r="A3" t="s">
        <v>1691</v>
      </c>
      <c r="B3" t="s">
        <v>1692</v>
      </c>
      <c r="C3" t="s">
        <v>1693</v>
      </c>
      <c r="D3" t="s">
        <v>1694</v>
      </c>
      <c r="E3" t="s">
        <v>1695</v>
      </c>
      <c r="F3" t="s">
        <v>1696</v>
      </c>
      <c r="G3" t="s">
        <v>1690</v>
      </c>
    </row>
    <row r="5" spans="1:7" x14ac:dyDescent="0.25">
      <c r="A5" t="s">
        <v>1697</v>
      </c>
    </row>
    <row r="6" spans="1:7" x14ac:dyDescent="0.25">
      <c r="A6" t="s">
        <v>1698</v>
      </c>
      <c r="B6">
        <v>1.6146879999999999</v>
      </c>
      <c r="C6">
        <v>4.2939999999999997E-4</v>
      </c>
      <c r="D6">
        <v>3759.99</v>
      </c>
      <c r="E6">
        <v>0</v>
      </c>
      <c r="F6">
        <v>1.6138459999999999</v>
      </c>
      <c r="G6">
        <v>1.6155299999999999</v>
      </c>
    </row>
    <row r="7" spans="1:7" x14ac:dyDescent="0.25">
      <c r="A7" t="s">
        <v>1699</v>
      </c>
      <c r="B7">
        <v>1.5639160000000001</v>
      </c>
      <c r="C7">
        <v>8.0123E-3</v>
      </c>
      <c r="D7">
        <v>195.19</v>
      </c>
      <c r="E7">
        <v>0</v>
      </c>
      <c r="F7">
        <v>1.5482119999999999</v>
      </c>
      <c r="G7">
        <v>1.5796190000000001</v>
      </c>
    </row>
    <row r="8" spans="1:7" x14ac:dyDescent="0.25">
      <c r="A8" t="s">
        <v>1700</v>
      </c>
      <c r="B8">
        <v>5.0772400000000002E-2</v>
      </c>
      <c r="C8">
        <v>8.0237999999999993E-3</v>
      </c>
      <c r="D8">
        <v>6.33</v>
      </c>
      <c r="E8">
        <v>0</v>
      </c>
      <c r="F8">
        <v>3.5045899999999998E-2</v>
      </c>
      <c r="G8">
        <v>6.6498799999999997E-2</v>
      </c>
    </row>
    <row r="9" spans="1:7" x14ac:dyDescent="0.25">
      <c r="A9" t="s">
        <v>1701</v>
      </c>
      <c r="B9">
        <v>3.02002E-2</v>
      </c>
      <c r="C9">
        <v>6.2262999999999997E-3</v>
      </c>
      <c r="D9">
        <v>4.8499999999999996</v>
      </c>
      <c r="E9">
        <v>0</v>
      </c>
      <c r="F9">
        <v>1.79969E-2</v>
      </c>
      <c r="G9">
        <v>4.2403499999999997E-2</v>
      </c>
    </row>
    <row r="10" spans="1:7" x14ac:dyDescent="0.25">
      <c r="A10" t="s">
        <v>1702</v>
      </c>
      <c r="B10">
        <v>4.9153500000000003E-2</v>
      </c>
      <c r="C10">
        <v>7.9780000000000007E-3</v>
      </c>
      <c r="D10">
        <v>6.16</v>
      </c>
      <c r="E10">
        <v>0</v>
      </c>
      <c r="F10">
        <v>3.3516799999999999E-2</v>
      </c>
      <c r="G10">
        <v>6.4790200000000006E-2</v>
      </c>
    </row>
    <row r="11" spans="1:7" x14ac:dyDescent="0.25">
      <c r="A11" t="s">
        <v>1703</v>
      </c>
      <c r="B11">
        <v>-2.85813E-2</v>
      </c>
      <c r="C11">
        <v>6.1659000000000002E-3</v>
      </c>
      <c r="D11">
        <v>-4.6399999999999997</v>
      </c>
      <c r="E11">
        <v>0</v>
      </c>
      <c r="F11">
        <v>-4.0666300000000002E-2</v>
      </c>
      <c r="G11">
        <v>-1.6496299999999998E-2</v>
      </c>
    </row>
    <row r="13" spans="1:7" x14ac:dyDescent="0.25">
      <c r="A13" t="s">
        <v>1701</v>
      </c>
    </row>
    <row r="14" spans="1:7" x14ac:dyDescent="0.25">
      <c r="A14" t="s">
        <v>1704</v>
      </c>
      <c r="B14">
        <v>5.2729999999999997E-4</v>
      </c>
      <c r="C14">
        <v>7.3959999999999998E-4</v>
      </c>
      <c r="D14">
        <v>0.71</v>
      </c>
      <c r="E14">
        <v>0.47599999999999998</v>
      </c>
      <c r="F14">
        <v>-9.2239999999999998E-4</v>
      </c>
      <c r="G14">
        <v>1.9769000000000002E-3</v>
      </c>
    </row>
    <row r="15" spans="1:7" x14ac:dyDescent="0.25">
      <c r="A15" t="s">
        <v>108</v>
      </c>
      <c r="B15">
        <v>-6.5886E-3</v>
      </c>
      <c r="C15">
        <v>3.0358999999999998E-3</v>
      </c>
      <c r="D15">
        <v>-2.17</v>
      </c>
      <c r="E15">
        <v>0.03</v>
      </c>
      <c r="F15">
        <v>-1.25389E-2</v>
      </c>
      <c r="G15">
        <v>-6.3829999999999996E-4</v>
      </c>
    </row>
    <row r="16" spans="1:7" x14ac:dyDescent="0.25">
      <c r="A16" t="s">
        <v>109</v>
      </c>
      <c r="B16">
        <v>1.3403699999999999E-2</v>
      </c>
      <c r="C16">
        <v>3.9113999999999998E-3</v>
      </c>
      <c r="D16">
        <v>3.43</v>
      </c>
      <c r="E16">
        <v>1E-3</v>
      </c>
      <c r="F16">
        <v>5.7375000000000004E-3</v>
      </c>
      <c r="G16">
        <v>2.1069899999999999E-2</v>
      </c>
    </row>
    <row r="17" spans="1:7" x14ac:dyDescent="0.25">
      <c r="A17" t="s">
        <v>111</v>
      </c>
      <c r="B17">
        <v>1.41282E-2</v>
      </c>
      <c r="C17">
        <v>4.2960000000000003E-3</v>
      </c>
      <c r="D17">
        <v>3.29</v>
      </c>
      <c r="E17">
        <v>1E-3</v>
      </c>
      <c r="F17">
        <v>5.7083000000000004E-3</v>
      </c>
      <c r="G17">
        <v>2.2548100000000001E-2</v>
      </c>
    </row>
    <row r="18" spans="1:7" x14ac:dyDescent="0.25">
      <c r="A18" t="s">
        <v>110</v>
      </c>
      <c r="B18">
        <v>8.7296000000000006E-3</v>
      </c>
      <c r="C18">
        <v>3.0565000000000002E-3</v>
      </c>
      <c r="D18">
        <v>2.86</v>
      </c>
      <c r="E18">
        <v>4.0000000000000001E-3</v>
      </c>
      <c r="F18">
        <v>2.7391E-3</v>
      </c>
      <c r="G18">
        <v>1.4720199999999999E-2</v>
      </c>
    </row>
    <row r="20" spans="1:7" x14ac:dyDescent="0.25">
      <c r="A20" t="s">
        <v>1702</v>
      </c>
    </row>
    <row r="21" spans="1:7" x14ac:dyDescent="0.25">
      <c r="A21" t="s">
        <v>1704</v>
      </c>
      <c r="B21">
        <v>-4.0357799999999999E-2</v>
      </c>
      <c r="C21">
        <v>4.9604799999999998E-2</v>
      </c>
      <c r="D21">
        <v>-0.81</v>
      </c>
      <c r="E21">
        <v>0.41599999999999998</v>
      </c>
      <c r="F21">
        <v>-0.13758139999999999</v>
      </c>
      <c r="G21">
        <v>5.6865800000000001E-2</v>
      </c>
    </row>
    <row r="22" spans="1:7" x14ac:dyDescent="0.25">
      <c r="A22" t="s">
        <v>108</v>
      </c>
      <c r="B22">
        <v>-0.52109640000000002</v>
      </c>
      <c r="C22">
        <v>0.22841990000000001</v>
      </c>
      <c r="D22">
        <v>-2.2799999999999998</v>
      </c>
      <c r="E22">
        <v>2.3E-2</v>
      </c>
      <c r="F22">
        <v>-0.96879130000000002</v>
      </c>
      <c r="G22">
        <v>-7.3401599999999997E-2</v>
      </c>
    </row>
    <row r="23" spans="1:7" x14ac:dyDescent="0.25">
      <c r="A23" t="s">
        <v>109</v>
      </c>
      <c r="B23">
        <v>0.37386000000000003</v>
      </c>
      <c r="C23">
        <v>8.7266899999999994E-2</v>
      </c>
      <c r="D23">
        <v>4.28</v>
      </c>
      <c r="E23">
        <v>0</v>
      </c>
      <c r="F23">
        <v>0.20282</v>
      </c>
      <c r="G23">
        <v>0.5449001</v>
      </c>
    </row>
    <row r="24" spans="1:7" x14ac:dyDescent="0.25">
      <c r="A24" t="s">
        <v>111</v>
      </c>
      <c r="B24">
        <v>1.9717700000000001E-2</v>
      </c>
      <c r="C24">
        <v>6.0889000000000004E-3</v>
      </c>
      <c r="D24">
        <v>3.24</v>
      </c>
      <c r="E24">
        <v>1E-3</v>
      </c>
      <c r="F24">
        <v>7.7835999999999999E-3</v>
      </c>
      <c r="G24">
        <v>3.1651800000000001E-2</v>
      </c>
    </row>
    <row r="25" spans="1:7" x14ac:dyDescent="0.25">
      <c r="A25" t="s">
        <v>110</v>
      </c>
      <c r="B25">
        <v>1.09815E-2</v>
      </c>
      <c r="C25">
        <v>3.8140000000000001E-3</v>
      </c>
      <c r="D25">
        <v>2.88</v>
      </c>
      <c r="E25">
        <v>4.0000000000000001E-3</v>
      </c>
      <c r="F25">
        <v>3.5060999999999998E-3</v>
      </c>
      <c r="G25">
        <v>1.8456899999999998E-2</v>
      </c>
    </row>
    <row r="26" spans="1:7" x14ac:dyDescent="0.25">
      <c r="A26" t="s">
        <v>1705</v>
      </c>
      <c r="B26">
        <v>0.2060485</v>
      </c>
      <c r="C26">
        <v>0.1979918</v>
      </c>
      <c r="D26">
        <v>1.04</v>
      </c>
      <c r="E26">
        <v>0.29799999999999999</v>
      </c>
      <c r="F26">
        <v>-0.18200830000000001</v>
      </c>
      <c r="G26">
        <v>0.59410540000000001</v>
      </c>
    </row>
    <row r="28" spans="1:7" x14ac:dyDescent="0.25">
      <c r="A28" t="s">
        <v>1703</v>
      </c>
    </row>
    <row r="29" spans="1:7" x14ac:dyDescent="0.25">
      <c r="A29" t="s">
        <v>1704</v>
      </c>
      <c r="B29">
        <v>-4.4299999999999998E-4</v>
      </c>
      <c r="C29">
        <v>6.8849999999999998E-4</v>
      </c>
      <c r="D29">
        <v>-0.64</v>
      </c>
      <c r="E29">
        <v>0.52</v>
      </c>
      <c r="F29">
        <v>-1.7925E-3</v>
      </c>
      <c r="G29">
        <v>9.0649999999999997E-4</v>
      </c>
    </row>
    <row r="30" spans="1:7" x14ac:dyDescent="0.25">
      <c r="A30" t="s">
        <v>108</v>
      </c>
      <c r="B30">
        <v>6.3334000000000003E-3</v>
      </c>
      <c r="C30">
        <v>3.0236999999999998E-3</v>
      </c>
      <c r="D30">
        <v>2.09</v>
      </c>
      <c r="E30">
        <v>3.5999999999999997E-2</v>
      </c>
      <c r="F30">
        <v>4.0709999999999997E-4</v>
      </c>
      <c r="G30">
        <v>1.22597E-2</v>
      </c>
    </row>
    <row r="31" spans="1:7" x14ac:dyDescent="0.25">
      <c r="A31" t="s">
        <v>109</v>
      </c>
      <c r="B31">
        <v>-1.2997699999999999E-2</v>
      </c>
      <c r="C31">
        <v>3.8690999999999999E-3</v>
      </c>
      <c r="D31">
        <v>-3.36</v>
      </c>
      <c r="E31">
        <v>1E-3</v>
      </c>
      <c r="F31">
        <v>-2.0581100000000001E-2</v>
      </c>
      <c r="G31">
        <v>-5.4143999999999998E-3</v>
      </c>
    </row>
    <row r="32" spans="1:7" x14ac:dyDescent="0.25">
      <c r="A32" t="s">
        <v>111</v>
      </c>
      <c r="B32">
        <v>-1.3352599999999999E-2</v>
      </c>
      <c r="C32">
        <v>4.2763000000000002E-3</v>
      </c>
      <c r="D32">
        <v>-3.12</v>
      </c>
      <c r="E32">
        <v>2E-3</v>
      </c>
      <c r="F32">
        <v>-2.1734099999999999E-2</v>
      </c>
      <c r="G32">
        <v>-4.9711E-3</v>
      </c>
    </row>
    <row r="33" spans="1:7" x14ac:dyDescent="0.25">
      <c r="A33" t="s">
        <v>110</v>
      </c>
      <c r="B33">
        <v>-8.1214000000000008E-3</v>
      </c>
      <c r="C33">
        <v>3.0067000000000002E-3</v>
      </c>
      <c r="D33">
        <v>-2.7</v>
      </c>
      <c r="E33">
        <v>7.0000000000000001E-3</v>
      </c>
      <c r="F33">
        <v>-1.4014499999999999E-2</v>
      </c>
      <c r="G33">
        <v>-2.2282999999999999E-3</v>
      </c>
    </row>
    <row r="35" spans="1:7" x14ac:dyDescent="0.25">
      <c r="A35" t="s">
        <v>1706</v>
      </c>
      <c r="B35" t="s">
        <v>111</v>
      </c>
      <c r="C35" t="s">
        <v>1707</v>
      </c>
      <c r="D35" t="s">
        <v>1685</v>
      </c>
    </row>
    <row r="37" spans="1:7" x14ac:dyDescent="0.25">
      <c r="A37" t="s">
        <v>1686</v>
      </c>
      <c r="D37" t="s">
        <v>1708</v>
      </c>
      <c r="E37" t="s">
        <v>1709</v>
      </c>
      <c r="F37">
        <v>7426</v>
      </c>
    </row>
    <row r="38" spans="1:7" x14ac:dyDescent="0.25">
      <c r="D38" t="s">
        <v>1710</v>
      </c>
      <c r="E38" t="s">
        <v>1709</v>
      </c>
      <c r="F38" t="s">
        <v>1687</v>
      </c>
    </row>
    <row r="39" spans="1:7" x14ac:dyDescent="0.25">
      <c r="A39" t="s">
        <v>1688</v>
      </c>
      <c r="D39" t="s">
        <v>1711</v>
      </c>
      <c r="E39" t="s">
        <v>1709</v>
      </c>
      <c r="F39">
        <v>7137</v>
      </c>
    </row>
    <row r="40" spans="1:7" x14ac:dyDescent="0.25">
      <c r="A40" t="s">
        <v>1689</v>
      </c>
      <c r="D40" t="s">
        <v>1712</v>
      </c>
      <c r="E40" t="s">
        <v>1709</v>
      </c>
      <c r="F40">
        <v>289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E67" sqref="A1:E67"/>
    </sheetView>
  </sheetViews>
  <sheetFormatPr defaultRowHeight="15" x14ac:dyDescent="0.25"/>
  <cols>
    <col min="1" max="1" width="19.28515625" bestFit="1" customWidth="1"/>
  </cols>
  <sheetData>
    <row r="1" spans="1:5" x14ac:dyDescent="0.25">
      <c r="B1" t="s">
        <v>1593</v>
      </c>
      <c r="C1" t="s">
        <v>1594</v>
      </c>
      <c r="D1" t="s">
        <v>1595</v>
      </c>
      <c r="E1" t="s">
        <v>1596</v>
      </c>
    </row>
    <row r="2" spans="1:5" x14ac:dyDescent="0.25">
      <c r="A2" t="s">
        <v>1592</v>
      </c>
      <c r="B2" t="s">
        <v>1539</v>
      </c>
      <c r="C2" t="s">
        <v>1713</v>
      </c>
      <c r="D2" t="s">
        <v>1714</v>
      </c>
      <c r="E2" t="s">
        <v>1715</v>
      </c>
    </row>
    <row r="3" spans="1:5" x14ac:dyDescent="0.25">
      <c r="B3" t="s">
        <v>1543</v>
      </c>
      <c r="C3" t="s">
        <v>1716</v>
      </c>
      <c r="D3" t="s">
        <v>1717</v>
      </c>
      <c r="E3" t="s">
        <v>1718</v>
      </c>
    </row>
    <row r="4" spans="1:5" x14ac:dyDescent="0.25">
      <c r="A4" t="s">
        <v>126</v>
      </c>
      <c r="C4" t="s">
        <v>1719</v>
      </c>
      <c r="D4" t="s">
        <v>1551</v>
      </c>
      <c r="E4" t="s">
        <v>1720</v>
      </c>
    </row>
    <row r="5" spans="1:5" x14ac:dyDescent="0.25">
      <c r="C5">
        <v>-2.7</v>
      </c>
      <c r="D5">
        <v>-2.1800000000000002</v>
      </c>
      <c r="E5" t="s">
        <v>1721</v>
      </c>
    </row>
    <row r="6" spans="1:5" x14ac:dyDescent="0.25">
      <c r="A6" t="s">
        <v>127</v>
      </c>
      <c r="C6" t="s">
        <v>1551</v>
      </c>
      <c r="D6">
        <v>0</v>
      </c>
      <c r="E6">
        <v>0</v>
      </c>
    </row>
    <row r="7" spans="1:5" x14ac:dyDescent="0.25">
      <c r="C7">
        <v>-2.2799999999999998</v>
      </c>
      <c r="D7">
        <v>-1.96</v>
      </c>
      <c r="E7" t="s">
        <v>1722</v>
      </c>
    </row>
    <row r="8" spans="1:5" x14ac:dyDescent="0.25">
      <c r="A8" t="s">
        <v>128</v>
      </c>
      <c r="C8" t="s">
        <v>1720</v>
      </c>
      <c r="D8" t="s">
        <v>1553</v>
      </c>
      <c r="E8">
        <v>0</v>
      </c>
    </row>
    <row r="9" spans="1:5" x14ac:dyDescent="0.25">
      <c r="C9" t="s">
        <v>1723</v>
      </c>
      <c r="D9" t="s">
        <v>1724</v>
      </c>
      <c r="E9">
        <v>-1.0900000000000001</v>
      </c>
    </row>
    <row r="10" spans="1:5" x14ac:dyDescent="0.25">
      <c r="A10" t="s">
        <v>129</v>
      </c>
      <c r="C10" t="s">
        <v>1725</v>
      </c>
      <c r="D10" t="s">
        <v>1725</v>
      </c>
      <c r="E10">
        <v>-3.0000000000000001E-3</v>
      </c>
    </row>
    <row r="11" spans="1:5" x14ac:dyDescent="0.25">
      <c r="C11" t="s">
        <v>1726</v>
      </c>
      <c r="D11" t="s">
        <v>1727</v>
      </c>
      <c r="E11" t="s">
        <v>1728</v>
      </c>
    </row>
    <row r="12" spans="1:5" x14ac:dyDescent="0.25">
      <c r="A12" t="s">
        <v>1765</v>
      </c>
      <c r="D12">
        <v>3.0000000000000001E-3</v>
      </c>
      <c r="E12">
        <v>-1E-3</v>
      </c>
    </row>
    <row r="13" spans="1:5" x14ac:dyDescent="0.25">
      <c r="D13">
        <v>-1.52</v>
      </c>
      <c r="E13" t="s">
        <v>1729</v>
      </c>
    </row>
    <row r="14" spans="1:5" x14ac:dyDescent="0.25">
      <c r="A14" t="s">
        <v>1766</v>
      </c>
      <c r="D14">
        <v>4.0000000000000001E-3</v>
      </c>
      <c r="E14">
        <v>2E-3</v>
      </c>
    </row>
    <row r="15" spans="1:5" x14ac:dyDescent="0.25">
      <c r="D15">
        <v>-1.1499999999999999</v>
      </c>
      <c r="E15">
        <v>-0.7</v>
      </c>
    </row>
    <row r="16" spans="1:5" x14ac:dyDescent="0.25">
      <c r="A16" t="s">
        <v>1767</v>
      </c>
      <c r="D16">
        <v>3.0000000000000001E-3</v>
      </c>
      <c r="E16">
        <v>5.0000000000000001E-3</v>
      </c>
    </row>
    <row r="17" spans="1:5" x14ac:dyDescent="0.25">
      <c r="D17">
        <v>-0.56999999999999995</v>
      </c>
      <c r="E17">
        <v>-1.1200000000000001</v>
      </c>
    </row>
    <row r="18" spans="1:5" x14ac:dyDescent="0.25">
      <c r="A18" t="s">
        <v>1768</v>
      </c>
      <c r="D18" t="s">
        <v>1730</v>
      </c>
      <c r="E18">
        <v>-3.0000000000000001E-3</v>
      </c>
    </row>
    <row r="19" spans="1:5" x14ac:dyDescent="0.25">
      <c r="D19">
        <v>-2.2400000000000002</v>
      </c>
      <c r="E19" t="s">
        <v>1731</v>
      </c>
    </row>
    <row r="20" spans="1:5" x14ac:dyDescent="0.25">
      <c r="A20" t="s">
        <v>1769</v>
      </c>
      <c r="D20" t="s">
        <v>1732</v>
      </c>
      <c r="E20" t="s">
        <v>1733</v>
      </c>
    </row>
    <row r="21" spans="1:5" x14ac:dyDescent="0.25">
      <c r="D21">
        <v>-2.88</v>
      </c>
      <c r="E21">
        <v>-1.97</v>
      </c>
    </row>
    <row r="22" spans="1:5" x14ac:dyDescent="0.25">
      <c r="A22" t="s">
        <v>1770</v>
      </c>
      <c r="D22">
        <v>-1E-3</v>
      </c>
      <c r="E22" t="s">
        <v>1734</v>
      </c>
    </row>
    <row r="23" spans="1:5" x14ac:dyDescent="0.25">
      <c r="D23" t="s">
        <v>1722</v>
      </c>
      <c r="E23" t="s">
        <v>1735</v>
      </c>
    </row>
    <row r="24" spans="1:5" x14ac:dyDescent="0.25">
      <c r="A24" t="s">
        <v>1771</v>
      </c>
      <c r="D24" t="s">
        <v>1737</v>
      </c>
      <c r="E24">
        <v>1E-3</v>
      </c>
    </row>
    <row r="25" spans="1:5" x14ac:dyDescent="0.25">
      <c r="D25">
        <v>-2.48</v>
      </c>
      <c r="E25">
        <v>-0.59</v>
      </c>
    </row>
    <row r="26" spans="1:5" x14ac:dyDescent="0.25">
      <c r="A26" t="s">
        <v>1772</v>
      </c>
      <c r="D26" t="s">
        <v>1558</v>
      </c>
      <c r="E26">
        <v>2E-3</v>
      </c>
    </row>
    <row r="27" spans="1:5" x14ac:dyDescent="0.25">
      <c r="D27">
        <v>-3.68</v>
      </c>
      <c r="E27">
        <v>-1.26</v>
      </c>
    </row>
    <row r="28" spans="1:5" x14ac:dyDescent="0.25">
      <c r="A28" t="s">
        <v>1773</v>
      </c>
      <c r="D28" t="s">
        <v>1730</v>
      </c>
      <c r="E28">
        <v>1E-3</v>
      </c>
    </row>
    <row r="29" spans="1:5" x14ac:dyDescent="0.25">
      <c r="D29">
        <v>-2.5499999999999998</v>
      </c>
      <c r="E29">
        <v>-0.56000000000000005</v>
      </c>
    </row>
    <row r="30" spans="1:5" x14ac:dyDescent="0.25">
      <c r="A30" t="s">
        <v>71</v>
      </c>
      <c r="D30" t="s">
        <v>1738</v>
      </c>
      <c r="E30" t="s">
        <v>1739</v>
      </c>
    </row>
    <row r="31" spans="1:5" x14ac:dyDescent="0.25">
      <c r="D31">
        <v>-8.15</v>
      </c>
      <c r="E31">
        <v>-17.16</v>
      </c>
    </row>
    <row r="32" spans="1:5" x14ac:dyDescent="0.25">
      <c r="A32" t="s">
        <v>119</v>
      </c>
      <c r="D32" t="s">
        <v>1740</v>
      </c>
      <c r="E32" t="s">
        <v>1741</v>
      </c>
    </row>
    <row r="33" spans="1:5" x14ac:dyDescent="0.25">
      <c r="D33">
        <v>-7.36</v>
      </c>
      <c r="E33">
        <v>-16.010000000000002</v>
      </c>
    </row>
    <row r="34" spans="1:5" x14ac:dyDescent="0.25">
      <c r="A34" t="s">
        <v>120</v>
      </c>
      <c r="D34" t="s">
        <v>1742</v>
      </c>
      <c r="E34" t="s">
        <v>1743</v>
      </c>
    </row>
    <row r="35" spans="1:5" x14ac:dyDescent="0.25">
      <c r="D35">
        <v>-6.83</v>
      </c>
      <c r="E35">
        <v>-11.51</v>
      </c>
    </row>
    <row r="36" spans="1:5" x14ac:dyDescent="0.25">
      <c r="A36" t="s">
        <v>121</v>
      </c>
      <c r="D36" t="s">
        <v>1744</v>
      </c>
      <c r="E36" t="s">
        <v>1745</v>
      </c>
    </row>
    <row r="37" spans="1:5" x14ac:dyDescent="0.25">
      <c r="D37">
        <v>-7.63</v>
      </c>
      <c r="E37">
        <v>-14.73</v>
      </c>
    </row>
    <row r="38" spans="1:5" x14ac:dyDescent="0.25">
      <c r="A38" t="s">
        <v>123</v>
      </c>
      <c r="D38" t="s">
        <v>1746</v>
      </c>
      <c r="E38" t="s">
        <v>1747</v>
      </c>
    </row>
    <row r="39" spans="1:5" x14ac:dyDescent="0.25">
      <c r="D39">
        <v>-5.12</v>
      </c>
      <c r="E39">
        <v>-7.04</v>
      </c>
    </row>
    <row r="40" spans="1:5" x14ac:dyDescent="0.25">
      <c r="A40" t="s">
        <v>79</v>
      </c>
      <c r="D40" t="s">
        <v>1748</v>
      </c>
      <c r="E40" t="s">
        <v>1739</v>
      </c>
    </row>
    <row r="41" spans="1:5" x14ac:dyDescent="0.25">
      <c r="D41">
        <v>-8.0399999999999991</v>
      </c>
      <c r="E41">
        <v>-16.72</v>
      </c>
    </row>
    <row r="42" spans="1:5" x14ac:dyDescent="0.25">
      <c r="A42" t="s">
        <v>92</v>
      </c>
      <c r="D42" t="s">
        <v>1749</v>
      </c>
      <c r="E42" t="s">
        <v>1750</v>
      </c>
    </row>
    <row r="43" spans="1:5" x14ac:dyDescent="0.25">
      <c r="D43">
        <v>-7.26</v>
      </c>
      <c r="E43">
        <v>-15.92</v>
      </c>
    </row>
    <row r="44" spans="1:5" x14ac:dyDescent="0.25">
      <c r="A44" t="s">
        <v>1684</v>
      </c>
      <c r="D44" t="s">
        <v>1751</v>
      </c>
      <c r="E44" t="s">
        <v>1752</v>
      </c>
    </row>
    <row r="45" spans="1:5" x14ac:dyDescent="0.25">
      <c r="D45">
        <v>-11.22</v>
      </c>
      <c r="E45">
        <v>-12.91</v>
      </c>
    </row>
    <row r="46" spans="1:5" x14ac:dyDescent="0.25">
      <c r="A46" t="s">
        <v>100</v>
      </c>
      <c r="D46" t="s">
        <v>1753</v>
      </c>
      <c r="E46" t="s">
        <v>1754</v>
      </c>
    </row>
    <row r="47" spans="1:5" x14ac:dyDescent="0.25">
      <c r="D47">
        <v>-6.36</v>
      </c>
      <c r="E47">
        <v>-13.25</v>
      </c>
    </row>
    <row r="48" spans="1:5" x14ac:dyDescent="0.25">
      <c r="A48">
        <v>1900</v>
      </c>
      <c r="E48">
        <v>0</v>
      </c>
    </row>
    <row r="49" spans="1:5" x14ac:dyDescent="0.25">
      <c r="E49" t="s">
        <v>1736</v>
      </c>
    </row>
    <row r="50" spans="1:5" x14ac:dyDescent="0.25">
      <c r="A50">
        <v>1901</v>
      </c>
      <c r="E50" t="s">
        <v>1755</v>
      </c>
    </row>
    <row r="51" spans="1:5" x14ac:dyDescent="0.25">
      <c r="E51" t="s">
        <v>1756</v>
      </c>
    </row>
    <row r="52" spans="1:5" x14ac:dyDescent="0.25">
      <c r="A52">
        <v>1902</v>
      </c>
      <c r="E52" t="s">
        <v>1757</v>
      </c>
    </row>
    <row r="53" spans="1:5" x14ac:dyDescent="0.25">
      <c r="E53" t="s">
        <v>1735</v>
      </c>
    </row>
    <row r="54" spans="1:5" x14ac:dyDescent="0.25">
      <c r="A54">
        <v>1903</v>
      </c>
      <c r="E54">
        <v>-8.9999999999999993E-3</v>
      </c>
    </row>
    <row r="55" spans="1:5" x14ac:dyDescent="0.25">
      <c r="E55" t="s">
        <v>1549</v>
      </c>
    </row>
    <row r="56" spans="1:5" x14ac:dyDescent="0.25">
      <c r="A56">
        <v>1904</v>
      </c>
      <c r="E56">
        <v>-1.6E-2</v>
      </c>
    </row>
    <row r="57" spans="1:5" x14ac:dyDescent="0.25">
      <c r="E57" t="s">
        <v>1758</v>
      </c>
    </row>
    <row r="58" spans="1:5" x14ac:dyDescent="0.25">
      <c r="A58">
        <v>1905</v>
      </c>
      <c r="E58">
        <v>-1.2E-2</v>
      </c>
    </row>
    <row r="59" spans="1:5" x14ac:dyDescent="0.25">
      <c r="E59" t="s">
        <v>1759</v>
      </c>
    </row>
    <row r="60" spans="1:5" x14ac:dyDescent="0.25">
      <c r="A60">
        <v>1906</v>
      </c>
      <c r="E60" t="s">
        <v>1760</v>
      </c>
    </row>
    <row r="61" spans="1:5" x14ac:dyDescent="0.25">
      <c r="E61">
        <v>-10.43</v>
      </c>
    </row>
    <row r="62" spans="1:5" x14ac:dyDescent="0.25">
      <c r="A62">
        <v>1907</v>
      </c>
      <c r="E62" t="s">
        <v>1761</v>
      </c>
    </row>
    <row r="63" spans="1:5" x14ac:dyDescent="0.25">
      <c r="E63">
        <v>-18.989999999999998</v>
      </c>
    </row>
    <row r="64" spans="1:5" x14ac:dyDescent="0.25">
      <c r="A64" t="s">
        <v>1590</v>
      </c>
      <c r="B64" t="s">
        <v>1583</v>
      </c>
      <c r="C64" t="s">
        <v>1762</v>
      </c>
      <c r="D64" t="s">
        <v>1763</v>
      </c>
      <c r="E64" t="s">
        <v>1764</v>
      </c>
    </row>
    <row r="65" spans="1:5" x14ac:dyDescent="0.25">
      <c r="B65">
        <v>-194.35</v>
      </c>
      <c r="C65">
        <v>-91.6</v>
      </c>
      <c r="D65">
        <v>-83.41</v>
      </c>
      <c r="E65">
        <v>-90.61</v>
      </c>
    </row>
    <row r="66" spans="1:5" x14ac:dyDescent="0.25">
      <c r="A66" t="s">
        <v>1591</v>
      </c>
      <c r="B66">
        <v>0.14899999999999999</v>
      </c>
      <c r="C66">
        <v>9.9000000000000005E-2</v>
      </c>
      <c r="D66">
        <v>0.121</v>
      </c>
      <c r="E66">
        <v>0.46800000000000003</v>
      </c>
    </row>
    <row r="67" spans="1:5" x14ac:dyDescent="0.25">
      <c r="A67" t="s">
        <v>1587</v>
      </c>
      <c r="B67">
        <v>554</v>
      </c>
      <c r="C67">
        <v>7442</v>
      </c>
      <c r="D67">
        <v>7394</v>
      </c>
      <c r="E67">
        <v>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</vt:vector>
  </HeadingPairs>
  <TitlesOfParts>
    <vt:vector size="12" baseType="lpstr">
      <vt:lpstr>Enlistment</vt:lpstr>
      <vt:lpstr>Personal characteristis</vt:lpstr>
      <vt:lpstr>Table</vt:lpstr>
      <vt:lpstr>Discharge</vt:lpstr>
      <vt:lpstr>Afrikaans</vt:lpstr>
      <vt:lpstr>Occupations</vt:lpstr>
      <vt:lpstr>Occu by region</vt:lpstr>
      <vt:lpstr>Wage regression</vt:lpstr>
      <vt:lpstr>Sheet2</vt:lpstr>
      <vt:lpstr>Oaxaca</vt:lpstr>
      <vt:lpstr>New Wage regression</vt:lpstr>
      <vt:lpstr>EnlistmentChart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Fourie, Johan &lt;johanf@sun.ac.za&gt;</cp:lastModifiedBy>
  <dcterms:created xsi:type="dcterms:W3CDTF">2014-09-03T03:40:35Z</dcterms:created>
  <dcterms:modified xsi:type="dcterms:W3CDTF">2015-02-19T12:26:00Z</dcterms:modified>
</cp:coreProperties>
</file>