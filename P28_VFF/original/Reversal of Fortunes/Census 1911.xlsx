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5725"/>
  <workbookPr filterPrivacy="1" autoCompressPictures="0"/>
  <bookViews>
    <workbookView xWindow="240" yWindow="160" windowWidth="19440" windowHeight="12180" tabRatio="884"/>
  </bookViews>
  <sheets>
    <sheet name="Return of Population" sheetId="6" r:id="rId1"/>
    <sheet name="Agricultural Produce" sheetId="5" r:id="rId2"/>
    <sheet name="Pastoral Products " sheetId="9" r:id="rId3"/>
    <sheet name="Cultivation for Different Crop " sheetId="10" r:id="rId4"/>
    <sheet name="Fruit Produced" sheetId="11" r:id="rId5"/>
    <sheet name="Dried Fruit" sheetId="7" r:id="rId6"/>
    <sheet name="Fruit Trees" sheetId="13" r:id="rId7"/>
    <sheet name="Vineyards Products" sheetId="15" r:id="rId8"/>
    <sheet name="Vineyards Vinestocks" sheetId="16" r:id="rId9"/>
    <sheet name="Education Returns" sheetId="18" r:id="rId10"/>
    <sheet name="Government Schools" sheetId="19" r:id="rId11"/>
    <sheet name="Private Schools" sheetId="20" r:id="rId12"/>
    <sheet name="Education Returns (2)" sheetId="21" r:id="rId13"/>
  </sheet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Q15" i="15" l="1"/>
  <c r="Q16" i="15"/>
  <c r="Q17" i="15"/>
  <c r="Q14" i="15"/>
  <c r="M15" i="15"/>
  <c r="M16" i="15"/>
  <c r="M17" i="15"/>
  <c r="M14" i="15"/>
  <c r="M11" i="15"/>
  <c r="D95" i="15"/>
  <c r="D20" i="15"/>
  <c r="D21" i="15"/>
  <c r="D22" i="15"/>
  <c r="D23" i="15"/>
  <c r="D24" i="15"/>
  <c r="D25" i="15"/>
  <c r="D26" i="15"/>
  <c r="D27" i="15"/>
  <c r="D28" i="15"/>
  <c r="D29" i="15"/>
  <c r="D30" i="15"/>
  <c r="D31" i="15"/>
  <c r="D32" i="15"/>
  <c r="D33" i="15"/>
  <c r="D34" i="15"/>
  <c r="D35" i="15"/>
  <c r="D36" i="15"/>
  <c r="D37" i="15"/>
  <c r="D38" i="15"/>
  <c r="D39" i="15"/>
  <c r="D40" i="15"/>
  <c r="D41" i="15"/>
  <c r="D42" i="15"/>
  <c r="D45" i="15"/>
  <c r="D46" i="15"/>
  <c r="D47" i="15"/>
  <c r="D48" i="15"/>
  <c r="D49" i="15"/>
  <c r="D50" i="15"/>
  <c r="D51" i="15"/>
  <c r="D53" i="15"/>
  <c r="D54" i="15"/>
  <c r="D55" i="15"/>
  <c r="D56" i="15"/>
  <c r="D57" i="15"/>
  <c r="D58" i="15"/>
  <c r="D59" i="15"/>
  <c r="D61" i="15"/>
  <c r="D62" i="15"/>
  <c r="D63" i="15"/>
  <c r="D64" i="15"/>
  <c r="D66" i="15"/>
  <c r="D67" i="15"/>
  <c r="D68" i="15"/>
  <c r="D69" i="15"/>
  <c r="D70" i="15"/>
  <c r="D71" i="15"/>
  <c r="D72" i="15"/>
  <c r="D73" i="15"/>
  <c r="D74" i="15"/>
  <c r="D76" i="15"/>
  <c r="D77" i="15"/>
  <c r="D60" i="15"/>
  <c r="D65" i="15"/>
  <c r="D43" i="15"/>
  <c r="D44" i="15"/>
  <c r="D52" i="15"/>
  <c r="D75" i="15"/>
  <c r="D78" i="15"/>
  <c r="D79" i="15"/>
  <c r="D80" i="15"/>
  <c r="D81" i="15"/>
  <c r="D82" i="15"/>
  <c r="D83" i="15"/>
  <c r="D84" i="15"/>
  <c r="D85" i="15"/>
  <c r="D103" i="15"/>
  <c r="D86" i="15"/>
  <c r="D87" i="15"/>
  <c r="D88" i="15"/>
  <c r="D89" i="15"/>
  <c r="D90" i="15"/>
  <c r="D91" i="15"/>
  <c r="D92" i="15"/>
  <c r="D93" i="15"/>
  <c r="D94" i="15"/>
  <c r="D96" i="15"/>
  <c r="D97" i="15"/>
  <c r="D98" i="15"/>
  <c r="D99" i="15"/>
  <c r="D100" i="15"/>
  <c r="D101" i="15"/>
  <c r="E103" i="15"/>
  <c r="F103" i="15"/>
  <c r="G103" i="15"/>
  <c r="H103" i="15"/>
  <c r="I103" i="15"/>
  <c r="J103" i="15"/>
  <c r="K103" i="15"/>
  <c r="L103" i="15"/>
  <c r="M81" i="15"/>
  <c r="M103" i="15"/>
  <c r="N103" i="15"/>
  <c r="O103" i="15"/>
  <c r="P103" i="15"/>
  <c r="Q36" i="15"/>
  <c r="Q103" i="15"/>
  <c r="R103" i="15"/>
  <c r="S103" i="15"/>
  <c r="T103" i="15"/>
  <c r="U103" i="15"/>
  <c r="Q70" i="15"/>
  <c r="Q71" i="15"/>
  <c r="F11" i="15"/>
  <c r="I11" i="15"/>
  <c r="J11" i="15"/>
  <c r="K11" i="15"/>
  <c r="L11" i="15"/>
  <c r="N11" i="15"/>
  <c r="O11" i="15"/>
  <c r="P11" i="15"/>
  <c r="Q11" i="15"/>
  <c r="R11" i="15"/>
  <c r="S11" i="15"/>
  <c r="T11" i="15"/>
  <c r="U11" i="15"/>
  <c r="E11" i="15"/>
  <c r="G11" i="15"/>
  <c r="H11" i="15"/>
  <c r="D11" i="15"/>
  <c r="P189" i="13"/>
  <c r="D189" i="13"/>
  <c r="E154" i="13"/>
  <c r="F154" i="13"/>
  <c r="G154" i="13"/>
  <c r="H154" i="13"/>
  <c r="I154" i="13"/>
  <c r="J154" i="13"/>
  <c r="K154" i="13"/>
  <c r="L154" i="13"/>
  <c r="M154" i="13"/>
  <c r="N154" i="13"/>
  <c r="O154" i="13"/>
  <c r="P154" i="13"/>
  <c r="Q154" i="13"/>
  <c r="R111" i="13"/>
  <c r="R148" i="13"/>
  <c r="R154" i="13"/>
  <c r="S111" i="13"/>
  <c r="S148" i="13"/>
  <c r="S154" i="13"/>
  <c r="T111" i="13"/>
  <c r="T148" i="13"/>
  <c r="T154" i="13"/>
  <c r="U111" i="13"/>
  <c r="U148" i="13"/>
  <c r="U154" i="13"/>
  <c r="V111" i="13"/>
  <c r="V148" i="13"/>
  <c r="V154" i="13"/>
  <c r="W111" i="13"/>
  <c r="W148" i="13"/>
  <c r="W154" i="13"/>
  <c r="X111" i="13"/>
  <c r="X148" i="13"/>
  <c r="X154" i="13"/>
  <c r="Y111" i="13"/>
  <c r="Y148" i="13"/>
  <c r="Y154" i="13"/>
  <c r="Z111" i="13"/>
  <c r="Z148" i="13"/>
  <c r="Z154" i="13"/>
  <c r="AA111" i="13"/>
  <c r="AA148" i="13"/>
  <c r="AA154" i="13"/>
  <c r="AB111" i="13"/>
  <c r="AB148" i="13"/>
  <c r="AB154" i="13"/>
  <c r="AC111" i="13"/>
  <c r="AC148" i="13"/>
  <c r="AC154" i="13"/>
  <c r="AD111" i="13"/>
  <c r="AD148" i="13"/>
  <c r="AD154" i="13"/>
  <c r="AE111" i="13"/>
  <c r="AE148" i="13"/>
  <c r="AE154" i="13"/>
  <c r="D154" i="13"/>
  <c r="E189" i="13"/>
  <c r="F189" i="13"/>
  <c r="G189" i="13"/>
  <c r="H189" i="13"/>
  <c r="I189" i="13"/>
  <c r="J189" i="13"/>
  <c r="K189" i="13"/>
  <c r="L189" i="13"/>
  <c r="M189" i="13"/>
  <c r="N189" i="13"/>
  <c r="O189" i="13"/>
  <c r="Q189" i="13"/>
  <c r="R189" i="13"/>
  <c r="S189" i="13"/>
  <c r="T189" i="13"/>
  <c r="U189" i="13"/>
  <c r="V189" i="13"/>
  <c r="W189" i="13"/>
  <c r="X189" i="13"/>
  <c r="Y189" i="13"/>
  <c r="Z189" i="13"/>
  <c r="AA189" i="13"/>
  <c r="AB189" i="13"/>
  <c r="AC189" i="13"/>
  <c r="AD189" i="13"/>
  <c r="AE189" i="13"/>
  <c r="E148" i="13"/>
  <c r="F148" i="13"/>
  <c r="G148" i="13"/>
  <c r="H148" i="13"/>
  <c r="I148" i="13"/>
  <c r="J148" i="13"/>
  <c r="K148" i="13"/>
  <c r="L148" i="13"/>
  <c r="M148" i="13"/>
  <c r="N148" i="13"/>
  <c r="O148" i="13"/>
  <c r="P148" i="13"/>
  <c r="Q148" i="13"/>
  <c r="D148" i="13"/>
  <c r="E111" i="13"/>
  <c r="F111" i="13"/>
  <c r="G111" i="13"/>
  <c r="H111" i="13"/>
  <c r="I111" i="13"/>
  <c r="J111" i="13"/>
  <c r="K111" i="13"/>
  <c r="L111" i="13"/>
  <c r="M111" i="13"/>
  <c r="N111" i="13"/>
  <c r="O111" i="13"/>
  <c r="P111" i="13"/>
  <c r="Q111" i="13"/>
  <c r="D111" i="13"/>
  <c r="M263" i="15"/>
  <c r="N154" i="10"/>
  <c r="N102" i="10"/>
  <c r="D101" i="9"/>
  <c r="D153" i="9"/>
  <c r="I234" i="5"/>
  <c r="X236" i="20"/>
  <c r="X241" i="20"/>
  <c r="X242" i="20"/>
  <c r="X243" i="20"/>
  <c r="X244" i="20"/>
  <c r="X245" i="20"/>
  <c r="X246" i="20"/>
  <c r="X247" i="20"/>
  <c r="X248" i="20"/>
  <c r="X249" i="20"/>
  <c r="X250" i="20"/>
  <c r="X251" i="20"/>
  <c r="X252" i="20"/>
  <c r="X253" i="20"/>
  <c r="X254" i="20"/>
  <c r="X255" i="20"/>
  <c r="X256" i="20"/>
  <c r="X257" i="20"/>
  <c r="X258" i="20"/>
  <c r="X259" i="20"/>
  <c r="X260" i="20"/>
  <c r="X261" i="20"/>
  <c r="X262" i="20"/>
  <c r="X263" i="20"/>
  <c r="X240" i="20"/>
  <c r="K241" i="20"/>
  <c r="K242" i="20"/>
  <c r="K243" i="20"/>
  <c r="K244" i="20"/>
  <c r="K245" i="20"/>
  <c r="K246" i="20"/>
  <c r="K247" i="20"/>
  <c r="K248" i="20"/>
  <c r="K249" i="20"/>
  <c r="K250" i="20"/>
  <c r="K251" i="20"/>
  <c r="K252" i="20"/>
  <c r="K253" i="20"/>
  <c r="K254" i="20"/>
  <c r="K255" i="20"/>
  <c r="K256" i="20"/>
  <c r="K257" i="20"/>
  <c r="K258" i="20"/>
  <c r="K259" i="20"/>
  <c r="K260" i="20"/>
  <c r="K261" i="20"/>
  <c r="K262" i="20"/>
  <c r="K263" i="20"/>
  <c r="K240" i="20"/>
  <c r="F241" i="20"/>
  <c r="F242" i="20"/>
  <c r="F243" i="20"/>
  <c r="F244" i="20"/>
  <c r="F245" i="20"/>
  <c r="F246" i="20"/>
  <c r="F247" i="20"/>
  <c r="F248" i="20"/>
  <c r="F249" i="20"/>
  <c r="F250" i="20"/>
  <c r="F251" i="20"/>
  <c r="F252" i="20"/>
  <c r="F253" i="20"/>
  <c r="F254" i="20"/>
  <c r="F255" i="20"/>
  <c r="F256" i="20"/>
  <c r="F257" i="20"/>
  <c r="F258" i="20"/>
  <c r="F259" i="20"/>
  <c r="F260" i="20"/>
  <c r="F261" i="20"/>
  <c r="F262" i="20"/>
  <c r="F263" i="20"/>
  <c r="F240" i="20"/>
  <c r="E265" i="20"/>
  <c r="F265" i="20"/>
  <c r="G265" i="20"/>
  <c r="H265" i="20"/>
  <c r="I265" i="20"/>
  <c r="J265" i="20"/>
  <c r="K265" i="20"/>
  <c r="L265" i="20"/>
  <c r="M265" i="20"/>
  <c r="N265" i="20"/>
  <c r="O265" i="20"/>
  <c r="P265" i="20"/>
  <c r="Q265" i="20"/>
  <c r="R265" i="20"/>
  <c r="S265" i="20"/>
  <c r="T265" i="20"/>
  <c r="U265" i="20"/>
  <c r="V265" i="20"/>
  <c r="W265" i="20"/>
  <c r="X265" i="20"/>
  <c r="Y265" i="20"/>
  <c r="Z265" i="20"/>
  <c r="AA265" i="20"/>
  <c r="AB265" i="20"/>
  <c r="D265" i="20"/>
  <c r="E237" i="20"/>
  <c r="F237" i="20"/>
  <c r="G237" i="20"/>
  <c r="H237" i="20"/>
  <c r="I237" i="20"/>
  <c r="J237" i="20"/>
  <c r="D237" i="20"/>
  <c r="L237" i="20"/>
  <c r="M237" i="20"/>
  <c r="N237" i="20"/>
  <c r="O237" i="20"/>
  <c r="P237" i="20"/>
  <c r="Q237" i="20"/>
  <c r="R237" i="20"/>
  <c r="S237" i="20"/>
  <c r="T237" i="20"/>
  <c r="U237" i="20"/>
  <c r="V237" i="20"/>
  <c r="W237" i="20"/>
  <c r="X216" i="20"/>
  <c r="X219" i="20"/>
  <c r="X222" i="20"/>
  <c r="X223" i="20"/>
  <c r="X224" i="20"/>
  <c r="X225" i="20"/>
  <c r="X227" i="20"/>
  <c r="X228" i="20"/>
  <c r="X229" i="20"/>
  <c r="X231" i="20"/>
  <c r="X233" i="20"/>
  <c r="X234" i="20"/>
  <c r="X235" i="20"/>
  <c r="X232" i="20"/>
  <c r="X230" i="20"/>
  <c r="X226" i="20"/>
  <c r="X221" i="20"/>
  <c r="X220" i="20"/>
  <c r="X218" i="20"/>
  <c r="X217" i="20"/>
  <c r="X213" i="20"/>
  <c r="X214" i="20"/>
  <c r="X215" i="20"/>
  <c r="X237" i="20"/>
  <c r="Y237" i="20"/>
  <c r="Z237" i="20"/>
  <c r="AA237" i="20"/>
  <c r="AB237" i="20"/>
  <c r="K216" i="20"/>
  <c r="K219" i="20"/>
  <c r="K220" i="20"/>
  <c r="K221" i="20"/>
  <c r="K222" i="20"/>
  <c r="K225" i="20"/>
  <c r="K226" i="20"/>
  <c r="K228" i="20"/>
  <c r="K230" i="20"/>
  <c r="K231" i="20"/>
  <c r="K232" i="20"/>
  <c r="K224" i="20"/>
  <c r="K217" i="20"/>
  <c r="K218" i="20"/>
  <c r="K233" i="20"/>
  <c r="K235" i="20"/>
  <c r="K223" i="20"/>
  <c r="K227" i="20"/>
  <c r="K234" i="20"/>
  <c r="K229" i="20"/>
  <c r="K214" i="20"/>
  <c r="K215" i="20"/>
  <c r="K237" i="20"/>
  <c r="K213" i="20"/>
  <c r="F214" i="20"/>
  <c r="F215" i="20"/>
  <c r="F216" i="20"/>
  <c r="F217" i="20"/>
  <c r="F218" i="20"/>
  <c r="F219" i="20"/>
  <c r="F220" i="20"/>
  <c r="F221" i="20"/>
  <c r="F222" i="20"/>
  <c r="F223" i="20"/>
  <c r="F224" i="20"/>
  <c r="F225" i="20"/>
  <c r="F226" i="20"/>
  <c r="F227" i="20"/>
  <c r="F228" i="20"/>
  <c r="F229" i="20"/>
  <c r="F230" i="20"/>
  <c r="F231" i="20"/>
  <c r="F232" i="20"/>
  <c r="F233" i="20"/>
  <c r="F234" i="20"/>
  <c r="F235" i="20"/>
  <c r="F213" i="20"/>
  <c r="X196" i="20"/>
  <c r="X197" i="20"/>
  <c r="X198" i="20"/>
  <c r="X199" i="20"/>
  <c r="X200" i="20"/>
  <c r="X201" i="20"/>
  <c r="X202" i="20"/>
  <c r="X203" i="20"/>
  <c r="X204" i="20"/>
  <c r="X205" i="20"/>
  <c r="X195" i="20"/>
  <c r="K196" i="20"/>
  <c r="K197" i="20"/>
  <c r="K198" i="20"/>
  <c r="K199" i="20"/>
  <c r="K200" i="20"/>
  <c r="K201" i="20"/>
  <c r="K202" i="20"/>
  <c r="K203" i="20"/>
  <c r="K204" i="20"/>
  <c r="K205" i="20"/>
  <c r="K195" i="20"/>
  <c r="E210" i="20"/>
  <c r="F210" i="20"/>
  <c r="G210" i="20"/>
  <c r="H210" i="20"/>
  <c r="I210" i="20"/>
  <c r="J210" i="20"/>
  <c r="K207" i="20"/>
  <c r="K210" i="20"/>
  <c r="L210" i="20"/>
  <c r="M210" i="20"/>
  <c r="N207" i="20"/>
  <c r="N210" i="20"/>
  <c r="O207" i="20"/>
  <c r="O210" i="20"/>
  <c r="P210" i="20"/>
  <c r="Q210" i="20"/>
  <c r="R207" i="20"/>
  <c r="R210" i="20"/>
  <c r="S207" i="20"/>
  <c r="S210" i="20"/>
  <c r="T207" i="20"/>
  <c r="T210" i="20"/>
  <c r="U207" i="20"/>
  <c r="U210" i="20"/>
  <c r="V207" i="20"/>
  <c r="V210" i="20"/>
  <c r="W207" i="20"/>
  <c r="W210" i="20"/>
  <c r="X207" i="20"/>
  <c r="X210" i="20"/>
  <c r="Y207" i="20"/>
  <c r="Y210" i="20"/>
  <c r="Z207" i="20"/>
  <c r="Z210" i="20"/>
  <c r="AA207" i="20"/>
  <c r="AA210" i="20"/>
  <c r="AB207" i="20"/>
  <c r="AB210" i="20"/>
  <c r="D210" i="20"/>
  <c r="E207" i="20"/>
  <c r="F207" i="20"/>
  <c r="G207" i="20"/>
  <c r="H207" i="20"/>
  <c r="I207" i="20"/>
  <c r="J207" i="20"/>
  <c r="L207" i="20"/>
  <c r="M207" i="20"/>
  <c r="P207" i="20"/>
  <c r="Q207" i="20"/>
  <c r="D207" i="20"/>
  <c r="F196" i="20"/>
  <c r="F197" i="20"/>
  <c r="F198" i="20"/>
  <c r="F199" i="20"/>
  <c r="F200" i="20"/>
  <c r="F201" i="20"/>
  <c r="F202" i="20"/>
  <c r="F203" i="20"/>
  <c r="F204" i="20"/>
  <c r="F195" i="20"/>
  <c r="X161" i="20"/>
  <c r="X162" i="20"/>
  <c r="X163" i="20"/>
  <c r="X164" i="20"/>
  <c r="X165" i="20"/>
  <c r="X166" i="20"/>
  <c r="X167" i="20"/>
  <c r="X168" i="20"/>
  <c r="X169" i="20"/>
  <c r="X170" i="20"/>
  <c r="X171" i="20"/>
  <c r="X172" i="20"/>
  <c r="X173" i="20"/>
  <c r="X174" i="20"/>
  <c r="X175" i="20"/>
  <c r="X176" i="20"/>
  <c r="X177" i="20"/>
  <c r="X178" i="20"/>
  <c r="X179" i="20"/>
  <c r="X180" i="20"/>
  <c r="X181" i="20"/>
  <c r="X182" i="20"/>
  <c r="X183" i="20"/>
  <c r="X184" i="20"/>
  <c r="X185" i="20"/>
  <c r="X186" i="20"/>
  <c r="X187" i="20"/>
  <c r="X188" i="20"/>
  <c r="X189" i="20"/>
  <c r="X190" i="20"/>
  <c r="X160" i="20"/>
  <c r="F151" i="18"/>
  <c r="F112" i="18"/>
  <c r="F108" i="18"/>
  <c r="F109" i="18"/>
  <c r="F114" i="18"/>
  <c r="G151" i="18"/>
  <c r="D36" i="21"/>
  <c r="E36" i="21"/>
  <c r="F36" i="21"/>
  <c r="G36" i="21"/>
  <c r="H36" i="21"/>
  <c r="I36" i="21"/>
  <c r="J36" i="21"/>
  <c r="K36" i="21"/>
  <c r="L36" i="21"/>
  <c r="M36" i="21"/>
  <c r="N36" i="21"/>
  <c r="O36" i="21"/>
  <c r="P36" i="21"/>
  <c r="Q36" i="21"/>
  <c r="R36" i="21"/>
  <c r="S36" i="21"/>
  <c r="T36" i="21"/>
  <c r="U36" i="21"/>
  <c r="V36" i="21"/>
  <c r="W36" i="21"/>
  <c r="X36" i="21"/>
  <c r="Y36" i="21"/>
  <c r="Z36" i="21"/>
  <c r="C36" i="21"/>
  <c r="U12" i="21"/>
  <c r="V12" i="21"/>
  <c r="T12" i="21"/>
  <c r="L12" i="21"/>
  <c r="M12" i="21"/>
  <c r="N12" i="21"/>
  <c r="O12" i="21"/>
  <c r="P12" i="21"/>
  <c r="Q12" i="21"/>
  <c r="R12" i="21"/>
  <c r="S12" i="21"/>
  <c r="K12" i="21"/>
  <c r="H12" i="21"/>
  <c r="I12" i="21"/>
  <c r="J12" i="21"/>
  <c r="G12" i="21"/>
  <c r="D12" i="21"/>
  <c r="E12" i="21"/>
  <c r="F12" i="21"/>
  <c r="C12" i="21"/>
  <c r="K161" i="20"/>
  <c r="K162" i="20"/>
  <c r="K163" i="20"/>
  <c r="K164" i="20"/>
  <c r="K165" i="20"/>
  <c r="K166" i="20"/>
  <c r="K167" i="20"/>
  <c r="K168" i="20"/>
  <c r="K169" i="20"/>
  <c r="K170" i="20"/>
  <c r="K171" i="20"/>
  <c r="K172" i="20"/>
  <c r="K173" i="20"/>
  <c r="K174" i="20"/>
  <c r="K175" i="20"/>
  <c r="K176" i="20"/>
  <c r="K177" i="20"/>
  <c r="K178" i="20"/>
  <c r="K179" i="20"/>
  <c r="K180" i="20"/>
  <c r="K181" i="20"/>
  <c r="K182" i="20"/>
  <c r="K183" i="20"/>
  <c r="K184" i="20"/>
  <c r="K185" i="20"/>
  <c r="K186" i="20"/>
  <c r="K187" i="20"/>
  <c r="K188" i="20"/>
  <c r="K189" i="20"/>
  <c r="K190" i="20"/>
  <c r="K160" i="20"/>
  <c r="E192" i="20"/>
  <c r="F160" i="20"/>
  <c r="F161" i="20"/>
  <c r="F162" i="20"/>
  <c r="F164" i="20"/>
  <c r="F165" i="20"/>
  <c r="F166" i="20"/>
  <c r="F167" i="20"/>
  <c r="F168" i="20"/>
  <c r="F169" i="20"/>
  <c r="F170" i="20"/>
  <c r="F171" i="20"/>
  <c r="F172" i="20"/>
  <c r="F173" i="20"/>
  <c r="F174" i="20"/>
  <c r="F175" i="20"/>
  <c r="F176" i="20"/>
  <c r="F177" i="20"/>
  <c r="F178" i="20"/>
  <c r="F180" i="20"/>
  <c r="F181" i="20"/>
  <c r="F182" i="20"/>
  <c r="F183" i="20"/>
  <c r="F184" i="20"/>
  <c r="F185" i="20"/>
  <c r="F186" i="20"/>
  <c r="F187" i="20"/>
  <c r="F188" i="20"/>
  <c r="F189" i="20"/>
  <c r="F190" i="20"/>
  <c r="F192" i="20"/>
  <c r="G192" i="20"/>
  <c r="H192" i="20"/>
  <c r="I192" i="20"/>
  <c r="J192" i="20"/>
  <c r="K192" i="20"/>
  <c r="L192" i="20"/>
  <c r="M192" i="20"/>
  <c r="N192" i="20"/>
  <c r="O192" i="20"/>
  <c r="P192" i="20"/>
  <c r="Q192" i="20"/>
  <c r="R192" i="20"/>
  <c r="S192" i="20"/>
  <c r="T192" i="20"/>
  <c r="U192" i="20"/>
  <c r="V192" i="20"/>
  <c r="W192" i="20"/>
  <c r="X192" i="20"/>
  <c r="Y192" i="20"/>
  <c r="Z192" i="20"/>
  <c r="AA192" i="20"/>
  <c r="AB192" i="20"/>
  <c r="D192" i="20"/>
  <c r="F163" i="20"/>
  <c r="F179" i="20"/>
  <c r="E151" i="20"/>
  <c r="E157" i="20"/>
  <c r="F137" i="20"/>
  <c r="F139" i="20"/>
  <c r="F143" i="20"/>
  <c r="F144" i="20"/>
  <c r="F145" i="20"/>
  <c r="F146" i="20"/>
  <c r="F147" i="20"/>
  <c r="F148" i="20"/>
  <c r="F123" i="20"/>
  <c r="F151" i="20"/>
  <c r="F157" i="20"/>
  <c r="G151" i="20"/>
  <c r="G157" i="20"/>
  <c r="H151" i="20"/>
  <c r="H157" i="20"/>
  <c r="I151" i="20"/>
  <c r="I157" i="20"/>
  <c r="J151" i="20"/>
  <c r="J157" i="20"/>
  <c r="K137" i="20"/>
  <c r="K145" i="20"/>
  <c r="K139" i="20"/>
  <c r="K143" i="20"/>
  <c r="K146" i="20"/>
  <c r="K147" i="20"/>
  <c r="K148" i="20"/>
  <c r="K144" i="20"/>
  <c r="K151" i="20"/>
  <c r="K157" i="20"/>
  <c r="L157" i="20"/>
  <c r="M157" i="20"/>
  <c r="N151" i="20"/>
  <c r="N157" i="20"/>
  <c r="O151" i="20"/>
  <c r="O157" i="20"/>
  <c r="P157" i="20"/>
  <c r="Q157" i="20"/>
  <c r="R151" i="20"/>
  <c r="R157" i="20"/>
  <c r="S151" i="20"/>
  <c r="S157" i="20"/>
  <c r="T151" i="20"/>
  <c r="T157" i="20"/>
  <c r="U151" i="20"/>
  <c r="U157" i="20"/>
  <c r="V151" i="20"/>
  <c r="V157" i="20"/>
  <c r="W151" i="20"/>
  <c r="W157" i="20"/>
  <c r="X137" i="20"/>
  <c r="X139" i="20"/>
  <c r="X145" i="20"/>
  <c r="X143" i="20"/>
  <c r="X144" i="20"/>
  <c r="X146" i="20"/>
  <c r="X147" i="20"/>
  <c r="X148" i="20"/>
  <c r="X151" i="20"/>
  <c r="X157" i="20"/>
  <c r="Y151" i="20"/>
  <c r="Y157" i="20"/>
  <c r="Z151" i="20"/>
  <c r="Z157" i="20"/>
  <c r="AA151" i="20"/>
  <c r="AA157" i="20"/>
  <c r="AB151" i="20"/>
  <c r="AB157" i="20"/>
  <c r="D151" i="20"/>
  <c r="D157" i="20"/>
  <c r="L151" i="20"/>
  <c r="M151" i="20"/>
  <c r="P151" i="20"/>
  <c r="Q151" i="20"/>
  <c r="X119" i="20"/>
  <c r="X120" i="20"/>
  <c r="X121" i="20"/>
  <c r="X122" i="20"/>
  <c r="X123" i="20"/>
  <c r="X124" i="20"/>
  <c r="X125" i="20"/>
  <c r="X126" i="20"/>
  <c r="X128" i="20"/>
  <c r="X129" i="20"/>
  <c r="X130" i="20"/>
  <c r="X131" i="20"/>
  <c r="X132" i="20"/>
  <c r="X133" i="20"/>
  <c r="X134" i="20"/>
  <c r="X136" i="20"/>
  <c r="X138" i="20"/>
  <c r="X140" i="20"/>
  <c r="X141" i="20"/>
  <c r="X149" i="20"/>
  <c r="X118" i="20"/>
  <c r="K119" i="20"/>
  <c r="K120" i="20"/>
  <c r="K121" i="20"/>
  <c r="K122" i="20"/>
  <c r="K123" i="20"/>
  <c r="K124" i="20"/>
  <c r="K125" i="20"/>
  <c r="K126" i="20"/>
  <c r="K128" i="20"/>
  <c r="K129" i="20"/>
  <c r="K130" i="20"/>
  <c r="K131" i="20"/>
  <c r="K132" i="20"/>
  <c r="K133" i="20"/>
  <c r="K134" i="20"/>
  <c r="K136" i="20"/>
  <c r="K138" i="20"/>
  <c r="K140" i="20"/>
  <c r="K141" i="20"/>
  <c r="K149" i="20"/>
  <c r="K118" i="20"/>
  <c r="F136" i="20"/>
  <c r="F138" i="20"/>
  <c r="F140" i="20"/>
  <c r="F141" i="20"/>
  <c r="F149" i="20"/>
  <c r="F129" i="20"/>
  <c r="F130" i="20"/>
  <c r="F131" i="20"/>
  <c r="F132" i="20"/>
  <c r="F133" i="20"/>
  <c r="F134" i="20"/>
  <c r="F128" i="20"/>
  <c r="F119" i="20"/>
  <c r="F120" i="20"/>
  <c r="F121" i="20"/>
  <c r="F122" i="20"/>
  <c r="F124" i="20"/>
  <c r="F125" i="20"/>
  <c r="F126" i="20"/>
  <c r="F118" i="20"/>
  <c r="X109" i="20"/>
  <c r="X110" i="20"/>
  <c r="X111" i="20"/>
  <c r="X112" i="20"/>
  <c r="X108" i="20"/>
  <c r="K109" i="20"/>
  <c r="K110" i="20"/>
  <c r="K111" i="20"/>
  <c r="K112" i="20"/>
  <c r="K108" i="20"/>
  <c r="F109" i="20"/>
  <c r="F110" i="20"/>
  <c r="F111" i="20"/>
  <c r="F112" i="20"/>
  <c r="F108" i="20"/>
  <c r="E114" i="20"/>
  <c r="F114" i="20"/>
  <c r="G114" i="20"/>
  <c r="H114" i="20"/>
  <c r="I114" i="20"/>
  <c r="J114" i="20"/>
  <c r="K114" i="20"/>
  <c r="L114" i="20"/>
  <c r="M114" i="20"/>
  <c r="N114" i="20"/>
  <c r="O114" i="20"/>
  <c r="P114" i="20"/>
  <c r="Q114" i="20"/>
  <c r="R114" i="20"/>
  <c r="S114" i="20"/>
  <c r="T114" i="20"/>
  <c r="U114" i="20"/>
  <c r="V114" i="20"/>
  <c r="W114" i="20"/>
  <c r="X114" i="20"/>
  <c r="Y114" i="20"/>
  <c r="Z114" i="20"/>
  <c r="AA114" i="20"/>
  <c r="AB114" i="20"/>
  <c r="D114" i="20"/>
  <c r="X12" i="18"/>
  <c r="K12" i="18"/>
  <c r="F12" i="18"/>
  <c r="F15" i="18"/>
  <c r="K21" i="20"/>
  <c r="K22" i="20"/>
  <c r="K23" i="20"/>
  <c r="K24" i="20"/>
  <c r="K25" i="20"/>
  <c r="K26" i="20"/>
  <c r="K27" i="20"/>
  <c r="K28" i="20"/>
  <c r="K29" i="20"/>
  <c r="K30" i="20"/>
  <c r="K31" i="20"/>
  <c r="K32" i="20"/>
  <c r="K33" i="20"/>
  <c r="K34" i="20"/>
  <c r="K35" i="20"/>
  <c r="K36" i="20"/>
  <c r="K37" i="20"/>
  <c r="K38" i="20"/>
  <c r="K39" i="20"/>
  <c r="K40" i="20"/>
  <c r="K41" i="20"/>
  <c r="K42" i="20"/>
  <c r="K43" i="20"/>
  <c r="K44" i="20"/>
  <c r="K45" i="20"/>
  <c r="K46" i="20"/>
  <c r="K47" i="20"/>
  <c r="K48" i="20"/>
  <c r="K49" i="20"/>
  <c r="K50" i="20"/>
  <c r="K51" i="20"/>
  <c r="K52" i="20"/>
  <c r="K53" i="20"/>
  <c r="K54" i="20"/>
  <c r="K55" i="20"/>
  <c r="K56" i="20"/>
  <c r="K57" i="20"/>
  <c r="K58" i="20"/>
  <c r="K59" i="20"/>
  <c r="K60" i="20"/>
  <c r="K61" i="20"/>
  <c r="K62" i="20"/>
  <c r="K63" i="20"/>
  <c r="K64" i="20"/>
  <c r="K65" i="20"/>
  <c r="K66" i="20"/>
  <c r="K67" i="20"/>
  <c r="K68" i="20"/>
  <c r="K69" i="20"/>
  <c r="K70" i="20"/>
  <c r="K71" i="20"/>
  <c r="K72" i="20"/>
  <c r="K73" i="20"/>
  <c r="K74" i="20"/>
  <c r="K75" i="20"/>
  <c r="K76" i="20"/>
  <c r="K77" i="20"/>
  <c r="K78" i="20"/>
  <c r="K79" i="20"/>
  <c r="K80" i="20"/>
  <c r="K81" i="20"/>
  <c r="K82" i="20"/>
  <c r="K83" i="20"/>
  <c r="K84" i="20"/>
  <c r="K85" i="20"/>
  <c r="K86" i="20"/>
  <c r="K87" i="20"/>
  <c r="K88" i="20"/>
  <c r="K89" i="20"/>
  <c r="K90" i="20"/>
  <c r="K91" i="20"/>
  <c r="K92" i="20"/>
  <c r="K93" i="20"/>
  <c r="K94" i="20"/>
  <c r="K95" i="20"/>
  <c r="K96" i="20"/>
  <c r="K97" i="20"/>
  <c r="K98" i="20"/>
  <c r="K99" i="20"/>
  <c r="K100" i="20"/>
  <c r="K101" i="20"/>
  <c r="K102" i="20"/>
  <c r="K15" i="20"/>
  <c r="X22" i="20"/>
  <c r="X23" i="20"/>
  <c r="X24" i="20"/>
  <c r="X25" i="20"/>
  <c r="X26" i="20"/>
  <c r="X27" i="20"/>
  <c r="X28" i="20"/>
  <c r="X29" i="20"/>
  <c r="X30" i="20"/>
  <c r="X31" i="20"/>
  <c r="X32" i="20"/>
  <c r="X33" i="20"/>
  <c r="X34" i="20"/>
  <c r="X35" i="20"/>
  <c r="X36" i="20"/>
  <c r="X37" i="20"/>
  <c r="X38" i="20"/>
  <c r="X39" i="20"/>
  <c r="X40" i="20"/>
  <c r="X41" i="20"/>
  <c r="X42" i="20"/>
  <c r="X43" i="20"/>
  <c r="X44" i="20"/>
  <c r="X45" i="20"/>
  <c r="X46" i="20"/>
  <c r="X47" i="20"/>
  <c r="X48" i="20"/>
  <c r="X49" i="20"/>
  <c r="X50" i="20"/>
  <c r="X51" i="20"/>
  <c r="X52" i="20"/>
  <c r="X53" i="20"/>
  <c r="X54" i="20"/>
  <c r="X55" i="20"/>
  <c r="X56" i="20"/>
  <c r="X57" i="20"/>
  <c r="X58" i="20"/>
  <c r="X59" i="20"/>
  <c r="X60" i="20"/>
  <c r="X61" i="20"/>
  <c r="X62" i="20"/>
  <c r="X63" i="20"/>
  <c r="X64" i="20"/>
  <c r="X65" i="20"/>
  <c r="X66" i="20"/>
  <c r="X67" i="20"/>
  <c r="X68" i="20"/>
  <c r="X69" i="20"/>
  <c r="X70" i="20"/>
  <c r="X71" i="20"/>
  <c r="X72" i="20"/>
  <c r="X73" i="20"/>
  <c r="X74" i="20"/>
  <c r="X75" i="20"/>
  <c r="X76" i="20"/>
  <c r="X77" i="20"/>
  <c r="X78" i="20"/>
  <c r="X79" i="20"/>
  <c r="X80" i="20"/>
  <c r="X81" i="20"/>
  <c r="X82" i="20"/>
  <c r="X83" i="20"/>
  <c r="X84" i="20"/>
  <c r="X85" i="20"/>
  <c r="X86" i="20"/>
  <c r="X87" i="20"/>
  <c r="X88" i="20"/>
  <c r="X89" i="20"/>
  <c r="X90" i="20"/>
  <c r="X91" i="20"/>
  <c r="X92" i="20"/>
  <c r="X93" i="20"/>
  <c r="X94" i="20"/>
  <c r="X95" i="20"/>
  <c r="X96" i="20"/>
  <c r="X97" i="20"/>
  <c r="X98" i="20"/>
  <c r="X99" i="20"/>
  <c r="X100" i="20"/>
  <c r="X101" i="20"/>
  <c r="X102" i="20"/>
  <c r="X21" i="20"/>
  <c r="X16" i="20"/>
  <c r="X17" i="20"/>
  <c r="X18" i="20"/>
  <c r="X15" i="20"/>
  <c r="F22" i="20"/>
  <c r="F23" i="20"/>
  <c r="F24" i="20"/>
  <c r="F25" i="20"/>
  <c r="F26" i="20"/>
  <c r="F27" i="20"/>
  <c r="F28" i="20"/>
  <c r="F29" i="20"/>
  <c r="F30" i="20"/>
  <c r="F31" i="20"/>
  <c r="F32" i="20"/>
  <c r="F33" i="20"/>
  <c r="F34" i="20"/>
  <c r="F35" i="20"/>
  <c r="F36" i="20"/>
  <c r="F37" i="20"/>
  <c r="F38" i="20"/>
  <c r="F39" i="20"/>
  <c r="F40" i="20"/>
  <c r="F41" i="20"/>
  <c r="F42" i="20"/>
  <c r="F43" i="20"/>
  <c r="F44" i="20"/>
  <c r="F45" i="20"/>
  <c r="F46" i="20"/>
  <c r="F47" i="20"/>
  <c r="F48" i="20"/>
  <c r="F49" i="20"/>
  <c r="F50" i="20"/>
  <c r="F51" i="20"/>
  <c r="F52" i="20"/>
  <c r="F53" i="20"/>
  <c r="F54" i="20"/>
  <c r="F55" i="20"/>
  <c r="F56" i="20"/>
  <c r="F57" i="20"/>
  <c r="F58" i="20"/>
  <c r="F59" i="20"/>
  <c r="F60" i="20"/>
  <c r="F61" i="20"/>
  <c r="F62" i="20"/>
  <c r="F63" i="20"/>
  <c r="F64" i="20"/>
  <c r="F65" i="20"/>
  <c r="F66" i="20"/>
  <c r="F67" i="20"/>
  <c r="F68" i="20"/>
  <c r="F69" i="20"/>
  <c r="F70" i="20"/>
  <c r="F71" i="20"/>
  <c r="F72" i="20"/>
  <c r="F73" i="20"/>
  <c r="F74" i="20"/>
  <c r="F75" i="20"/>
  <c r="F76" i="20"/>
  <c r="F77" i="20"/>
  <c r="F78" i="20"/>
  <c r="F79" i="20"/>
  <c r="F80" i="20"/>
  <c r="F81" i="20"/>
  <c r="F82" i="20"/>
  <c r="F83" i="20"/>
  <c r="F84" i="20"/>
  <c r="F85" i="20"/>
  <c r="F86" i="20"/>
  <c r="F87" i="20"/>
  <c r="F88" i="20"/>
  <c r="F89" i="20"/>
  <c r="F90" i="20"/>
  <c r="F91" i="20"/>
  <c r="F92" i="20"/>
  <c r="F93" i="20"/>
  <c r="F94" i="20"/>
  <c r="F95" i="20"/>
  <c r="F96" i="20"/>
  <c r="F97" i="20"/>
  <c r="F98" i="20"/>
  <c r="F99" i="20"/>
  <c r="F100" i="20"/>
  <c r="F101" i="20"/>
  <c r="F102" i="20"/>
  <c r="F21" i="20"/>
  <c r="E104" i="20"/>
  <c r="F104" i="20"/>
  <c r="G104" i="20"/>
  <c r="H104" i="20"/>
  <c r="I104" i="20"/>
  <c r="J104" i="20"/>
  <c r="K104" i="20"/>
  <c r="L104" i="20"/>
  <c r="M104" i="20"/>
  <c r="N104" i="20"/>
  <c r="O104" i="20"/>
  <c r="P104" i="20"/>
  <c r="Q104" i="20"/>
  <c r="R104" i="20"/>
  <c r="S104" i="20"/>
  <c r="T104" i="20"/>
  <c r="U104" i="20"/>
  <c r="V104" i="20"/>
  <c r="W104" i="20"/>
  <c r="X104" i="20"/>
  <c r="Y104" i="20"/>
  <c r="Z104" i="20"/>
  <c r="AA104" i="20"/>
  <c r="AB104" i="20"/>
  <c r="D104" i="20"/>
  <c r="K16" i="20"/>
  <c r="K17" i="20"/>
  <c r="K18" i="20"/>
  <c r="F16" i="20"/>
  <c r="F17" i="20"/>
  <c r="F18" i="20"/>
  <c r="F15" i="20"/>
  <c r="E12" i="20"/>
  <c r="F12" i="20"/>
  <c r="G12" i="20"/>
  <c r="H12" i="20"/>
  <c r="I12" i="20"/>
  <c r="J12" i="20"/>
  <c r="K12" i="20"/>
  <c r="L12" i="20"/>
  <c r="M12" i="20"/>
  <c r="N12" i="20"/>
  <c r="O12" i="20"/>
  <c r="P12" i="20"/>
  <c r="Q12" i="20"/>
  <c r="R12" i="20"/>
  <c r="S12" i="20"/>
  <c r="T12" i="20"/>
  <c r="U12" i="20"/>
  <c r="V12" i="20"/>
  <c r="W12" i="20"/>
  <c r="X12" i="20"/>
  <c r="Y12" i="20"/>
  <c r="Z12" i="20"/>
  <c r="AA12" i="20"/>
  <c r="AB12" i="20"/>
  <c r="D12" i="20"/>
  <c r="X241" i="19"/>
  <c r="X242" i="19"/>
  <c r="X243" i="19"/>
  <c r="X244" i="19"/>
  <c r="X245" i="19"/>
  <c r="X246" i="19"/>
  <c r="X247" i="19"/>
  <c r="X248" i="19"/>
  <c r="X249" i="19"/>
  <c r="X250" i="19"/>
  <c r="X251" i="19"/>
  <c r="X252" i="19"/>
  <c r="X253" i="19"/>
  <c r="X254" i="19"/>
  <c r="X255" i="19"/>
  <c r="X256" i="19"/>
  <c r="X257" i="19"/>
  <c r="X258" i="19"/>
  <c r="X259" i="19"/>
  <c r="X260" i="19"/>
  <c r="X261" i="19"/>
  <c r="X262" i="19"/>
  <c r="X263" i="19"/>
  <c r="X240" i="19"/>
  <c r="K241" i="19"/>
  <c r="K242" i="19"/>
  <c r="K243" i="19"/>
  <c r="K244" i="19"/>
  <c r="K245" i="19"/>
  <c r="K246" i="19"/>
  <c r="K247" i="19"/>
  <c r="K248" i="19"/>
  <c r="K249" i="19"/>
  <c r="K250" i="19"/>
  <c r="K251" i="19"/>
  <c r="K252" i="19"/>
  <c r="K253" i="19"/>
  <c r="K254" i="19"/>
  <c r="K255" i="19"/>
  <c r="K256" i="19"/>
  <c r="K257" i="19"/>
  <c r="K258" i="19"/>
  <c r="K259" i="19"/>
  <c r="K260" i="19"/>
  <c r="K261" i="19"/>
  <c r="K262" i="19"/>
  <c r="K263" i="19"/>
  <c r="K240" i="19"/>
  <c r="F241" i="19"/>
  <c r="F242" i="19"/>
  <c r="F243" i="19"/>
  <c r="F244" i="19"/>
  <c r="F245" i="19"/>
  <c r="F246" i="19"/>
  <c r="F247" i="19"/>
  <c r="F248" i="19"/>
  <c r="F249" i="19"/>
  <c r="F250" i="19"/>
  <c r="F251" i="19"/>
  <c r="F252" i="19"/>
  <c r="F253" i="19"/>
  <c r="F254" i="19"/>
  <c r="F255" i="19"/>
  <c r="F256" i="19"/>
  <c r="F257" i="19"/>
  <c r="F258" i="19"/>
  <c r="F259" i="19"/>
  <c r="F260" i="19"/>
  <c r="F261" i="19"/>
  <c r="F262" i="19"/>
  <c r="F263" i="19"/>
  <c r="F240" i="19"/>
  <c r="E265" i="19"/>
  <c r="F265" i="19"/>
  <c r="G265" i="19"/>
  <c r="H265" i="19"/>
  <c r="I265" i="19"/>
  <c r="J265" i="19"/>
  <c r="K265" i="19"/>
  <c r="L265" i="19"/>
  <c r="M265" i="19"/>
  <c r="N265" i="19"/>
  <c r="O265" i="19"/>
  <c r="P265" i="19"/>
  <c r="Q265" i="19"/>
  <c r="R265" i="19"/>
  <c r="S265" i="19"/>
  <c r="T265" i="19"/>
  <c r="U265" i="19"/>
  <c r="V265" i="19"/>
  <c r="W265" i="19"/>
  <c r="X265" i="19"/>
  <c r="Y265" i="19"/>
  <c r="Z265" i="19"/>
  <c r="AA265" i="19"/>
  <c r="AB265" i="19"/>
  <c r="D265" i="19"/>
  <c r="Z207" i="19"/>
  <c r="X196" i="19"/>
  <c r="X197" i="19"/>
  <c r="X198" i="19"/>
  <c r="X199" i="19"/>
  <c r="X200" i="19"/>
  <c r="X201" i="19"/>
  <c r="X202" i="19"/>
  <c r="X203" i="19"/>
  <c r="X204" i="19"/>
  <c r="X205" i="19"/>
  <c r="X195" i="19"/>
  <c r="X161" i="19"/>
  <c r="X162" i="19"/>
  <c r="X163" i="19"/>
  <c r="X164" i="19"/>
  <c r="X165" i="19"/>
  <c r="X166" i="19"/>
  <c r="X167" i="19"/>
  <c r="X168" i="19"/>
  <c r="X169" i="19"/>
  <c r="X170" i="19"/>
  <c r="X171" i="19"/>
  <c r="X172" i="19"/>
  <c r="X173" i="19"/>
  <c r="X174" i="19"/>
  <c r="X175" i="19"/>
  <c r="X176" i="19"/>
  <c r="X177" i="19"/>
  <c r="X178" i="19"/>
  <c r="X179" i="19"/>
  <c r="X180" i="19"/>
  <c r="X181" i="19"/>
  <c r="X182" i="19"/>
  <c r="X183" i="19"/>
  <c r="X184" i="19"/>
  <c r="X185" i="19"/>
  <c r="X186" i="19"/>
  <c r="X187" i="19"/>
  <c r="X188" i="19"/>
  <c r="X189" i="19"/>
  <c r="X190" i="19"/>
  <c r="X160" i="19"/>
  <c r="X214" i="19"/>
  <c r="X215" i="19"/>
  <c r="X216" i="19"/>
  <c r="X217" i="19"/>
  <c r="X218" i="19"/>
  <c r="X219" i="19"/>
  <c r="X220" i="19"/>
  <c r="X221" i="19"/>
  <c r="X222" i="19"/>
  <c r="X223" i="19"/>
  <c r="X224" i="19"/>
  <c r="X225" i="19"/>
  <c r="X226" i="19"/>
  <c r="X227" i="19"/>
  <c r="X228" i="19"/>
  <c r="X229" i="19"/>
  <c r="X230" i="19"/>
  <c r="X231" i="19"/>
  <c r="X232" i="19"/>
  <c r="X233" i="19"/>
  <c r="X234" i="19"/>
  <c r="X235" i="19"/>
  <c r="X213" i="19"/>
  <c r="K214" i="19"/>
  <c r="K215" i="19"/>
  <c r="K216" i="19"/>
  <c r="K217" i="19"/>
  <c r="K218" i="19"/>
  <c r="K219" i="19"/>
  <c r="K220" i="19"/>
  <c r="K221" i="19"/>
  <c r="K222" i="19"/>
  <c r="K223" i="19"/>
  <c r="K224" i="19"/>
  <c r="K225" i="19"/>
  <c r="K226" i="19"/>
  <c r="K227" i="19"/>
  <c r="K228" i="19"/>
  <c r="K229" i="19"/>
  <c r="K230" i="19"/>
  <c r="K231" i="19"/>
  <c r="K232" i="19"/>
  <c r="K233" i="19"/>
  <c r="K234" i="19"/>
  <c r="K235" i="19"/>
  <c r="K213" i="19"/>
  <c r="F214" i="19"/>
  <c r="F215" i="19"/>
  <c r="F216" i="19"/>
  <c r="F217" i="19"/>
  <c r="F218" i="19"/>
  <c r="F219" i="19"/>
  <c r="F220" i="19"/>
  <c r="F221" i="19"/>
  <c r="F222" i="19"/>
  <c r="F223" i="19"/>
  <c r="F224" i="19"/>
  <c r="F225" i="19"/>
  <c r="F226" i="19"/>
  <c r="F227" i="19"/>
  <c r="F228" i="19"/>
  <c r="F229" i="19"/>
  <c r="F230" i="19"/>
  <c r="F231" i="19"/>
  <c r="F232" i="19"/>
  <c r="F233" i="19"/>
  <c r="F234" i="19"/>
  <c r="F235" i="19"/>
  <c r="F213" i="19"/>
  <c r="E237" i="19"/>
  <c r="F237" i="19"/>
  <c r="G237" i="19"/>
  <c r="H237" i="19"/>
  <c r="I237" i="19"/>
  <c r="J237" i="19"/>
  <c r="K237" i="19"/>
  <c r="L237" i="19"/>
  <c r="M237" i="19"/>
  <c r="N237" i="19"/>
  <c r="O237" i="19"/>
  <c r="P237" i="19"/>
  <c r="Q237" i="19"/>
  <c r="R237" i="19"/>
  <c r="S237" i="19"/>
  <c r="T237" i="19"/>
  <c r="U237" i="19"/>
  <c r="V237" i="19"/>
  <c r="W237" i="19"/>
  <c r="X237" i="19"/>
  <c r="Y237" i="19"/>
  <c r="Z237" i="19"/>
  <c r="AA237" i="19"/>
  <c r="AB237" i="19"/>
  <c r="D237" i="19"/>
  <c r="K196" i="19"/>
  <c r="K197" i="19"/>
  <c r="K198" i="19"/>
  <c r="K199" i="19"/>
  <c r="K200" i="19"/>
  <c r="K201" i="19"/>
  <c r="K202" i="19"/>
  <c r="K203" i="19"/>
  <c r="K204" i="19"/>
  <c r="K205" i="19"/>
  <c r="K195" i="19"/>
  <c r="E210" i="19"/>
  <c r="F195" i="19"/>
  <c r="F196" i="19"/>
  <c r="F197" i="19"/>
  <c r="F200" i="19"/>
  <c r="F203" i="19"/>
  <c r="F198" i="19"/>
  <c r="F202" i="19"/>
  <c r="F205" i="19"/>
  <c r="F207" i="19"/>
  <c r="F210" i="19"/>
  <c r="G207" i="19"/>
  <c r="G210" i="19"/>
  <c r="H207" i="19"/>
  <c r="H210" i="19"/>
  <c r="I207" i="19"/>
  <c r="I210" i="19"/>
  <c r="J207" i="19"/>
  <c r="J210" i="19"/>
  <c r="K207" i="19"/>
  <c r="K210" i="19"/>
  <c r="L210" i="19"/>
  <c r="M210" i="19"/>
  <c r="N207" i="19"/>
  <c r="N210" i="19"/>
  <c r="O207" i="19"/>
  <c r="O210" i="19"/>
  <c r="P207" i="19"/>
  <c r="P210" i="19"/>
  <c r="Q207" i="19"/>
  <c r="Q210" i="19"/>
  <c r="R207" i="19"/>
  <c r="R210" i="19"/>
  <c r="S207" i="19"/>
  <c r="S210" i="19"/>
  <c r="T207" i="19"/>
  <c r="T210" i="19"/>
  <c r="U207" i="19"/>
  <c r="U210" i="19"/>
  <c r="V207" i="19"/>
  <c r="V210" i="19"/>
  <c r="W207" i="19"/>
  <c r="W210" i="19"/>
  <c r="X192" i="19"/>
  <c r="X207" i="19"/>
  <c r="X210" i="19"/>
  <c r="Y207" i="19"/>
  <c r="Y210" i="19"/>
  <c r="Z210" i="19"/>
  <c r="AA207" i="19"/>
  <c r="AA210" i="19"/>
  <c r="AB207" i="19"/>
  <c r="AB210" i="19"/>
  <c r="D210" i="19"/>
  <c r="E207" i="19"/>
  <c r="L207" i="19"/>
  <c r="M207" i="19"/>
  <c r="D207" i="19"/>
  <c r="F199" i="19"/>
  <c r="F201" i="19"/>
  <c r="F204" i="19"/>
  <c r="K161" i="19"/>
  <c r="K162" i="19"/>
  <c r="K163" i="19"/>
  <c r="K164" i="19"/>
  <c r="K165" i="19"/>
  <c r="K166" i="19"/>
  <c r="K167" i="19"/>
  <c r="K168" i="19"/>
  <c r="K169" i="19"/>
  <c r="K170" i="19"/>
  <c r="K171" i="19"/>
  <c r="K172" i="19"/>
  <c r="K173" i="19"/>
  <c r="K174" i="19"/>
  <c r="K175" i="19"/>
  <c r="K176" i="19"/>
  <c r="K177" i="19"/>
  <c r="K178" i="19"/>
  <c r="K179" i="19"/>
  <c r="K180" i="19"/>
  <c r="K181" i="19"/>
  <c r="K182" i="19"/>
  <c r="K183" i="19"/>
  <c r="K184" i="19"/>
  <c r="K185" i="19"/>
  <c r="K186" i="19"/>
  <c r="K187" i="19"/>
  <c r="K188" i="19"/>
  <c r="K189" i="19"/>
  <c r="K190" i="19"/>
  <c r="K160" i="19"/>
  <c r="E192" i="19"/>
  <c r="F160" i="19"/>
  <c r="F161" i="19"/>
  <c r="F162" i="19"/>
  <c r="F163" i="19"/>
  <c r="F164" i="19"/>
  <c r="F165" i="19"/>
  <c r="F166" i="19"/>
  <c r="F167" i="19"/>
  <c r="F168" i="19"/>
  <c r="F171" i="19"/>
  <c r="F172" i="19"/>
  <c r="F173" i="19"/>
  <c r="F174" i="19"/>
  <c r="F176" i="19"/>
  <c r="F177" i="19"/>
  <c r="F178" i="19"/>
  <c r="F179" i="19"/>
  <c r="F180" i="19"/>
  <c r="F181" i="19"/>
  <c r="F182" i="19"/>
  <c r="F183" i="19"/>
  <c r="F184" i="19"/>
  <c r="F185" i="19"/>
  <c r="F186" i="19"/>
  <c r="F187" i="19"/>
  <c r="F188" i="19"/>
  <c r="F189" i="19"/>
  <c r="F190" i="19"/>
  <c r="F169" i="19"/>
  <c r="F170" i="19"/>
  <c r="F175" i="19"/>
  <c r="F192" i="19"/>
  <c r="G192" i="19"/>
  <c r="H192" i="19"/>
  <c r="I192" i="19"/>
  <c r="J192" i="19"/>
  <c r="K192" i="19"/>
  <c r="L192" i="19"/>
  <c r="M192" i="19"/>
  <c r="N192" i="19"/>
  <c r="O192" i="19"/>
  <c r="P192" i="19"/>
  <c r="Q192" i="19"/>
  <c r="R192" i="19"/>
  <c r="S192" i="19"/>
  <c r="T192" i="19"/>
  <c r="U192" i="19"/>
  <c r="V192" i="19"/>
  <c r="W192" i="19"/>
  <c r="Y192" i="19"/>
  <c r="Z192" i="19"/>
  <c r="AA192" i="19"/>
  <c r="AB192" i="19"/>
  <c r="D192" i="19"/>
  <c r="E157" i="19"/>
  <c r="F134" i="19"/>
  <c r="F151" i="19"/>
  <c r="F157" i="19"/>
  <c r="G157" i="19"/>
  <c r="H151" i="19"/>
  <c r="H157" i="19"/>
  <c r="I157" i="19"/>
  <c r="J157" i="19"/>
  <c r="K121" i="19"/>
  <c r="K136" i="19"/>
  <c r="K137" i="19"/>
  <c r="K138" i="19"/>
  <c r="K139" i="19"/>
  <c r="K140" i="19"/>
  <c r="K148" i="19"/>
  <c r="K146" i="19"/>
  <c r="K141" i="19"/>
  <c r="K143" i="19"/>
  <c r="K145" i="19"/>
  <c r="K147" i="19"/>
  <c r="K149" i="19"/>
  <c r="K144" i="19"/>
  <c r="K130" i="19"/>
  <c r="K131" i="19"/>
  <c r="K132" i="19"/>
  <c r="K133" i="19"/>
  <c r="K134" i="19"/>
  <c r="K151" i="19"/>
  <c r="K157" i="19"/>
  <c r="L157" i="19"/>
  <c r="M157" i="19"/>
  <c r="N151" i="19"/>
  <c r="N157" i="19"/>
  <c r="O157" i="19"/>
  <c r="P151" i="19"/>
  <c r="P157" i="19"/>
  <c r="Q151" i="19"/>
  <c r="Q157" i="19"/>
  <c r="R151" i="19"/>
  <c r="R157" i="19"/>
  <c r="S151" i="19"/>
  <c r="S157" i="19"/>
  <c r="T151" i="19"/>
  <c r="T157" i="19"/>
  <c r="U151" i="19"/>
  <c r="U157" i="19"/>
  <c r="V151" i="19"/>
  <c r="V157" i="19"/>
  <c r="W151" i="19"/>
  <c r="W157" i="19"/>
  <c r="X136" i="19"/>
  <c r="X137" i="19"/>
  <c r="X138" i="19"/>
  <c r="X139" i="19"/>
  <c r="X140" i="19"/>
  <c r="X141" i="19"/>
  <c r="X143" i="19"/>
  <c r="X146" i="19"/>
  <c r="X147" i="19"/>
  <c r="X148" i="19"/>
  <c r="X144" i="19"/>
  <c r="X145" i="19"/>
  <c r="X149" i="19"/>
  <c r="X151" i="19"/>
  <c r="X157" i="19"/>
  <c r="Y151" i="19"/>
  <c r="Y157" i="19"/>
  <c r="Z151" i="19"/>
  <c r="Z157" i="19"/>
  <c r="AA151" i="19"/>
  <c r="AA157" i="19"/>
  <c r="AB151" i="19"/>
  <c r="AB157" i="19"/>
  <c r="D157" i="19"/>
  <c r="X119" i="19"/>
  <c r="X120" i="19"/>
  <c r="X121" i="19"/>
  <c r="X122" i="19"/>
  <c r="X123" i="19"/>
  <c r="X124" i="19"/>
  <c r="X125" i="19"/>
  <c r="X126" i="19"/>
  <c r="X128" i="19"/>
  <c r="X129" i="19"/>
  <c r="X130" i="19"/>
  <c r="X131" i="19"/>
  <c r="X132" i="19"/>
  <c r="X133" i="19"/>
  <c r="X134" i="19"/>
  <c r="X118" i="19"/>
  <c r="K119" i="19"/>
  <c r="K120" i="19"/>
  <c r="K122" i="19"/>
  <c r="K123" i="19"/>
  <c r="K124" i="19"/>
  <c r="K125" i="19"/>
  <c r="K126" i="19"/>
  <c r="K128" i="19"/>
  <c r="K129" i="19"/>
  <c r="K118" i="19"/>
  <c r="F119" i="19"/>
  <c r="F120" i="19"/>
  <c r="F121" i="19"/>
  <c r="F122" i="19"/>
  <c r="F123" i="19"/>
  <c r="F124" i="19"/>
  <c r="F125" i="19"/>
  <c r="F126" i="19"/>
  <c r="F128" i="19"/>
  <c r="F129" i="19"/>
  <c r="F130" i="19"/>
  <c r="F131" i="19"/>
  <c r="F132" i="19"/>
  <c r="F133" i="19"/>
  <c r="F136" i="19"/>
  <c r="F137" i="19"/>
  <c r="F138" i="19"/>
  <c r="F139" i="19"/>
  <c r="F140" i="19"/>
  <c r="F141" i="19"/>
  <c r="F143" i="19"/>
  <c r="F144" i="19"/>
  <c r="F145" i="19"/>
  <c r="F146" i="19"/>
  <c r="F147" i="19"/>
  <c r="F148" i="19"/>
  <c r="F149" i="19"/>
  <c r="F118" i="19"/>
  <c r="E151" i="19"/>
  <c r="G151" i="19"/>
  <c r="I151" i="19"/>
  <c r="J151" i="19"/>
  <c r="L151" i="19"/>
  <c r="M151" i="19"/>
  <c r="O151" i="19"/>
  <c r="D151" i="19"/>
  <c r="E114" i="19"/>
  <c r="F114" i="19"/>
  <c r="G114" i="19"/>
  <c r="H114" i="19"/>
  <c r="I114" i="19"/>
  <c r="J114" i="19"/>
  <c r="K114" i="19"/>
  <c r="L114" i="19"/>
  <c r="M114" i="19"/>
  <c r="N114" i="19"/>
  <c r="O114" i="19"/>
  <c r="P114" i="19"/>
  <c r="Q114" i="19"/>
  <c r="R114" i="19"/>
  <c r="S114" i="19"/>
  <c r="T114" i="19"/>
  <c r="U114" i="19"/>
  <c r="V114" i="19"/>
  <c r="W114" i="19"/>
  <c r="X114" i="19"/>
  <c r="Y114" i="19"/>
  <c r="Z114" i="19"/>
  <c r="AA114" i="19"/>
  <c r="AB114" i="19"/>
  <c r="D114" i="19"/>
  <c r="X22" i="19"/>
  <c r="X23" i="19"/>
  <c r="X24" i="19"/>
  <c r="X25" i="19"/>
  <c r="X26" i="19"/>
  <c r="X27" i="19"/>
  <c r="X28" i="19"/>
  <c r="X29" i="19"/>
  <c r="X30" i="19"/>
  <c r="X31" i="19"/>
  <c r="X32" i="19"/>
  <c r="X33" i="19"/>
  <c r="X34" i="19"/>
  <c r="X35" i="19"/>
  <c r="X36" i="19"/>
  <c r="X37" i="19"/>
  <c r="X38" i="19"/>
  <c r="X39" i="19"/>
  <c r="X40" i="19"/>
  <c r="X41" i="19"/>
  <c r="X42" i="19"/>
  <c r="X43" i="19"/>
  <c r="X44" i="19"/>
  <c r="X45" i="19"/>
  <c r="X46" i="19"/>
  <c r="X47" i="19"/>
  <c r="X48" i="19"/>
  <c r="X49" i="19"/>
  <c r="X50" i="19"/>
  <c r="X51" i="19"/>
  <c r="X52" i="19"/>
  <c r="X53" i="19"/>
  <c r="X54" i="19"/>
  <c r="X55" i="19"/>
  <c r="X56" i="19"/>
  <c r="X57" i="19"/>
  <c r="X58" i="19"/>
  <c r="X59" i="19"/>
  <c r="X60" i="19"/>
  <c r="X61" i="19"/>
  <c r="X62" i="19"/>
  <c r="X63" i="19"/>
  <c r="X64" i="19"/>
  <c r="X65" i="19"/>
  <c r="X66" i="19"/>
  <c r="X67" i="19"/>
  <c r="X68" i="19"/>
  <c r="X69" i="19"/>
  <c r="X70" i="19"/>
  <c r="X71" i="19"/>
  <c r="X72" i="19"/>
  <c r="X73" i="19"/>
  <c r="X74" i="19"/>
  <c r="X75" i="19"/>
  <c r="X76" i="19"/>
  <c r="X77" i="19"/>
  <c r="X78" i="19"/>
  <c r="X79" i="19"/>
  <c r="X80" i="19"/>
  <c r="X81" i="19"/>
  <c r="X82" i="19"/>
  <c r="X83" i="19"/>
  <c r="X84" i="19"/>
  <c r="X85" i="19"/>
  <c r="X86" i="19"/>
  <c r="X87" i="19"/>
  <c r="X88" i="19"/>
  <c r="X89" i="19"/>
  <c r="X90" i="19"/>
  <c r="X91" i="19"/>
  <c r="X92" i="19"/>
  <c r="X93" i="19"/>
  <c r="X94" i="19"/>
  <c r="X95" i="19"/>
  <c r="X96" i="19"/>
  <c r="X97" i="19"/>
  <c r="X98" i="19"/>
  <c r="X99" i="19"/>
  <c r="X100" i="19"/>
  <c r="X101" i="19"/>
  <c r="X102" i="19"/>
  <c r="X21" i="19"/>
  <c r="K22" i="19"/>
  <c r="K23" i="19"/>
  <c r="K24" i="19"/>
  <c r="K25" i="19"/>
  <c r="K26" i="19"/>
  <c r="K27" i="19"/>
  <c r="K28" i="19"/>
  <c r="K29" i="19"/>
  <c r="K30" i="19"/>
  <c r="K31" i="19"/>
  <c r="K32" i="19"/>
  <c r="K33" i="19"/>
  <c r="K34" i="19"/>
  <c r="K35" i="19"/>
  <c r="K36" i="19"/>
  <c r="K37" i="19"/>
  <c r="K38" i="19"/>
  <c r="K39" i="19"/>
  <c r="K40" i="19"/>
  <c r="K41" i="19"/>
  <c r="K42" i="19"/>
  <c r="K43" i="19"/>
  <c r="K44" i="19"/>
  <c r="K45" i="19"/>
  <c r="K46" i="19"/>
  <c r="K47" i="19"/>
  <c r="K48" i="19"/>
  <c r="K49" i="19"/>
  <c r="K50" i="19"/>
  <c r="K51" i="19"/>
  <c r="K52" i="19"/>
  <c r="K53" i="19"/>
  <c r="K54" i="19"/>
  <c r="K55" i="19"/>
  <c r="K56" i="19"/>
  <c r="K57" i="19"/>
  <c r="K58" i="19"/>
  <c r="K59" i="19"/>
  <c r="K60" i="19"/>
  <c r="K61" i="19"/>
  <c r="K62" i="19"/>
  <c r="K63" i="19"/>
  <c r="K64" i="19"/>
  <c r="K65" i="19"/>
  <c r="K66" i="19"/>
  <c r="K67" i="19"/>
  <c r="K68" i="19"/>
  <c r="K69" i="19"/>
  <c r="K70" i="19"/>
  <c r="K71" i="19"/>
  <c r="K72" i="19"/>
  <c r="K73" i="19"/>
  <c r="K74" i="19"/>
  <c r="K75" i="19"/>
  <c r="K76" i="19"/>
  <c r="K77" i="19"/>
  <c r="K78" i="19"/>
  <c r="K79" i="19"/>
  <c r="K80" i="19"/>
  <c r="K81" i="19"/>
  <c r="K82" i="19"/>
  <c r="K83" i="19"/>
  <c r="K84" i="19"/>
  <c r="K85" i="19"/>
  <c r="K86" i="19"/>
  <c r="K87" i="19"/>
  <c r="K88" i="19"/>
  <c r="K89" i="19"/>
  <c r="K90" i="19"/>
  <c r="K91" i="19"/>
  <c r="K92" i="19"/>
  <c r="K93" i="19"/>
  <c r="K94" i="19"/>
  <c r="K95" i="19"/>
  <c r="K96" i="19"/>
  <c r="K97" i="19"/>
  <c r="K98" i="19"/>
  <c r="K99" i="19"/>
  <c r="K100" i="19"/>
  <c r="K101" i="19"/>
  <c r="K102" i="19"/>
  <c r="K21" i="19"/>
  <c r="F22" i="19"/>
  <c r="F23" i="19"/>
  <c r="F24" i="19"/>
  <c r="F25" i="19"/>
  <c r="F26" i="19"/>
  <c r="F27" i="19"/>
  <c r="F28" i="19"/>
  <c r="F29" i="19"/>
  <c r="F30" i="19"/>
  <c r="F31" i="19"/>
  <c r="F32" i="19"/>
  <c r="F33" i="19"/>
  <c r="F34" i="19"/>
  <c r="F35" i="19"/>
  <c r="F36" i="19"/>
  <c r="F37" i="19"/>
  <c r="F38" i="19"/>
  <c r="F39" i="19"/>
  <c r="F40" i="19"/>
  <c r="F41" i="19"/>
  <c r="F42" i="19"/>
  <c r="F43" i="19"/>
  <c r="F44" i="19"/>
  <c r="F45" i="19"/>
  <c r="F46" i="19"/>
  <c r="F47" i="19"/>
  <c r="F48" i="19"/>
  <c r="F49" i="19"/>
  <c r="F50" i="19"/>
  <c r="F51" i="19"/>
  <c r="F52" i="19"/>
  <c r="F53" i="19"/>
  <c r="F54" i="19"/>
  <c r="F55" i="19"/>
  <c r="F56" i="19"/>
  <c r="F57" i="19"/>
  <c r="F58" i="19"/>
  <c r="F59" i="19"/>
  <c r="F60" i="19"/>
  <c r="F61" i="19"/>
  <c r="F62" i="19"/>
  <c r="F63" i="19"/>
  <c r="F64" i="19"/>
  <c r="F65" i="19"/>
  <c r="F66" i="19"/>
  <c r="F67" i="19"/>
  <c r="F68" i="19"/>
  <c r="F69" i="19"/>
  <c r="F70" i="19"/>
  <c r="F71" i="19"/>
  <c r="F72" i="19"/>
  <c r="F73" i="19"/>
  <c r="F74" i="19"/>
  <c r="F75" i="19"/>
  <c r="F76" i="19"/>
  <c r="F77" i="19"/>
  <c r="F78" i="19"/>
  <c r="F79" i="19"/>
  <c r="F80" i="19"/>
  <c r="F81" i="19"/>
  <c r="F82" i="19"/>
  <c r="F83" i="19"/>
  <c r="F84" i="19"/>
  <c r="F85" i="19"/>
  <c r="F86" i="19"/>
  <c r="F87" i="19"/>
  <c r="F88" i="19"/>
  <c r="F89" i="19"/>
  <c r="F90" i="19"/>
  <c r="F91" i="19"/>
  <c r="F92" i="19"/>
  <c r="F93" i="19"/>
  <c r="F94" i="19"/>
  <c r="F95" i="19"/>
  <c r="F96" i="19"/>
  <c r="F97" i="19"/>
  <c r="F98" i="19"/>
  <c r="F99" i="19"/>
  <c r="F100" i="19"/>
  <c r="F101" i="19"/>
  <c r="F102" i="19"/>
  <c r="F21" i="19"/>
  <c r="AB104" i="19"/>
  <c r="E104" i="19"/>
  <c r="F104" i="19"/>
  <c r="G104" i="19"/>
  <c r="H104" i="19"/>
  <c r="I104" i="19"/>
  <c r="J104" i="19"/>
  <c r="K104" i="19"/>
  <c r="L104" i="19"/>
  <c r="M104" i="19"/>
  <c r="N104" i="19"/>
  <c r="O104" i="19"/>
  <c r="P104" i="19"/>
  <c r="Q104" i="19"/>
  <c r="R104" i="19"/>
  <c r="S104" i="19"/>
  <c r="T104" i="19"/>
  <c r="U104" i="19"/>
  <c r="V104" i="19"/>
  <c r="W104" i="19"/>
  <c r="X104" i="19"/>
  <c r="Y104" i="19"/>
  <c r="Z104" i="19"/>
  <c r="AA104" i="19"/>
  <c r="D104" i="19"/>
  <c r="X16" i="19"/>
  <c r="X17" i="19"/>
  <c r="X18" i="19"/>
  <c r="K16" i="19"/>
  <c r="K17" i="19"/>
  <c r="K18" i="19"/>
  <c r="X15" i="19"/>
  <c r="K15" i="19"/>
  <c r="F16" i="19"/>
  <c r="F17" i="19"/>
  <c r="F18" i="19"/>
  <c r="F15" i="19"/>
  <c r="E12" i="19"/>
  <c r="F12" i="19"/>
  <c r="G12" i="19"/>
  <c r="H12" i="19"/>
  <c r="I12" i="19"/>
  <c r="J12" i="19"/>
  <c r="K12" i="19"/>
  <c r="L12" i="19"/>
  <c r="M12" i="19"/>
  <c r="N12" i="19"/>
  <c r="O12" i="19"/>
  <c r="P12" i="19"/>
  <c r="Q12" i="19"/>
  <c r="R12" i="19"/>
  <c r="S12" i="19"/>
  <c r="T12" i="19"/>
  <c r="U12" i="19"/>
  <c r="V12" i="19"/>
  <c r="W12" i="19"/>
  <c r="X12" i="19"/>
  <c r="Y12" i="19"/>
  <c r="Z12" i="19"/>
  <c r="AA12" i="19"/>
  <c r="AB12" i="19"/>
  <c r="D12" i="19"/>
  <c r="Z210" i="18"/>
  <c r="AA210" i="18"/>
  <c r="AB210" i="18"/>
  <c r="Y210" i="18"/>
  <c r="Z265" i="18"/>
  <c r="AA265" i="18"/>
  <c r="AB265" i="18"/>
  <c r="Y265" i="18"/>
  <c r="Z237" i="18"/>
  <c r="AA237" i="18"/>
  <c r="AB237" i="18"/>
  <c r="Y237" i="18"/>
  <c r="Z207" i="18"/>
  <c r="AA207" i="18"/>
  <c r="AB207" i="18"/>
  <c r="Y207" i="18"/>
  <c r="Z192" i="18"/>
  <c r="AA192" i="18"/>
  <c r="AB192" i="18"/>
  <c r="Y192" i="18"/>
  <c r="Z157" i="18"/>
  <c r="AA104" i="18"/>
  <c r="AA157" i="18"/>
  <c r="AB157" i="18"/>
  <c r="Y157" i="18"/>
  <c r="Z151" i="18"/>
  <c r="AA151" i="18"/>
  <c r="AB151" i="18"/>
  <c r="Y151" i="18"/>
  <c r="Z114" i="18"/>
  <c r="AA114" i="18"/>
  <c r="AB114" i="18"/>
  <c r="Y114" i="18"/>
  <c r="Z104" i="18"/>
  <c r="AB104" i="18"/>
  <c r="Y104" i="18"/>
  <c r="X21" i="18"/>
  <c r="X22" i="18"/>
  <c r="X23" i="18"/>
  <c r="X24" i="18"/>
  <c r="X25" i="18"/>
  <c r="X26" i="18"/>
  <c r="X27" i="18"/>
  <c r="X28" i="18"/>
  <c r="X29" i="18"/>
  <c r="X30" i="18"/>
  <c r="X31" i="18"/>
  <c r="X32" i="18"/>
  <c r="X33" i="18"/>
  <c r="X34" i="18"/>
  <c r="X35" i="18"/>
  <c r="X36" i="18"/>
  <c r="X37" i="18"/>
  <c r="X38" i="18"/>
  <c r="X39" i="18"/>
  <c r="X40" i="18"/>
  <c r="X41" i="18"/>
  <c r="X42" i="18"/>
  <c r="X43" i="18"/>
  <c r="X44" i="18"/>
  <c r="X45" i="18"/>
  <c r="X46" i="18"/>
  <c r="X47" i="18"/>
  <c r="X48" i="18"/>
  <c r="X49" i="18"/>
  <c r="X50" i="18"/>
  <c r="X51" i="18"/>
  <c r="X52" i="18"/>
  <c r="X53" i="18"/>
  <c r="X54" i="18"/>
  <c r="X55" i="18"/>
  <c r="X56" i="18"/>
  <c r="X57" i="18"/>
  <c r="X58" i="18"/>
  <c r="X59" i="18"/>
  <c r="X60" i="18"/>
  <c r="X61" i="18"/>
  <c r="X62" i="18"/>
  <c r="X63" i="18"/>
  <c r="X64" i="18"/>
  <c r="X65" i="18"/>
  <c r="X66" i="18"/>
  <c r="X67" i="18"/>
  <c r="X68" i="18"/>
  <c r="X69" i="18"/>
  <c r="X70" i="18"/>
  <c r="X71" i="18"/>
  <c r="X72" i="18"/>
  <c r="X73" i="18"/>
  <c r="X74" i="18"/>
  <c r="X75" i="18"/>
  <c r="X76" i="18"/>
  <c r="X77" i="18"/>
  <c r="X78" i="18"/>
  <c r="X79" i="18"/>
  <c r="X80" i="18"/>
  <c r="X81" i="18"/>
  <c r="X82" i="18"/>
  <c r="X83" i="18"/>
  <c r="X84" i="18"/>
  <c r="X85" i="18"/>
  <c r="X86" i="18"/>
  <c r="X87" i="18"/>
  <c r="X88" i="18"/>
  <c r="X89" i="18"/>
  <c r="X90" i="18"/>
  <c r="X91" i="18"/>
  <c r="X92" i="18"/>
  <c r="X93" i="18"/>
  <c r="X94" i="18"/>
  <c r="X95" i="18"/>
  <c r="X96" i="18"/>
  <c r="X97" i="18"/>
  <c r="X98" i="18"/>
  <c r="X99" i="18"/>
  <c r="X100" i="18"/>
  <c r="X101" i="18"/>
  <c r="X102" i="18"/>
  <c r="X104" i="18"/>
  <c r="X108" i="18"/>
  <c r="X109" i="18"/>
  <c r="X110" i="18"/>
  <c r="X111" i="18"/>
  <c r="X112" i="18"/>
  <c r="X114" i="18"/>
  <c r="X118" i="18"/>
  <c r="X119" i="18"/>
  <c r="X120" i="18"/>
  <c r="X121" i="18"/>
  <c r="X122" i="18"/>
  <c r="X123" i="18"/>
  <c r="X124" i="18"/>
  <c r="X125" i="18"/>
  <c r="X126" i="18"/>
  <c r="X128" i="18"/>
  <c r="X129" i="18"/>
  <c r="X130" i="18"/>
  <c r="X131" i="18"/>
  <c r="X132" i="18"/>
  <c r="X133" i="18"/>
  <c r="X134" i="18"/>
  <c r="X136" i="18"/>
  <c r="X137" i="18"/>
  <c r="X138" i="18"/>
  <c r="X139" i="18"/>
  <c r="X140" i="18"/>
  <c r="X141" i="18"/>
  <c r="X143" i="18"/>
  <c r="X144" i="18"/>
  <c r="X145" i="18"/>
  <c r="X146" i="18"/>
  <c r="X147" i="18"/>
  <c r="X148" i="18"/>
  <c r="X149" i="18"/>
  <c r="X151" i="18"/>
  <c r="X154" i="18"/>
  <c r="X157" i="18"/>
  <c r="X160" i="18"/>
  <c r="X161" i="18"/>
  <c r="X162" i="18"/>
  <c r="X163" i="18"/>
  <c r="X164" i="18"/>
  <c r="X165" i="18"/>
  <c r="X166" i="18"/>
  <c r="X167" i="18"/>
  <c r="X168" i="18"/>
  <c r="X169" i="18"/>
  <c r="X170" i="18"/>
  <c r="X171" i="18"/>
  <c r="X172" i="18"/>
  <c r="X173" i="18"/>
  <c r="X174" i="18"/>
  <c r="X175" i="18"/>
  <c r="X176" i="18"/>
  <c r="X177" i="18"/>
  <c r="X178" i="18"/>
  <c r="X179" i="18"/>
  <c r="X180" i="18"/>
  <c r="X181" i="18"/>
  <c r="X182" i="18"/>
  <c r="X183" i="18"/>
  <c r="X184" i="18"/>
  <c r="X185" i="18"/>
  <c r="X186" i="18"/>
  <c r="X187" i="18"/>
  <c r="X188" i="18"/>
  <c r="X189" i="18"/>
  <c r="X190" i="18"/>
  <c r="X192" i="18"/>
  <c r="X195" i="18"/>
  <c r="X196" i="18"/>
  <c r="X197" i="18"/>
  <c r="X198" i="18"/>
  <c r="X199" i="18"/>
  <c r="X200" i="18"/>
  <c r="X201" i="18"/>
  <c r="X202" i="18"/>
  <c r="X203" i="18"/>
  <c r="X204" i="18"/>
  <c r="X205" i="18"/>
  <c r="X207" i="18"/>
  <c r="X210" i="18"/>
  <c r="X213" i="18"/>
  <c r="X214" i="18"/>
  <c r="X215" i="18"/>
  <c r="X216" i="18"/>
  <c r="X217" i="18"/>
  <c r="X218" i="18"/>
  <c r="X219" i="18"/>
  <c r="X220" i="18"/>
  <c r="X221" i="18"/>
  <c r="X222" i="18"/>
  <c r="X223" i="18"/>
  <c r="X224" i="18"/>
  <c r="X225" i="18"/>
  <c r="X226" i="18"/>
  <c r="X227" i="18"/>
  <c r="X228" i="18"/>
  <c r="X229" i="18"/>
  <c r="X230" i="18"/>
  <c r="X231" i="18"/>
  <c r="X232" i="18"/>
  <c r="X233" i="18"/>
  <c r="X234" i="18"/>
  <c r="X235" i="18"/>
  <c r="X237" i="18"/>
  <c r="X240" i="18"/>
  <c r="X241" i="18"/>
  <c r="X242" i="18"/>
  <c r="X243" i="18"/>
  <c r="X244" i="18"/>
  <c r="X245" i="18"/>
  <c r="X246" i="18"/>
  <c r="X247" i="18"/>
  <c r="X248" i="18"/>
  <c r="X249" i="18"/>
  <c r="X250" i="18"/>
  <c r="X251" i="18"/>
  <c r="X252" i="18"/>
  <c r="X253" i="18"/>
  <c r="X254" i="18"/>
  <c r="X255" i="18"/>
  <c r="X256" i="18"/>
  <c r="X257" i="18"/>
  <c r="X258" i="18"/>
  <c r="X259" i="18"/>
  <c r="X260" i="18"/>
  <c r="X261" i="18"/>
  <c r="X262" i="18"/>
  <c r="X263" i="18"/>
  <c r="X265" i="18"/>
  <c r="X15" i="18"/>
  <c r="X16" i="18"/>
  <c r="X17" i="18"/>
  <c r="X18" i="18"/>
  <c r="Y12" i="18"/>
  <c r="Z12" i="18"/>
  <c r="AA12" i="18"/>
  <c r="AB12" i="18"/>
  <c r="K241" i="18"/>
  <c r="K242" i="18"/>
  <c r="K243" i="18"/>
  <c r="K244" i="18"/>
  <c r="K245" i="18"/>
  <c r="K246" i="18"/>
  <c r="K247" i="18"/>
  <c r="K248" i="18"/>
  <c r="K249" i="18"/>
  <c r="K250" i="18"/>
  <c r="K251" i="18"/>
  <c r="K252" i="18"/>
  <c r="K253" i="18"/>
  <c r="K254" i="18"/>
  <c r="K255" i="18"/>
  <c r="K256" i="18"/>
  <c r="K257" i="18"/>
  <c r="K258" i="18"/>
  <c r="K259" i="18"/>
  <c r="K260" i="18"/>
  <c r="K261" i="18"/>
  <c r="K262" i="18"/>
  <c r="K263" i="18"/>
  <c r="K240" i="18"/>
  <c r="E265" i="18"/>
  <c r="F240" i="18"/>
  <c r="F241" i="18"/>
  <c r="F242" i="18"/>
  <c r="F243" i="18"/>
  <c r="F244" i="18"/>
  <c r="F245" i="18"/>
  <c r="F246" i="18"/>
  <c r="F247" i="18"/>
  <c r="F248" i="18"/>
  <c r="F249" i="18"/>
  <c r="F250" i="18"/>
  <c r="F251" i="18"/>
  <c r="F252" i="18"/>
  <c r="F253" i="18"/>
  <c r="F254" i="18"/>
  <c r="F255" i="18"/>
  <c r="F256" i="18"/>
  <c r="F257" i="18"/>
  <c r="F258" i="18"/>
  <c r="F259" i="18"/>
  <c r="F260" i="18"/>
  <c r="F261" i="18"/>
  <c r="F262" i="18"/>
  <c r="F263" i="18"/>
  <c r="F265" i="18"/>
  <c r="G265" i="18"/>
  <c r="H265" i="18"/>
  <c r="I265" i="18"/>
  <c r="J265" i="18"/>
  <c r="K265" i="18"/>
  <c r="L265" i="18"/>
  <c r="M265" i="18"/>
  <c r="N265" i="18"/>
  <c r="O265" i="18"/>
  <c r="P265" i="18"/>
  <c r="Q265" i="18"/>
  <c r="R265" i="18"/>
  <c r="S265" i="18"/>
  <c r="T265" i="18"/>
  <c r="U265" i="18"/>
  <c r="V265" i="18"/>
  <c r="W265" i="18"/>
  <c r="D265" i="18"/>
  <c r="K214" i="18"/>
  <c r="K215" i="18"/>
  <c r="K216" i="18"/>
  <c r="K217" i="18"/>
  <c r="K218" i="18"/>
  <c r="K219" i="18"/>
  <c r="K220" i="18"/>
  <c r="K221" i="18"/>
  <c r="K222" i="18"/>
  <c r="K223" i="18"/>
  <c r="K224" i="18"/>
  <c r="K225" i="18"/>
  <c r="K226" i="18"/>
  <c r="K227" i="18"/>
  <c r="K228" i="18"/>
  <c r="K229" i="18"/>
  <c r="K230" i="18"/>
  <c r="K231" i="18"/>
  <c r="K232" i="18"/>
  <c r="K233" i="18"/>
  <c r="K234" i="18"/>
  <c r="K235" i="18"/>
  <c r="K213" i="18"/>
  <c r="E237" i="18"/>
  <c r="F213" i="18"/>
  <c r="F214" i="18"/>
  <c r="F215" i="18"/>
  <c r="F216" i="18"/>
  <c r="F217" i="18"/>
  <c r="F218" i="18"/>
  <c r="F219" i="18"/>
  <c r="F220" i="18"/>
  <c r="F221" i="18"/>
  <c r="F222" i="18"/>
  <c r="F223" i="18"/>
  <c r="F224" i="18"/>
  <c r="F225" i="18"/>
  <c r="F226" i="18"/>
  <c r="F227" i="18"/>
  <c r="F228" i="18"/>
  <c r="F229" i="18"/>
  <c r="F230" i="18"/>
  <c r="F231" i="18"/>
  <c r="F232" i="18"/>
  <c r="F233" i="18"/>
  <c r="F234" i="18"/>
  <c r="F235" i="18"/>
  <c r="F237" i="18"/>
  <c r="G237" i="18"/>
  <c r="H237" i="18"/>
  <c r="I237" i="18"/>
  <c r="J237" i="18"/>
  <c r="K237" i="18"/>
  <c r="L237" i="18"/>
  <c r="M237" i="18"/>
  <c r="N237" i="18"/>
  <c r="O237" i="18"/>
  <c r="P237" i="18"/>
  <c r="Q237" i="18"/>
  <c r="R237" i="18"/>
  <c r="S237" i="18"/>
  <c r="T237" i="18"/>
  <c r="U237" i="18"/>
  <c r="V237" i="18"/>
  <c r="W237" i="18"/>
  <c r="D237" i="18"/>
  <c r="K196" i="18"/>
  <c r="K197" i="18"/>
  <c r="K198" i="18"/>
  <c r="K199" i="18"/>
  <c r="K200" i="18"/>
  <c r="K201" i="18"/>
  <c r="K202" i="18"/>
  <c r="K203" i="18"/>
  <c r="K204" i="18"/>
  <c r="K205" i="18"/>
  <c r="K195" i="18"/>
  <c r="E207" i="18"/>
  <c r="E192" i="18"/>
  <c r="E210" i="18"/>
  <c r="F195" i="18"/>
  <c r="F196" i="18"/>
  <c r="F197" i="18"/>
  <c r="F199" i="18"/>
  <c r="F200" i="18"/>
  <c r="F203" i="18"/>
  <c r="F198" i="18"/>
  <c r="F202" i="18"/>
  <c r="F204" i="18"/>
  <c r="F205" i="18"/>
  <c r="F201" i="18"/>
  <c r="F207" i="18"/>
  <c r="F160" i="18"/>
  <c r="F161" i="18"/>
  <c r="F162" i="18"/>
  <c r="F163" i="18"/>
  <c r="F164" i="18"/>
  <c r="F165" i="18"/>
  <c r="F166" i="18"/>
  <c r="F167" i="18"/>
  <c r="F168" i="18"/>
  <c r="F169" i="18"/>
  <c r="F170" i="18"/>
  <c r="F171" i="18"/>
  <c r="F172" i="18"/>
  <c r="F173" i="18"/>
  <c r="F174" i="18"/>
  <c r="F175" i="18"/>
  <c r="F176" i="18"/>
  <c r="F177" i="18"/>
  <c r="F178" i="18"/>
  <c r="F179" i="18"/>
  <c r="F180" i="18"/>
  <c r="F181" i="18"/>
  <c r="F182" i="18"/>
  <c r="F183" i="18"/>
  <c r="F184" i="18"/>
  <c r="F185" i="18"/>
  <c r="F186" i="18"/>
  <c r="F187" i="18"/>
  <c r="F188" i="18"/>
  <c r="F189" i="18"/>
  <c r="F190" i="18"/>
  <c r="F192" i="18"/>
  <c r="F210" i="18"/>
  <c r="G207" i="18"/>
  <c r="G192" i="18"/>
  <c r="G210" i="18"/>
  <c r="H207" i="18"/>
  <c r="H192" i="18"/>
  <c r="H210" i="18"/>
  <c r="I207" i="18"/>
  <c r="I192" i="18"/>
  <c r="I210" i="18"/>
  <c r="J207" i="18"/>
  <c r="J192" i="18"/>
  <c r="J210" i="18"/>
  <c r="K207" i="18"/>
  <c r="K160" i="18"/>
  <c r="K161" i="18"/>
  <c r="K162" i="18"/>
  <c r="K163" i="18"/>
  <c r="K164" i="18"/>
  <c r="K165" i="18"/>
  <c r="K166" i="18"/>
  <c r="K167" i="18"/>
  <c r="K168" i="18"/>
  <c r="K169" i="18"/>
  <c r="K170" i="18"/>
  <c r="K171" i="18"/>
  <c r="K172" i="18"/>
  <c r="K173" i="18"/>
  <c r="K174" i="18"/>
  <c r="K175" i="18"/>
  <c r="K176" i="18"/>
  <c r="K177" i="18"/>
  <c r="K178" i="18"/>
  <c r="K179" i="18"/>
  <c r="K180" i="18"/>
  <c r="K181" i="18"/>
  <c r="K182" i="18"/>
  <c r="K183" i="18"/>
  <c r="K184" i="18"/>
  <c r="K185" i="18"/>
  <c r="K186" i="18"/>
  <c r="K187" i="18"/>
  <c r="K188" i="18"/>
  <c r="K189" i="18"/>
  <c r="K190" i="18"/>
  <c r="K192" i="18"/>
  <c r="K210" i="18"/>
  <c r="L207" i="18"/>
  <c r="L192" i="18"/>
  <c r="L210" i="18"/>
  <c r="M207" i="18"/>
  <c r="M192" i="18"/>
  <c r="M210" i="18"/>
  <c r="N207" i="18"/>
  <c r="N192" i="18"/>
  <c r="N210" i="18"/>
  <c r="O207" i="18"/>
  <c r="O192" i="18"/>
  <c r="O210" i="18"/>
  <c r="P207" i="18"/>
  <c r="P192" i="18"/>
  <c r="P210" i="18"/>
  <c r="Q207" i="18"/>
  <c r="Q192" i="18"/>
  <c r="Q210" i="18"/>
  <c r="R207" i="18"/>
  <c r="R192" i="18"/>
  <c r="R210" i="18"/>
  <c r="S207" i="18"/>
  <c r="S192" i="18"/>
  <c r="S210" i="18"/>
  <c r="T207" i="18"/>
  <c r="T192" i="18"/>
  <c r="T210" i="18"/>
  <c r="U207" i="18"/>
  <c r="U192" i="18"/>
  <c r="U210" i="18"/>
  <c r="V207" i="18"/>
  <c r="V192" i="18"/>
  <c r="V210" i="18"/>
  <c r="W207" i="18"/>
  <c r="W192" i="18"/>
  <c r="W210" i="18"/>
  <c r="D207" i="18"/>
  <c r="D192" i="18"/>
  <c r="D210" i="18"/>
  <c r="P151" i="18"/>
  <c r="Q151" i="18"/>
  <c r="R151" i="18"/>
  <c r="S151" i="18"/>
  <c r="T151" i="18"/>
  <c r="U151" i="18"/>
  <c r="V151" i="18"/>
  <c r="W151" i="18"/>
  <c r="K144" i="18"/>
  <c r="K145" i="18"/>
  <c r="K146" i="18"/>
  <c r="K147" i="18"/>
  <c r="K148" i="18"/>
  <c r="K149" i="18"/>
  <c r="K143" i="18"/>
  <c r="K151" i="18"/>
  <c r="L151" i="18"/>
  <c r="M151" i="18"/>
  <c r="N151" i="18"/>
  <c r="O151" i="18"/>
  <c r="H151" i="18"/>
  <c r="I151" i="18"/>
  <c r="J151" i="18"/>
  <c r="E151" i="18"/>
  <c r="E114" i="18"/>
  <c r="E104" i="18"/>
  <c r="E157" i="18"/>
  <c r="F143" i="18"/>
  <c r="F144" i="18"/>
  <c r="F145" i="18"/>
  <c r="F146" i="18"/>
  <c r="F147" i="18"/>
  <c r="F148" i="18"/>
  <c r="F149" i="18"/>
  <c r="F118" i="18"/>
  <c r="F119" i="18"/>
  <c r="F120" i="18"/>
  <c r="F121" i="18"/>
  <c r="F122" i="18"/>
  <c r="F123" i="18"/>
  <c r="F124" i="18"/>
  <c r="F125" i="18"/>
  <c r="F126" i="18"/>
  <c r="F128" i="18"/>
  <c r="F129" i="18"/>
  <c r="F130" i="18"/>
  <c r="F131" i="18"/>
  <c r="F132" i="18"/>
  <c r="F133" i="18"/>
  <c r="F134" i="18"/>
  <c r="F136" i="18"/>
  <c r="F137" i="18"/>
  <c r="F138" i="18"/>
  <c r="F139" i="18"/>
  <c r="F140" i="18"/>
  <c r="F141" i="18"/>
  <c r="F110" i="18"/>
  <c r="F111" i="18"/>
  <c r="F21" i="18"/>
  <c r="F22" i="18"/>
  <c r="F23" i="18"/>
  <c r="F24" i="18"/>
  <c r="F25" i="18"/>
  <c r="F26" i="18"/>
  <c r="F27" i="18"/>
  <c r="F28" i="18"/>
  <c r="F29" i="18"/>
  <c r="F30" i="18"/>
  <c r="F31" i="18"/>
  <c r="F32" i="18"/>
  <c r="F33" i="18"/>
  <c r="F34" i="18"/>
  <c r="F35" i="18"/>
  <c r="F36" i="18"/>
  <c r="F37" i="18"/>
  <c r="F38" i="18"/>
  <c r="F39" i="18"/>
  <c r="F40" i="18"/>
  <c r="F41" i="18"/>
  <c r="F42" i="18"/>
  <c r="F43" i="18"/>
  <c r="F44" i="18"/>
  <c r="F45" i="18"/>
  <c r="F46" i="18"/>
  <c r="F47" i="18"/>
  <c r="F48" i="18"/>
  <c r="F49" i="18"/>
  <c r="F50" i="18"/>
  <c r="F51" i="18"/>
  <c r="F52" i="18"/>
  <c r="F53" i="18"/>
  <c r="F54" i="18"/>
  <c r="F55" i="18"/>
  <c r="F56" i="18"/>
  <c r="F57" i="18"/>
  <c r="F58" i="18"/>
  <c r="F59" i="18"/>
  <c r="F60" i="18"/>
  <c r="F61" i="18"/>
  <c r="F62" i="18"/>
  <c r="F63" i="18"/>
  <c r="F64" i="18"/>
  <c r="F65" i="18"/>
  <c r="F66" i="18"/>
  <c r="F67" i="18"/>
  <c r="F68" i="18"/>
  <c r="F69" i="18"/>
  <c r="F70" i="18"/>
  <c r="F71" i="18"/>
  <c r="F72" i="18"/>
  <c r="F73" i="18"/>
  <c r="F74" i="18"/>
  <c r="F75" i="18"/>
  <c r="F76" i="18"/>
  <c r="F77" i="18"/>
  <c r="F78" i="18"/>
  <c r="F79" i="18"/>
  <c r="F80" i="18"/>
  <c r="F81" i="18"/>
  <c r="F82" i="18"/>
  <c r="F83" i="18"/>
  <c r="F84" i="18"/>
  <c r="F85" i="18"/>
  <c r="F86" i="18"/>
  <c r="F87" i="18"/>
  <c r="F88" i="18"/>
  <c r="F89" i="18"/>
  <c r="F90" i="18"/>
  <c r="F91" i="18"/>
  <c r="F92" i="18"/>
  <c r="F93" i="18"/>
  <c r="F94" i="18"/>
  <c r="F95" i="18"/>
  <c r="F96" i="18"/>
  <c r="F97" i="18"/>
  <c r="F98" i="18"/>
  <c r="F99" i="18"/>
  <c r="F100" i="18"/>
  <c r="F101" i="18"/>
  <c r="F102" i="18"/>
  <c r="F104" i="18"/>
  <c r="F157" i="18"/>
  <c r="G114" i="18"/>
  <c r="G104" i="18"/>
  <c r="G157" i="18"/>
  <c r="H114" i="18"/>
  <c r="H104" i="18"/>
  <c r="H157" i="18"/>
  <c r="I114" i="18"/>
  <c r="I104" i="18"/>
  <c r="I157" i="18"/>
  <c r="J114" i="18"/>
  <c r="J104" i="18"/>
  <c r="J157" i="18"/>
  <c r="K114"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K52" i="18"/>
  <c r="K53" i="18"/>
  <c r="K54" i="18"/>
  <c r="K55" i="18"/>
  <c r="K56" i="18"/>
  <c r="K57" i="18"/>
  <c r="K58" i="18"/>
  <c r="K59" i="18"/>
  <c r="K60" i="18"/>
  <c r="K61" i="18"/>
  <c r="K62" i="18"/>
  <c r="K63" i="18"/>
  <c r="K64" i="18"/>
  <c r="K65" i="18"/>
  <c r="K66" i="18"/>
  <c r="K67" i="18"/>
  <c r="K68" i="18"/>
  <c r="K69" i="18"/>
  <c r="K70" i="18"/>
  <c r="K71" i="18"/>
  <c r="K72" i="18"/>
  <c r="K73" i="18"/>
  <c r="K74" i="18"/>
  <c r="K75" i="18"/>
  <c r="K76" i="18"/>
  <c r="K77" i="18"/>
  <c r="K78" i="18"/>
  <c r="K79" i="18"/>
  <c r="K80" i="18"/>
  <c r="K81" i="18"/>
  <c r="K82" i="18"/>
  <c r="K83" i="18"/>
  <c r="K84" i="18"/>
  <c r="K85" i="18"/>
  <c r="K86" i="18"/>
  <c r="K87" i="18"/>
  <c r="K88" i="18"/>
  <c r="K89" i="18"/>
  <c r="K90" i="18"/>
  <c r="K91" i="18"/>
  <c r="K92" i="18"/>
  <c r="K93" i="18"/>
  <c r="K94" i="18"/>
  <c r="K95" i="18"/>
  <c r="K96" i="18"/>
  <c r="K97" i="18"/>
  <c r="K98" i="18"/>
  <c r="K99" i="18"/>
  <c r="K100" i="18"/>
  <c r="K101" i="18"/>
  <c r="K102" i="18"/>
  <c r="K104" i="18"/>
  <c r="K157" i="18"/>
  <c r="L114" i="18"/>
  <c r="L104" i="18"/>
  <c r="L157" i="18"/>
  <c r="M114" i="18"/>
  <c r="M104" i="18"/>
  <c r="M157" i="18"/>
  <c r="N114" i="18"/>
  <c r="N104" i="18"/>
  <c r="N157" i="18"/>
  <c r="O114" i="18"/>
  <c r="O104" i="18"/>
  <c r="O157" i="18"/>
  <c r="P114" i="18"/>
  <c r="P104" i="18"/>
  <c r="P157" i="18"/>
  <c r="Q114" i="18"/>
  <c r="Q104" i="18"/>
  <c r="Q157" i="18"/>
  <c r="R114" i="18"/>
  <c r="R104" i="18"/>
  <c r="R157" i="18"/>
  <c r="S114" i="18"/>
  <c r="S104" i="18"/>
  <c r="S157" i="18"/>
  <c r="T114" i="18"/>
  <c r="T104" i="18"/>
  <c r="T157" i="18"/>
  <c r="U114" i="18"/>
  <c r="U104" i="18"/>
  <c r="U157" i="18"/>
  <c r="V114" i="18"/>
  <c r="V104" i="18"/>
  <c r="V157" i="18"/>
  <c r="W114" i="18"/>
  <c r="W104" i="18"/>
  <c r="W157" i="18"/>
  <c r="D151" i="18"/>
  <c r="D114" i="18"/>
  <c r="D104" i="18"/>
  <c r="D157" i="18"/>
  <c r="G12" i="18"/>
  <c r="H12" i="18"/>
  <c r="I12" i="18"/>
  <c r="J12" i="18"/>
  <c r="L12" i="18"/>
  <c r="M12" i="18"/>
  <c r="N12" i="18"/>
  <c r="O12" i="18"/>
  <c r="P12" i="18"/>
  <c r="Q12" i="18"/>
  <c r="R12" i="18"/>
  <c r="S12" i="18"/>
  <c r="T12" i="18"/>
  <c r="U12" i="18"/>
  <c r="V12" i="18"/>
  <c r="W12" i="18"/>
  <c r="K18" i="18"/>
  <c r="K17" i="18"/>
  <c r="K16" i="18"/>
  <c r="K15" i="18"/>
  <c r="F16" i="18"/>
  <c r="F17" i="18"/>
  <c r="F18" i="18"/>
  <c r="E12" i="18"/>
  <c r="D12" i="18"/>
  <c r="E262" i="16"/>
  <c r="F262" i="16"/>
  <c r="G262" i="16"/>
  <c r="H262" i="16"/>
  <c r="I262" i="16"/>
  <c r="J262" i="16"/>
  <c r="K262" i="16"/>
  <c r="L262" i="16"/>
  <c r="M262" i="16"/>
  <c r="N262" i="16"/>
  <c r="O262" i="16"/>
  <c r="P262" i="16"/>
  <c r="Q262" i="16"/>
  <c r="D262" i="16"/>
  <c r="E234" i="16"/>
  <c r="F234" i="16"/>
  <c r="G234" i="16"/>
  <c r="H234" i="16"/>
  <c r="I234" i="16"/>
  <c r="J234" i="16"/>
  <c r="K234" i="16"/>
  <c r="L234" i="16"/>
  <c r="M234" i="16"/>
  <c r="N234" i="16"/>
  <c r="O234" i="16"/>
  <c r="P234" i="16"/>
  <c r="Q234" i="16"/>
  <c r="D234" i="16"/>
  <c r="E207" i="16"/>
  <c r="F207" i="16"/>
  <c r="G207" i="16"/>
  <c r="H207" i="16"/>
  <c r="I207" i="16"/>
  <c r="J189" i="16"/>
  <c r="J207" i="16"/>
  <c r="K207" i="16"/>
  <c r="L189" i="16"/>
  <c r="L207" i="16"/>
  <c r="M207" i="16"/>
  <c r="N189" i="16"/>
  <c r="N207" i="16"/>
  <c r="O189" i="16"/>
  <c r="O207" i="16"/>
  <c r="P189" i="16"/>
  <c r="P204" i="16"/>
  <c r="P207" i="16"/>
  <c r="Q189" i="16"/>
  <c r="Q204" i="16"/>
  <c r="Q207" i="16"/>
  <c r="D207" i="16"/>
  <c r="E204" i="16"/>
  <c r="F204" i="16"/>
  <c r="G204" i="16"/>
  <c r="H204" i="16"/>
  <c r="I204" i="16"/>
  <c r="J204" i="16"/>
  <c r="K204" i="16"/>
  <c r="L204" i="16"/>
  <c r="M204" i="16"/>
  <c r="N204" i="16"/>
  <c r="O204" i="16"/>
  <c r="D204" i="16"/>
  <c r="E189" i="16"/>
  <c r="F189" i="16"/>
  <c r="G189" i="16"/>
  <c r="H189" i="16"/>
  <c r="I189" i="16"/>
  <c r="K189" i="16"/>
  <c r="M189" i="16"/>
  <c r="D189" i="16"/>
  <c r="E154" i="16"/>
  <c r="F154" i="16"/>
  <c r="G154" i="16"/>
  <c r="H154" i="16"/>
  <c r="I154" i="16"/>
  <c r="J154" i="16"/>
  <c r="K154" i="16"/>
  <c r="L154" i="16"/>
  <c r="M154" i="16"/>
  <c r="N148" i="16"/>
  <c r="N154" i="16"/>
  <c r="O102" i="16"/>
  <c r="O154" i="16"/>
  <c r="P148" i="16"/>
  <c r="P154" i="16"/>
  <c r="Q148" i="16"/>
  <c r="Q154" i="16"/>
  <c r="D154" i="16"/>
  <c r="E148" i="16"/>
  <c r="F148" i="16"/>
  <c r="G148" i="16"/>
  <c r="H148" i="16"/>
  <c r="I148" i="16"/>
  <c r="J148" i="16"/>
  <c r="K148" i="16"/>
  <c r="L148" i="16"/>
  <c r="M148" i="16"/>
  <c r="O148" i="16"/>
  <c r="D148" i="16"/>
  <c r="E111" i="16"/>
  <c r="F111" i="16"/>
  <c r="G111" i="16"/>
  <c r="H111" i="16"/>
  <c r="I111" i="16"/>
  <c r="J111" i="16"/>
  <c r="K111" i="16"/>
  <c r="L111" i="16"/>
  <c r="M111" i="16"/>
  <c r="N111" i="16"/>
  <c r="O111" i="16"/>
  <c r="P111" i="16"/>
  <c r="Q111" i="16"/>
  <c r="D111" i="16"/>
  <c r="E102" i="16"/>
  <c r="F102" i="16"/>
  <c r="G102" i="16"/>
  <c r="H102" i="16"/>
  <c r="I102" i="16"/>
  <c r="J102" i="16"/>
  <c r="K102" i="16"/>
  <c r="L102" i="16"/>
  <c r="M102" i="16"/>
  <c r="N102" i="16"/>
  <c r="P102" i="16"/>
  <c r="Q102" i="16"/>
  <c r="D102" i="16"/>
  <c r="E10" i="16"/>
  <c r="F10" i="16"/>
  <c r="G10" i="16"/>
  <c r="H10" i="16"/>
  <c r="I10" i="16"/>
  <c r="J10" i="16"/>
  <c r="K10" i="16"/>
  <c r="L10" i="16"/>
  <c r="M10" i="16"/>
  <c r="N10" i="16"/>
  <c r="O10" i="16"/>
  <c r="P10" i="16"/>
  <c r="Q10" i="16"/>
  <c r="D10" i="16"/>
  <c r="Q240" i="15"/>
  <c r="Q241" i="15"/>
  <c r="Q242" i="15"/>
  <c r="Q243" i="15"/>
  <c r="Q244" i="15"/>
  <c r="Q245" i="15"/>
  <c r="Q246" i="15"/>
  <c r="Q247" i="15"/>
  <c r="Q248" i="15"/>
  <c r="Q249" i="15"/>
  <c r="Q250" i="15"/>
  <c r="Q251" i="15"/>
  <c r="Q252" i="15"/>
  <c r="Q253" i="15"/>
  <c r="Q254" i="15"/>
  <c r="Q255" i="15"/>
  <c r="Q256" i="15"/>
  <c r="Q257" i="15"/>
  <c r="Q258" i="15"/>
  <c r="Q259" i="15"/>
  <c r="Q260" i="15"/>
  <c r="Q261" i="15"/>
  <c r="Q239" i="15"/>
  <c r="M239" i="15"/>
  <c r="M240" i="15"/>
  <c r="M241" i="15"/>
  <c r="M242" i="15"/>
  <c r="M243" i="15"/>
  <c r="M244" i="15"/>
  <c r="M245" i="15"/>
  <c r="M246" i="15"/>
  <c r="M247" i="15"/>
  <c r="M248" i="15"/>
  <c r="M249" i="15"/>
  <c r="M250" i="15"/>
  <c r="M251" i="15"/>
  <c r="M252" i="15"/>
  <c r="M253" i="15"/>
  <c r="M254" i="15"/>
  <c r="M255" i="15"/>
  <c r="M256" i="15"/>
  <c r="M257" i="15"/>
  <c r="M258" i="15"/>
  <c r="M259" i="15"/>
  <c r="M260" i="15"/>
  <c r="M261" i="15"/>
  <c r="M238" i="15"/>
  <c r="Q212" i="15"/>
  <c r="Q213" i="15"/>
  <c r="Q214" i="15"/>
  <c r="Q215" i="15"/>
  <c r="Q216" i="15"/>
  <c r="Q217" i="15"/>
  <c r="Q218" i="15"/>
  <c r="Q219" i="15"/>
  <c r="Q220" i="15"/>
  <c r="Q221" i="15"/>
  <c r="Q222" i="15"/>
  <c r="Q223" i="15"/>
  <c r="Q224" i="15"/>
  <c r="Q225" i="15"/>
  <c r="Q226" i="15"/>
  <c r="Q227" i="15"/>
  <c r="Q228" i="15"/>
  <c r="Q229" i="15"/>
  <c r="Q230" i="15"/>
  <c r="Q231" i="15"/>
  <c r="Q232" i="15"/>
  <c r="Q233" i="15"/>
  <c r="Q211" i="15"/>
  <c r="M212" i="15"/>
  <c r="M213" i="15"/>
  <c r="M214" i="15"/>
  <c r="M215" i="15"/>
  <c r="M216" i="15"/>
  <c r="M217" i="15"/>
  <c r="M218" i="15"/>
  <c r="M219" i="15"/>
  <c r="M220" i="15"/>
  <c r="M221" i="15"/>
  <c r="M222" i="15"/>
  <c r="M223" i="15"/>
  <c r="M224" i="15"/>
  <c r="M225" i="15"/>
  <c r="M226" i="15"/>
  <c r="M227" i="15"/>
  <c r="M228" i="15"/>
  <c r="M229" i="15"/>
  <c r="M230" i="15"/>
  <c r="M231" i="15"/>
  <c r="M232" i="15"/>
  <c r="M233" i="15"/>
  <c r="M211" i="15"/>
  <c r="I212" i="15"/>
  <c r="I213" i="15"/>
  <c r="I214" i="15"/>
  <c r="I215" i="15"/>
  <c r="I216" i="15"/>
  <c r="I217" i="15"/>
  <c r="I218" i="15"/>
  <c r="I219" i="15"/>
  <c r="I220" i="15"/>
  <c r="I221" i="15"/>
  <c r="I222" i="15"/>
  <c r="I223" i="15"/>
  <c r="I224" i="15"/>
  <c r="I225" i="15"/>
  <c r="I226" i="15"/>
  <c r="I227" i="15"/>
  <c r="I228" i="15"/>
  <c r="I229" i="15"/>
  <c r="I230" i="15"/>
  <c r="I231" i="15"/>
  <c r="I232" i="15"/>
  <c r="I233" i="15"/>
  <c r="I211" i="15"/>
  <c r="I239" i="15"/>
  <c r="I240" i="15"/>
  <c r="I241" i="15"/>
  <c r="I242" i="15"/>
  <c r="I243" i="15"/>
  <c r="I244" i="15"/>
  <c r="I245" i="15"/>
  <c r="I246" i="15"/>
  <c r="I247" i="15"/>
  <c r="I248" i="15"/>
  <c r="I249" i="15"/>
  <c r="I250" i="15"/>
  <c r="I251" i="15"/>
  <c r="I252" i="15"/>
  <c r="I253" i="15"/>
  <c r="I254" i="15"/>
  <c r="I255" i="15"/>
  <c r="I256" i="15"/>
  <c r="I257" i="15"/>
  <c r="I258" i="15"/>
  <c r="I259" i="15"/>
  <c r="I260" i="15"/>
  <c r="I261" i="15"/>
  <c r="I238" i="15"/>
  <c r="G263" i="15"/>
  <c r="H263" i="15"/>
  <c r="I263" i="15"/>
  <c r="J263" i="15"/>
  <c r="K263" i="15"/>
  <c r="L263" i="15"/>
  <c r="N263" i="15"/>
  <c r="O263" i="15"/>
  <c r="P263" i="15"/>
  <c r="Q263" i="15"/>
  <c r="R263" i="15"/>
  <c r="S263" i="15"/>
  <c r="T263" i="15"/>
  <c r="U263" i="15"/>
  <c r="E263" i="15"/>
  <c r="F263" i="15"/>
  <c r="D238" i="15"/>
  <c r="D239" i="15"/>
  <c r="D240" i="15"/>
  <c r="D241" i="15"/>
  <c r="D242" i="15"/>
  <c r="D243" i="15"/>
  <c r="D244" i="15"/>
  <c r="D249" i="15"/>
  <c r="D256" i="15"/>
  <c r="D259" i="15"/>
  <c r="D261" i="15"/>
  <c r="D253" i="15"/>
  <c r="D254" i="15"/>
  <c r="D260" i="15"/>
  <c r="D263" i="15"/>
  <c r="D245" i="15"/>
  <c r="D246" i="15"/>
  <c r="D247" i="15"/>
  <c r="D248" i="15"/>
  <c r="D250" i="15"/>
  <c r="D251" i="15"/>
  <c r="D252" i="15"/>
  <c r="D255" i="15"/>
  <c r="D257" i="15"/>
  <c r="D258" i="15"/>
  <c r="G235" i="15"/>
  <c r="H235" i="15"/>
  <c r="I235" i="15"/>
  <c r="J235" i="15"/>
  <c r="K235" i="15"/>
  <c r="L235" i="15"/>
  <c r="M235" i="15"/>
  <c r="N235" i="15"/>
  <c r="O235" i="15"/>
  <c r="P235" i="15"/>
  <c r="Q235" i="15"/>
  <c r="R235" i="15"/>
  <c r="S235" i="15"/>
  <c r="T235" i="15"/>
  <c r="U235" i="15"/>
  <c r="E235" i="15"/>
  <c r="F235" i="15"/>
  <c r="D235" i="15"/>
  <c r="D212" i="15"/>
  <c r="D213" i="15"/>
  <c r="D214" i="15"/>
  <c r="D215" i="15"/>
  <c r="D216" i="15"/>
  <c r="D217" i="15"/>
  <c r="D218" i="15"/>
  <c r="D219" i="15"/>
  <c r="D220" i="15"/>
  <c r="D221" i="15"/>
  <c r="D222" i="15"/>
  <c r="D223" i="15"/>
  <c r="D224" i="15"/>
  <c r="D225" i="15"/>
  <c r="D226" i="15"/>
  <c r="D227" i="15"/>
  <c r="D228" i="15"/>
  <c r="D229" i="15"/>
  <c r="D230" i="15"/>
  <c r="D231" i="15"/>
  <c r="D232" i="15"/>
  <c r="D233" i="15"/>
  <c r="D211" i="15"/>
  <c r="Q159" i="15"/>
  <c r="Q160" i="15"/>
  <c r="Q161" i="15"/>
  <c r="Q162" i="15"/>
  <c r="Q163" i="15"/>
  <c r="Q164" i="15"/>
  <c r="Q165" i="15"/>
  <c r="Q166" i="15"/>
  <c r="Q167" i="15"/>
  <c r="Q168" i="15"/>
  <c r="Q169" i="15"/>
  <c r="Q170" i="15"/>
  <c r="Q171" i="15"/>
  <c r="Q172" i="15"/>
  <c r="Q173" i="15"/>
  <c r="Q174" i="15"/>
  <c r="Q175" i="15"/>
  <c r="Q176" i="15"/>
  <c r="Q177" i="15"/>
  <c r="Q178" i="15"/>
  <c r="Q179" i="15"/>
  <c r="Q180" i="15"/>
  <c r="Q181" i="15"/>
  <c r="Q182" i="15"/>
  <c r="Q183" i="15"/>
  <c r="Q184" i="15"/>
  <c r="Q185" i="15"/>
  <c r="Q186" i="15"/>
  <c r="Q187" i="15"/>
  <c r="Q188" i="15"/>
  <c r="Q158" i="15"/>
  <c r="M159" i="15"/>
  <c r="M160" i="15"/>
  <c r="M161" i="15"/>
  <c r="M162" i="15"/>
  <c r="M163" i="15"/>
  <c r="M164" i="15"/>
  <c r="M165" i="15"/>
  <c r="M166" i="15"/>
  <c r="M167" i="15"/>
  <c r="M168" i="15"/>
  <c r="M169" i="15"/>
  <c r="M170" i="15"/>
  <c r="M171" i="15"/>
  <c r="M172" i="15"/>
  <c r="M173" i="15"/>
  <c r="M174" i="15"/>
  <c r="M175" i="15"/>
  <c r="M176" i="15"/>
  <c r="M177" i="15"/>
  <c r="M178" i="15"/>
  <c r="M179" i="15"/>
  <c r="M180" i="15"/>
  <c r="M181" i="15"/>
  <c r="M182" i="15"/>
  <c r="M183" i="15"/>
  <c r="M184" i="15"/>
  <c r="M185" i="15"/>
  <c r="M186" i="15"/>
  <c r="M187" i="15"/>
  <c r="M188" i="15"/>
  <c r="M158" i="15"/>
  <c r="I194" i="15"/>
  <c r="I195" i="15"/>
  <c r="I196" i="15"/>
  <c r="I197" i="15"/>
  <c r="I198" i="15"/>
  <c r="I199" i="15"/>
  <c r="I200" i="15"/>
  <c r="I201" i="15"/>
  <c r="I202" i="15"/>
  <c r="I203" i="15"/>
  <c r="I193" i="15"/>
  <c r="I159" i="15"/>
  <c r="I160" i="15"/>
  <c r="I161" i="15"/>
  <c r="I162" i="15"/>
  <c r="I163" i="15"/>
  <c r="I164" i="15"/>
  <c r="I165" i="15"/>
  <c r="I166" i="15"/>
  <c r="I167" i="15"/>
  <c r="I168" i="15"/>
  <c r="I169" i="15"/>
  <c r="I170" i="15"/>
  <c r="I171" i="15"/>
  <c r="I172" i="15"/>
  <c r="I173" i="15"/>
  <c r="I174" i="15"/>
  <c r="I175" i="15"/>
  <c r="I176" i="15"/>
  <c r="I177" i="15"/>
  <c r="I178" i="15"/>
  <c r="I179" i="15"/>
  <c r="I180" i="15"/>
  <c r="I181" i="15"/>
  <c r="I182" i="15"/>
  <c r="I183" i="15"/>
  <c r="I184" i="15"/>
  <c r="I185" i="15"/>
  <c r="I186" i="15"/>
  <c r="I187" i="15"/>
  <c r="I188" i="15"/>
  <c r="I158" i="15"/>
  <c r="Q20" i="15"/>
  <c r="Q21" i="15"/>
  <c r="Q22" i="15"/>
  <c r="Q23" i="15"/>
  <c r="Q24" i="15"/>
  <c r="Q25" i="15"/>
  <c r="Q26" i="15"/>
  <c r="Q27" i="15"/>
  <c r="Q28" i="15"/>
  <c r="Q29" i="15"/>
  <c r="Q30" i="15"/>
  <c r="Q31" i="15"/>
  <c r="Q32" i="15"/>
  <c r="Q33" i="15"/>
  <c r="Q34" i="15"/>
  <c r="Q35" i="15"/>
  <c r="Q37" i="15"/>
  <c r="Q38" i="15"/>
  <c r="Q39" i="15"/>
  <c r="Q40" i="15"/>
  <c r="Q41" i="15"/>
  <c r="Q42" i="15"/>
  <c r="Q43" i="15"/>
  <c r="Q44" i="15"/>
  <c r="Q45" i="15"/>
  <c r="Q46" i="15"/>
  <c r="Q47" i="15"/>
  <c r="Q48" i="15"/>
  <c r="Q49" i="15"/>
  <c r="Q50" i="15"/>
  <c r="Q51" i="15"/>
  <c r="Q52" i="15"/>
  <c r="Q53" i="15"/>
  <c r="Q54" i="15"/>
  <c r="Q55" i="15"/>
  <c r="Q56" i="15"/>
  <c r="Q57" i="15"/>
  <c r="Q58" i="15"/>
  <c r="Q59" i="15"/>
  <c r="Q60" i="15"/>
  <c r="Q61" i="15"/>
  <c r="Q62" i="15"/>
  <c r="Q63" i="15"/>
  <c r="Q64" i="15"/>
  <c r="Q65" i="15"/>
  <c r="Q67" i="15"/>
  <c r="Q68" i="15"/>
  <c r="Q69" i="15"/>
  <c r="Q72" i="15"/>
  <c r="Q73" i="15"/>
  <c r="Q74" i="15"/>
  <c r="Q75" i="15"/>
  <c r="Q76" i="15"/>
  <c r="Q77" i="15"/>
  <c r="M20" i="15"/>
  <c r="M21" i="15"/>
  <c r="M22" i="15"/>
  <c r="M23" i="15"/>
  <c r="M24" i="15"/>
  <c r="M25" i="15"/>
  <c r="M26" i="15"/>
  <c r="M27" i="15"/>
  <c r="M28" i="15"/>
  <c r="M29" i="15"/>
  <c r="M30" i="15"/>
  <c r="M31" i="15"/>
  <c r="M32" i="15"/>
  <c r="M33" i="15"/>
  <c r="M34" i="15"/>
  <c r="M35" i="15"/>
  <c r="M36" i="15"/>
  <c r="M37" i="15"/>
  <c r="M38" i="15"/>
  <c r="M39" i="15"/>
  <c r="M40" i="15"/>
  <c r="M41" i="15"/>
  <c r="M42" i="15"/>
  <c r="M43" i="15"/>
  <c r="M44" i="15"/>
  <c r="M45" i="15"/>
  <c r="M46" i="15"/>
  <c r="M47" i="15"/>
  <c r="M48" i="15"/>
  <c r="M49" i="15"/>
  <c r="M50" i="15"/>
  <c r="M51" i="15"/>
  <c r="M52" i="15"/>
  <c r="M53" i="15"/>
  <c r="M54" i="15"/>
  <c r="M55" i="15"/>
  <c r="M56" i="15"/>
  <c r="M57" i="15"/>
  <c r="M58" i="15"/>
  <c r="M59" i="15"/>
  <c r="M60" i="15"/>
  <c r="M61" i="15"/>
  <c r="M62" i="15"/>
  <c r="M63" i="15"/>
  <c r="M64" i="15"/>
  <c r="M65" i="15"/>
  <c r="M66" i="15"/>
  <c r="M67" i="15"/>
  <c r="M68" i="15"/>
  <c r="M69" i="15"/>
  <c r="M70" i="15"/>
  <c r="M71" i="15"/>
  <c r="M72" i="15"/>
  <c r="M73" i="15"/>
  <c r="M74" i="15"/>
  <c r="M75" i="15"/>
  <c r="M76" i="15"/>
  <c r="M77" i="15"/>
  <c r="I20" i="15"/>
  <c r="I21" i="15"/>
  <c r="I22" i="15"/>
  <c r="I23" i="15"/>
  <c r="I24" i="15"/>
  <c r="I25" i="15"/>
  <c r="I26" i="15"/>
  <c r="I27" i="15"/>
  <c r="I28" i="15"/>
  <c r="I29" i="15"/>
  <c r="I30" i="15"/>
  <c r="I31" i="15"/>
  <c r="I32" i="15"/>
  <c r="I33" i="15"/>
  <c r="I34" i="15"/>
  <c r="I35" i="15"/>
  <c r="I36" i="15"/>
  <c r="I37" i="15"/>
  <c r="I38" i="15"/>
  <c r="I39" i="15"/>
  <c r="I40" i="15"/>
  <c r="I41" i="15"/>
  <c r="I42" i="15"/>
  <c r="I43" i="15"/>
  <c r="I44" i="15"/>
  <c r="I45" i="15"/>
  <c r="I46" i="15"/>
  <c r="I47" i="15"/>
  <c r="I48" i="15"/>
  <c r="I49" i="15"/>
  <c r="I50" i="15"/>
  <c r="I51" i="15"/>
  <c r="I52" i="15"/>
  <c r="I53" i="15"/>
  <c r="I54" i="15"/>
  <c r="I55" i="15"/>
  <c r="I56" i="15"/>
  <c r="I57" i="15"/>
  <c r="I58" i="15"/>
  <c r="I59" i="15"/>
  <c r="I60" i="15"/>
  <c r="I61" i="15"/>
  <c r="I62" i="15"/>
  <c r="I63" i="15"/>
  <c r="I64" i="15"/>
  <c r="I65" i="15"/>
  <c r="I66" i="15"/>
  <c r="I67" i="15"/>
  <c r="I68" i="15"/>
  <c r="I69" i="15"/>
  <c r="I70" i="15"/>
  <c r="I71" i="15"/>
  <c r="I72" i="15"/>
  <c r="I73" i="15"/>
  <c r="I74" i="15"/>
  <c r="I75" i="15"/>
  <c r="I76" i="15"/>
  <c r="I77" i="15"/>
  <c r="G155" i="15"/>
  <c r="H155" i="15"/>
  <c r="I155" i="15"/>
  <c r="J155" i="15"/>
  <c r="K155" i="15"/>
  <c r="L155" i="15"/>
  <c r="M155" i="15"/>
  <c r="N155" i="15"/>
  <c r="O155" i="15"/>
  <c r="P155" i="15"/>
  <c r="Q155" i="15"/>
  <c r="R155" i="15"/>
  <c r="S155" i="15"/>
  <c r="T155" i="15"/>
  <c r="U155" i="15"/>
  <c r="E155" i="15"/>
  <c r="F155" i="15"/>
  <c r="D155" i="15"/>
  <c r="G208" i="15"/>
  <c r="H208" i="15"/>
  <c r="I190" i="15"/>
  <c r="I205" i="15"/>
  <c r="I208" i="15"/>
  <c r="J208" i="15"/>
  <c r="K208" i="15"/>
  <c r="L208" i="15"/>
  <c r="M190" i="15"/>
  <c r="M208" i="15"/>
  <c r="N190" i="15"/>
  <c r="N208" i="15"/>
  <c r="O190" i="15"/>
  <c r="O208" i="15"/>
  <c r="P208" i="15"/>
  <c r="Q190" i="15"/>
  <c r="Q208" i="15"/>
  <c r="R208" i="15"/>
  <c r="S190" i="15"/>
  <c r="S208" i="15"/>
  <c r="T208" i="15"/>
  <c r="U208" i="15"/>
  <c r="E208" i="15"/>
  <c r="F208" i="15"/>
  <c r="D208" i="15"/>
  <c r="G205" i="15"/>
  <c r="H205" i="15"/>
  <c r="J205" i="15"/>
  <c r="K205" i="15"/>
  <c r="L205" i="15"/>
  <c r="M205" i="15"/>
  <c r="N205" i="15"/>
  <c r="O205" i="15"/>
  <c r="P205" i="15"/>
  <c r="Q205" i="15"/>
  <c r="R205" i="15"/>
  <c r="S205" i="15"/>
  <c r="T205" i="15"/>
  <c r="U205" i="15"/>
  <c r="E205" i="15"/>
  <c r="F205" i="15"/>
  <c r="D194" i="15"/>
  <c r="D205" i="15"/>
  <c r="D195" i="15"/>
  <c r="D196" i="15"/>
  <c r="D197" i="15"/>
  <c r="D198" i="15"/>
  <c r="D199" i="15"/>
  <c r="D200" i="15"/>
  <c r="D201" i="15"/>
  <c r="D202" i="15"/>
  <c r="D203" i="15"/>
  <c r="D193" i="15"/>
  <c r="G190" i="15"/>
  <c r="H190" i="15"/>
  <c r="J190" i="15"/>
  <c r="K190" i="15"/>
  <c r="L190" i="15"/>
  <c r="P190" i="15"/>
  <c r="R190" i="15"/>
  <c r="T190" i="15"/>
  <c r="U190" i="15"/>
  <c r="E190" i="15"/>
  <c r="F190" i="15"/>
  <c r="D162" i="15"/>
  <c r="D163" i="15"/>
  <c r="D167" i="15"/>
  <c r="D170" i="15"/>
  <c r="D171" i="15"/>
  <c r="D178" i="15"/>
  <c r="D179" i="15"/>
  <c r="D182" i="15"/>
  <c r="D184" i="15"/>
  <c r="D187" i="15"/>
  <c r="D188" i="15"/>
  <c r="D183" i="15"/>
  <c r="D190" i="15"/>
  <c r="D159" i="15"/>
  <c r="D160" i="15"/>
  <c r="D161" i="15"/>
  <c r="D164" i="15"/>
  <c r="D165" i="15"/>
  <c r="D166" i="15"/>
  <c r="D168" i="15"/>
  <c r="D169" i="15"/>
  <c r="D172" i="15"/>
  <c r="D173" i="15"/>
  <c r="D174" i="15"/>
  <c r="D175" i="15"/>
  <c r="D176" i="15"/>
  <c r="D177" i="15"/>
  <c r="D180" i="15"/>
  <c r="D181" i="15"/>
  <c r="D185" i="15"/>
  <c r="D186" i="15"/>
  <c r="D158" i="15"/>
  <c r="Q117" i="15"/>
  <c r="Q118" i="15"/>
  <c r="Q119" i="15"/>
  <c r="Q120" i="15"/>
  <c r="Q121" i="15"/>
  <c r="Q122" i="15"/>
  <c r="Q123" i="15"/>
  <c r="Q124" i="15"/>
  <c r="Q126" i="15"/>
  <c r="Q127" i="15"/>
  <c r="Q128" i="15"/>
  <c r="Q129" i="15"/>
  <c r="Q130" i="15"/>
  <c r="Q131" i="15"/>
  <c r="Q132" i="15"/>
  <c r="Q134" i="15"/>
  <c r="Q135" i="15"/>
  <c r="Q136" i="15"/>
  <c r="Q137" i="15"/>
  <c r="Q138" i="15"/>
  <c r="Q139" i="15"/>
  <c r="Q141" i="15"/>
  <c r="Q142" i="15"/>
  <c r="Q143" i="15"/>
  <c r="Q144" i="15"/>
  <c r="Q145" i="15"/>
  <c r="Q146" i="15"/>
  <c r="Q147" i="15"/>
  <c r="Q116" i="15"/>
  <c r="Q107" i="15"/>
  <c r="Q108" i="15"/>
  <c r="Q109" i="15"/>
  <c r="Q110" i="15"/>
  <c r="Q106" i="15"/>
  <c r="Q79" i="15"/>
  <c r="Q80" i="15"/>
  <c r="Q81" i="15"/>
  <c r="Q82" i="15"/>
  <c r="Q83" i="15"/>
  <c r="Q84" i="15"/>
  <c r="Q85" i="15"/>
  <c r="Q86" i="15"/>
  <c r="Q87" i="15"/>
  <c r="Q88" i="15"/>
  <c r="Q89" i="15"/>
  <c r="Q90" i="15"/>
  <c r="Q91" i="15"/>
  <c r="Q92" i="15"/>
  <c r="Q93" i="15"/>
  <c r="Q94" i="15"/>
  <c r="Q95" i="15"/>
  <c r="Q96" i="15"/>
  <c r="Q97" i="15"/>
  <c r="Q98" i="15"/>
  <c r="Q99" i="15"/>
  <c r="Q100" i="15"/>
  <c r="Q101" i="15"/>
  <c r="Q78" i="15"/>
  <c r="M117" i="15"/>
  <c r="M124" i="15"/>
  <c r="M149" i="15"/>
  <c r="M118" i="15"/>
  <c r="M119" i="15"/>
  <c r="M120" i="15"/>
  <c r="M121" i="15"/>
  <c r="M122" i="15"/>
  <c r="M123" i="15"/>
  <c r="M126" i="15"/>
  <c r="M127" i="15"/>
  <c r="M128" i="15"/>
  <c r="M129" i="15"/>
  <c r="M130" i="15"/>
  <c r="M131" i="15"/>
  <c r="M132" i="15"/>
  <c r="M134" i="15"/>
  <c r="M135" i="15"/>
  <c r="M136" i="15"/>
  <c r="M137" i="15"/>
  <c r="M138" i="15"/>
  <c r="M139" i="15"/>
  <c r="M141" i="15"/>
  <c r="M142" i="15"/>
  <c r="M143" i="15"/>
  <c r="M144" i="15"/>
  <c r="M145" i="15"/>
  <c r="M146" i="15"/>
  <c r="M147" i="15"/>
  <c r="M116" i="15"/>
  <c r="M106" i="15"/>
  <c r="M112" i="15"/>
  <c r="M107" i="15"/>
  <c r="M108" i="15"/>
  <c r="M109" i="15"/>
  <c r="M110" i="15"/>
  <c r="M80" i="15"/>
  <c r="M83" i="15"/>
  <c r="M82" i="15"/>
  <c r="M84" i="15"/>
  <c r="M100" i="15"/>
  <c r="M79" i="15"/>
  <c r="M85" i="15"/>
  <c r="M86" i="15"/>
  <c r="M87" i="15"/>
  <c r="M88" i="15"/>
  <c r="M89" i="15"/>
  <c r="M90" i="15"/>
  <c r="M91" i="15"/>
  <c r="M92" i="15"/>
  <c r="M93" i="15"/>
  <c r="M94" i="15"/>
  <c r="M95" i="15"/>
  <c r="M96" i="15"/>
  <c r="M97" i="15"/>
  <c r="M98" i="15"/>
  <c r="M99" i="15"/>
  <c r="M101" i="15"/>
  <c r="M78" i="15"/>
  <c r="I117" i="15"/>
  <c r="I118" i="15"/>
  <c r="I119" i="15"/>
  <c r="I120" i="15"/>
  <c r="I121" i="15"/>
  <c r="I122" i="15"/>
  <c r="I123" i="15"/>
  <c r="I124" i="15"/>
  <c r="I126" i="15"/>
  <c r="I127" i="15"/>
  <c r="I128" i="15"/>
  <c r="I129" i="15"/>
  <c r="I130" i="15"/>
  <c r="I131" i="15"/>
  <c r="I132" i="15"/>
  <c r="I134" i="15"/>
  <c r="I135" i="15"/>
  <c r="I136" i="15"/>
  <c r="I137" i="15"/>
  <c r="I138" i="15"/>
  <c r="I139" i="15"/>
  <c r="I141" i="15"/>
  <c r="I142" i="15"/>
  <c r="I143" i="15"/>
  <c r="I144" i="15"/>
  <c r="I145" i="15"/>
  <c r="I146" i="15"/>
  <c r="I147" i="15"/>
  <c r="I116" i="15"/>
  <c r="I107" i="15"/>
  <c r="I108" i="15"/>
  <c r="I109" i="15"/>
  <c r="I110" i="15"/>
  <c r="I106" i="15"/>
  <c r="I79" i="15"/>
  <c r="I80" i="15"/>
  <c r="I81" i="15"/>
  <c r="I82" i="15"/>
  <c r="I83" i="15"/>
  <c r="I84" i="15"/>
  <c r="I85" i="15"/>
  <c r="I86" i="15"/>
  <c r="I87" i="15"/>
  <c r="I88" i="15"/>
  <c r="I89" i="15"/>
  <c r="I90" i="15"/>
  <c r="I91" i="15"/>
  <c r="I92" i="15"/>
  <c r="I93" i="15"/>
  <c r="I94" i="15"/>
  <c r="I95" i="15"/>
  <c r="I96" i="15"/>
  <c r="I97" i="15"/>
  <c r="I98" i="15"/>
  <c r="I99" i="15"/>
  <c r="I100" i="15"/>
  <c r="I101" i="15"/>
  <c r="I78" i="15"/>
  <c r="G149" i="15"/>
  <c r="H149" i="15"/>
  <c r="I149" i="15"/>
  <c r="J149" i="15"/>
  <c r="K149" i="15"/>
  <c r="L149" i="15"/>
  <c r="N149" i="15"/>
  <c r="O149" i="15"/>
  <c r="P149" i="15"/>
  <c r="Q149" i="15"/>
  <c r="R149" i="15"/>
  <c r="S149" i="15"/>
  <c r="T149" i="15"/>
  <c r="U149" i="15"/>
  <c r="F149" i="15"/>
  <c r="E149" i="15"/>
  <c r="D147" i="15"/>
  <c r="D149" i="15"/>
  <c r="D117" i="15"/>
  <c r="D118" i="15"/>
  <c r="D119" i="15"/>
  <c r="D120" i="15"/>
  <c r="D121" i="15"/>
  <c r="D122" i="15"/>
  <c r="D123" i="15"/>
  <c r="D124" i="15"/>
  <c r="D126" i="15"/>
  <c r="D127" i="15"/>
  <c r="D128" i="15"/>
  <c r="D129" i="15"/>
  <c r="D130" i="15"/>
  <c r="D131" i="15"/>
  <c r="D132" i="15"/>
  <c r="D134" i="15"/>
  <c r="D135" i="15"/>
  <c r="D136" i="15"/>
  <c r="D137" i="15"/>
  <c r="D138" i="15"/>
  <c r="D139" i="15"/>
  <c r="D141" i="15"/>
  <c r="D142" i="15"/>
  <c r="D143" i="15"/>
  <c r="D144" i="15"/>
  <c r="D145" i="15"/>
  <c r="D146" i="15"/>
  <c r="D116" i="15"/>
  <c r="G112" i="15"/>
  <c r="H112" i="15"/>
  <c r="I112" i="15"/>
  <c r="J112" i="15"/>
  <c r="K112" i="15"/>
  <c r="L112" i="15"/>
  <c r="N112" i="15"/>
  <c r="O112" i="15"/>
  <c r="P112" i="15"/>
  <c r="Q112" i="15"/>
  <c r="R112" i="15"/>
  <c r="S112" i="15"/>
  <c r="T112" i="15"/>
  <c r="U112" i="15"/>
  <c r="F112" i="15"/>
  <c r="E112" i="15"/>
  <c r="D112" i="15"/>
  <c r="D107" i="15"/>
  <c r="D108" i="15"/>
  <c r="D109" i="15"/>
  <c r="D110" i="15"/>
  <c r="D106" i="15"/>
  <c r="E262" i="13"/>
  <c r="F262" i="13"/>
  <c r="G262" i="13"/>
  <c r="H262" i="13"/>
  <c r="I262" i="13"/>
  <c r="J262" i="13"/>
  <c r="K262" i="13"/>
  <c r="L262" i="13"/>
  <c r="M262" i="13"/>
  <c r="N262" i="13"/>
  <c r="O262" i="13"/>
  <c r="P262" i="13"/>
  <c r="Q262" i="13"/>
  <c r="R262" i="13"/>
  <c r="S262" i="13"/>
  <c r="T262" i="13"/>
  <c r="U262" i="13"/>
  <c r="V262" i="13"/>
  <c r="W262" i="13"/>
  <c r="X262" i="13"/>
  <c r="Y262" i="13"/>
  <c r="Z262" i="13"/>
  <c r="AA262" i="13"/>
  <c r="AB262" i="13"/>
  <c r="AC262" i="13"/>
  <c r="AD262" i="13"/>
  <c r="AE262" i="13"/>
  <c r="D262" i="13"/>
  <c r="V234" i="13"/>
  <c r="W234" i="13"/>
  <c r="X234" i="13"/>
  <c r="Y234" i="13"/>
  <c r="Z234" i="13"/>
  <c r="AA234" i="13"/>
  <c r="AB234" i="13"/>
  <c r="AC234" i="13"/>
  <c r="AD234" i="13"/>
  <c r="AE234" i="13"/>
  <c r="L234" i="13"/>
  <c r="M234" i="13"/>
  <c r="N234" i="13"/>
  <c r="O234" i="13"/>
  <c r="P234" i="13"/>
  <c r="Q234" i="13"/>
  <c r="R234" i="13"/>
  <c r="S234" i="13"/>
  <c r="T234" i="13"/>
  <c r="U234" i="13"/>
  <c r="E234" i="13"/>
  <c r="F234" i="13"/>
  <c r="G234" i="13"/>
  <c r="H234" i="13"/>
  <c r="I234" i="13"/>
  <c r="J234" i="13"/>
  <c r="K234" i="13"/>
  <c r="D234" i="13"/>
  <c r="E207" i="13"/>
  <c r="F207" i="13"/>
  <c r="G207" i="13"/>
  <c r="H207" i="13"/>
  <c r="I207" i="13"/>
  <c r="J207" i="13"/>
  <c r="K207" i="13"/>
  <c r="L207" i="13"/>
  <c r="M207" i="13"/>
  <c r="N207" i="13"/>
  <c r="O207" i="13"/>
  <c r="P207" i="13"/>
  <c r="Q207" i="13"/>
  <c r="R204" i="13"/>
  <c r="R207" i="13"/>
  <c r="S204" i="13"/>
  <c r="S207" i="13"/>
  <c r="T204" i="13"/>
  <c r="T207" i="13"/>
  <c r="U204" i="13"/>
  <c r="U207" i="13"/>
  <c r="V204" i="13"/>
  <c r="V207" i="13"/>
  <c r="W204" i="13"/>
  <c r="W207" i="13"/>
  <c r="X204" i="13"/>
  <c r="X207" i="13"/>
  <c r="Y204" i="13"/>
  <c r="Y207" i="13"/>
  <c r="Z204" i="13"/>
  <c r="Z207" i="13"/>
  <c r="AA204" i="13"/>
  <c r="AA207" i="13"/>
  <c r="AB204" i="13"/>
  <c r="AB207" i="13"/>
  <c r="AC204" i="13"/>
  <c r="AC207" i="13"/>
  <c r="AD204" i="13"/>
  <c r="AD207" i="13"/>
  <c r="AE204" i="13"/>
  <c r="AE207" i="13"/>
  <c r="D207" i="13"/>
  <c r="F204" i="13"/>
  <c r="G204" i="13"/>
  <c r="H204" i="13"/>
  <c r="I204" i="13"/>
  <c r="J204" i="13"/>
  <c r="K204" i="13"/>
  <c r="L204" i="13"/>
  <c r="M204" i="13"/>
  <c r="N204" i="13"/>
  <c r="O204" i="13"/>
  <c r="P204" i="13"/>
  <c r="Q204" i="13"/>
  <c r="E204" i="13"/>
  <c r="D204" i="13"/>
  <c r="F102" i="13"/>
  <c r="G102" i="13"/>
  <c r="H102" i="13"/>
  <c r="I102" i="13"/>
  <c r="J102" i="13"/>
  <c r="K102" i="13"/>
  <c r="L102" i="13"/>
  <c r="M102" i="13"/>
  <c r="N102" i="13"/>
  <c r="O102" i="13"/>
  <c r="P102" i="13"/>
  <c r="Q102" i="13"/>
  <c r="R102" i="13"/>
  <c r="S102" i="13"/>
  <c r="T102" i="13"/>
  <c r="U102" i="13"/>
  <c r="V102" i="13"/>
  <c r="W102" i="13"/>
  <c r="X102" i="13"/>
  <c r="Y102" i="13"/>
  <c r="Z102" i="13"/>
  <c r="AA102" i="13"/>
  <c r="AB102" i="13"/>
  <c r="AC102" i="13"/>
  <c r="AD102" i="13"/>
  <c r="AE102" i="13"/>
  <c r="E102" i="13"/>
  <c r="D102" i="13"/>
  <c r="E10" i="13"/>
  <c r="F10" i="13"/>
  <c r="G10" i="13"/>
  <c r="H10" i="13"/>
  <c r="I10" i="13"/>
  <c r="J10" i="13"/>
  <c r="K10" i="13"/>
  <c r="L10" i="13"/>
  <c r="M10" i="13"/>
  <c r="N10" i="13"/>
  <c r="O10" i="13"/>
  <c r="P10" i="13"/>
  <c r="Q10" i="13"/>
  <c r="R10" i="13"/>
  <c r="S10" i="13"/>
  <c r="T10" i="13"/>
  <c r="U10" i="13"/>
  <c r="V10" i="13"/>
  <c r="W10" i="13"/>
  <c r="X10" i="13"/>
  <c r="Y10" i="13"/>
  <c r="Z10" i="13"/>
  <c r="AA10" i="13"/>
  <c r="AB10" i="13"/>
  <c r="AC10" i="13"/>
  <c r="AD10" i="13"/>
  <c r="AE10" i="13"/>
  <c r="D10" i="13"/>
  <c r="F262" i="7"/>
  <c r="G262" i="7"/>
  <c r="H262" i="7"/>
  <c r="I262" i="7"/>
  <c r="J262" i="7"/>
  <c r="E262" i="7"/>
  <c r="D262" i="7"/>
  <c r="F234" i="7"/>
  <c r="G234" i="7"/>
  <c r="H234" i="7"/>
  <c r="I234" i="7"/>
  <c r="J234" i="7"/>
  <c r="E234" i="7"/>
  <c r="D234" i="7"/>
  <c r="F204" i="7"/>
  <c r="F189" i="7"/>
  <c r="F207" i="7"/>
  <c r="G204" i="7"/>
  <c r="G189" i="7"/>
  <c r="G207" i="7"/>
  <c r="H204" i="7"/>
  <c r="H189" i="7"/>
  <c r="H207" i="7"/>
  <c r="I204" i="7"/>
  <c r="I189" i="7"/>
  <c r="I207" i="7"/>
  <c r="J204" i="7"/>
  <c r="J189" i="7"/>
  <c r="J207" i="7"/>
  <c r="E204" i="7"/>
  <c r="E189" i="7"/>
  <c r="E207" i="7"/>
  <c r="D204" i="7"/>
  <c r="D189" i="7"/>
  <c r="D207" i="7"/>
  <c r="J148" i="7"/>
  <c r="J111" i="7"/>
  <c r="J102" i="7"/>
  <c r="J154" i="7"/>
  <c r="F148" i="7"/>
  <c r="F111" i="7"/>
  <c r="F102" i="7"/>
  <c r="F154" i="7"/>
  <c r="G148" i="7"/>
  <c r="G111" i="7"/>
  <c r="G102" i="7"/>
  <c r="G154" i="7"/>
  <c r="H148" i="7"/>
  <c r="H111" i="7"/>
  <c r="H102" i="7"/>
  <c r="H154" i="7"/>
  <c r="I148" i="7"/>
  <c r="I111" i="7"/>
  <c r="I102" i="7"/>
  <c r="I154" i="7"/>
  <c r="E148" i="7"/>
  <c r="E111" i="7"/>
  <c r="E102" i="7"/>
  <c r="E154" i="7"/>
  <c r="D148" i="7"/>
  <c r="D111" i="7"/>
  <c r="D102" i="7"/>
  <c r="D154" i="7"/>
  <c r="F10" i="7"/>
  <c r="G10" i="7"/>
  <c r="H10" i="7"/>
  <c r="I10" i="7"/>
  <c r="J10" i="7"/>
  <c r="E10" i="7"/>
  <c r="D10" i="7"/>
  <c r="E153" i="11"/>
  <c r="S261" i="11"/>
  <c r="R261" i="11"/>
  <c r="Q261" i="11"/>
  <c r="P261" i="11"/>
  <c r="O261" i="11"/>
  <c r="N261" i="11"/>
  <c r="M261" i="11"/>
  <c r="L261" i="11"/>
  <c r="K261" i="11"/>
  <c r="J261" i="11"/>
  <c r="I261" i="11"/>
  <c r="H261" i="11"/>
  <c r="G261" i="11"/>
  <c r="F261" i="11"/>
  <c r="E261" i="11"/>
  <c r="D261" i="11"/>
  <c r="S233" i="11"/>
  <c r="R233" i="11"/>
  <c r="Q233" i="11"/>
  <c r="P233" i="11"/>
  <c r="O233" i="11"/>
  <c r="N233" i="11"/>
  <c r="M233" i="11"/>
  <c r="L233" i="11"/>
  <c r="K233" i="11"/>
  <c r="J233" i="11"/>
  <c r="I233" i="11"/>
  <c r="H233" i="11"/>
  <c r="G233" i="11"/>
  <c r="F233" i="11"/>
  <c r="E233" i="11"/>
  <c r="D233" i="11"/>
  <c r="S203" i="11"/>
  <c r="S188" i="11"/>
  <c r="S206" i="11"/>
  <c r="R203" i="11"/>
  <c r="R188" i="11"/>
  <c r="R206" i="11"/>
  <c r="Q203" i="11"/>
  <c r="Q188" i="11"/>
  <c r="Q206" i="11"/>
  <c r="P203" i="11"/>
  <c r="P188" i="11"/>
  <c r="P206" i="11"/>
  <c r="O203" i="11"/>
  <c r="O188" i="11"/>
  <c r="O206" i="11"/>
  <c r="N203" i="11"/>
  <c r="N188" i="11"/>
  <c r="N206" i="11"/>
  <c r="M203" i="11"/>
  <c r="M188" i="11"/>
  <c r="M206" i="11"/>
  <c r="L203" i="11"/>
  <c r="L188" i="11"/>
  <c r="L206" i="11"/>
  <c r="K203" i="11"/>
  <c r="K188" i="11"/>
  <c r="K206" i="11"/>
  <c r="J203" i="11"/>
  <c r="J188" i="11"/>
  <c r="J206" i="11"/>
  <c r="I203" i="11"/>
  <c r="I188" i="11"/>
  <c r="I206" i="11"/>
  <c r="H203" i="11"/>
  <c r="H188" i="11"/>
  <c r="H206" i="11"/>
  <c r="G203" i="11"/>
  <c r="G188" i="11"/>
  <c r="G206" i="11"/>
  <c r="F203" i="11"/>
  <c r="F188" i="11"/>
  <c r="F206" i="11"/>
  <c r="E203" i="11"/>
  <c r="E188" i="11"/>
  <c r="E206" i="11"/>
  <c r="D203" i="11"/>
  <c r="D188" i="11"/>
  <c r="D206" i="11"/>
  <c r="S101" i="11"/>
  <c r="S110" i="11"/>
  <c r="S147" i="11"/>
  <c r="S153" i="11"/>
  <c r="R101" i="11"/>
  <c r="R110" i="11"/>
  <c r="R147" i="11"/>
  <c r="R153" i="11"/>
  <c r="Q101" i="11"/>
  <c r="Q110" i="11"/>
  <c r="Q147" i="11"/>
  <c r="Q153" i="11"/>
  <c r="P101" i="11"/>
  <c r="P110" i="11"/>
  <c r="P147" i="11"/>
  <c r="P153" i="11"/>
  <c r="O101" i="11"/>
  <c r="O110" i="11"/>
  <c r="O147" i="11"/>
  <c r="O153" i="11"/>
  <c r="N101" i="11"/>
  <c r="N110" i="11"/>
  <c r="N147" i="11"/>
  <c r="N153" i="11"/>
  <c r="M101" i="11"/>
  <c r="M110" i="11"/>
  <c r="M147" i="11"/>
  <c r="M153" i="11"/>
  <c r="L101" i="11"/>
  <c r="L110" i="11"/>
  <c r="L147" i="11"/>
  <c r="L153" i="11"/>
  <c r="K101" i="11"/>
  <c r="K110" i="11"/>
  <c r="K147" i="11"/>
  <c r="K153" i="11"/>
  <c r="J101" i="11"/>
  <c r="J110" i="11"/>
  <c r="J147" i="11"/>
  <c r="J153" i="11"/>
  <c r="I101" i="11"/>
  <c r="I110" i="11"/>
  <c r="I147" i="11"/>
  <c r="I153" i="11"/>
  <c r="H101" i="11"/>
  <c r="H110" i="11"/>
  <c r="H147" i="11"/>
  <c r="H153" i="11"/>
  <c r="G101" i="11"/>
  <c r="G110" i="11"/>
  <c r="G147" i="11"/>
  <c r="G153" i="11"/>
  <c r="F101" i="11"/>
  <c r="F110" i="11"/>
  <c r="F147" i="11"/>
  <c r="F153" i="11"/>
  <c r="E101" i="11"/>
  <c r="E110" i="11"/>
  <c r="E147" i="11"/>
  <c r="D101" i="11"/>
  <c r="D110" i="11"/>
  <c r="D147" i="11"/>
  <c r="D153" i="11"/>
  <c r="S9" i="11"/>
  <c r="R9" i="11"/>
  <c r="Q9" i="11"/>
  <c r="P9" i="11"/>
  <c r="O9" i="11"/>
  <c r="N9" i="11"/>
  <c r="M9" i="11"/>
  <c r="L9" i="11"/>
  <c r="K9" i="11"/>
  <c r="J9" i="11"/>
  <c r="I9" i="11"/>
  <c r="H9" i="11"/>
  <c r="G9" i="11"/>
  <c r="F9" i="11"/>
  <c r="E9" i="11"/>
  <c r="D9" i="11"/>
  <c r="W262" i="10"/>
  <c r="V262" i="10"/>
  <c r="U262" i="10"/>
  <c r="T262" i="10"/>
  <c r="S262" i="10"/>
  <c r="R262" i="10"/>
  <c r="Q262" i="10"/>
  <c r="P262" i="10"/>
  <c r="O262" i="10"/>
  <c r="N262" i="10"/>
  <c r="M262" i="10"/>
  <c r="L262" i="10"/>
  <c r="K262" i="10"/>
  <c r="J262" i="10"/>
  <c r="I262" i="10"/>
  <c r="H262" i="10"/>
  <c r="G262" i="10"/>
  <c r="F262" i="10"/>
  <c r="E262" i="10"/>
  <c r="D262" i="10"/>
  <c r="W234" i="10"/>
  <c r="V234" i="10"/>
  <c r="U234" i="10"/>
  <c r="T234" i="10"/>
  <c r="S234" i="10"/>
  <c r="R234" i="10"/>
  <c r="Q234" i="10"/>
  <c r="P234" i="10"/>
  <c r="O234" i="10"/>
  <c r="N234" i="10"/>
  <c r="M234" i="10"/>
  <c r="L234" i="10"/>
  <c r="K234" i="10"/>
  <c r="J234" i="10"/>
  <c r="I234" i="10"/>
  <c r="H234" i="10"/>
  <c r="G234" i="10"/>
  <c r="F234" i="10"/>
  <c r="E234" i="10"/>
  <c r="D234" i="10"/>
  <c r="W204" i="10"/>
  <c r="W189" i="10"/>
  <c r="W207" i="10"/>
  <c r="V204" i="10"/>
  <c r="V189" i="10"/>
  <c r="V207" i="10"/>
  <c r="U204" i="10"/>
  <c r="U189" i="10"/>
  <c r="U207" i="10"/>
  <c r="T204" i="10"/>
  <c r="T189" i="10"/>
  <c r="T207" i="10"/>
  <c r="S204" i="10"/>
  <c r="S189" i="10"/>
  <c r="S207" i="10"/>
  <c r="R204" i="10"/>
  <c r="R189" i="10"/>
  <c r="R207" i="10"/>
  <c r="Q204" i="10"/>
  <c r="Q189" i="10"/>
  <c r="Q207" i="10"/>
  <c r="P204" i="10"/>
  <c r="P189" i="10"/>
  <c r="P207" i="10"/>
  <c r="O204" i="10"/>
  <c r="O189" i="10"/>
  <c r="O207" i="10"/>
  <c r="N204" i="10"/>
  <c r="N189" i="10"/>
  <c r="N207" i="10"/>
  <c r="M204" i="10"/>
  <c r="M189" i="10"/>
  <c r="M207" i="10"/>
  <c r="L204" i="10"/>
  <c r="L189" i="10"/>
  <c r="L207" i="10"/>
  <c r="K204" i="10"/>
  <c r="K189" i="10"/>
  <c r="K207" i="10"/>
  <c r="J204" i="10"/>
  <c r="J189" i="10"/>
  <c r="J207" i="10"/>
  <c r="I204" i="10"/>
  <c r="I189" i="10"/>
  <c r="I207" i="10"/>
  <c r="H204" i="10"/>
  <c r="H189" i="10"/>
  <c r="H207" i="10"/>
  <c r="G204" i="10"/>
  <c r="G189" i="10"/>
  <c r="G207" i="10"/>
  <c r="F204" i="10"/>
  <c r="F189" i="10"/>
  <c r="F207" i="10"/>
  <c r="E204" i="10"/>
  <c r="E189" i="10"/>
  <c r="E207" i="10"/>
  <c r="D204" i="10"/>
  <c r="D189" i="10"/>
  <c r="D207" i="10"/>
  <c r="W148" i="10"/>
  <c r="W111" i="10"/>
  <c r="W102" i="10"/>
  <c r="W154" i="10"/>
  <c r="V148" i="10"/>
  <c r="V111" i="10"/>
  <c r="V102" i="10"/>
  <c r="V154" i="10"/>
  <c r="U148" i="10"/>
  <c r="U111" i="10"/>
  <c r="U102" i="10"/>
  <c r="U154" i="10"/>
  <c r="T148" i="10"/>
  <c r="T111" i="10"/>
  <c r="T102" i="10"/>
  <c r="T154" i="10"/>
  <c r="S148" i="10"/>
  <c r="S111" i="10"/>
  <c r="S102" i="10"/>
  <c r="S154" i="10"/>
  <c r="R148" i="10"/>
  <c r="R111" i="10"/>
  <c r="R102" i="10"/>
  <c r="R154" i="10"/>
  <c r="Q148" i="10"/>
  <c r="Q111" i="10"/>
  <c r="Q102" i="10"/>
  <c r="Q154" i="10"/>
  <c r="P148" i="10"/>
  <c r="P111" i="10"/>
  <c r="P102" i="10"/>
  <c r="P154" i="10"/>
  <c r="O148" i="10"/>
  <c r="O111" i="10"/>
  <c r="O102" i="10"/>
  <c r="O154" i="10"/>
  <c r="N148" i="10"/>
  <c r="N111" i="10"/>
  <c r="M148" i="10"/>
  <c r="M111" i="10"/>
  <c r="M102" i="10"/>
  <c r="M154" i="10"/>
  <c r="L148" i="10"/>
  <c r="L111" i="10"/>
  <c r="L102" i="10"/>
  <c r="L154" i="10"/>
  <c r="K148" i="10"/>
  <c r="K111" i="10"/>
  <c r="K102" i="10"/>
  <c r="K154" i="10"/>
  <c r="J148" i="10"/>
  <c r="J111" i="10"/>
  <c r="J102" i="10"/>
  <c r="J154" i="10"/>
  <c r="I148" i="10"/>
  <c r="I111" i="10"/>
  <c r="I102" i="10"/>
  <c r="I154" i="10"/>
  <c r="H148" i="10"/>
  <c r="H111" i="10"/>
  <c r="H102" i="10"/>
  <c r="H154" i="10"/>
  <c r="G148" i="10"/>
  <c r="G111" i="10"/>
  <c r="G102" i="10"/>
  <c r="G154" i="10"/>
  <c r="F148" i="10"/>
  <c r="F111" i="10"/>
  <c r="F102" i="10"/>
  <c r="F154" i="10"/>
  <c r="E148" i="10"/>
  <c r="E111" i="10"/>
  <c r="E102" i="10"/>
  <c r="E154" i="10"/>
  <c r="D148" i="10"/>
  <c r="D111" i="10"/>
  <c r="D102" i="10"/>
  <c r="D154" i="10"/>
  <c r="W10" i="10"/>
  <c r="V10" i="10"/>
  <c r="U10" i="10"/>
  <c r="T10" i="10"/>
  <c r="S10" i="10"/>
  <c r="R10" i="10"/>
  <c r="Q10" i="10"/>
  <c r="P10" i="10"/>
  <c r="O10" i="10"/>
  <c r="N10" i="10"/>
  <c r="M10" i="10"/>
  <c r="L10" i="10"/>
  <c r="K10" i="10"/>
  <c r="J10" i="10"/>
  <c r="I10" i="10"/>
  <c r="H10" i="10"/>
  <c r="G10" i="10"/>
  <c r="F10" i="10"/>
  <c r="E10" i="10"/>
  <c r="D10" i="10"/>
  <c r="R261" i="9"/>
  <c r="Q261" i="9"/>
  <c r="P261" i="9"/>
  <c r="O261" i="9"/>
  <c r="N261" i="9"/>
  <c r="M261" i="9"/>
  <c r="L261" i="9"/>
  <c r="K261" i="9"/>
  <c r="J261" i="9"/>
  <c r="I261" i="9"/>
  <c r="H261" i="9"/>
  <c r="G261" i="9"/>
  <c r="F261" i="9"/>
  <c r="E261" i="9"/>
  <c r="D261" i="9"/>
  <c r="R233" i="9"/>
  <c r="Q233" i="9"/>
  <c r="P233" i="9"/>
  <c r="O233" i="9"/>
  <c r="N233" i="9"/>
  <c r="M233" i="9"/>
  <c r="L233" i="9"/>
  <c r="K233" i="9"/>
  <c r="J233" i="9"/>
  <c r="I233" i="9"/>
  <c r="H233" i="9"/>
  <c r="G233" i="9"/>
  <c r="F233" i="9"/>
  <c r="E233" i="9"/>
  <c r="D233" i="9"/>
  <c r="R203" i="9"/>
  <c r="R188" i="9"/>
  <c r="R206" i="9"/>
  <c r="Q203" i="9"/>
  <c r="Q188" i="9"/>
  <c r="Q206" i="9"/>
  <c r="P203" i="9"/>
  <c r="P188" i="9"/>
  <c r="P206" i="9"/>
  <c r="O203" i="9"/>
  <c r="O188" i="9"/>
  <c r="O206" i="9"/>
  <c r="N203" i="9"/>
  <c r="N188" i="9"/>
  <c r="N206" i="9"/>
  <c r="M203" i="9"/>
  <c r="M188" i="9"/>
  <c r="M206" i="9"/>
  <c r="L203" i="9"/>
  <c r="L188" i="9"/>
  <c r="L206" i="9"/>
  <c r="K203" i="9"/>
  <c r="K188" i="9"/>
  <c r="K206" i="9"/>
  <c r="J203" i="9"/>
  <c r="J188" i="9"/>
  <c r="J206" i="9"/>
  <c r="I203" i="9"/>
  <c r="I188" i="9"/>
  <c r="I206" i="9"/>
  <c r="H203" i="9"/>
  <c r="H188" i="9"/>
  <c r="H206" i="9"/>
  <c r="G203" i="9"/>
  <c r="G188" i="9"/>
  <c r="G206" i="9"/>
  <c r="F203" i="9"/>
  <c r="F188" i="9"/>
  <c r="F206" i="9"/>
  <c r="E203" i="9"/>
  <c r="E188" i="9"/>
  <c r="E206" i="9"/>
  <c r="D203" i="9"/>
  <c r="D188" i="9"/>
  <c r="D206" i="9"/>
  <c r="R147" i="9"/>
  <c r="R110" i="9"/>
  <c r="R101" i="9"/>
  <c r="R153" i="9"/>
  <c r="Q147" i="9"/>
  <c r="Q110" i="9"/>
  <c r="Q101" i="9"/>
  <c r="Q153" i="9"/>
  <c r="P147" i="9"/>
  <c r="P110" i="9"/>
  <c r="P101" i="9"/>
  <c r="P153" i="9"/>
  <c r="O147" i="9"/>
  <c r="O110" i="9"/>
  <c r="O101" i="9"/>
  <c r="O153" i="9"/>
  <c r="N147" i="9"/>
  <c r="N110" i="9"/>
  <c r="N101" i="9"/>
  <c r="N153" i="9"/>
  <c r="M147" i="9"/>
  <c r="M110" i="9"/>
  <c r="M101" i="9"/>
  <c r="M153" i="9"/>
  <c r="L147" i="9"/>
  <c r="L110" i="9"/>
  <c r="L101" i="9"/>
  <c r="L153" i="9"/>
  <c r="K147" i="9"/>
  <c r="K110" i="9"/>
  <c r="K101" i="9"/>
  <c r="K153" i="9"/>
  <c r="J147" i="9"/>
  <c r="J110" i="9"/>
  <c r="J101" i="9"/>
  <c r="J153" i="9"/>
  <c r="I147" i="9"/>
  <c r="I110" i="9"/>
  <c r="I101" i="9"/>
  <c r="I153" i="9"/>
  <c r="H147" i="9"/>
  <c r="H110" i="9"/>
  <c r="H101" i="9"/>
  <c r="H153" i="9"/>
  <c r="G147" i="9"/>
  <c r="G110" i="9"/>
  <c r="G101" i="9"/>
  <c r="G153" i="9"/>
  <c r="F147" i="9"/>
  <c r="F110" i="9"/>
  <c r="F101" i="9"/>
  <c r="F153" i="9"/>
  <c r="E147" i="9"/>
  <c r="E110" i="9"/>
  <c r="E101" i="9"/>
  <c r="E153" i="9"/>
  <c r="D147" i="9"/>
  <c r="D110" i="9"/>
  <c r="R9" i="9"/>
  <c r="Q9" i="9"/>
  <c r="P9" i="9"/>
  <c r="O9" i="9"/>
  <c r="N9" i="9"/>
  <c r="M9" i="9"/>
  <c r="L9" i="9"/>
  <c r="K9" i="9"/>
  <c r="J9" i="9"/>
  <c r="I9" i="9"/>
  <c r="H9" i="9"/>
  <c r="G9" i="9"/>
  <c r="F9" i="9"/>
  <c r="E9" i="9"/>
  <c r="D9" i="9"/>
  <c r="M262" i="5"/>
  <c r="N262" i="5"/>
  <c r="O262" i="5"/>
  <c r="P262" i="5"/>
  <c r="Q262" i="5"/>
  <c r="R262" i="5"/>
  <c r="S262" i="5"/>
  <c r="T262" i="5"/>
  <c r="U262" i="5"/>
  <c r="V262" i="5"/>
  <c r="W262" i="5"/>
  <c r="X262" i="5"/>
  <c r="Y262" i="5"/>
  <c r="Z262" i="5"/>
  <c r="AA262" i="5"/>
  <c r="AB262" i="5"/>
  <c r="AC262" i="5"/>
  <c r="J262" i="5"/>
  <c r="K262" i="5"/>
  <c r="L262" i="5"/>
  <c r="E262" i="5"/>
  <c r="F262" i="5"/>
  <c r="G262" i="5"/>
  <c r="H262" i="5"/>
  <c r="I262" i="5"/>
  <c r="AD262" i="5"/>
  <c r="D262" i="5"/>
  <c r="E234" i="5"/>
  <c r="F234" i="5"/>
  <c r="G234" i="5"/>
  <c r="H234" i="5"/>
  <c r="J234" i="5"/>
  <c r="K234" i="5"/>
  <c r="L234" i="5"/>
  <c r="M234" i="5"/>
  <c r="N234" i="5"/>
  <c r="O234" i="5"/>
  <c r="P234" i="5"/>
  <c r="Q234" i="5"/>
  <c r="R234" i="5"/>
  <c r="S234" i="5"/>
  <c r="T234" i="5"/>
  <c r="U234" i="5"/>
  <c r="V234" i="5"/>
  <c r="W234" i="5"/>
  <c r="X234" i="5"/>
  <c r="Y234" i="5"/>
  <c r="Z234" i="5"/>
  <c r="AA234" i="5"/>
  <c r="AB234" i="5"/>
  <c r="AC234" i="5"/>
  <c r="AD234" i="5"/>
  <c r="D234" i="5"/>
  <c r="E204" i="5"/>
  <c r="E189" i="5"/>
  <c r="E207" i="5"/>
  <c r="F204" i="5"/>
  <c r="F189" i="5"/>
  <c r="F207" i="5"/>
  <c r="G204" i="5"/>
  <c r="G189" i="5"/>
  <c r="G207" i="5"/>
  <c r="H204" i="5"/>
  <c r="H189" i="5"/>
  <c r="H207" i="5"/>
  <c r="I204" i="5"/>
  <c r="I189" i="5"/>
  <c r="I207" i="5"/>
  <c r="J204" i="5"/>
  <c r="J189" i="5"/>
  <c r="J207" i="5"/>
  <c r="K204" i="5"/>
  <c r="K189" i="5"/>
  <c r="K207" i="5"/>
  <c r="L204" i="5"/>
  <c r="L189" i="5"/>
  <c r="L207" i="5"/>
  <c r="M204" i="5"/>
  <c r="M189" i="5"/>
  <c r="M207" i="5"/>
  <c r="N204" i="5"/>
  <c r="N189" i="5"/>
  <c r="N207" i="5"/>
  <c r="O204" i="5"/>
  <c r="O189" i="5"/>
  <c r="O207" i="5"/>
  <c r="P204" i="5"/>
  <c r="P189" i="5"/>
  <c r="P207" i="5"/>
  <c r="Q204" i="5"/>
  <c r="Q189" i="5"/>
  <c r="Q207" i="5"/>
  <c r="R204" i="5"/>
  <c r="R189" i="5"/>
  <c r="R207" i="5"/>
  <c r="S204" i="5"/>
  <c r="S189" i="5"/>
  <c r="S207" i="5"/>
  <c r="T204" i="5"/>
  <c r="T189" i="5"/>
  <c r="T207" i="5"/>
  <c r="U204" i="5"/>
  <c r="U189" i="5"/>
  <c r="U207" i="5"/>
  <c r="V204" i="5"/>
  <c r="V189" i="5"/>
  <c r="V207" i="5"/>
  <c r="W204" i="5"/>
  <c r="W189" i="5"/>
  <c r="W207" i="5"/>
  <c r="X204" i="5"/>
  <c r="X189" i="5"/>
  <c r="X207" i="5"/>
  <c r="Y204" i="5"/>
  <c r="Y189" i="5"/>
  <c r="Y207" i="5"/>
  <c r="Z204" i="5"/>
  <c r="Z189" i="5"/>
  <c r="Z207" i="5"/>
  <c r="AA204" i="5"/>
  <c r="AA189" i="5"/>
  <c r="AA207" i="5"/>
  <c r="AB204" i="5"/>
  <c r="AB189" i="5"/>
  <c r="AB207" i="5"/>
  <c r="AC204" i="5"/>
  <c r="AC189" i="5"/>
  <c r="AC207" i="5"/>
  <c r="AD204" i="5"/>
  <c r="AD189" i="5"/>
  <c r="AD207" i="5"/>
  <c r="D204" i="5"/>
  <c r="D189" i="5"/>
  <c r="D207" i="5"/>
  <c r="Q148" i="5"/>
  <c r="Q111" i="5"/>
  <c r="Q102" i="5"/>
  <c r="Q154" i="5"/>
  <c r="R148" i="5"/>
  <c r="S148" i="5"/>
  <c r="T148" i="5"/>
  <c r="U148" i="5"/>
  <c r="V148" i="5"/>
  <c r="W148" i="5"/>
  <c r="X148" i="5"/>
  <c r="Y148" i="5"/>
  <c r="Z148" i="5"/>
  <c r="AA148" i="5"/>
  <c r="AB148" i="5"/>
  <c r="AC148" i="5"/>
  <c r="AD148" i="5"/>
  <c r="E148" i="5"/>
  <c r="E111" i="5"/>
  <c r="E102" i="5"/>
  <c r="E154" i="5"/>
  <c r="F148" i="5"/>
  <c r="F111" i="5"/>
  <c r="F102" i="5"/>
  <c r="F154" i="5"/>
  <c r="G148" i="5"/>
  <c r="G111" i="5"/>
  <c r="G102" i="5"/>
  <c r="G154" i="5"/>
  <c r="H148" i="5"/>
  <c r="H111" i="5"/>
  <c r="H102" i="5"/>
  <c r="H154" i="5"/>
  <c r="I148" i="5"/>
  <c r="I111" i="5"/>
  <c r="I102" i="5"/>
  <c r="I154" i="5"/>
  <c r="J148" i="5"/>
  <c r="J111" i="5"/>
  <c r="J102" i="5"/>
  <c r="J154" i="5"/>
  <c r="K148" i="5"/>
  <c r="K111" i="5"/>
  <c r="K102" i="5"/>
  <c r="K154" i="5"/>
  <c r="L148" i="5"/>
  <c r="L111" i="5"/>
  <c r="L102" i="5"/>
  <c r="L154" i="5"/>
  <c r="M148" i="5"/>
  <c r="M111" i="5"/>
  <c r="M102" i="5"/>
  <c r="M154" i="5"/>
  <c r="N148" i="5"/>
  <c r="N111" i="5"/>
  <c r="N102" i="5"/>
  <c r="N154" i="5"/>
  <c r="O148" i="5"/>
  <c r="O111" i="5"/>
  <c r="O102" i="5"/>
  <c r="O154" i="5"/>
  <c r="P148" i="5"/>
  <c r="P111" i="5"/>
  <c r="P102" i="5"/>
  <c r="P154" i="5"/>
  <c r="R111" i="5"/>
  <c r="R102" i="5"/>
  <c r="R154" i="5"/>
  <c r="S111" i="5"/>
  <c r="S102" i="5"/>
  <c r="S154" i="5"/>
  <c r="T111" i="5"/>
  <c r="T102" i="5"/>
  <c r="T154" i="5"/>
  <c r="U111" i="5"/>
  <c r="U102" i="5"/>
  <c r="U154" i="5"/>
  <c r="V111" i="5"/>
  <c r="V102" i="5"/>
  <c r="V154" i="5"/>
  <c r="W111" i="5"/>
  <c r="W102" i="5"/>
  <c r="W154" i="5"/>
  <c r="X111" i="5"/>
  <c r="X102" i="5"/>
  <c r="X154" i="5"/>
  <c r="Y111" i="5"/>
  <c r="Y102" i="5"/>
  <c r="Y154" i="5"/>
  <c r="Z111" i="5"/>
  <c r="Z102" i="5"/>
  <c r="Z154" i="5"/>
  <c r="AA111" i="5"/>
  <c r="AA102" i="5"/>
  <c r="AA154" i="5"/>
  <c r="AB111" i="5"/>
  <c r="AB154" i="5"/>
  <c r="AC111" i="5"/>
  <c r="AC154" i="5"/>
  <c r="AD111" i="5"/>
  <c r="AD154" i="5"/>
  <c r="D148" i="5"/>
  <c r="D111" i="5"/>
  <c r="D102" i="5"/>
  <c r="D154" i="5"/>
  <c r="Q10" i="5"/>
  <c r="R10" i="5"/>
  <c r="S10" i="5"/>
  <c r="T10" i="5"/>
  <c r="U10" i="5"/>
  <c r="V10" i="5"/>
  <c r="W10" i="5"/>
  <c r="X10" i="5"/>
  <c r="Y10" i="5"/>
  <c r="Z10" i="5"/>
  <c r="AA10" i="5"/>
  <c r="AB10" i="5"/>
  <c r="AC10" i="5"/>
  <c r="AD10" i="5"/>
  <c r="D70" i="6"/>
  <c r="G10" i="5"/>
  <c r="F10" i="5"/>
  <c r="E10" i="5"/>
  <c r="H10" i="5"/>
  <c r="I10" i="5"/>
  <c r="J10" i="5"/>
  <c r="K10" i="5"/>
  <c r="L10" i="5"/>
  <c r="M10" i="5"/>
  <c r="N10" i="5"/>
  <c r="O10" i="5"/>
  <c r="P10" i="5"/>
  <c r="D10" i="5"/>
  <c r="D229" i="6"/>
  <c r="D203" i="6"/>
  <c r="D166" i="6"/>
  <c r="D133" i="6"/>
  <c r="D95" i="6"/>
  <c r="D96" i="6"/>
  <c r="D97" i="6"/>
  <c r="D100" i="6"/>
  <c r="D101" i="6"/>
  <c r="D102" i="6"/>
  <c r="D103" i="6"/>
  <c r="D104" i="6"/>
  <c r="D105" i="6"/>
  <c r="D106" i="6"/>
  <c r="D107" i="6"/>
  <c r="D108" i="6"/>
  <c r="D110" i="6"/>
  <c r="D111" i="6"/>
  <c r="D112" i="6"/>
  <c r="D113" i="6"/>
  <c r="D114" i="6"/>
  <c r="D115" i="6"/>
  <c r="D116" i="6"/>
  <c r="D118" i="6"/>
  <c r="D119" i="6"/>
  <c r="D120" i="6"/>
  <c r="D121" i="6"/>
  <c r="D122" i="6"/>
  <c r="D123" i="6"/>
  <c r="D125" i="6"/>
  <c r="D126" i="6"/>
  <c r="D127" i="6"/>
  <c r="D128" i="6"/>
  <c r="D129" i="6"/>
  <c r="D130" i="6"/>
  <c r="D131" i="6"/>
  <c r="D132"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8" i="6"/>
  <c r="D169" i="6"/>
  <c r="D170" i="6"/>
  <c r="D171" i="6"/>
  <c r="D172" i="6"/>
  <c r="D173" i="6"/>
  <c r="D174" i="6"/>
  <c r="D175" i="6"/>
  <c r="D176" i="6"/>
  <c r="D177" i="6"/>
  <c r="D178" i="6"/>
  <c r="D180" i="6"/>
  <c r="D181" i="6"/>
  <c r="D182" i="6"/>
  <c r="D183" i="6"/>
  <c r="D184" i="6"/>
  <c r="D185" i="6"/>
  <c r="D186" i="6"/>
  <c r="D187" i="6"/>
  <c r="D188" i="6"/>
  <c r="D189" i="6"/>
  <c r="D190" i="6"/>
  <c r="D191" i="6"/>
  <c r="D192" i="6"/>
  <c r="D193" i="6"/>
  <c r="D194" i="6"/>
  <c r="D195" i="6"/>
  <c r="D196" i="6"/>
  <c r="D197" i="6"/>
  <c r="D198" i="6"/>
  <c r="D199" i="6"/>
  <c r="D200" i="6"/>
  <c r="D201" i="6"/>
  <c r="D202" i="6"/>
  <c r="D205" i="6"/>
  <c r="D206" i="6"/>
  <c r="D207" i="6"/>
  <c r="D208" i="6"/>
  <c r="D209" i="6"/>
  <c r="D210" i="6"/>
  <c r="D211" i="6"/>
  <c r="D212" i="6"/>
  <c r="D213" i="6"/>
  <c r="D214" i="6"/>
  <c r="D215" i="6"/>
  <c r="D216" i="6"/>
  <c r="D217" i="6"/>
  <c r="D218" i="6"/>
  <c r="D219" i="6"/>
  <c r="D220" i="6"/>
  <c r="D221" i="6"/>
  <c r="D222" i="6"/>
  <c r="D223" i="6"/>
  <c r="D224" i="6"/>
  <c r="D225" i="6"/>
  <c r="D226" i="6"/>
  <c r="D227" i="6"/>
  <c r="D228" i="6"/>
  <c r="D93" i="6"/>
  <c r="D94" i="6"/>
  <c r="D76" i="6"/>
  <c r="D77" i="6"/>
  <c r="D78" i="6"/>
  <c r="D79" i="6"/>
  <c r="D80" i="6"/>
  <c r="D81" i="6"/>
  <c r="D82" i="6"/>
  <c r="D83" i="6"/>
  <c r="D84" i="6"/>
  <c r="D85" i="6"/>
  <c r="D86" i="6"/>
  <c r="D87" i="6"/>
  <c r="D88" i="6"/>
  <c r="D89" i="6"/>
  <c r="D90" i="6"/>
  <c r="D91" i="6"/>
  <c r="D71" i="6"/>
  <c r="D72" i="6"/>
  <c r="D73" i="6"/>
  <c r="D74" i="6"/>
  <c r="D75" i="6"/>
  <c r="D63" i="6"/>
  <c r="D64" i="6"/>
  <c r="D65" i="6"/>
  <c r="D66" i="6"/>
  <c r="D67" i="6"/>
  <c r="D68" i="6"/>
  <c r="D69" i="6"/>
  <c r="D55" i="6"/>
  <c r="D56" i="6"/>
  <c r="D57" i="6"/>
  <c r="D58" i="6"/>
  <c r="D59" i="6"/>
  <c r="D60" i="6"/>
  <c r="D61" i="6"/>
  <c r="D62" i="6"/>
  <c r="D46" i="6"/>
  <c r="D47" i="6"/>
  <c r="D48" i="6"/>
  <c r="D49" i="6"/>
  <c r="D50" i="6"/>
  <c r="D51" i="6"/>
  <c r="D52" i="6"/>
  <c r="D53" i="6"/>
  <c r="D54" i="6"/>
  <c r="D37" i="6"/>
  <c r="D38" i="6"/>
  <c r="D39" i="6"/>
  <c r="D40" i="6"/>
  <c r="D41" i="6"/>
  <c r="D42" i="6"/>
  <c r="D43" i="6"/>
  <c r="D44" i="6"/>
  <c r="D45" i="6"/>
  <c r="D28" i="6"/>
  <c r="D29" i="6"/>
  <c r="D30" i="6"/>
  <c r="D31" i="6"/>
  <c r="D32" i="6"/>
  <c r="D33" i="6"/>
  <c r="D34" i="6"/>
  <c r="D35" i="6"/>
  <c r="D36" i="6"/>
  <c r="D18" i="6"/>
  <c r="D19" i="6"/>
  <c r="D20" i="6"/>
  <c r="D21" i="6"/>
  <c r="D22" i="6"/>
  <c r="D23" i="6"/>
  <c r="D24" i="6"/>
  <c r="D25" i="6"/>
  <c r="D26" i="6"/>
  <c r="D27" i="6"/>
  <c r="D12" i="6"/>
  <c r="D13" i="6"/>
  <c r="D14" i="6"/>
  <c r="D15" i="6"/>
  <c r="D16" i="6"/>
  <c r="D17" i="6"/>
  <c r="D11" i="6"/>
  <c r="D10" i="6"/>
</calcChain>
</file>

<file path=xl/comments1.xml><?xml version="1.0" encoding="utf-8"?>
<comments xmlns="http://schemas.openxmlformats.org/spreadsheetml/2006/main">
  <authors>
    <author>Author</author>
  </authors>
  <commentList>
    <comment ref="D16" authorId="0">
      <text>
        <r>
          <rPr>
            <b/>
            <sz val="9"/>
            <color indexed="81"/>
            <rFont val="Tahoma"/>
            <family val="2"/>
          </rPr>
          <t>Elsje Saayman:</t>
        </r>
        <r>
          <rPr>
            <sz val="9"/>
            <color indexed="81"/>
            <rFont val="Tahoma"/>
            <family val="2"/>
          </rPr>
          <t xml:space="preserve">
Kyk na Oranje Vrystaat se nota.</t>
        </r>
      </text>
    </comment>
    <comment ref="D262" authorId="0">
      <text>
        <r>
          <rPr>
            <b/>
            <sz val="9"/>
            <color indexed="81"/>
            <rFont val="Tahoma"/>
            <family val="2"/>
          </rPr>
          <t>Elsje Saayman:</t>
        </r>
        <r>
          <rPr>
            <sz val="9"/>
            <color indexed="81"/>
            <rFont val="Tahoma"/>
            <family val="2"/>
          </rPr>
          <t xml:space="preserve">
Hierdie totaal is die korrekte totaal. Die boek het dit as 112706… Maar na herhaalde optel kom dit op 112706. Dus is die oorhoofse groot totaal ook 112806.
</t>
        </r>
      </text>
    </comment>
  </commentList>
</comments>
</file>

<file path=xl/sharedStrings.xml><?xml version="1.0" encoding="utf-8"?>
<sst xmlns="http://schemas.openxmlformats.org/spreadsheetml/2006/main" count="3389" uniqueCount="489">
  <si>
    <t>Persons</t>
  </si>
  <si>
    <t>Natal</t>
  </si>
  <si>
    <t>Transvaal</t>
  </si>
  <si>
    <t>Orange Free State</t>
  </si>
  <si>
    <t>Cape of Good Hope</t>
  </si>
  <si>
    <t>Cape of Good Hope-</t>
  </si>
  <si>
    <r>
      <rPr>
        <b/>
        <sz val="11"/>
        <color theme="1"/>
        <rFont val="Calibri"/>
        <family val="2"/>
        <scheme val="minor"/>
      </rPr>
      <t>RURAL</t>
    </r>
    <r>
      <rPr>
        <sz val="11"/>
        <color theme="1"/>
        <rFont val="Calibri"/>
        <family val="2"/>
        <scheme val="minor"/>
      </rPr>
      <t xml:space="preserve"> </t>
    </r>
    <r>
      <rPr>
        <sz val="11"/>
        <color rgb="FF0070C0"/>
        <rFont val="Calibri"/>
        <family val="2"/>
        <scheme val="minor"/>
      </rPr>
      <t/>
    </r>
  </si>
  <si>
    <t>White Female</t>
  </si>
  <si>
    <t xml:space="preserve"> White Male</t>
  </si>
  <si>
    <r>
      <rPr>
        <b/>
        <sz val="11"/>
        <color theme="1"/>
        <rFont val="Calibri"/>
        <family val="2"/>
        <scheme val="minor"/>
      </rPr>
      <t>URBAN</t>
    </r>
    <r>
      <rPr>
        <sz val="11"/>
        <color theme="1"/>
        <rFont val="Calibri"/>
        <family val="2"/>
        <scheme val="minor"/>
      </rPr>
      <t xml:space="preserve"> </t>
    </r>
  </si>
  <si>
    <r>
      <rPr>
        <b/>
        <sz val="11"/>
        <color theme="1"/>
        <rFont val="Calibri"/>
        <family val="2"/>
        <scheme val="minor"/>
      </rPr>
      <t>RURAL</t>
    </r>
    <r>
      <rPr>
        <sz val="11"/>
        <color theme="1"/>
        <rFont val="Calibri"/>
        <family val="2"/>
        <scheme val="minor"/>
      </rPr>
      <t xml:space="preserve"> </t>
    </r>
    <r>
      <rPr>
        <sz val="11"/>
        <rFont val="Calibri"/>
        <family val="2"/>
        <scheme val="minor"/>
      </rPr>
      <t/>
    </r>
  </si>
  <si>
    <t>White Male</t>
  </si>
  <si>
    <r>
      <rPr>
        <b/>
        <sz val="11"/>
        <color theme="1"/>
        <rFont val="Calibri"/>
        <family val="2"/>
        <scheme val="minor"/>
      </rPr>
      <t>URBAN</t>
    </r>
    <r>
      <rPr>
        <sz val="11"/>
        <color theme="1"/>
        <rFont val="Calibri"/>
        <family val="2"/>
        <scheme val="minor"/>
      </rPr>
      <t xml:space="preserve"> </t>
    </r>
    <r>
      <rPr>
        <sz val="11"/>
        <color rgb="FFFF0000"/>
        <rFont val="Calibri"/>
        <family val="2"/>
        <scheme val="minor"/>
      </rPr>
      <t/>
    </r>
  </si>
  <si>
    <r>
      <rPr>
        <b/>
        <sz val="11"/>
        <color theme="1"/>
        <rFont val="Calibri"/>
        <family val="2"/>
        <scheme val="minor"/>
      </rPr>
      <t>URBAN</t>
    </r>
    <r>
      <rPr>
        <sz val="11"/>
        <color theme="1"/>
        <rFont val="Calibri"/>
        <family val="2"/>
        <scheme val="minor"/>
      </rPr>
      <t/>
    </r>
  </si>
  <si>
    <r>
      <rPr>
        <b/>
        <sz val="11"/>
        <color theme="1"/>
        <rFont val="Calibri"/>
        <family val="2"/>
        <scheme val="minor"/>
      </rPr>
      <t>RURAL</t>
    </r>
    <r>
      <rPr>
        <sz val="11"/>
        <color theme="1"/>
        <rFont val="Calibri"/>
        <family val="2"/>
        <scheme val="minor"/>
      </rPr>
      <t xml:space="preserve"> </t>
    </r>
    <r>
      <rPr>
        <sz val="11"/>
        <color rgb="FFFF0000"/>
        <rFont val="Calibri"/>
        <family val="2"/>
        <scheme val="minor"/>
      </rPr>
      <t/>
    </r>
  </si>
  <si>
    <r>
      <rPr>
        <b/>
        <sz val="11"/>
        <color theme="1"/>
        <rFont val="Calibri"/>
        <family val="2"/>
        <scheme val="minor"/>
      </rPr>
      <t>URBAN</t>
    </r>
    <r>
      <rPr>
        <sz val="11"/>
        <color theme="1"/>
        <rFont val="Calibri"/>
        <family val="2"/>
        <scheme val="minor"/>
      </rPr>
      <t xml:space="preserve"> </t>
    </r>
    <r>
      <rPr>
        <sz val="11"/>
        <color rgb="FF00B050"/>
        <rFont val="Calibri"/>
        <family val="2"/>
        <scheme val="minor"/>
      </rPr>
      <t/>
    </r>
  </si>
  <si>
    <r>
      <rPr>
        <b/>
        <sz val="11"/>
        <color theme="1"/>
        <rFont val="Calibri"/>
        <family val="2"/>
        <scheme val="minor"/>
      </rPr>
      <t>RURAL</t>
    </r>
    <r>
      <rPr>
        <sz val="11"/>
        <color theme="1"/>
        <rFont val="Calibri"/>
        <family val="2"/>
        <scheme val="minor"/>
      </rPr>
      <t xml:space="preserve"> </t>
    </r>
    <r>
      <rPr>
        <sz val="11"/>
        <color rgb="FF00B050"/>
        <rFont val="Calibri"/>
        <family val="2"/>
        <scheme val="minor"/>
      </rPr>
      <t/>
    </r>
  </si>
  <si>
    <t>Bantu Male</t>
  </si>
  <si>
    <t>Bantu Female</t>
  </si>
  <si>
    <t>Mixed Male</t>
  </si>
  <si>
    <t>Mixed Female</t>
  </si>
  <si>
    <t>Bechuanaland-</t>
  </si>
  <si>
    <t>Transkeian Territories</t>
  </si>
  <si>
    <t>East Griqualand-</t>
  </si>
  <si>
    <t>Tembuland-</t>
  </si>
  <si>
    <t>Transkei-</t>
  </si>
  <si>
    <t>Pondoland-</t>
  </si>
  <si>
    <t>Natal-</t>
  </si>
  <si>
    <t>Zululand</t>
  </si>
  <si>
    <t>24- 25</t>
  </si>
  <si>
    <t>28-29</t>
  </si>
  <si>
    <t>30- 31</t>
  </si>
  <si>
    <t>32- 33</t>
  </si>
  <si>
    <t>34 -35</t>
  </si>
  <si>
    <t>36 -37</t>
  </si>
  <si>
    <t xml:space="preserve">Page </t>
  </si>
  <si>
    <t>26- 27</t>
  </si>
  <si>
    <t>38- 39</t>
  </si>
  <si>
    <t>Transvaal-</t>
  </si>
  <si>
    <t>40- 41</t>
  </si>
  <si>
    <t>Orange Free State-</t>
  </si>
  <si>
    <t>42- 43</t>
  </si>
  <si>
    <t>PROVINCE AND CENSUS DISTRICT</t>
  </si>
  <si>
    <t>Return of Population-</t>
  </si>
  <si>
    <t>TOTAL</t>
  </si>
  <si>
    <t xml:space="preserve">URBAN  </t>
  </si>
  <si>
    <t>Agricultural Produce-</t>
  </si>
  <si>
    <t>Wheat</t>
  </si>
  <si>
    <t>Oats</t>
  </si>
  <si>
    <t>Barley: Cut Green</t>
  </si>
  <si>
    <t>Mealies</t>
  </si>
  <si>
    <t>Kaffir Corn</t>
  </si>
  <si>
    <t>Rye</t>
  </si>
  <si>
    <t>Peas and Beans</t>
  </si>
  <si>
    <t>Patatoes</t>
  </si>
  <si>
    <t>Sweet Potatoes</t>
  </si>
  <si>
    <t>Pumpkins</t>
  </si>
  <si>
    <t>Onions</t>
  </si>
  <si>
    <t>Muids</t>
  </si>
  <si>
    <t>Ib</t>
  </si>
  <si>
    <t>Bundles</t>
  </si>
  <si>
    <t>Total- The Union of Sout Africa</t>
  </si>
  <si>
    <t xml:space="preserve"> </t>
  </si>
  <si>
    <t>No</t>
  </si>
  <si>
    <t>Oat-hay</t>
  </si>
  <si>
    <t>Barley</t>
  </si>
  <si>
    <t>Mangel and Beet</t>
  </si>
  <si>
    <t>Tabacco</t>
  </si>
  <si>
    <t>Lucerne</t>
  </si>
  <si>
    <t xml:space="preserve">  Imported Grasses</t>
  </si>
  <si>
    <t>Paspalum and other</t>
  </si>
  <si>
    <t>Ground Nuts</t>
  </si>
  <si>
    <t xml:space="preserve"> Cattle Food</t>
  </si>
  <si>
    <t>Sagar Cane for</t>
  </si>
  <si>
    <t xml:space="preserve">Sugar Cane </t>
  </si>
  <si>
    <t>for Sugar</t>
  </si>
  <si>
    <t>Tea</t>
  </si>
  <si>
    <t>Manna</t>
  </si>
  <si>
    <t>Buchu</t>
  </si>
  <si>
    <t>Bush Tea</t>
  </si>
  <si>
    <t>Sugar Made</t>
  </si>
  <si>
    <t>Rum Made</t>
  </si>
  <si>
    <t>Molasses and</t>
  </si>
  <si>
    <t>Treacle Made</t>
  </si>
  <si>
    <t>Tons</t>
  </si>
  <si>
    <t>Gallons</t>
  </si>
  <si>
    <t>Total- Cape of Good Hope</t>
  </si>
  <si>
    <t xml:space="preserve"> Aberdeen </t>
  </si>
  <si>
    <t xml:space="preserve"> Adelaide</t>
  </si>
  <si>
    <t xml:space="preserve"> Albany</t>
  </si>
  <si>
    <t xml:space="preserve"> Albert</t>
  </si>
  <si>
    <t xml:space="preserve"> Alexandria</t>
  </si>
  <si>
    <t xml:space="preserve"> Aliwal North</t>
  </si>
  <si>
    <t xml:space="preserve"> Barkly East</t>
  </si>
  <si>
    <t xml:space="preserve"> Barkly West</t>
  </si>
  <si>
    <t xml:space="preserve"> Bathurst</t>
  </si>
  <si>
    <t xml:space="preserve"> Beaufort West</t>
  </si>
  <si>
    <t xml:space="preserve"> Bedford</t>
  </si>
  <si>
    <t xml:space="preserve"> Bredasdorp</t>
  </si>
  <si>
    <t xml:space="preserve"> Britstown</t>
  </si>
  <si>
    <t xml:space="preserve"> Caledon</t>
  </si>
  <si>
    <t xml:space="preserve"> Calvinia</t>
  </si>
  <si>
    <t xml:space="preserve"> Cape</t>
  </si>
  <si>
    <t xml:space="preserve"> Carnarvon </t>
  </si>
  <si>
    <t xml:space="preserve"> Cathcart </t>
  </si>
  <si>
    <t xml:space="preserve"> Ceres</t>
  </si>
  <si>
    <t xml:space="preserve"> Clanwilliam</t>
  </si>
  <si>
    <t xml:space="preserve"> Colesberg</t>
  </si>
  <si>
    <t xml:space="preserve"> Cradock</t>
  </si>
  <si>
    <t xml:space="preserve"> De Aar</t>
  </si>
  <si>
    <t xml:space="preserve"> East London</t>
  </si>
  <si>
    <t xml:space="preserve"> Fort Beaufort</t>
  </si>
  <si>
    <t xml:space="preserve"> Fraserburg</t>
  </si>
  <si>
    <t xml:space="preserve"> George</t>
  </si>
  <si>
    <t xml:space="preserve"> Glen Grey</t>
  </si>
  <si>
    <t xml:space="preserve"> Graaff-Reinet</t>
  </si>
  <si>
    <t xml:space="preserve"> Hanover</t>
  </si>
  <si>
    <t xml:space="preserve"> Hay</t>
  </si>
  <si>
    <t xml:space="preserve"> Herbert</t>
  </si>
  <si>
    <t xml:space="preserve"> Herschel</t>
  </si>
  <si>
    <t xml:space="preserve"> Hopetown</t>
  </si>
  <si>
    <t xml:space="preserve"> Humansdorp</t>
  </si>
  <si>
    <t xml:space="preserve"> Jansenville</t>
  </si>
  <si>
    <t xml:space="preserve"> Kenhardt</t>
  </si>
  <si>
    <t xml:space="preserve"> Kimberley</t>
  </si>
  <si>
    <t xml:space="preserve"> Kingwilliamstown</t>
  </si>
  <si>
    <t xml:space="preserve"> Knysna</t>
  </si>
  <si>
    <t xml:space="preserve"> Komgha</t>
  </si>
  <si>
    <t xml:space="preserve"> Ladismith </t>
  </si>
  <si>
    <t xml:space="preserve"> Laingsburg </t>
  </si>
  <si>
    <t xml:space="preserve"> Malmesbury</t>
  </si>
  <si>
    <t xml:space="preserve"> Middelbrug</t>
  </si>
  <si>
    <t xml:space="preserve"> Molteno</t>
  </si>
  <si>
    <t xml:space="preserve"> Montagu</t>
  </si>
  <si>
    <t xml:space="preserve"> Mossel Bay</t>
  </si>
  <si>
    <t xml:space="preserve"> Murraysburg</t>
  </si>
  <si>
    <t xml:space="preserve"> Namaqualand</t>
  </si>
  <si>
    <t xml:space="preserve"> Oudtshoorn</t>
  </si>
  <si>
    <t xml:space="preserve"> Paarl</t>
  </si>
  <si>
    <t xml:space="preserve"> Peddie</t>
  </si>
  <si>
    <t xml:space="preserve"> Philipstown</t>
  </si>
  <si>
    <t xml:space="preserve"> Piquetberg</t>
  </si>
  <si>
    <t xml:space="preserve"> Port Elizabeth</t>
  </si>
  <si>
    <t xml:space="preserve"> Port Nolloth</t>
  </si>
  <si>
    <t xml:space="preserve"> Prieska</t>
  </si>
  <si>
    <t xml:space="preserve"> Prins Albert</t>
  </si>
  <si>
    <t xml:space="preserve"> Queenstown</t>
  </si>
  <si>
    <t xml:space="preserve"> Richmond</t>
  </si>
  <si>
    <t xml:space="preserve"> Riversdale</t>
  </si>
  <si>
    <t xml:space="preserve"> Robertson</t>
  </si>
  <si>
    <t xml:space="preserve"> Simonstown</t>
  </si>
  <si>
    <t xml:space="preserve"> Somerset East</t>
  </si>
  <si>
    <t xml:space="preserve"> Stellenbosch</t>
  </si>
  <si>
    <t xml:space="preserve"> Steynsburg </t>
  </si>
  <si>
    <t xml:space="preserve"> Steytlerville</t>
  </si>
  <si>
    <t xml:space="preserve"> Stockenstroom</t>
  </si>
  <si>
    <t xml:space="preserve"> Stutterheim</t>
  </si>
  <si>
    <t xml:space="preserve"> Sutherland</t>
  </si>
  <si>
    <t xml:space="preserve"> Swellendam</t>
  </si>
  <si>
    <t xml:space="preserve"> Tarka</t>
  </si>
  <si>
    <t xml:space="preserve"> Tulbagh</t>
  </si>
  <si>
    <t xml:space="preserve"> Uitenhage</t>
  </si>
  <si>
    <t xml:space="preserve"> Uniondale</t>
  </si>
  <si>
    <t xml:space="preserve"> Van Rhynsdorp</t>
  </si>
  <si>
    <t xml:space="preserve"> Victoria East</t>
  </si>
  <si>
    <t xml:space="preserve"> Victoria West</t>
  </si>
  <si>
    <t xml:space="preserve"> Willowmore</t>
  </si>
  <si>
    <t xml:space="preserve"> Wodehouse</t>
  </si>
  <si>
    <t xml:space="preserve"> Worcester</t>
  </si>
  <si>
    <t xml:space="preserve"> Gordonia</t>
  </si>
  <si>
    <t xml:space="preserve"> Kuruman</t>
  </si>
  <si>
    <t xml:space="preserve"> Mafeking</t>
  </si>
  <si>
    <t xml:space="preserve"> Taung</t>
  </si>
  <si>
    <t xml:space="preserve"> Vryburg </t>
  </si>
  <si>
    <t xml:space="preserve"> Maclear </t>
  </si>
  <si>
    <t xml:space="preserve"> Matatiele</t>
  </si>
  <si>
    <t xml:space="preserve"> Mount Ayliff</t>
  </si>
  <si>
    <t xml:space="preserve"> Mount Currie</t>
  </si>
  <si>
    <t xml:space="preserve"> Mount Fletcher</t>
  </si>
  <si>
    <t xml:space="preserve"> Mount Frere</t>
  </si>
  <si>
    <t xml:space="preserve"> Qumbu</t>
  </si>
  <si>
    <t xml:space="preserve"> Tsolo</t>
  </si>
  <si>
    <t xml:space="preserve"> Umzimkulu</t>
  </si>
  <si>
    <t xml:space="preserve"> Elliot</t>
  </si>
  <si>
    <t xml:space="preserve"> Elliotdale</t>
  </si>
  <si>
    <t xml:space="preserve"> Engcobo</t>
  </si>
  <si>
    <t xml:space="preserve"> Mqanduli</t>
  </si>
  <si>
    <t xml:space="preserve"> Umtata</t>
  </si>
  <si>
    <t xml:space="preserve"> Xalanga</t>
  </si>
  <si>
    <t xml:space="preserve"> Butterworth</t>
  </si>
  <si>
    <t xml:space="preserve"> Idutywa</t>
  </si>
  <si>
    <t xml:space="preserve"> Kentani</t>
  </si>
  <si>
    <t xml:space="preserve"> Nqamakwe</t>
  </si>
  <si>
    <t xml:space="preserve"> Tsomo</t>
  </si>
  <si>
    <t xml:space="preserve"> Willowvale</t>
  </si>
  <si>
    <t xml:space="preserve"> Bizana </t>
  </si>
  <si>
    <t xml:space="preserve"> Flagstaff</t>
  </si>
  <si>
    <t xml:space="preserve"> Libode</t>
  </si>
  <si>
    <t xml:space="preserve"> Lusikisiki</t>
  </si>
  <si>
    <t xml:space="preserve"> Ngqeleni</t>
  </si>
  <si>
    <t xml:space="preserve"> Tabankulu</t>
  </si>
  <si>
    <t xml:space="preserve"> Walfish Bay</t>
  </si>
  <si>
    <t xml:space="preserve"> Travellers by Rail</t>
  </si>
  <si>
    <t xml:space="preserve"> Alexandra</t>
  </si>
  <si>
    <t xml:space="preserve"> Alfred</t>
  </si>
  <si>
    <t xml:space="preserve"> Bergville</t>
  </si>
  <si>
    <t xml:space="preserve"> Camperdown</t>
  </si>
  <si>
    <t xml:space="preserve"> City (Pietermaritzburg)</t>
  </si>
  <si>
    <t xml:space="preserve"> Dundee</t>
  </si>
  <si>
    <t xml:space="preserve"> Durban</t>
  </si>
  <si>
    <t xml:space="preserve"> Estcourt</t>
  </si>
  <si>
    <t xml:space="preserve"> Helpmakaar</t>
  </si>
  <si>
    <t xml:space="preserve"> Impendhle</t>
  </si>
  <si>
    <t xml:space="preserve"> Impofana </t>
  </si>
  <si>
    <t xml:space="preserve"> Inanda</t>
  </si>
  <si>
    <t xml:space="preserve"> Ipolela</t>
  </si>
  <si>
    <t xml:space="preserve"> Ixopo</t>
  </si>
  <si>
    <t xml:space="preserve"> Klip Rivier</t>
  </si>
  <si>
    <t xml:space="preserve"> Krantzkop</t>
  </si>
  <si>
    <t xml:space="preserve"> Lions Rivier</t>
  </si>
  <si>
    <t xml:space="preserve"> Lower Tugela</t>
  </si>
  <si>
    <t xml:space="preserve"> Lower Umzimkulu</t>
  </si>
  <si>
    <t xml:space="preserve"> Mapumulo</t>
  </si>
  <si>
    <t xml:space="preserve"> New Hanover</t>
  </si>
  <si>
    <t xml:space="preserve"> Newcastle</t>
  </si>
  <si>
    <t xml:space="preserve"> Ngotshe</t>
  </si>
  <si>
    <t xml:space="preserve"> Paulpietersburg</t>
  </si>
  <si>
    <t xml:space="preserve"> Umgeni</t>
  </si>
  <si>
    <t xml:space="preserve"> Umlazi</t>
  </si>
  <si>
    <t xml:space="preserve"> Umvoti</t>
  </si>
  <si>
    <t xml:space="preserve"> Utrecht</t>
  </si>
  <si>
    <t xml:space="preserve"> Vryheid</t>
  </si>
  <si>
    <t xml:space="preserve"> Weenen</t>
  </si>
  <si>
    <t xml:space="preserve"> Emtonjaneni </t>
  </si>
  <si>
    <t xml:space="preserve"> Eshowe</t>
  </si>
  <si>
    <t xml:space="preserve"> Hlabisa</t>
  </si>
  <si>
    <t xml:space="preserve"> Ingwavuma</t>
  </si>
  <si>
    <t xml:space="preserve"> Mahlabatini</t>
  </si>
  <si>
    <t xml:space="preserve"> Mtunzini</t>
  </si>
  <si>
    <t xml:space="preserve"> Ndwandwe</t>
  </si>
  <si>
    <t xml:space="preserve"> Nkandhla</t>
  </si>
  <si>
    <t xml:space="preserve"> Nqutu</t>
  </si>
  <si>
    <t xml:space="preserve"> Ubombo</t>
  </si>
  <si>
    <t xml:space="preserve"> Umfolosi, Lower</t>
  </si>
  <si>
    <t xml:space="preserve"> Barberton</t>
  </si>
  <si>
    <t xml:space="preserve"> Bethal</t>
  </si>
  <si>
    <t xml:space="preserve"> Bloemhof</t>
  </si>
  <si>
    <t xml:space="preserve"> Boksburg</t>
  </si>
  <si>
    <t xml:space="preserve"> Carolina</t>
  </si>
  <si>
    <t xml:space="preserve"> Ermelo</t>
  </si>
  <si>
    <t xml:space="preserve"> Germiston</t>
  </si>
  <si>
    <t xml:space="preserve"> Heidleberg</t>
  </si>
  <si>
    <t xml:space="preserve"> Johannesburg</t>
  </si>
  <si>
    <t xml:space="preserve"> Krugersdorp</t>
  </si>
  <si>
    <t xml:space="preserve"> Lichtenburg</t>
  </si>
  <si>
    <t xml:space="preserve"> Lydenburg</t>
  </si>
  <si>
    <t xml:space="preserve"> Marico</t>
  </si>
  <si>
    <t xml:space="preserve"> Middelburg</t>
  </si>
  <si>
    <t xml:space="preserve"> Piet Retief</t>
  </si>
  <si>
    <t xml:space="preserve"> Potchefstroom</t>
  </si>
  <si>
    <t xml:space="preserve"> Pretoria</t>
  </si>
  <si>
    <t xml:space="preserve"> Rustenburg</t>
  </si>
  <si>
    <t xml:space="preserve"> Standerton</t>
  </si>
  <si>
    <t xml:space="preserve"> Wakkerstroom</t>
  </si>
  <si>
    <t xml:space="preserve"> Waterberg</t>
  </si>
  <si>
    <t xml:space="preserve"> Wolmaransstad</t>
  </si>
  <si>
    <t xml:space="preserve"> Zoutpansberg</t>
  </si>
  <si>
    <t xml:space="preserve"> Bethlehem</t>
  </si>
  <si>
    <t xml:space="preserve"> Bethulie</t>
  </si>
  <si>
    <t xml:space="preserve"> Bloemfontein</t>
  </si>
  <si>
    <t xml:space="preserve"> Boshof</t>
  </si>
  <si>
    <t xml:space="preserve"> Edenburg</t>
  </si>
  <si>
    <t xml:space="preserve"> Fanresmith</t>
  </si>
  <si>
    <t xml:space="preserve"> Ficksburg</t>
  </si>
  <si>
    <t xml:space="preserve"> Frankfort</t>
  </si>
  <si>
    <t xml:space="preserve"> Harrismith</t>
  </si>
  <si>
    <t xml:space="preserve"> Heilbron</t>
  </si>
  <si>
    <t xml:space="preserve"> Hoopstad</t>
  </si>
  <si>
    <t xml:space="preserve"> Jacobsdal</t>
  </si>
  <si>
    <t xml:space="preserve"> Kroonstad</t>
  </si>
  <si>
    <t xml:space="preserve"> Ladybrand</t>
  </si>
  <si>
    <t xml:space="preserve"> Lindley</t>
  </si>
  <si>
    <t xml:space="preserve"> Philippolis</t>
  </si>
  <si>
    <t xml:space="preserve"> Rouxville</t>
  </si>
  <si>
    <t xml:space="preserve"> Senekal</t>
  </si>
  <si>
    <t xml:space="preserve"> Smithfield</t>
  </si>
  <si>
    <t xml:space="preserve"> Thaba'Nechu</t>
  </si>
  <si>
    <t xml:space="preserve"> Vrede</t>
  </si>
  <si>
    <t xml:space="preserve"> Vredefort</t>
  </si>
  <si>
    <t xml:space="preserve"> Wepener</t>
  </si>
  <si>
    <t xml:space="preserve"> Winburg</t>
  </si>
  <si>
    <t xml:space="preserve"> St. Mark's</t>
  </si>
  <si>
    <t xml:space="preserve"> Port St. John's</t>
  </si>
  <si>
    <t>Total- Bechuanaland</t>
  </si>
  <si>
    <t>Total- The Transkeian Territories</t>
  </si>
  <si>
    <t>Total- Orange Free State</t>
  </si>
  <si>
    <t>Total- Transvaal</t>
  </si>
  <si>
    <t>Total- Natal (excluding Zululand)</t>
  </si>
  <si>
    <t>Total- Zululand</t>
  </si>
  <si>
    <t>Total- Natal (including Zululand)</t>
  </si>
  <si>
    <t xml:space="preserve"> Aberdeen</t>
  </si>
  <si>
    <t xml:space="preserve"> Carnarvon</t>
  </si>
  <si>
    <t xml:space="preserve"> Cathcart</t>
  </si>
  <si>
    <t xml:space="preserve"> Ladismith</t>
  </si>
  <si>
    <t xml:space="preserve"> St Mark's</t>
  </si>
  <si>
    <t xml:space="preserve"> Port St John's</t>
  </si>
  <si>
    <t>Page</t>
  </si>
  <si>
    <t>1282-1283</t>
  </si>
  <si>
    <t>1284-1285</t>
  </si>
  <si>
    <t>1286- 1287</t>
  </si>
  <si>
    <t>Pastoral Products-</t>
  </si>
  <si>
    <t>Wool</t>
  </si>
  <si>
    <t>Mohair</t>
  </si>
  <si>
    <t>Cattle</t>
  </si>
  <si>
    <t>Horse</t>
  </si>
  <si>
    <t>Horns</t>
  </si>
  <si>
    <t>No.</t>
  </si>
  <si>
    <t>Sheep</t>
  </si>
  <si>
    <t>Goat</t>
  </si>
  <si>
    <t>1288-1289</t>
  </si>
  <si>
    <t xml:space="preserve">Showing, for the Union, for each Province, and for each Census district, the Number of Persons, Males and Females, classed according to three Main Races, and the Proportion per cent. </t>
  </si>
  <si>
    <t xml:space="preserve">                                     Of each to the respective Total Population, according to the Census taken on 7 May 1911.</t>
  </si>
  <si>
    <t>Showing, for the Union, for each Province, and for each Census District, the Pastoral Products for the Year ended 30th April, 1911, according to the Cencus taken on 7th May 1911.</t>
  </si>
  <si>
    <t>Showing, for the Union, for each Province, and for each Census District, the Agricultural Produce for the Year ended 30th April, 1911, according to the Cencus taken on 7th May 1911.</t>
  </si>
  <si>
    <r>
      <t xml:space="preserve">[Note:  </t>
    </r>
    <r>
      <rPr>
        <sz val="10"/>
        <color theme="1"/>
        <rFont val="Calibri"/>
        <family val="2"/>
        <scheme val="minor"/>
      </rPr>
      <t>Muid of wheat weighs 200 Ib; Oats= 150 Ib; Barley= 160 Ib; Mealies= 200 Ib; Peas= 200 Ib; Beans= 200 Ib; Patatoes= 150 Ib; Sweet potatoes= 150 Ib; Onions= 120 Ib; Ground nuts= 100 Ib]</t>
    </r>
  </si>
  <si>
    <t>Ostrich</t>
  </si>
  <si>
    <t>Feathers</t>
  </si>
  <si>
    <t>Milk Sold</t>
  </si>
  <si>
    <t>Butter</t>
  </si>
  <si>
    <t>Cream</t>
  </si>
  <si>
    <t>Cheese</t>
  </si>
  <si>
    <t xml:space="preserve">Fat and </t>
  </si>
  <si>
    <t>Tallow</t>
  </si>
  <si>
    <t>Soap</t>
  </si>
  <si>
    <t>Honey</t>
  </si>
  <si>
    <t>1290- 1291</t>
  </si>
  <si>
    <t>1292- 1293</t>
  </si>
  <si>
    <t>1294- 1295</t>
  </si>
  <si>
    <t xml:space="preserve">Land under Cultivation for, </t>
  </si>
  <si>
    <t>Different Crops.-</t>
  </si>
  <si>
    <t>Mangel</t>
  </si>
  <si>
    <t xml:space="preserve"> and Beet</t>
  </si>
  <si>
    <t>Morgen</t>
  </si>
  <si>
    <t>1296-1297</t>
  </si>
  <si>
    <t>1298-1299</t>
  </si>
  <si>
    <t>1300-1301</t>
  </si>
  <si>
    <t>1302- 1303</t>
  </si>
  <si>
    <t>Fruit Produced-</t>
  </si>
  <si>
    <t>Showing, for the Union, for each Province, and for each Census District, the Quantity of Fruit produced during  the Year ended 30th April, 1911, according to the Census taken on 7th May, 1911.</t>
  </si>
  <si>
    <t>Showing, for the Union, for each Province, and for each Census District, the Extent of Land Cultivated for Different Crops by Europeans during the Year ended 30th April, 1911, according to the Census taken on 7th May, 1911.</t>
  </si>
  <si>
    <t>Apricot</t>
  </si>
  <si>
    <t>Peach</t>
  </si>
  <si>
    <t>Plum</t>
  </si>
  <si>
    <t>Nectarine</t>
  </si>
  <si>
    <t>Apple</t>
  </si>
  <si>
    <t>Pear</t>
  </si>
  <si>
    <t>Orange</t>
  </si>
  <si>
    <t>Naartje</t>
  </si>
  <si>
    <t>Lemon</t>
  </si>
  <si>
    <t>Pompelmoes</t>
  </si>
  <si>
    <t>Citron</t>
  </si>
  <si>
    <t>Banana</t>
  </si>
  <si>
    <t>Pineapple</t>
  </si>
  <si>
    <t>Almond</t>
  </si>
  <si>
    <t>Walnut</t>
  </si>
  <si>
    <t>Fig</t>
  </si>
  <si>
    <t>1306- 1307</t>
  </si>
  <si>
    <t>1308- 1309</t>
  </si>
  <si>
    <t>1304- 1305</t>
  </si>
  <si>
    <t>1310- 1311</t>
  </si>
  <si>
    <t>Dried Fruit-</t>
  </si>
  <si>
    <t xml:space="preserve">Showing, for the Union, for each Province, and for each Census District, the Quantity of Dried Fruit Produced </t>
  </si>
  <si>
    <t>during  the Year ended 30th April, 1911, according to the Census taken on 7th May, 1911.</t>
  </si>
  <si>
    <t>Fruit Trees-</t>
  </si>
  <si>
    <t>Bearing</t>
  </si>
  <si>
    <t>Nonbearing</t>
  </si>
  <si>
    <t>1316- 1317</t>
  </si>
  <si>
    <t>1320- 1321</t>
  </si>
  <si>
    <t>Vineyards Products-</t>
  </si>
  <si>
    <t>Grape Crop</t>
  </si>
  <si>
    <t>Total Crop</t>
  </si>
  <si>
    <t xml:space="preserve">Made into </t>
  </si>
  <si>
    <t>Brandy</t>
  </si>
  <si>
    <t>Made into</t>
  </si>
  <si>
    <t>Wine</t>
  </si>
  <si>
    <t>Raisins</t>
  </si>
  <si>
    <t>Other</t>
  </si>
  <si>
    <t>1322- 1323</t>
  </si>
  <si>
    <t>Brandy Made</t>
  </si>
  <si>
    <t>Total</t>
  </si>
  <si>
    <t>Grape</t>
  </si>
  <si>
    <t>Dop</t>
  </si>
  <si>
    <t>Wine Made</t>
  </si>
  <si>
    <t>White</t>
  </si>
  <si>
    <t>Red</t>
  </si>
  <si>
    <t>Vinegar</t>
  </si>
  <si>
    <t>Raisins Made</t>
  </si>
  <si>
    <t>Stalk</t>
  </si>
  <si>
    <t>Loose</t>
  </si>
  <si>
    <t>Sultana</t>
  </si>
  <si>
    <t>Currants</t>
  </si>
  <si>
    <t xml:space="preserve">                   Skins</t>
  </si>
  <si>
    <t xml:space="preserve">                   Hides</t>
  </si>
  <si>
    <t>Bushel</t>
  </si>
  <si>
    <t>1324- 1325</t>
  </si>
  <si>
    <t>1326- 1327</t>
  </si>
  <si>
    <t>1328- 1329</t>
  </si>
  <si>
    <t>1330- 1331</t>
  </si>
  <si>
    <t>Hanepoot</t>
  </si>
  <si>
    <t>Hermitage</t>
  </si>
  <si>
    <t>Muscadel</t>
  </si>
  <si>
    <t>Steen</t>
  </si>
  <si>
    <t>Green Grape</t>
  </si>
  <si>
    <t>French Crape</t>
  </si>
  <si>
    <t>Other and Unspecified</t>
  </si>
  <si>
    <t>Vineyards Vinestocks-</t>
  </si>
  <si>
    <t>Showing, for the Union, for each Province, and for each Census District, the Number of Bearing and Non-bearing Vinestocks, according to the Census taken on 7th May, 1911.</t>
  </si>
  <si>
    <t>1368- 1369</t>
  </si>
  <si>
    <t>Number of Schools</t>
  </si>
  <si>
    <t>Number of Teachers</t>
  </si>
  <si>
    <t>Other Female</t>
  </si>
  <si>
    <t>Other Male</t>
  </si>
  <si>
    <t>Number of Scholars who Attended School During the Week Preceding the Census of May, 1911.</t>
  </si>
  <si>
    <t>Under 5 Years</t>
  </si>
  <si>
    <t>15 Years and Over</t>
  </si>
  <si>
    <t>5 and Under 15 Years</t>
  </si>
  <si>
    <t>Number of Classrooms</t>
  </si>
  <si>
    <t>Total All Ages</t>
  </si>
  <si>
    <t>1370- 1371</t>
  </si>
  <si>
    <t>Total- of Cape of Good Hope</t>
  </si>
  <si>
    <r>
      <t>(</t>
    </r>
    <r>
      <rPr>
        <b/>
        <sz val="10"/>
        <color theme="1"/>
        <rFont val="Calibri"/>
        <family val="2"/>
        <scheme val="minor"/>
      </rPr>
      <t>excluding Bechuanaland and Transkeian T</t>
    </r>
    <r>
      <rPr>
        <b/>
        <sz val="11"/>
        <color theme="1"/>
        <rFont val="Calibri"/>
        <family val="2"/>
        <scheme val="minor"/>
      </rPr>
      <t>)</t>
    </r>
  </si>
  <si>
    <t>Total- Transkeian Terretories</t>
  </si>
  <si>
    <t>1372- 1373</t>
  </si>
  <si>
    <r>
      <t>Total- Natal (</t>
    </r>
    <r>
      <rPr>
        <sz val="10"/>
        <color theme="1"/>
        <rFont val="Calibri"/>
        <family val="2"/>
        <scheme val="minor"/>
      </rPr>
      <t>excluding Zululand</t>
    </r>
    <r>
      <rPr>
        <sz val="11"/>
        <color theme="1"/>
        <rFont val="Calibri"/>
        <family val="2"/>
        <scheme val="minor"/>
      </rPr>
      <t>)</t>
    </r>
  </si>
  <si>
    <t>Total- Natal</t>
  </si>
  <si>
    <t>1374- 1375</t>
  </si>
  <si>
    <t>Average Number of Scholars Who Attended School</t>
  </si>
  <si>
    <t>Education Returns-</t>
  </si>
  <si>
    <t>Government Schools-</t>
  </si>
  <si>
    <t>Private Schools-</t>
  </si>
  <si>
    <t>1378- 1379</t>
  </si>
  <si>
    <t>1376- 1377</t>
  </si>
  <si>
    <t>1380- 1381</t>
  </si>
  <si>
    <t>1382- 1383</t>
  </si>
  <si>
    <t>1384- 1385</t>
  </si>
  <si>
    <t>1386- 1387</t>
  </si>
  <si>
    <t>1388- 1389</t>
  </si>
  <si>
    <t>Government</t>
  </si>
  <si>
    <t>Aided</t>
  </si>
  <si>
    <t>Private</t>
  </si>
  <si>
    <t xml:space="preserve">Total </t>
  </si>
  <si>
    <t>Farm</t>
  </si>
  <si>
    <t>Mission</t>
  </si>
  <si>
    <t>Classification of Private Schools</t>
  </si>
  <si>
    <t>Dutch Reformed</t>
  </si>
  <si>
    <t>Church of Eng</t>
  </si>
  <si>
    <t>Presbyterian</t>
  </si>
  <si>
    <t>Congregational</t>
  </si>
  <si>
    <t>Methodists</t>
  </si>
  <si>
    <t>Lutheran</t>
  </si>
  <si>
    <t>Churh of Rome</t>
  </si>
  <si>
    <t>Number of Private Schools Connected with Religious Denominations</t>
  </si>
  <si>
    <t>Number of Head Teachers Holding</t>
  </si>
  <si>
    <t>Sout African</t>
  </si>
  <si>
    <t>Degrees and</t>
  </si>
  <si>
    <t>Teachers</t>
  </si>
  <si>
    <t>Certificates</t>
  </si>
  <si>
    <t xml:space="preserve">Degrees and </t>
  </si>
  <si>
    <t>United Kingdom</t>
  </si>
  <si>
    <t>Foreign</t>
  </si>
  <si>
    <t xml:space="preserve">Government </t>
  </si>
  <si>
    <t>Number of Scholars, other than European or White, who  Attended School During the Week Preceding the Census of May, 1911.</t>
  </si>
  <si>
    <t>British Indians</t>
  </si>
  <si>
    <t>Showing for the Union and for each Province, the Classification of Schools, the Number of Private Schools connected with Religious Denominations, and the Number of Head Teachers holding South African, United Kingdom, and Foreign Degrees and Cerificates.</t>
  </si>
  <si>
    <t>Showing, for the Union and for each Province, the Number, Race, and Age of Scholars, other than European or White, who attended School during any part of the School Week ended 5th May, 1911.</t>
  </si>
  <si>
    <t>Other Couloured Persons</t>
  </si>
  <si>
    <t>South African Natives</t>
  </si>
  <si>
    <t>Other Asiatics</t>
  </si>
  <si>
    <t>and Government Aided Schools.</t>
  </si>
  <si>
    <t>Showing, for the Union, for each Province, and for each Census district, the Number of Schools returned at the Census  taken on 7th May, 1911, with the Number of Classrooms, the Number of Teachers, the Total Number of Scholars who attended during any part of the Week preceding the Census, and the Average Daily Attendance of Scholars from 1st to 5th May, 1911.</t>
  </si>
  <si>
    <t>Showing, for the Union, for each Province, and for each Census district, the Number of  Government And Government aided Schools returned at the Census  taken on 7th May, 1911, with the Number of Classrooms, the Number of Teachers, the Total Number of Scholars who attended during any part of the Week preceding the Census, and the Average Daily Attendance of Scholars from 1st to 5th May, 1911.</t>
  </si>
  <si>
    <t>Showing, for the Union, for each Province, and for each Census district, the Number of Private Schools  returned at the Census  taken on 7th May, 1911, with the Number of Classrooms, the Number of Teachers, the Total Number of Scholars who attended during any part of the Week preceding the Census, and the Average Daily Attendance of Scholars from 1st to 5th May, 1911.</t>
  </si>
  <si>
    <t>1390- 1391</t>
  </si>
  <si>
    <t>1332- 1333</t>
  </si>
  <si>
    <t>1334- 1335</t>
  </si>
  <si>
    <t>1336- 1337</t>
  </si>
  <si>
    <t>1392- 1393</t>
  </si>
  <si>
    <t>1318- 1319</t>
  </si>
  <si>
    <t>Showing for the Union, for each Province, and for each Census District, the Grape Crop and the Quantity of Brandy, Wine, Vinegar and Raisins made the Year ended 30th April, 1911, according to the Census taken on 7th May, 1911.</t>
  </si>
</sst>
</file>

<file path=xl/styles.xml><?xml version="1.0" encoding="utf-8"?>
<styleSheet xmlns="http://schemas.openxmlformats.org/spreadsheetml/2006/main" xmlns:mc="http://schemas.openxmlformats.org/markup-compatibility/2006" xmlns:x14ac="http://schemas.microsoft.com/office/spreadsheetml/2009/9/ac" mc:Ignorable="x14ac">
  <fonts count="24" x14ac:knownFonts="1">
    <font>
      <sz val="11"/>
      <color theme="1"/>
      <name val="Calibri"/>
      <family val="2"/>
      <scheme val="minor"/>
    </font>
    <font>
      <sz val="11"/>
      <color rgb="FFFF0000"/>
      <name val="Calibri"/>
      <family val="2"/>
      <scheme val="minor"/>
    </font>
    <font>
      <b/>
      <sz val="11"/>
      <color theme="1"/>
      <name val="Calibri"/>
      <family val="2"/>
      <scheme val="minor"/>
    </font>
    <font>
      <sz val="14"/>
      <color theme="1"/>
      <name val="Calibri"/>
      <family val="2"/>
      <scheme val="minor"/>
    </font>
    <font>
      <sz val="11"/>
      <name val="Calibri"/>
      <family val="2"/>
      <scheme val="minor"/>
    </font>
    <font>
      <b/>
      <sz val="12"/>
      <color theme="1"/>
      <name val="Calibri"/>
      <family val="2"/>
      <scheme val="minor"/>
    </font>
    <font>
      <u/>
      <sz val="11"/>
      <color theme="10"/>
      <name val="Calibri"/>
      <family val="2"/>
      <scheme val="minor"/>
    </font>
    <font>
      <u/>
      <sz val="11"/>
      <color theme="11"/>
      <name val="Calibri"/>
      <family val="2"/>
      <scheme val="minor"/>
    </font>
    <font>
      <sz val="11"/>
      <color theme="3"/>
      <name val="Calibri"/>
      <family val="2"/>
      <scheme val="minor"/>
    </font>
    <font>
      <sz val="11"/>
      <color rgb="FF0070C0"/>
      <name val="Calibri"/>
      <family val="2"/>
      <scheme val="minor"/>
    </font>
    <font>
      <sz val="11"/>
      <color rgb="FF00B050"/>
      <name val="Calibri"/>
      <family val="2"/>
      <scheme val="minor"/>
    </font>
    <font>
      <b/>
      <sz val="11"/>
      <name val="Calibri"/>
      <family val="2"/>
      <scheme val="minor"/>
    </font>
    <font>
      <b/>
      <sz val="12"/>
      <name val="Calibri"/>
      <family val="2"/>
      <scheme val="minor"/>
    </font>
    <font>
      <b/>
      <i/>
      <sz val="11"/>
      <color theme="1"/>
      <name val="Calibri"/>
      <family val="2"/>
      <scheme val="minor"/>
    </font>
    <font>
      <b/>
      <sz val="14"/>
      <color theme="1"/>
      <name val="Calibri"/>
      <family val="2"/>
      <scheme val="minor"/>
    </font>
    <font>
      <sz val="12"/>
      <color theme="1"/>
      <name val="Calibri"/>
      <family val="2"/>
      <scheme val="minor"/>
    </font>
    <font>
      <sz val="10"/>
      <color theme="1"/>
      <name val="Calibri"/>
      <family val="2"/>
      <scheme val="minor"/>
    </font>
    <font>
      <sz val="12"/>
      <name val="Calibri"/>
      <family val="2"/>
      <scheme val="minor"/>
    </font>
    <font>
      <b/>
      <sz val="10"/>
      <color theme="1"/>
      <name val="Calibri"/>
      <family val="2"/>
      <scheme val="minor"/>
    </font>
    <font>
      <sz val="10"/>
      <color theme="1"/>
      <name val="Arial Narrow"/>
      <family val="2"/>
    </font>
    <font>
      <sz val="12"/>
      <color rgb="FF00B0F0"/>
      <name val="Calibri"/>
      <family val="2"/>
      <scheme val="minor"/>
    </font>
    <font>
      <sz val="11"/>
      <color rgb="FF00B0F0"/>
      <name val="Calibri"/>
      <family val="2"/>
      <scheme val="minor"/>
    </font>
    <font>
      <sz val="9"/>
      <color indexed="81"/>
      <name val="Tahoma"/>
      <family val="2"/>
    </font>
    <font>
      <b/>
      <sz val="9"/>
      <color indexed="81"/>
      <name val="Tahoma"/>
      <family val="2"/>
    </font>
  </fonts>
  <fills count="2">
    <fill>
      <patternFill patternType="none"/>
    </fill>
    <fill>
      <patternFill patternType="gray125"/>
    </fill>
  </fills>
  <borders count="85">
    <border>
      <left/>
      <right/>
      <top/>
      <bottom/>
      <diagonal/>
    </border>
    <border>
      <left/>
      <right/>
      <top/>
      <bottom style="thin">
        <color auto="1"/>
      </bottom>
      <diagonal/>
    </border>
    <border>
      <left style="medium">
        <color auto="1"/>
      </left>
      <right style="medium">
        <color auto="1"/>
      </right>
      <top style="thin">
        <color auto="1"/>
      </top>
      <bottom/>
      <diagonal/>
    </border>
    <border>
      <left style="medium">
        <color auto="1"/>
      </left>
      <right style="medium">
        <color auto="1"/>
      </right>
      <top/>
      <bottom/>
      <diagonal/>
    </border>
    <border>
      <left style="medium">
        <color auto="1"/>
      </left>
      <right style="medium">
        <color auto="1"/>
      </right>
      <top/>
      <bottom style="thin">
        <color auto="1"/>
      </bottom>
      <diagonal/>
    </border>
    <border>
      <left/>
      <right/>
      <top/>
      <bottom style="double">
        <color auto="1"/>
      </bottom>
      <diagonal/>
    </border>
    <border>
      <left style="medium">
        <color auto="1"/>
      </left>
      <right style="medium">
        <color auto="1"/>
      </right>
      <top style="double">
        <color auto="1"/>
      </top>
      <bottom/>
      <diagonal/>
    </border>
    <border>
      <left style="medium">
        <color auto="1"/>
      </left>
      <right/>
      <top style="double">
        <color auto="1"/>
      </top>
      <bottom/>
      <diagonal/>
    </border>
    <border>
      <left style="medium">
        <color auto="1"/>
      </left>
      <right/>
      <top/>
      <bottom/>
      <diagonal/>
    </border>
    <border>
      <left style="medium">
        <color auto="1"/>
      </left>
      <right/>
      <top/>
      <bottom style="thin">
        <color auto="1"/>
      </bottom>
      <diagonal/>
    </border>
    <border>
      <left style="medium">
        <color auto="1"/>
      </left>
      <right/>
      <top style="thin">
        <color auto="1"/>
      </top>
      <bottom/>
      <diagonal/>
    </border>
    <border>
      <left/>
      <right/>
      <top style="thin">
        <color auto="1"/>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style="thin">
        <color auto="1"/>
      </right>
      <top/>
      <bottom/>
      <diagonal/>
    </border>
    <border>
      <left style="medium">
        <color auto="1"/>
      </left>
      <right style="thin">
        <color auto="1"/>
      </right>
      <top style="thin">
        <color auto="1"/>
      </top>
      <bottom/>
      <diagonal/>
    </border>
    <border>
      <left/>
      <right/>
      <top style="double">
        <color auto="1"/>
      </top>
      <bottom/>
      <diagonal/>
    </border>
    <border>
      <left/>
      <right style="thin">
        <color auto="1"/>
      </right>
      <top/>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style="medium">
        <color auto="1"/>
      </right>
      <top/>
      <bottom style="thin">
        <color auto="1"/>
      </bottom>
      <diagonal/>
    </border>
    <border>
      <left/>
      <right style="medium">
        <color auto="1"/>
      </right>
      <top/>
      <bottom/>
      <diagonal/>
    </border>
    <border>
      <left style="thin">
        <color auto="1"/>
      </left>
      <right style="medium">
        <color auto="1"/>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diagonal/>
    </border>
    <border>
      <left style="thin">
        <color auto="1"/>
      </left>
      <right style="medium">
        <color auto="1"/>
      </right>
      <top style="double">
        <color auto="1"/>
      </top>
      <bottom/>
      <diagonal/>
    </border>
    <border>
      <left/>
      <right style="medium">
        <color auto="1"/>
      </right>
      <top/>
      <bottom style="dotted">
        <color auto="1"/>
      </bottom>
      <diagonal/>
    </border>
    <border>
      <left style="medium">
        <color auto="1"/>
      </left>
      <right style="medium">
        <color auto="1"/>
      </right>
      <top/>
      <bottom style="double">
        <color auto="1"/>
      </bottom>
      <diagonal/>
    </border>
    <border>
      <left style="thin">
        <color auto="1"/>
      </left>
      <right style="medium">
        <color auto="1"/>
      </right>
      <top/>
      <bottom style="double">
        <color auto="1"/>
      </bottom>
      <diagonal/>
    </border>
    <border>
      <left style="medium">
        <color auto="1"/>
      </left>
      <right style="thin">
        <color auto="1"/>
      </right>
      <top/>
      <bottom style="double">
        <color auto="1"/>
      </bottom>
      <diagonal/>
    </border>
    <border>
      <left style="medium">
        <color auto="1"/>
      </left>
      <right/>
      <top style="double">
        <color auto="1"/>
      </top>
      <bottom style="double">
        <color auto="1"/>
      </bottom>
      <diagonal/>
    </border>
    <border>
      <left/>
      <right style="medium">
        <color auto="1"/>
      </right>
      <top style="double">
        <color auto="1"/>
      </top>
      <bottom style="double">
        <color auto="1"/>
      </bottom>
      <diagonal/>
    </border>
    <border>
      <left style="thin">
        <color auto="1"/>
      </left>
      <right style="medium">
        <color auto="1"/>
      </right>
      <top style="double">
        <color auto="1"/>
      </top>
      <bottom style="double">
        <color auto="1"/>
      </bottom>
      <diagonal/>
    </border>
    <border>
      <left style="medium">
        <color auto="1"/>
      </left>
      <right style="thin">
        <color auto="1"/>
      </right>
      <top style="double">
        <color auto="1"/>
      </top>
      <bottom style="double">
        <color auto="1"/>
      </bottom>
      <diagonal/>
    </border>
    <border>
      <left style="thin">
        <color auto="1"/>
      </left>
      <right style="thin">
        <color auto="1"/>
      </right>
      <top style="double">
        <color auto="1"/>
      </top>
      <bottom/>
      <diagonal/>
    </border>
    <border>
      <left/>
      <right style="medium">
        <color auto="1"/>
      </right>
      <top style="thin">
        <color auto="1"/>
      </top>
      <bottom style="mediumDashed">
        <color auto="1"/>
      </bottom>
      <diagonal/>
    </border>
    <border>
      <left/>
      <right style="medium">
        <color auto="1"/>
      </right>
      <top/>
      <bottom style="mediumDashed">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right style="medium">
        <color auto="1"/>
      </right>
      <top style="mediumDashed">
        <color auto="1"/>
      </top>
      <bottom/>
      <diagonal/>
    </border>
    <border>
      <left/>
      <right/>
      <top/>
      <bottom style="medium">
        <color auto="1"/>
      </bottom>
      <diagonal/>
    </border>
    <border>
      <left style="thin">
        <color auto="1"/>
      </left>
      <right/>
      <top style="double">
        <color auto="1"/>
      </top>
      <bottom/>
      <diagonal/>
    </border>
    <border>
      <left/>
      <right style="medium">
        <color auto="1"/>
      </right>
      <top style="dotted">
        <color auto="1"/>
      </top>
      <bottom/>
      <diagonal/>
    </border>
    <border>
      <left/>
      <right style="medium">
        <color auto="1"/>
      </right>
      <top/>
      <bottom style="double">
        <color auto="1"/>
      </bottom>
      <diagonal/>
    </border>
    <border>
      <left style="thin">
        <color auto="1"/>
      </left>
      <right style="thin">
        <color auto="1"/>
      </right>
      <top/>
      <bottom style="double">
        <color auto="1"/>
      </bottom>
      <diagonal/>
    </border>
    <border>
      <left/>
      <right style="thin">
        <color auto="1"/>
      </right>
      <top/>
      <bottom style="double">
        <color auto="1"/>
      </bottom>
      <diagonal/>
    </border>
    <border>
      <left/>
      <right/>
      <top/>
      <bottom style="dotted">
        <color auto="1"/>
      </bottom>
      <diagonal/>
    </border>
    <border>
      <left/>
      <right/>
      <top/>
      <bottom style="mediumDashed">
        <color auto="1"/>
      </bottom>
      <diagonal/>
    </border>
    <border>
      <left/>
      <right/>
      <top style="mediumDashed">
        <color auto="1"/>
      </top>
      <bottom/>
      <diagonal/>
    </border>
    <border>
      <left style="medium">
        <color auto="1"/>
      </left>
      <right/>
      <top/>
      <bottom style="double">
        <color auto="1"/>
      </bottom>
      <diagonal/>
    </border>
    <border>
      <left style="thin">
        <color auto="1"/>
      </left>
      <right/>
      <top/>
      <bottom style="double">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style="double">
        <color auto="1"/>
      </left>
      <right/>
      <top/>
      <bottom/>
      <diagonal/>
    </border>
    <border>
      <left style="thin">
        <color auto="1"/>
      </left>
      <right/>
      <top/>
      <bottom style="medium">
        <color auto="1"/>
      </bottom>
      <diagonal/>
    </border>
    <border>
      <left style="thin">
        <color auto="1"/>
      </left>
      <right style="double">
        <color auto="1"/>
      </right>
      <top/>
      <bottom/>
      <diagonal/>
    </border>
    <border>
      <left style="thin">
        <color auto="1"/>
      </left>
      <right style="double">
        <color auto="1"/>
      </right>
      <top style="thin">
        <color auto="1"/>
      </top>
      <bottom/>
      <diagonal/>
    </border>
    <border>
      <left/>
      <right style="thin">
        <color auto="1"/>
      </right>
      <top/>
      <bottom style="medium">
        <color auto="1"/>
      </bottom>
      <diagonal/>
    </border>
    <border>
      <left/>
      <right style="double">
        <color auto="1"/>
      </right>
      <top style="double">
        <color auto="1"/>
      </top>
      <bottom/>
      <diagonal/>
    </border>
    <border>
      <left/>
      <right style="double">
        <color auto="1"/>
      </right>
      <top/>
      <bottom/>
      <diagonal/>
    </border>
    <border>
      <left style="thin">
        <color auto="1"/>
      </left>
      <right style="double">
        <color auto="1"/>
      </right>
      <top/>
      <bottom style="thin">
        <color auto="1"/>
      </bottom>
      <diagonal/>
    </border>
    <border>
      <left/>
      <right style="double">
        <color auto="1"/>
      </right>
      <top/>
      <bottom style="medium">
        <color auto="1"/>
      </bottom>
      <diagonal/>
    </border>
    <border>
      <left/>
      <right style="double">
        <color auto="1"/>
      </right>
      <top/>
      <bottom style="thin">
        <color auto="1"/>
      </bottom>
      <diagonal/>
    </border>
    <border>
      <left/>
      <right style="double">
        <color auto="1"/>
      </right>
      <top style="thin">
        <color auto="1"/>
      </top>
      <bottom/>
      <diagonal/>
    </border>
    <border>
      <left/>
      <right style="double">
        <color auto="1"/>
      </right>
      <top/>
      <bottom style="double">
        <color auto="1"/>
      </bottom>
      <diagonal/>
    </border>
    <border>
      <left style="medium">
        <color auto="1"/>
      </left>
      <right style="medium">
        <color auto="1"/>
      </right>
      <top/>
      <bottom style="medium">
        <color auto="1"/>
      </bottom>
      <diagonal/>
    </border>
    <border>
      <left style="thin">
        <color auto="1"/>
      </left>
      <right style="double">
        <color auto="1"/>
      </right>
      <top/>
      <bottom style="medium">
        <color auto="1"/>
      </bottom>
      <diagonal/>
    </border>
    <border>
      <left style="thin">
        <color auto="1"/>
      </left>
      <right style="double">
        <color auto="1"/>
      </right>
      <top/>
      <bottom style="double">
        <color auto="1"/>
      </bottom>
      <diagonal/>
    </border>
    <border>
      <left style="thin">
        <color auto="1"/>
      </left>
      <right style="double">
        <color auto="1"/>
      </right>
      <top style="double">
        <color auto="1"/>
      </top>
      <bottom/>
      <diagonal/>
    </border>
    <border>
      <left/>
      <right style="medium">
        <color auto="1"/>
      </right>
      <top style="thin">
        <color auto="1"/>
      </top>
      <bottom/>
      <diagonal/>
    </border>
    <border>
      <left style="thin">
        <color auto="1"/>
      </left>
      <right style="thin">
        <color auto="1"/>
      </right>
      <top style="medium">
        <color auto="1"/>
      </top>
      <bottom/>
      <diagonal/>
    </border>
    <border>
      <left style="medium">
        <color auto="1"/>
      </left>
      <right/>
      <top/>
      <bottom style="medium">
        <color auto="1"/>
      </bottom>
      <diagonal/>
    </border>
    <border>
      <left style="medium">
        <color auto="1"/>
      </left>
      <right style="medium">
        <color auto="1"/>
      </right>
      <top style="medium">
        <color auto="1"/>
      </top>
      <bottom/>
      <diagonal/>
    </border>
    <border>
      <left style="thin">
        <color auto="1"/>
      </left>
      <right/>
      <top style="medium">
        <color auto="1"/>
      </top>
      <bottom/>
      <diagonal/>
    </border>
    <border>
      <left/>
      <right/>
      <top style="medium">
        <color auto="1"/>
      </top>
      <bottom/>
      <diagonal/>
    </border>
    <border>
      <left style="thin">
        <color auto="1"/>
      </left>
      <right style="double">
        <color auto="1"/>
      </right>
      <top style="medium">
        <color auto="1"/>
      </top>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s>
  <cellStyleXfs count="7">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802">
    <xf numFmtId="0" fontId="0" fillId="0" borderId="0" xfId="0"/>
    <xf numFmtId="0" fontId="3" fillId="0" borderId="0" xfId="0" applyFont="1"/>
    <xf numFmtId="0" fontId="0" fillId="0" borderId="0" xfId="0" applyAlignment="1">
      <alignment horizontal="center"/>
    </xf>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3" xfId="0" applyBorder="1" applyAlignment="1">
      <alignment horizontal="center"/>
    </xf>
    <xf numFmtId="0" fontId="0" fillId="0" borderId="7" xfId="0" applyBorder="1"/>
    <xf numFmtId="0" fontId="0" fillId="0" borderId="8" xfId="0" applyBorder="1"/>
    <xf numFmtId="0" fontId="0" fillId="0" borderId="11" xfId="0" applyBorder="1"/>
    <xf numFmtId="0" fontId="0" fillId="0" borderId="10" xfId="0" applyBorder="1"/>
    <xf numFmtId="0" fontId="0" fillId="0" borderId="12" xfId="0" applyBorder="1"/>
    <xf numFmtId="0" fontId="0" fillId="0" borderId="14" xfId="0" applyBorder="1"/>
    <xf numFmtId="0" fontId="0" fillId="0" borderId="13" xfId="0" applyBorder="1" applyAlignment="1">
      <alignment horizontal="center"/>
    </xf>
    <xf numFmtId="0" fontId="0" fillId="0" borderId="10" xfId="0" applyBorder="1" applyAlignment="1">
      <alignment horizontal="center"/>
    </xf>
    <xf numFmtId="0" fontId="0" fillId="0" borderId="8" xfId="0" applyBorder="1" applyAlignment="1">
      <alignment horizontal="center"/>
    </xf>
    <xf numFmtId="0" fontId="0" fillId="0" borderId="12" xfId="0" applyBorder="1" applyAlignment="1">
      <alignment horizontal="center"/>
    </xf>
    <xf numFmtId="0" fontId="0" fillId="0" borderId="1" xfId="0" applyBorder="1" applyAlignment="1">
      <alignment horizontal="center"/>
    </xf>
    <xf numFmtId="0" fontId="0" fillId="0" borderId="18" xfId="0" applyBorder="1"/>
    <xf numFmtId="3" fontId="0" fillId="0" borderId="0" xfId="0" applyNumberFormat="1"/>
    <xf numFmtId="3" fontId="0" fillId="0" borderId="12" xfId="0" applyNumberFormat="1" applyBorder="1"/>
    <xf numFmtId="3" fontId="0" fillId="0" borderId="16" xfId="0" applyNumberFormat="1" applyBorder="1"/>
    <xf numFmtId="3" fontId="0" fillId="0" borderId="13" xfId="0" applyNumberFormat="1" applyBorder="1"/>
    <xf numFmtId="0" fontId="1" fillId="0" borderId="0" xfId="0" applyFont="1"/>
    <xf numFmtId="0" fontId="4" fillId="0" borderId="0" xfId="0" applyFont="1"/>
    <xf numFmtId="3" fontId="4" fillId="0" borderId="0" xfId="0" applyNumberFormat="1" applyFont="1"/>
    <xf numFmtId="3" fontId="4" fillId="0" borderId="12" xfId="0" applyNumberFormat="1" applyFont="1" applyBorder="1"/>
    <xf numFmtId="3" fontId="4" fillId="0" borderId="0" xfId="0" applyNumberFormat="1" applyFont="1" applyFill="1" applyBorder="1"/>
    <xf numFmtId="0" fontId="0" fillId="0" borderId="17" xfId="0" applyBorder="1"/>
    <xf numFmtId="0" fontId="0" fillId="0" borderId="0" xfId="0" applyBorder="1"/>
    <xf numFmtId="3" fontId="0" fillId="0" borderId="0" xfId="0" applyNumberFormat="1" applyBorder="1"/>
    <xf numFmtId="0" fontId="0" fillId="0" borderId="20" xfId="0" applyBorder="1"/>
    <xf numFmtId="0" fontId="0" fillId="0" borderId="9" xfId="0" applyBorder="1"/>
    <xf numFmtId="0" fontId="0" fillId="0" borderId="21" xfId="0" applyBorder="1"/>
    <xf numFmtId="0" fontId="0" fillId="0" borderId="15" xfId="0" applyBorder="1"/>
    <xf numFmtId="0" fontId="0" fillId="0" borderId="13" xfId="0" applyBorder="1"/>
    <xf numFmtId="0" fontId="0" fillId="0" borderId="19" xfId="0" applyBorder="1"/>
    <xf numFmtId="0" fontId="0" fillId="0" borderId="23" xfId="0" applyBorder="1"/>
    <xf numFmtId="0" fontId="0" fillId="0" borderId="24" xfId="0" applyBorder="1"/>
    <xf numFmtId="0" fontId="0" fillId="0" borderId="25" xfId="0" applyBorder="1"/>
    <xf numFmtId="3" fontId="0" fillId="0" borderId="1" xfId="0" applyNumberFormat="1" applyBorder="1"/>
    <xf numFmtId="3" fontId="0" fillId="0" borderId="14" xfId="0" applyNumberFormat="1" applyBorder="1"/>
    <xf numFmtId="0" fontId="0" fillId="0" borderId="26" xfId="0" applyBorder="1"/>
    <xf numFmtId="3" fontId="4" fillId="0" borderId="16" xfId="0" applyNumberFormat="1" applyFont="1" applyBorder="1"/>
    <xf numFmtId="0" fontId="0" fillId="0" borderId="4" xfId="0" applyBorder="1" applyAlignment="1">
      <alignment horizontal="center"/>
    </xf>
    <xf numFmtId="0" fontId="0" fillId="0" borderId="0" xfId="0" applyBorder="1" applyAlignment="1">
      <alignment horizontal="center"/>
    </xf>
    <xf numFmtId="0" fontId="0" fillId="0" borderId="27" xfId="0" applyBorder="1"/>
    <xf numFmtId="3" fontId="0" fillId="0" borderId="28" xfId="0" applyNumberFormat="1" applyBorder="1"/>
    <xf numFmtId="0" fontId="0" fillId="0" borderId="28" xfId="0" applyBorder="1"/>
    <xf numFmtId="3" fontId="0" fillId="0" borderId="12" xfId="0" applyNumberFormat="1" applyFont="1" applyBorder="1"/>
    <xf numFmtId="3" fontId="0" fillId="0" borderId="12" xfId="0" applyNumberFormat="1" applyFill="1" applyBorder="1"/>
    <xf numFmtId="0" fontId="0" fillId="0" borderId="29" xfId="0" applyBorder="1"/>
    <xf numFmtId="0" fontId="0" fillId="0" borderId="22" xfId="0" applyBorder="1"/>
    <xf numFmtId="0" fontId="4" fillId="0" borderId="27" xfId="0" applyFont="1" applyBorder="1"/>
    <xf numFmtId="0" fontId="0" fillId="0" borderId="18" xfId="0" applyBorder="1" applyAlignment="1">
      <alignment horizontal="center"/>
    </xf>
    <xf numFmtId="0" fontId="0" fillId="0" borderId="24" xfId="0" applyBorder="1" applyAlignment="1">
      <alignment horizontal="center"/>
    </xf>
    <xf numFmtId="0" fontId="4" fillId="0" borderId="18" xfId="0" applyFont="1" applyBorder="1" applyAlignment="1">
      <alignment horizontal="center"/>
    </xf>
    <xf numFmtId="0" fontId="2" fillId="0" borderId="27" xfId="0" applyFont="1" applyBorder="1"/>
    <xf numFmtId="0" fontId="4" fillId="0" borderId="0" xfId="0" applyFont="1" applyBorder="1" applyAlignment="1">
      <alignment horizontal="center"/>
    </xf>
    <xf numFmtId="0" fontId="0" fillId="0" borderId="28" xfId="0" applyBorder="1" applyAlignment="1">
      <alignment horizontal="center"/>
    </xf>
    <xf numFmtId="0" fontId="0" fillId="0" borderId="25" xfId="0" applyBorder="1" applyAlignment="1">
      <alignment horizontal="center"/>
    </xf>
    <xf numFmtId="3" fontId="0" fillId="0" borderId="18" xfId="0" applyNumberFormat="1" applyBorder="1"/>
    <xf numFmtId="0" fontId="0" fillId="0" borderId="30" xfId="0" applyBorder="1"/>
    <xf numFmtId="0" fontId="0" fillId="0" borderId="31" xfId="0" applyBorder="1"/>
    <xf numFmtId="0" fontId="0" fillId="0" borderId="32" xfId="0" applyBorder="1"/>
    <xf numFmtId="0" fontId="0" fillId="0" borderId="27" xfId="0" applyFill="1" applyBorder="1"/>
    <xf numFmtId="0" fontId="0" fillId="0" borderId="0" xfId="0" applyFill="1" applyBorder="1"/>
    <xf numFmtId="3" fontId="0" fillId="0" borderId="27" xfId="0" applyNumberFormat="1" applyBorder="1"/>
    <xf numFmtId="3" fontId="0" fillId="0" borderId="21" xfId="0" applyNumberFormat="1" applyBorder="1"/>
    <xf numFmtId="3" fontId="0" fillId="0" borderId="28" xfId="0" applyNumberFormat="1" applyFill="1" applyBorder="1"/>
    <xf numFmtId="3" fontId="0" fillId="0" borderId="0" xfId="0" applyNumberFormat="1" applyFill="1"/>
    <xf numFmtId="0" fontId="0" fillId="0" borderId="0" xfId="0" applyFill="1"/>
    <xf numFmtId="3" fontId="8" fillId="0" borderId="18" xfId="0" applyNumberFormat="1" applyFont="1" applyBorder="1"/>
    <xf numFmtId="3" fontId="8" fillId="0" borderId="28" xfId="0" applyNumberFormat="1" applyFont="1" applyBorder="1"/>
    <xf numFmtId="3" fontId="8" fillId="0" borderId="27" xfId="0" applyNumberFormat="1" applyFont="1" applyBorder="1"/>
    <xf numFmtId="0" fontId="0" fillId="0" borderId="20" xfId="0" applyFill="1" applyBorder="1"/>
    <xf numFmtId="0" fontId="0" fillId="0" borderId="0" xfId="0" applyFill="1" applyAlignment="1">
      <alignment horizontal="center"/>
    </xf>
    <xf numFmtId="0" fontId="0" fillId="0" borderId="0" xfId="0" applyFill="1" applyBorder="1" applyAlignment="1">
      <alignment horizontal="center"/>
    </xf>
    <xf numFmtId="0" fontId="0" fillId="0" borderId="1" xfId="0" applyFill="1" applyBorder="1" applyAlignment="1">
      <alignment horizontal="center"/>
    </xf>
    <xf numFmtId="3" fontId="10" fillId="0" borderId="0" xfId="0" applyNumberFormat="1" applyFont="1"/>
    <xf numFmtId="3" fontId="10" fillId="0" borderId="28" xfId="0" applyNumberFormat="1" applyFont="1" applyBorder="1"/>
    <xf numFmtId="3" fontId="10" fillId="0" borderId="28" xfId="0" applyNumberFormat="1" applyFont="1" applyFill="1" applyBorder="1"/>
    <xf numFmtId="0" fontId="13" fillId="0" borderId="27" xfId="0" applyFont="1" applyBorder="1"/>
    <xf numFmtId="0" fontId="0" fillId="0" borderId="27" xfId="0" applyFont="1" applyBorder="1"/>
    <xf numFmtId="3" fontId="10" fillId="0" borderId="18" xfId="0" applyNumberFormat="1" applyFont="1" applyBorder="1"/>
    <xf numFmtId="3" fontId="10" fillId="0" borderId="27" xfId="0" applyNumberFormat="1" applyFont="1" applyBorder="1"/>
    <xf numFmtId="0" fontId="0" fillId="0" borderId="21" xfId="0" applyBorder="1" applyAlignment="1">
      <alignment horizontal="center"/>
    </xf>
    <xf numFmtId="0" fontId="4" fillId="0" borderId="21" xfId="0" applyFont="1" applyBorder="1" applyAlignment="1">
      <alignment horizontal="center"/>
    </xf>
    <xf numFmtId="0" fontId="0" fillId="0" borderId="27" xfId="0" applyBorder="1" applyAlignment="1">
      <alignment horizontal="center"/>
    </xf>
    <xf numFmtId="0" fontId="0" fillId="0" borderId="26" xfId="0" applyBorder="1" applyAlignment="1">
      <alignment horizontal="center"/>
    </xf>
    <xf numFmtId="3" fontId="1" fillId="0" borderId="0" xfId="0" applyNumberFormat="1" applyFont="1" applyBorder="1"/>
    <xf numFmtId="3" fontId="1" fillId="0" borderId="0" xfId="0" applyNumberFormat="1" applyFont="1"/>
    <xf numFmtId="0" fontId="5" fillId="0" borderId="3" xfId="0" applyFont="1" applyBorder="1"/>
    <xf numFmtId="0" fontId="0" fillId="0" borderId="0" xfId="0" applyFont="1" applyBorder="1" applyAlignment="1">
      <alignment horizontal="center"/>
    </xf>
    <xf numFmtId="0" fontId="4" fillId="0" borderId="3" xfId="0" applyFont="1" applyBorder="1"/>
    <xf numFmtId="0" fontId="2" fillId="0" borderId="3" xfId="0" applyFont="1" applyBorder="1"/>
    <xf numFmtId="3" fontId="1" fillId="0" borderId="28" xfId="0" applyNumberFormat="1" applyFont="1" applyBorder="1"/>
    <xf numFmtId="3" fontId="1" fillId="0" borderId="18" xfId="0" applyNumberFormat="1" applyFont="1" applyBorder="1"/>
    <xf numFmtId="0" fontId="0" fillId="0" borderId="0" xfId="0" applyAlignment="1">
      <alignment horizontal="left"/>
    </xf>
    <xf numFmtId="3" fontId="1" fillId="0" borderId="0" xfId="0" applyNumberFormat="1" applyFont="1" applyFill="1"/>
    <xf numFmtId="0" fontId="0" fillId="0" borderId="0" xfId="0" applyFont="1"/>
    <xf numFmtId="0" fontId="0" fillId="0" borderId="0" xfId="0" applyFont="1" applyFill="1" applyBorder="1"/>
    <xf numFmtId="0" fontId="0" fillId="0" borderId="34" xfId="0" applyBorder="1"/>
    <xf numFmtId="3" fontId="1" fillId="0" borderId="5" xfId="0" applyNumberFormat="1" applyFont="1" applyBorder="1"/>
    <xf numFmtId="3" fontId="1" fillId="0" borderId="35" xfId="0" applyNumberFormat="1" applyFont="1" applyBorder="1"/>
    <xf numFmtId="3" fontId="1" fillId="0" borderId="5" xfId="0" applyNumberFormat="1" applyFont="1" applyFill="1" applyBorder="1"/>
    <xf numFmtId="3" fontId="1" fillId="0" borderId="36" xfId="0" applyNumberFormat="1" applyFont="1" applyBorder="1"/>
    <xf numFmtId="0" fontId="12" fillId="0" borderId="3" xfId="0" applyFont="1" applyBorder="1"/>
    <xf numFmtId="0" fontId="0" fillId="0" borderId="3" xfId="0" applyFill="1" applyBorder="1" applyAlignment="1">
      <alignment horizontal="center"/>
    </xf>
    <xf numFmtId="0" fontId="0" fillId="0" borderId="3" xfId="0" applyFill="1" applyBorder="1"/>
    <xf numFmtId="0" fontId="13" fillId="0" borderId="3" xfId="0" applyFont="1" applyBorder="1"/>
    <xf numFmtId="0" fontId="0" fillId="0" borderId="3" xfId="0" applyFont="1" applyBorder="1"/>
    <xf numFmtId="0" fontId="2" fillId="0" borderId="0" xfId="0" applyFont="1" applyBorder="1" applyAlignment="1">
      <alignment horizontal="center"/>
    </xf>
    <xf numFmtId="0" fontId="2" fillId="0" borderId="18" xfId="0" applyFont="1" applyBorder="1" applyAlignment="1">
      <alignment horizontal="center"/>
    </xf>
    <xf numFmtId="3" fontId="12" fillId="0" borderId="0" xfId="0" applyNumberFormat="1" applyFont="1" applyBorder="1"/>
    <xf numFmtId="3" fontId="0" fillId="0" borderId="0" xfId="0" applyNumberFormat="1" applyBorder="1" applyAlignment="1">
      <alignment horizontal="center"/>
    </xf>
    <xf numFmtId="3" fontId="0" fillId="0" borderId="3" xfId="0" applyNumberFormat="1" applyBorder="1" applyAlignment="1">
      <alignment horizontal="center"/>
    </xf>
    <xf numFmtId="3" fontId="0" fillId="0" borderId="34" xfId="0" applyNumberFormat="1" applyBorder="1"/>
    <xf numFmtId="3" fontId="4" fillId="0" borderId="18" xfId="0" applyNumberFormat="1" applyFont="1" applyBorder="1"/>
    <xf numFmtId="3" fontId="4" fillId="0" borderId="0" xfId="0" applyNumberFormat="1" applyFont="1" applyFill="1"/>
    <xf numFmtId="3" fontId="4" fillId="0" borderId="28" xfId="0" applyNumberFormat="1" applyFont="1" applyBorder="1"/>
    <xf numFmtId="3" fontId="4" fillId="0" borderId="21" xfId="0" applyNumberFormat="1" applyFont="1" applyBorder="1"/>
    <xf numFmtId="3" fontId="4" fillId="0" borderId="0" xfId="0" applyNumberFormat="1" applyFont="1" applyBorder="1" applyAlignment="1">
      <alignment horizontal="center"/>
    </xf>
    <xf numFmtId="3" fontId="4" fillId="0" borderId="27" xfId="0" applyNumberFormat="1" applyFont="1" applyBorder="1"/>
    <xf numFmtId="3" fontId="4" fillId="0" borderId="28" xfId="0" applyNumberFormat="1" applyFont="1" applyFill="1" applyBorder="1"/>
    <xf numFmtId="3" fontId="4" fillId="0" borderId="18" xfId="0" applyNumberFormat="1" applyFont="1" applyFill="1" applyBorder="1"/>
    <xf numFmtId="3" fontId="4" fillId="0" borderId="27" xfId="0" applyNumberFormat="1" applyFont="1" applyFill="1" applyBorder="1"/>
    <xf numFmtId="3" fontId="4" fillId="0" borderId="38" xfId="0" applyNumberFormat="1" applyFont="1" applyBorder="1"/>
    <xf numFmtId="3" fontId="4" fillId="0" borderId="37" xfId="0" applyNumberFormat="1" applyFont="1" applyBorder="1"/>
    <xf numFmtId="3" fontId="4" fillId="0" borderId="39" xfId="0" applyNumberFormat="1" applyFont="1" applyFill="1" applyBorder="1"/>
    <xf numFmtId="3" fontId="4" fillId="0" borderId="39" xfId="0" applyNumberFormat="1" applyFont="1" applyBorder="1"/>
    <xf numFmtId="3" fontId="4" fillId="0" borderId="8" xfId="0" applyNumberFormat="1" applyFont="1" applyBorder="1"/>
    <xf numFmtId="3" fontId="4" fillId="0" borderId="0" xfId="0" applyNumberFormat="1" applyFont="1" applyBorder="1"/>
    <xf numFmtId="3" fontId="4" fillId="0" borderId="40" xfId="0" applyNumberFormat="1" applyFont="1" applyBorder="1"/>
    <xf numFmtId="3" fontId="4" fillId="0" borderId="38" xfId="0" applyNumberFormat="1" applyFont="1" applyFill="1" applyBorder="1"/>
    <xf numFmtId="3" fontId="4" fillId="0" borderId="3" xfId="0" applyNumberFormat="1" applyFont="1" applyBorder="1" applyAlignment="1">
      <alignment horizontal="center"/>
    </xf>
    <xf numFmtId="15" fontId="2" fillId="0" borderId="27" xfId="0" applyNumberFormat="1" applyFont="1" applyBorder="1" applyAlignment="1">
      <alignment horizontal="center"/>
    </xf>
    <xf numFmtId="0" fontId="14" fillId="0" borderId="0" xfId="0" applyFont="1"/>
    <xf numFmtId="0" fontId="2" fillId="0" borderId="0" xfId="0" applyFont="1" applyBorder="1"/>
    <xf numFmtId="15" fontId="2" fillId="0" borderId="0" xfId="0" applyNumberFormat="1" applyFont="1" applyBorder="1" applyAlignment="1">
      <alignment horizontal="center"/>
    </xf>
    <xf numFmtId="0" fontId="0" fillId="0" borderId="41" xfId="0" applyBorder="1"/>
    <xf numFmtId="0" fontId="2" fillId="0" borderId="12" xfId="0" applyFont="1" applyBorder="1" applyAlignment="1">
      <alignment horizontal="center"/>
    </xf>
    <xf numFmtId="0" fontId="12" fillId="0" borderId="42" xfId="0" applyFont="1" applyBorder="1"/>
    <xf numFmtId="0" fontId="0" fillId="0" borderId="0" xfId="0" applyBorder="1" applyAlignment="1">
      <alignment horizontal="left"/>
    </xf>
    <xf numFmtId="0" fontId="0" fillId="0" borderId="27" xfId="0" applyBorder="1" applyAlignment="1">
      <alignment horizontal="left"/>
    </xf>
    <xf numFmtId="3" fontId="0" fillId="0" borderId="44" xfId="0" applyNumberFormat="1" applyBorder="1"/>
    <xf numFmtId="3" fontId="0" fillId="0" borderId="45" xfId="0" applyNumberFormat="1" applyBorder="1"/>
    <xf numFmtId="3" fontId="0" fillId="0" borderId="47" xfId="0" applyNumberFormat="1" applyBorder="1"/>
    <xf numFmtId="3" fontId="2" fillId="0" borderId="18" xfId="0" applyNumberFormat="1" applyFont="1" applyBorder="1" applyAlignment="1">
      <alignment horizontal="right"/>
    </xf>
    <xf numFmtId="3" fontId="2" fillId="0" borderId="12" xfId="0" applyNumberFormat="1" applyFont="1" applyBorder="1" applyAlignment="1">
      <alignment horizontal="right"/>
    </xf>
    <xf numFmtId="3" fontId="11" fillId="0" borderId="12" xfId="0" applyNumberFormat="1" applyFont="1" applyBorder="1"/>
    <xf numFmtId="3" fontId="11" fillId="0" borderId="0" xfId="0" applyNumberFormat="1" applyFont="1" applyBorder="1"/>
    <xf numFmtId="0" fontId="2" fillId="0" borderId="12" xfId="0" applyFont="1" applyFill="1" applyBorder="1" applyAlignment="1">
      <alignment horizontal="center"/>
    </xf>
    <xf numFmtId="0" fontId="2" fillId="0" borderId="21" xfId="0" applyFont="1" applyBorder="1" applyAlignment="1">
      <alignment horizontal="center"/>
    </xf>
    <xf numFmtId="0" fontId="0" fillId="0" borderId="48" xfId="0" applyBorder="1"/>
    <xf numFmtId="0" fontId="2" fillId="0" borderId="20" xfId="0" applyFont="1" applyBorder="1" applyAlignment="1">
      <alignment horizontal="center"/>
    </xf>
    <xf numFmtId="0" fontId="2" fillId="0" borderId="16" xfId="0" applyFont="1" applyFill="1" applyBorder="1" applyAlignment="1">
      <alignment horizontal="center"/>
    </xf>
    <xf numFmtId="0" fontId="2" fillId="0" borderId="41" xfId="0" applyFont="1" applyBorder="1" applyAlignment="1">
      <alignment horizontal="center"/>
    </xf>
    <xf numFmtId="0" fontId="2" fillId="0" borderId="0" xfId="0" applyFont="1" applyFill="1" applyBorder="1" applyAlignment="1">
      <alignment horizontal="center"/>
    </xf>
    <xf numFmtId="0" fontId="0" fillId="0" borderId="16" xfId="0" applyBorder="1" applyAlignment="1">
      <alignment horizontal="center"/>
    </xf>
    <xf numFmtId="3" fontId="0" fillId="0" borderId="8" xfId="0" applyNumberFormat="1" applyBorder="1"/>
    <xf numFmtId="3" fontId="4" fillId="0" borderId="14" xfId="0" applyNumberFormat="1" applyFont="1" applyBorder="1"/>
    <xf numFmtId="0" fontId="11" fillId="0" borderId="12" xfId="0" applyFont="1" applyBorder="1" applyAlignment="1">
      <alignment horizontal="center"/>
    </xf>
    <xf numFmtId="0" fontId="4" fillId="0" borderId="12" xfId="0" applyFont="1" applyBorder="1" applyAlignment="1">
      <alignment horizontal="center"/>
    </xf>
    <xf numFmtId="0" fontId="4" fillId="0" borderId="14" xfId="0" applyFont="1" applyBorder="1"/>
    <xf numFmtId="0" fontId="4" fillId="0" borderId="12" xfId="0" applyFont="1" applyBorder="1"/>
    <xf numFmtId="3" fontId="4" fillId="0" borderId="45" xfId="0" applyNumberFormat="1" applyFont="1" applyBorder="1"/>
    <xf numFmtId="3" fontId="4" fillId="0" borderId="1" xfId="0" applyNumberFormat="1" applyFont="1" applyBorder="1"/>
    <xf numFmtId="3" fontId="1" fillId="0" borderId="12" xfId="0" applyNumberFormat="1" applyFont="1" applyBorder="1"/>
    <xf numFmtId="0" fontId="1" fillId="0" borderId="13" xfId="0" applyFont="1" applyBorder="1"/>
    <xf numFmtId="0" fontId="12" fillId="0" borderId="27" xfId="0" applyFont="1" applyBorder="1"/>
    <xf numFmtId="0" fontId="5" fillId="0" borderId="27" xfId="0" applyFont="1" applyBorder="1"/>
    <xf numFmtId="0" fontId="4" fillId="0" borderId="27" xfId="0" applyFont="1" applyBorder="1" applyAlignment="1">
      <alignment horizontal="left"/>
    </xf>
    <xf numFmtId="0" fontId="0" fillId="0" borderId="27" xfId="0" applyFill="1" applyBorder="1" applyAlignment="1">
      <alignment horizontal="left"/>
    </xf>
    <xf numFmtId="0" fontId="2" fillId="0" borderId="33" xfId="0" applyFont="1" applyBorder="1" applyAlignment="1">
      <alignment horizontal="left"/>
    </xf>
    <xf numFmtId="0" fontId="13" fillId="0" borderId="27" xfId="0" applyFont="1" applyBorder="1" applyAlignment="1">
      <alignment horizontal="left"/>
    </xf>
    <xf numFmtId="0" fontId="0" fillId="0" borderId="27" xfId="0" applyFont="1" applyBorder="1" applyAlignment="1">
      <alignment horizontal="left"/>
    </xf>
    <xf numFmtId="0" fontId="5" fillId="0" borderId="43" xfId="0" applyFont="1" applyBorder="1" applyAlignment="1">
      <alignment horizontal="left"/>
    </xf>
    <xf numFmtId="0" fontId="0" fillId="0" borderId="46" xfId="0" applyBorder="1" applyAlignment="1">
      <alignment horizontal="left"/>
    </xf>
    <xf numFmtId="0" fontId="0" fillId="0" borderId="49" xfId="0" applyBorder="1" applyAlignment="1">
      <alignment horizontal="left"/>
    </xf>
    <xf numFmtId="0" fontId="0" fillId="0" borderId="27" xfId="0" applyFont="1" applyFill="1" applyBorder="1" applyAlignment="1">
      <alignment horizontal="left"/>
    </xf>
    <xf numFmtId="0" fontId="0" fillId="0" borderId="46" xfId="0" applyFont="1" applyFill="1" applyBorder="1" applyAlignment="1">
      <alignment horizontal="left"/>
    </xf>
    <xf numFmtId="0" fontId="0" fillId="0" borderId="50" xfId="0" applyBorder="1"/>
    <xf numFmtId="0" fontId="4" fillId="0" borderId="13" xfId="0" applyFont="1" applyBorder="1"/>
    <xf numFmtId="3" fontId="0" fillId="0" borderId="51" xfId="0" applyNumberFormat="1" applyBorder="1"/>
    <xf numFmtId="0" fontId="0" fillId="0" borderId="51" xfId="0" applyBorder="1"/>
    <xf numFmtId="0" fontId="0" fillId="0" borderId="52" xfId="0" applyBorder="1"/>
    <xf numFmtId="0" fontId="4" fillId="0" borderId="52" xfId="0" applyFont="1" applyBorder="1"/>
    <xf numFmtId="0" fontId="4" fillId="0" borderId="51" xfId="0" applyFont="1" applyBorder="1"/>
    <xf numFmtId="0" fontId="4" fillId="0" borderId="20" xfId="0" applyFont="1" applyBorder="1"/>
    <xf numFmtId="0" fontId="11" fillId="0" borderId="0" xfId="0" applyFont="1" applyFill="1" applyBorder="1" applyAlignment="1">
      <alignment horizontal="center"/>
    </xf>
    <xf numFmtId="0" fontId="4" fillId="0" borderId="16" xfId="0" applyFont="1" applyBorder="1" applyAlignment="1">
      <alignment horizontal="center"/>
    </xf>
    <xf numFmtId="0" fontId="4" fillId="0" borderId="1" xfId="0" applyFont="1" applyBorder="1"/>
    <xf numFmtId="0" fontId="4" fillId="0" borderId="41" xfId="0" applyFont="1" applyBorder="1"/>
    <xf numFmtId="0" fontId="11" fillId="0" borderId="12" xfId="0" applyFont="1" applyFill="1" applyBorder="1" applyAlignment="1">
      <alignment horizontal="center"/>
    </xf>
    <xf numFmtId="0" fontId="4" fillId="0" borderId="16" xfId="0" applyFont="1" applyFill="1" applyBorder="1" applyAlignment="1">
      <alignment horizontal="center"/>
    </xf>
    <xf numFmtId="0" fontId="4" fillId="0" borderId="22" xfId="0" applyFont="1" applyBorder="1"/>
    <xf numFmtId="0" fontId="4" fillId="0" borderId="21" xfId="0" applyFont="1" applyBorder="1"/>
    <xf numFmtId="0" fontId="4" fillId="0" borderId="15" xfId="0" applyFont="1" applyBorder="1"/>
    <xf numFmtId="3" fontId="1" fillId="0" borderId="13" xfId="0" applyNumberFormat="1" applyFont="1" applyBorder="1"/>
    <xf numFmtId="3" fontId="0" fillId="0" borderId="5" xfId="0" applyNumberFormat="1" applyBorder="1"/>
    <xf numFmtId="0" fontId="0" fillId="0" borderId="2" xfId="0" applyBorder="1"/>
    <xf numFmtId="3" fontId="0" fillId="0" borderId="22" xfId="0" applyNumberFormat="1" applyBorder="1"/>
    <xf numFmtId="3" fontId="4" fillId="0" borderId="12" xfId="0" applyNumberFormat="1" applyFont="1" applyFill="1" applyBorder="1"/>
    <xf numFmtId="3" fontId="4" fillId="0" borderId="13" xfId="0" applyNumberFormat="1" applyFont="1" applyBorder="1"/>
    <xf numFmtId="3" fontId="0" fillId="0" borderId="52" xfId="0" applyNumberFormat="1" applyBorder="1"/>
    <xf numFmtId="3" fontId="4" fillId="0" borderId="51" xfId="0" applyNumberFormat="1" applyFont="1" applyBorder="1"/>
    <xf numFmtId="3" fontId="4" fillId="0" borderId="52" xfId="0" applyNumberFormat="1" applyFont="1" applyBorder="1"/>
    <xf numFmtId="3" fontId="4" fillId="0" borderId="22" xfId="0" applyNumberFormat="1" applyFont="1" applyBorder="1"/>
    <xf numFmtId="0" fontId="1" fillId="0" borderId="51" xfId="0" applyFont="1" applyBorder="1"/>
    <xf numFmtId="0" fontId="1" fillId="0" borderId="52" xfId="0" applyFont="1" applyBorder="1"/>
    <xf numFmtId="3" fontId="9" fillId="0" borderId="51" xfId="0" applyNumberFormat="1" applyFont="1" applyBorder="1"/>
    <xf numFmtId="0" fontId="4" fillId="0" borderId="0" xfId="0" applyFont="1" applyAlignment="1">
      <alignment horizontal="left"/>
    </xf>
    <xf numFmtId="0" fontId="0" fillId="0" borderId="11" xfId="0" applyBorder="1" applyAlignment="1">
      <alignment horizontal="left"/>
    </xf>
    <xf numFmtId="0" fontId="15" fillId="0" borderId="0" xfId="0" applyFont="1" applyFill="1" applyBorder="1" applyAlignment="1">
      <alignment horizontal="left"/>
    </xf>
    <xf numFmtId="0" fontId="0" fillId="0" borderId="5" xfId="0" applyBorder="1" applyAlignment="1">
      <alignment horizontal="left"/>
    </xf>
    <xf numFmtId="0" fontId="0" fillId="0" borderId="0" xfId="0" applyFill="1" applyBorder="1" applyAlignment="1">
      <alignment horizontal="left"/>
    </xf>
    <xf numFmtId="0" fontId="0" fillId="0" borderId="11" xfId="0" applyFill="1" applyBorder="1" applyAlignment="1">
      <alignment horizontal="left"/>
    </xf>
    <xf numFmtId="0" fontId="5" fillId="0" borderId="0" xfId="0" applyFont="1" applyFill="1" applyBorder="1" applyAlignment="1">
      <alignment horizontal="left"/>
    </xf>
    <xf numFmtId="0" fontId="5" fillId="0" borderId="5" xfId="0" applyFont="1" applyFill="1" applyBorder="1" applyAlignment="1">
      <alignment horizontal="left"/>
    </xf>
    <xf numFmtId="0" fontId="2" fillId="0" borderId="53" xfId="0" applyFont="1" applyBorder="1" applyAlignment="1">
      <alignment horizontal="left"/>
    </xf>
    <xf numFmtId="0" fontId="13" fillId="0" borderId="0" xfId="0" applyFont="1" applyBorder="1" applyAlignment="1">
      <alignment horizontal="left"/>
    </xf>
    <xf numFmtId="0" fontId="0" fillId="0" borderId="0" xfId="0" applyFont="1" applyBorder="1" applyAlignment="1">
      <alignment horizontal="left"/>
    </xf>
    <xf numFmtId="0" fontId="0" fillId="0" borderId="5" xfId="0" applyFill="1" applyBorder="1" applyAlignment="1">
      <alignment horizontal="left"/>
    </xf>
    <xf numFmtId="0" fontId="5" fillId="0" borderId="54" xfId="0" applyFont="1" applyBorder="1" applyAlignment="1">
      <alignment horizontal="left"/>
    </xf>
    <xf numFmtId="0" fontId="0" fillId="0" borderId="55" xfId="0" applyBorder="1" applyAlignment="1">
      <alignment horizontal="left"/>
    </xf>
    <xf numFmtId="0" fontId="0" fillId="0" borderId="0" xfId="0" applyFont="1" applyFill="1" applyBorder="1" applyAlignment="1">
      <alignment horizontal="left"/>
    </xf>
    <xf numFmtId="0" fontId="0" fillId="0" borderId="11" xfId="0" applyFont="1" applyFill="1" applyBorder="1" applyAlignment="1">
      <alignment horizontal="left"/>
    </xf>
    <xf numFmtId="0" fontId="0" fillId="0" borderId="5" xfId="0" applyFont="1" applyFill="1" applyBorder="1" applyAlignment="1">
      <alignment horizontal="left"/>
    </xf>
    <xf numFmtId="3" fontId="0" fillId="0" borderId="23" xfId="0" applyNumberFormat="1" applyBorder="1"/>
    <xf numFmtId="0" fontId="5" fillId="0" borderId="3" xfId="0" applyFont="1" applyFill="1" applyBorder="1"/>
    <xf numFmtId="0" fontId="5" fillId="0" borderId="34" xfId="0" applyFont="1" applyFill="1" applyBorder="1"/>
    <xf numFmtId="0" fontId="0" fillId="0" borderId="34" xfId="0" applyFill="1" applyBorder="1"/>
    <xf numFmtId="0" fontId="0" fillId="0" borderId="3" xfId="0" applyBorder="1" applyAlignment="1">
      <alignment horizontal="left"/>
    </xf>
    <xf numFmtId="0" fontId="0" fillId="0" borderId="3" xfId="0" applyFont="1" applyFill="1" applyBorder="1"/>
    <xf numFmtId="0" fontId="0" fillId="0" borderId="2" xfId="0" applyFont="1" applyFill="1" applyBorder="1"/>
    <xf numFmtId="0" fontId="0" fillId="0" borderId="34" xfId="0" applyFont="1" applyFill="1" applyBorder="1"/>
    <xf numFmtId="0" fontId="15" fillId="0" borderId="3" xfId="0" applyFont="1" applyFill="1" applyBorder="1"/>
    <xf numFmtId="0" fontId="0" fillId="0" borderId="2" xfId="0" applyFill="1" applyBorder="1"/>
    <xf numFmtId="15" fontId="2" fillId="0" borderId="3" xfId="0" applyNumberFormat="1" applyFont="1" applyBorder="1" applyAlignment="1">
      <alignment horizontal="center"/>
    </xf>
    <xf numFmtId="0" fontId="12" fillId="0" borderId="2" xfId="0" applyFont="1" applyBorder="1"/>
    <xf numFmtId="15" fontId="2" fillId="0" borderId="8" xfId="0" applyNumberFormat="1" applyFont="1" applyBorder="1" applyAlignment="1">
      <alignment horizontal="center"/>
    </xf>
    <xf numFmtId="0" fontId="0" fillId="0" borderId="8" xfId="0" applyBorder="1" applyAlignment="1">
      <alignment horizontal="left"/>
    </xf>
    <xf numFmtId="0" fontId="0" fillId="0" borderId="8" xfId="0" applyFill="1" applyBorder="1"/>
    <xf numFmtId="0" fontId="12" fillId="0" borderId="10" xfId="0" applyFont="1" applyBorder="1"/>
    <xf numFmtId="0" fontId="4" fillId="0" borderId="8" xfId="0" applyFont="1" applyBorder="1"/>
    <xf numFmtId="0" fontId="12" fillId="0" borderId="8" xfId="0" applyFont="1" applyBorder="1"/>
    <xf numFmtId="0" fontId="12" fillId="0" borderId="0" xfId="0" applyFont="1" applyBorder="1"/>
    <xf numFmtId="0" fontId="4" fillId="0" borderId="0" xfId="0" applyFont="1" applyBorder="1"/>
    <xf numFmtId="0" fontId="0" fillId="0" borderId="56" xfId="0" applyBorder="1"/>
    <xf numFmtId="3" fontId="0" fillId="0" borderId="56" xfId="0" applyNumberFormat="1" applyBorder="1"/>
    <xf numFmtId="3" fontId="4" fillId="0" borderId="5" xfId="0" applyNumberFormat="1" applyFont="1" applyBorder="1"/>
    <xf numFmtId="0" fontId="4" fillId="0" borderId="13" xfId="0" applyFont="1" applyBorder="1" applyAlignment="1">
      <alignment horizontal="center"/>
    </xf>
    <xf numFmtId="0" fontId="0" fillId="0" borderId="21" xfId="0" applyFill="1" applyBorder="1" applyAlignment="1">
      <alignment horizontal="center"/>
    </xf>
    <xf numFmtId="3" fontId="4" fillId="0" borderId="11" xfId="0" applyNumberFormat="1" applyFont="1" applyBorder="1"/>
    <xf numFmtId="0" fontId="0" fillId="0" borderId="56" xfId="0" applyBorder="1" applyAlignment="1">
      <alignment horizontal="center"/>
    </xf>
    <xf numFmtId="3" fontId="0" fillId="0" borderId="7" xfId="0" applyNumberFormat="1" applyBorder="1"/>
    <xf numFmtId="3" fontId="4" fillId="0" borderId="41" xfId="0" applyNumberFormat="1" applyFont="1" applyBorder="1"/>
    <xf numFmtId="3" fontId="4" fillId="0" borderId="20" xfId="0" applyNumberFormat="1" applyFont="1" applyBorder="1"/>
    <xf numFmtId="0" fontId="12" fillId="0" borderId="56" xfId="0" applyFont="1" applyBorder="1"/>
    <xf numFmtId="0" fontId="15" fillId="0" borderId="0" xfId="0" applyFont="1"/>
    <xf numFmtId="0" fontId="15" fillId="0" borderId="0" xfId="0" applyFont="1" applyFill="1" applyBorder="1"/>
    <xf numFmtId="0" fontId="15" fillId="0" borderId="0" xfId="0" applyFont="1" applyFill="1"/>
    <xf numFmtId="3" fontId="0" fillId="0" borderId="19" xfId="0" applyNumberFormat="1" applyBorder="1"/>
    <xf numFmtId="3" fontId="0" fillId="0" borderId="24" xfId="0" applyNumberFormat="1" applyBorder="1"/>
    <xf numFmtId="0" fontId="2" fillId="0" borderId="0" xfId="0" applyFont="1" applyAlignment="1">
      <alignment horizontal="center"/>
    </xf>
    <xf numFmtId="0" fontId="11" fillId="0" borderId="0" xfId="0" applyFont="1" applyBorder="1" applyAlignment="1">
      <alignment horizontal="center"/>
    </xf>
    <xf numFmtId="0" fontId="4" fillId="0" borderId="0" xfId="0" applyFont="1" applyFill="1" applyBorder="1" applyAlignment="1">
      <alignment horizontal="center"/>
    </xf>
    <xf numFmtId="3" fontId="10" fillId="0" borderId="12" xfId="0" applyNumberFormat="1" applyFont="1" applyBorder="1"/>
    <xf numFmtId="3" fontId="9" fillId="0" borderId="0" xfId="0" applyNumberFormat="1" applyFont="1" applyBorder="1"/>
    <xf numFmtId="3" fontId="0" fillId="0" borderId="8" xfId="0" applyNumberFormat="1" applyFont="1" applyBorder="1"/>
    <xf numFmtId="3" fontId="0" fillId="0" borderId="18" xfId="0" applyNumberFormat="1" applyFont="1" applyBorder="1"/>
    <xf numFmtId="3" fontId="0" fillId="0" borderId="0" xfId="0" applyNumberFormat="1" applyFont="1" applyBorder="1"/>
    <xf numFmtId="3" fontId="0" fillId="0" borderId="36" xfId="0" applyNumberFormat="1" applyBorder="1"/>
    <xf numFmtId="3" fontId="0" fillId="0" borderId="57" xfId="0" applyNumberFormat="1" applyBorder="1"/>
    <xf numFmtId="0" fontId="4" fillId="0" borderId="8" xfId="0" applyFont="1" applyBorder="1" applyAlignment="1">
      <alignment horizontal="center"/>
    </xf>
    <xf numFmtId="0" fontId="3" fillId="0" borderId="0" xfId="0" applyFont="1" applyAlignment="1">
      <alignment horizontal="center"/>
    </xf>
    <xf numFmtId="0" fontId="4" fillId="0" borderId="18" xfId="0" applyFont="1" applyBorder="1"/>
    <xf numFmtId="0" fontId="0" fillId="0" borderId="31" xfId="0" applyFill="1" applyBorder="1"/>
    <xf numFmtId="0" fontId="0" fillId="0" borderId="18" xfId="0" applyFill="1" applyBorder="1" applyAlignment="1">
      <alignment horizontal="center"/>
    </xf>
    <xf numFmtId="0" fontId="0" fillId="0" borderId="24" xfId="0" applyFill="1" applyBorder="1"/>
    <xf numFmtId="0" fontId="0" fillId="0" borderId="18" xfId="0" applyFill="1" applyBorder="1"/>
    <xf numFmtId="3" fontId="0" fillId="0" borderId="18" xfId="0" applyNumberFormat="1" applyFill="1" applyBorder="1"/>
    <xf numFmtId="3" fontId="8" fillId="0" borderId="18" xfId="0" applyNumberFormat="1" applyFont="1" applyFill="1" applyBorder="1"/>
    <xf numFmtId="3" fontId="4" fillId="0" borderId="40" xfId="0" applyNumberFormat="1" applyFont="1" applyFill="1" applyBorder="1"/>
    <xf numFmtId="3" fontId="10" fillId="0" borderId="18" xfId="0" applyNumberFormat="1" applyFont="1" applyFill="1" applyBorder="1"/>
    <xf numFmtId="3" fontId="1" fillId="0" borderId="18" xfId="0" applyNumberFormat="1" applyFont="1" applyFill="1" applyBorder="1"/>
    <xf numFmtId="3" fontId="1" fillId="0" borderId="36" xfId="0" applyNumberFormat="1" applyFont="1" applyFill="1" applyBorder="1"/>
    <xf numFmtId="0" fontId="4" fillId="0" borderId="32" xfId="0" applyFont="1" applyBorder="1"/>
    <xf numFmtId="0" fontId="11" fillId="0" borderId="28" xfId="0" applyFont="1" applyFill="1" applyBorder="1" applyAlignment="1">
      <alignment horizontal="center"/>
    </xf>
    <xf numFmtId="0" fontId="4" fillId="0" borderId="25" xfId="0" applyFont="1" applyBorder="1"/>
    <xf numFmtId="0" fontId="4" fillId="0" borderId="28" xfId="0" applyFont="1" applyBorder="1"/>
    <xf numFmtId="3" fontId="4" fillId="0" borderId="58" xfId="0" applyNumberFormat="1" applyFont="1" applyBorder="1"/>
    <xf numFmtId="0" fontId="4" fillId="0" borderId="59" xfId="0" applyFont="1" applyBorder="1"/>
    <xf numFmtId="3" fontId="4" fillId="0" borderId="25" xfId="0" applyNumberFormat="1" applyFont="1" applyBorder="1"/>
    <xf numFmtId="0" fontId="4" fillId="0" borderId="35" xfId="0" applyFont="1" applyBorder="1"/>
    <xf numFmtId="3" fontId="4" fillId="0" borderId="59" xfId="0" applyNumberFormat="1" applyFont="1" applyBorder="1"/>
    <xf numFmtId="3" fontId="4" fillId="0" borderId="35" xfId="0" applyNumberFormat="1" applyFont="1" applyBorder="1"/>
    <xf numFmtId="0" fontId="1" fillId="0" borderId="35" xfId="0" applyFont="1" applyBorder="1"/>
    <xf numFmtId="3" fontId="9" fillId="0" borderId="35" xfId="0" applyNumberFormat="1" applyFont="1" applyBorder="1"/>
    <xf numFmtId="0" fontId="2" fillId="0" borderId="28" xfId="0" applyFont="1" applyBorder="1" applyAlignment="1">
      <alignment horizontal="center"/>
    </xf>
    <xf numFmtId="0" fontId="0" fillId="0" borderId="59" xfId="0" applyBorder="1"/>
    <xf numFmtId="3" fontId="4" fillId="0" borderId="32" xfId="0" applyNumberFormat="1" applyFont="1" applyBorder="1"/>
    <xf numFmtId="3" fontId="0" fillId="0" borderId="35" xfId="0" applyNumberFormat="1" applyBorder="1"/>
    <xf numFmtId="0" fontId="11" fillId="0" borderId="32" xfId="0" applyFont="1" applyBorder="1" applyAlignment="1">
      <alignment horizontal="center"/>
    </xf>
    <xf numFmtId="0" fontId="4" fillId="0" borderId="28" xfId="0" applyFont="1" applyBorder="1" applyAlignment="1">
      <alignment horizontal="center"/>
    </xf>
    <xf numFmtId="3" fontId="11" fillId="0" borderId="28" xfId="0" applyNumberFormat="1" applyFont="1" applyBorder="1"/>
    <xf numFmtId="3" fontId="0" fillId="0" borderId="8" xfId="0" applyNumberFormat="1" applyFont="1" applyBorder="1" applyAlignment="1">
      <alignment horizontal="right"/>
    </xf>
    <xf numFmtId="3" fontId="17" fillId="0" borderId="8" xfId="0" applyNumberFormat="1" applyFont="1" applyBorder="1" applyAlignment="1">
      <alignment horizontal="right"/>
    </xf>
    <xf numFmtId="3" fontId="0" fillId="0" borderId="8" xfId="0" applyNumberFormat="1" applyFont="1" applyFill="1" applyBorder="1" applyAlignment="1">
      <alignment horizontal="right"/>
    </xf>
    <xf numFmtId="3" fontId="0" fillId="0" borderId="2" xfId="0" applyNumberFormat="1" applyBorder="1"/>
    <xf numFmtId="3" fontId="1" fillId="0" borderId="8" xfId="0" applyNumberFormat="1" applyFont="1" applyBorder="1"/>
    <xf numFmtId="3" fontId="4" fillId="0" borderId="61" xfId="0" applyNumberFormat="1" applyFont="1" applyBorder="1"/>
    <xf numFmtId="3" fontId="4" fillId="0" borderId="17" xfId="0" applyNumberFormat="1" applyFont="1" applyBorder="1"/>
    <xf numFmtId="3" fontId="0" fillId="0" borderId="15" xfId="0" applyNumberFormat="1" applyBorder="1"/>
    <xf numFmtId="3" fontId="4" fillId="0" borderId="15" xfId="0" applyNumberFormat="1" applyFont="1" applyBorder="1"/>
    <xf numFmtId="3" fontId="9" fillId="0" borderId="57" xfId="0" applyNumberFormat="1" applyFont="1" applyBorder="1"/>
    <xf numFmtId="0" fontId="0" fillId="0" borderId="60" xfId="0" applyBorder="1"/>
    <xf numFmtId="3" fontId="0" fillId="0" borderId="41" xfId="0" applyNumberFormat="1" applyBorder="1"/>
    <xf numFmtId="3" fontId="4" fillId="0" borderId="57" xfId="0" applyNumberFormat="1" applyFont="1" applyBorder="1"/>
    <xf numFmtId="3" fontId="1" fillId="0" borderId="51" xfId="0" applyNumberFormat="1" applyFont="1" applyBorder="1"/>
    <xf numFmtId="3" fontId="1" fillId="0" borderId="57" xfId="0" applyNumberFormat="1" applyFont="1" applyBorder="1"/>
    <xf numFmtId="0" fontId="0" fillId="0" borderId="62" xfId="0" applyBorder="1"/>
    <xf numFmtId="15" fontId="0" fillId="0" borderId="8" xfId="0" applyNumberFormat="1" applyFont="1" applyBorder="1" applyAlignment="1">
      <alignment horizontal="center"/>
    </xf>
    <xf numFmtId="0" fontId="0" fillId="0" borderId="63" xfId="0" applyBorder="1" applyAlignment="1">
      <alignment horizontal="center"/>
    </xf>
    <xf numFmtId="0" fontId="0" fillId="0" borderId="20" xfId="0" applyBorder="1" applyAlignment="1">
      <alignment horizontal="center"/>
    </xf>
    <xf numFmtId="0" fontId="0" fillId="0" borderId="6" xfId="0" applyBorder="1" applyAlignment="1">
      <alignment horizontal="center"/>
    </xf>
    <xf numFmtId="0" fontId="2" fillId="0" borderId="3" xfId="0" applyFont="1" applyBorder="1" applyAlignment="1">
      <alignment horizontal="center"/>
    </xf>
    <xf numFmtId="0" fontId="0" fillId="0" borderId="67" xfId="0" applyBorder="1"/>
    <xf numFmtId="3" fontId="4" fillId="0" borderId="66" xfId="0" applyNumberFormat="1" applyFont="1" applyBorder="1"/>
    <xf numFmtId="0" fontId="2" fillId="0" borderId="11" xfId="0" applyFont="1" applyBorder="1"/>
    <xf numFmtId="0" fontId="2" fillId="0" borderId="2" xfId="0" applyFont="1" applyBorder="1"/>
    <xf numFmtId="0" fontId="2" fillId="0" borderId="10" xfId="0" applyFont="1" applyBorder="1" applyAlignment="1">
      <alignment horizontal="center"/>
    </xf>
    <xf numFmtId="0" fontId="0" fillId="0" borderId="59" xfId="0" applyBorder="1" applyAlignment="1">
      <alignment horizontal="center"/>
    </xf>
    <xf numFmtId="3" fontId="0" fillId="0" borderId="8" xfId="0" applyNumberFormat="1" applyBorder="1" applyAlignment="1"/>
    <xf numFmtId="3" fontId="0" fillId="0" borderId="44" xfId="0" applyNumberFormat="1" applyBorder="1" applyAlignment="1"/>
    <xf numFmtId="3" fontId="0" fillId="0" borderId="64" xfId="0" applyNumberFormat="1" applyBorder="1" applyAlignment="1"/>
    <xf numFmtId="3" fontId="0" fillId="0" borderId="68" xfId="0" applyNumberFormat="1" applyBorder="1" applyAlignment="1"/>
    <xf numFmtId="3" fontId="0" fillId="0" borderId="18" xfId="0" applyNumberFormat="1" applyBorder="1" applyAlignment="1"/>
    <xf numFmtId="3" fontId="0" fillId="0" borderId="21" xfId="0" applyNumberFormat="1" applyBorder="1" applyAlignment="1"/>
    <xf numFmtId="3" fontId="0" fillId="0" borderId="66" xfId="0" applyNumberFormat="1" applyBorder="1" applyAlignment="1"/>
    <xf numFmtId="3" fontId="0" fillId="0" borderId="18" xfId="0" applyNumberFormat="1" applyFill="1" applyBorder="1" applyAlignment="1"/>
    <xf numFmtId="3" fontId="0" fillId="0" borderId="23" xfId="0" applyNumberFormat="1" applyBorder="1" applyAlignment="1"/>
    <xf numFmtId="3" fontId="0" fillId="0" borderId="69" xfId="0" applyNumberFormat="1" applyBorder="1" applyAlignment="1"/>
    <xf numFmtId="3" fontId="12" fillId="0" borderId="19" xfId="0" applyNumberFormat="1" applyFont="1" applyBorder="1" applyAlignment="1"/>
    <xf numFmtId="3" fontId="0" fillId="0" borderId="22" xfId="0" applyNumberFormat="1" applyBorder="1" applyAlignment="1"/>
    <xf numFmtId="3" fontId="0" fillId="0" borderId="70" xfId="0" applyNumberFormat="1" applyBorder="1" applyAlignment="1"/>
    <xf numFmtId="3" fontId="4" fillId="0" borderId="21" xfId="0" applyNumberFormat="1" applyFont="1" applyBorder="1" applyAlignment="1"/>
    <xf numFmtId="3" fontId="4" fillId="0" borderId="66" xfId="0" applyNumberFormat="1" applyFont="1" applyBorder="1" applyAlignment="1"/>
    <xf numFmtId="3" fontId="4" fillId="0" borderId="0" xfId="0" applyNumberFormat="1" applyFont="1" applyBorder="1" applyAlignment="1"/>
    <xf numFmtId="3" fontId="0" fillId="0" borderId="0" xfId="0" applyNumberFormat="1" applyFont="1" applyBorder="1" applyAlignment="1"/>
    <xf numFmtId="3" fontId="0" fillId="0" borderId="66" xfId="0" applyNumberFormat="1" applyFont="1" applyBorder="1" applyAlignment="1"/>
    <xf numFmtId="3" fontId="0" fillId="0" borderId="21" xfId="0" applyNumberFormat="1" applyFont="1" applyBorder="1" applyAlignment="1"/>
    <xf numFmtId="3" fontId="0" fillId="0" borderId="18" xfId="0" applyNumberFormat="1" applyFont="1" applyBorder="1" applyAlignment="1"/>
    <xf numFmtId="3" fontId="0" fillId="0" borderId="18" xfId="0" applyNumberFormat="1" applyFont="1" applyFill="1" applyBorder="1" applyAlignment="1"/>
    <xf numFmtId="3" fontId="4" fillId="0" borderId="18" xfId="0" applyNumberFormat="1" applyFont="1" applyBorder="1" applyAlignment="1"/>
    <xf numFmtId="3" fontId="4" fillId="0" borderId="28" xfId="0" applyNumberFormat="1" applyFont="1" applyBorder="1" applyAlignment="1"/>
    <xf numFmtId="3" fontId="4" fillId="0" borderId="8" xfId="0" applyNumberFormat="1" applyFont="1" applyBorder="1" applyAlignment="1"/>
    <xf numFmtId="0" fontId="0" fillId="0" borderId="62" xfId="0" applyBorder="1" applyAlignment="1">
      <alignment horizontal="center"/>
    </xf>
    <xf numFmtId="3" fontId="0" fillId="0" borderId="23" xfId="0" applyNumberFormat="1" applyFont="1" applyBorder="1" applyAlignment="1"/>
    <xf numFmtId="3" fontId="0" fillId="0" borderId="69" xfId="0" applyNumberFormat="1" applyFont="1" applyBorder="1" applyAlignment="1"/>
    <xf numFmtId="3" fontId="0" fillId="0" borderId="19" xfId="0" applyNumberFormat="1" applyFont="1" applyBorder="1" applyAlignment="1"/>
    <xf numFmtId="3" fontId="0" fillId="0" borderId="22" xfId="0" applyNumberFormat="1" applyFont="1" applyBorder="1" applyAlignment="1"/>
    <xf numFmtId="3" fontId="0" fillId="0" borderId="70" xfId="0" applyNumberFormat="1" applyFont="1" applyBorder="1" applyAlignment="1"/>
    <xf numFmtId="3" fontId="0" fillId="0" borderId="36" xfId="0" applyNumberFormat="1" applyFont="1" applyBorder="1" applyAlignment="1"/>
    <xf numFmtId="3" fontId="0" fillId="0" borderId="5" xfId="0" applyNumberFormat="1" applyFont="1" applyBorder="1" applyAlignment="1"/>
    <xf numFmtId="3" fontId="0" fillId="0" borderId="71" xfId="0" applyNumberFormat="1" applyFont="1" applyBorder="1" applyAlignment="1"/>
    <xf numFmtId="3" fontId="0" fillId="0" borderId="31" xfId="0" applyNumberFormat="1" applyFont="1" applyBorder="1" applyAlignment="1"/>
    <xf numFmtId="3" fontId="0" fillId="0" borderId="20" xfId="0" applyNumberFormat="1" applyFont="1" applyBorder="1" applyAlignment="1"/>
    <xf numFmtId="3" fontId="0" fillId="0" borderId="65" xfId="0" applyNumberFormat="1" applyFont="1" applyBorder="1" applyAlignment="1"/>
    <xf numFmtId="3" fontId="0" fillId="0" borderId="52" xfId="0" applyNumberFormat="1" applyFont="1" applyBorder="1" applyAlignment="1"/>
    <xf numFmtId="3" fontId="4" fillId="0" borderId="36" xfId="0" applyNumberFormat="1" applyFont="1" applyBorder="1" applyAlignment="1"/>
    <xf numFmtId="3" fontId="0" fillId="0" borderId="8" xfId="0" applyNumberFormat="1" applyFont="1" applyBorder="1" applyAlignment="1"/>
    <xf numFmtId="3" fontId="4" fillId="0" borderId="16" xfId="0" applyNumberFormat="1" applyFont="1" applyBorder="1" applyAlignment="1"/>
    <xf numFmtId="3" fontId="4" fillId="0" borderId="21" xfId="0" applyNumberFormat="1" applyFont="1" applyFill="1" applyBorder="1" applyAlignment="1"/>
    <xf numFmtId="3" fontId="4" fillId="0" borderId="62" xfId="0" applyNumberFormat="1" applyFont="1" applyBorder="1" applyAlignment="1"/>
    <xf numFmtId="3" fontId="0" fillId="0" borderId="62" xfId="0" applyNumberFormat="1" applyFont="1" applyBorder="1" applyAlignment="1"/>
    <xf numFmtId="3" fontId="0" fillId="0" borderId="28" xfId="0" applyNumberFormat="1" applyFont="1" applyBorder="1" applyAlignment="1"/>
    <xf numFmtId="0" fontId="2" fillId="0" borderId="8" xfId="0" applyFont="1" applyBorder="1" applyAlignment="1">
      <alignment horizontal="center"/>
    </xf>
    <xf numFmtId="0" fontId="0" fillId="0" borderId="21" xfId="0" applyBorder="1" applyAlignment="1">
      <alignment horizontal="center"/>
    </xf>
    <xf numFmtId="3" fontId="0" fillId="0" borderId="0" xfId="0" applyNumberFormat="1" applyFont="1" applyFill="1" applyBorder="1" applyAlignment="1"/>
    <xf numFmtId="3" fontId="0" fillId="0" borderId="28" xfId="0" applyNumberFormat="1" applyFont="1" applyFill="1" applyBorder="1" applyAlignment="1"/>
    <xf numFmtId="3" fontId="0" fillId="0" borderId="25" xfId="0" applyNumberFormat="1" applyFont="1" applyBorder="1" applyAlignment="1"/>
    <xf numFmtId="3" fontId="0" fillId="0" borderId="1" xfId="0" applyNumberFormat="1" applyFont="1" applyBorder="1" applyAlignment="1"/>
    <xf numFmtId="3" fontId="0" fillId="0" borderId="24" xfId="0" applyNumberFormat="1" applyFont="1" applyBorder="1" applyAlignment="1"/>
    <xf numFmtId="3" fontId="4" fillId="0" borderId="27" xfId="0" applyNumberFormat="1" applyFont="1" applyBorder="1" applyAlignment="1"/>
    <xf numFmtId="3" fontId="11" fillId="0" borderId="28" xfId="0" applyNumberFormat="1" applyFont="1" applyBorder="1" applyAlignment="1"/>
    <xf numFmtId="3" fontId="11" fillId="0" borderId="62" xfId="0" applyNumberFormat="1" applyFont="1" applyBorder="1" applyAlignment="1"/>
    <xf numFmtId="0" fontId="0" fillId="0" borderId="18" xfId="0" applyFont="1" applyBorder="1"/>
    <xf numFmtId="0" fontId="0" fillId="0" borderId="28" xfId="0" applyFont="1" applyBorder="1"/>
    <xf numFmtId="0" fontId="2" fillId="0" borderId="13" xfId="0" applyFont="1" applyBorder="1" applyAlignment="1">
      <alignment horizontal="center"/>
    </xf>
    <xf numFmtId="0" fontId="0" fillId="0" borderId="14" xfId="0" applyBorder="1" applyAlignment="1">
      <alignment horizontal="center"/>
    </xf>
    <xf numFmtId="0" fontId="2" fillId="0" borderId="59" xfId="0" applyFont="1" applyBorder="1" applyAlignment="1">
      <alignment horizontal="center"/>
    </xf>
    <xf numFmtId="3" fontId="4" fillId="0" borderId="29" xfId="0" applyNumberFormat="1" applyFont="1" applyBorder="1"/>
    <xf numFmtId="3" fontId="4" fillId="0" borderId="21" xfId="0" applyNumberFormat="1" applyFont="1" applyFill="1" applyBorder="1"/>
    <xf numFmtId="3" fontId="0" fillId="0" borderId="59" xfId="0" applyNumberFormat="1" applyBorder="1"/>
    <xf numFmtId="3" fontId="0" fillId="0" borderId="58" xfId="0" applyNumberFormat="1" applyBorder="1"/>
    <xf numFmtId="3" fontId="0" fillId="0" borderId="25" xfId="0" applyNumberFormat="1" applyBorder="1"/>
    <xf numFmtId="0" fontId="2" fillId="0" borderId="22" xfId="0" applyFont="1" applyBorder="1" applyAlignment="1">
      <alignment horizontal="center"/>
    </xf>
    <xf numFmtId="0" fontId="0" fillId="0" borderId="23" xfId="0" applyBorder="1" applyAlignment="1">
      <alignment horizontal="center"/>
    </xf>
    <xf numFmtId="3" fontId="0" fillId="0" borderId="64" xfId="0" applyNumberFormat="1" applyBorder="1"/>
    <xf numFmtId="0" fontId="2" fillId="0" borderId="2" xfId="0" applyFont="1" applyBorder="1" applyAlignment="1">
      <alignment horizontal="center"/>
    </xf>
    <xf numFmtId="3" fontId="4" fillId="0" borderId="3" xfId="0" applyNumberFormat="1" applyFont="1" applyBorder="1"/>
    <xf numFmtId="3" fontId="0" fillId="0" borderId="72" xfId="0" applyNumberFormat="1" applyBorder="1"/>
    <xf numFmtId="3" fontId="0" fillId="0" borderId="3" xfId="0" applyNumberFormat="1" applyBorder="1"/>
    <xf numFmtId="3" fontId="0" fillId="0" borderId="4" xfId="0" applyNumberFormat="1" applyBorder="1"/>
    <xf numFmtId="3" fontId="0" fillId="0" borderId="3" xfId="0" applyNumberFormat="1" applyFont="1" applyBorder="1"/>
    <xf numFmtId="3" fontId="0" fillId="0" borderId="6" xfId="0" applyNumberFormat="1" applyBorder="1"/>
    <xf numFmtId="3" fontId="4" fillId="0" borderId="2" xfId="0" applyNumberFormat="1" applyFont="1" applyBorder="1"/>
    <xf numFmtId="3" fontId="4" fillId="0" borderId="34" xfId="0" applyNumberFormat="1" applyFont="1" applyBorder="1"/>
    <xf numFmtId="3" fontId="4" fillId="0" borderId="6" xfId="0" applyNumberFormat="1" applyFont="1" applyBorder="1"/>
    <xf numFmtId="3" fontId="4" fillId="0" borderId="3" xfId="0" applyNumberFormat="1" applyFont="1" applyFill="1" applyBorder="1"/>
    <xf numFmtId="0" fontId="2" fillId="0" borderId="16" xfId="0" applyFont="1" applyBorder="1" applyAlignment="1">
      <alignment horizontal="center"/>
    </xf>
    <xf numFmtId="3" fontId="0" fillId="0" borderId="61" xfId="0" applyNumberFormat="1" applyBorder="1"/>
    <xf numFmtId="3" fontId="0" fillId="0" borderId="17" xfId="0" applyNumberFormat="1" applyBorder="1"/>
    <xf numFmtId="3" fontId="4" fillId="0" borderId="64" xfId="0" applyNumberFormat="1" applyFont="1" applyBorder="1"/>
    <xf numFmtId="3" fontId="4" fillId="0" borderId="72" xfId="0" applyNumberFormat="1" applyFont="1" applyBorder="1"/>
    <xf numFmtId="0" fontId="0" fillId="0" borderId="9" xfId="0" applyBorder="1" applyAlignment="1">
      <alignment horizontal="center"/>
    </xf>
    <xf numFmtId="0" fontId="0" fillId="0" borderId="17" xfId="0" applyBorder="1" applyAlignment="1">
      <alignment horizontal="center"/>
    </xf>
    <xf numFmtId="3" fontId="0" fillId="0" borderId="11" xfId="0" applyNumberFormat="1" applyBorder="1"/>
    <xf numFmtId="3" fontId="0" fillId="0" borderId="16" xfId="0" applyNumberFormat="1" applyFont="1" applyBorder="1"/>
    <xf numFmtId="3" fontId="0" fillId="0" borderId="21" xfId="0" applyNumberFormat="1" applyFont="1" applyBorder="1"/>
    <xf numFmtId="3" fontId="4" fillId="0" borderId="62" xfId="0" applyNumberFormat="1" applyFont="1" applyBorder="1"/>
    <xf numFmtId="3" fontId="0" fillId="0" borderId="62" xfId="0" applyNumberFormat="1" applyBorder="1" applyAlignment="1"/>
    <xf numFmtId="3" fontId="0" fillId="0" borderId="73" xfId="0" applyNumberFormat="1" applyBorder="1" applyAlignment="1"/>
    <xf numFmtId="3" fontId="0" fillId="0" borderId="67" xfId="0" applyNumberFormat="1" applyBorder="1" applyAlignment="1"/>
    <xf numFmtId="3" fontId="0" fillId="0" borderId="63" xfId="0" applyNumberFormat="1" applyBorder="1" applyAlignment="1"/>
    <xf numFmtId="3" fontId="0" fillId="0" borderId="67" xfId="0" applyNumberFormat="1" applyFont="1" applyBorder="1" applyAlignment="1"/>
    <xf numFmtId="3" fontId="0" fillId="0" borderId="63" xfId="0" applyNumberFormat="1" applyFont="1" applyBorder="1" applyAlignment="1"/>
    <xf numFmtId="3" fontId="0" fillId="0" borderId="74" xfId="0" applyNumberFormat="1" applyFont="1" applyBorder="1" applyAlignment="1"/>
    <xf numFmtId="3" fontId="0" fillId="0" borderId="75" xfId="0" applyNumberFormat="1" applyFont="1" applyBorder="1" applyAlignment="1"/>
    <xf numFmtId="3" fontId="11" fillId="0" borderId="8" xfId="0" applyNumberFormat="1" applyFont="1" applyBorder="1" applyAlignment="1"/>
    <xf numFmtId="0" fontId="0" fillId="0" borderId="3" xfId="0" applyFont="1" applyBorder="1" applyAlignment="1">
      <alignment horizontal="center"/>
    </xf>
    <xf numFmtId="0" fontId="0" fillId="0" borderId="3" xfId="0" applyFont="1" applyBorder="1" applyAlignment="1">
      <alignment horizontal="center"/>
    </xf>
    <xf numFmtId="0" fontId="12" fillId="0" borderId="43" xfId="0" applyFont="1" applyBorder="1"/>
    <xf numFmtId="0" fontId="0" fillId="0" borderId="76" xfId="0" applyBorder="1"/>
    <xf numFmtId="0" fontId="12" fillId="0" borderId="26" xfId="0" applyFont="1" applyBorder="1"/>
    <xf numFmtId="0" fontId="12" fillId="0" borderId="4" xfId="0" applyFont="1" applyBorder="1"/>
    <xf numFmtId="0" fontId="0" fillId="0" borderId="16" xfId="0" applyBorder="1"/>
    <xf numFmtId="0" fontId="0" fillId="0" borderId="12" xfId="0" applyFill="1" applyBorder="1"/>
    <xf numFmtId="3" fontId="1" fillId="0" borderId="21" xfId="0" applyNumberFormat="1" applyFont="1" applyBorder="1"/>
    <xf numFmtId="3" fontId="1" fillId="0" borderId="52" xfId="0" applyNumberFormat="1" applyFont="1" applyBorder="1"/>
    <xf numFmtId="3" fontId="10" fillId="0" borderId="12" xfId="0" applyNumberFormat="1" applyFont="1" applyFill="1" applyBorder="1"/>
    <xf numFmtId="3" fontId="1" fillId="0" borderId="51" xfId="0" applyNumberFormat="1" applyFont="1" applyFill="1" applyBorder="1"/>
    <xf numFmtId="3" fontId="4" fillId="0" borderId="16" xfId="0" applyNumberFormat="1" applyFont="1" applyFill="1" applyBorder="1"/>
    <xf numFmtId="3" fontId="10" fillId="0" borderId="16" xfId="0" applyNumberFormat="1" applyFont="1" applyBorder="1"/>
    <xf numFmtId="3" fontId="0" fillId="0" borderId="21" xfId="0" applyNumberFormat="1" applyFill="1" applyBorder="1"/>
    <xf numFmtId="3" fontId="1" fillId="0" borderId="21" xfId="0" applyNumberFormat="1" applyFont="1" applyFill="1" applyBorder="1"/>
    <xf numFmtId="3" fontId="1" fillId="0" borderId="52" xfId="0" applyNumberFormat="1" applyFont="1" applyFill="1" applyBorder="1"/>
    <xf numFmtId="3" fontId="4" fillId="0" borderId="77" xfId="0" applyNumberFormat="1" applyFont="1" applyBorder="1"/>
    <xf numFmtId="3" fontId="4" fillId="0" borderId="8" xfId="0" applyNumberFormat="1" applyFont="1" applyFill="1" applyBorder="1"/>
    <xf numFmtId="3" fontId="0" fillId="0" borderId="78" xfId="0" applyNumberFormat="1" applyBorder="1"/>
    <xf numFmtId="3" fontId="0" fillId="0" borderId="62" xfId="0" applyNumberFormat="1" applyBorder="1"/>
    <xf numFmtId="3" fontId="4" fillId="0" borderId="62" xfId="0" applyNumberFormat="1" applyFont="1" applyFill="1" applyBorder="1"/>
    <xf numFmtId="3" fontId="10" fillId="0" borderId="0" xfId="0" applyNumberFormat="1" applyFont="1" applyBorder="1"/>
    <xf numFmtId="3" fontId="10" fillId="0" borderId="62" xfId="0" applyNumberFormat="1" applyFont="1" applyBorder="1"/>
    <xf numFmtId="3" fontId="1" fillId="0" borderId="62" xfId="0" applyNumberFormat="1" applyFont="1" applyBorder="1"/>
    <xf numFmtId="3" fontId="1" fillId="0" borderId="74" xfId="0" applyNumberFormat="1" applyFont="1" applyBorder="1"/>
    <xf numFmtId="0" fontId="0" fillId="0" borderId="2" xfId="0" applyFont="1" applyBorder="1" applyAlignment="1">
      <alignment horizontal="center"/>
    </xf>
    <xf numFmtId="3" fontId="0" fillId="0" borderId="8" xfId="0" applyNumberFormat="1" applyBorder="1" applyAlignment="1">
      <alignment horizontal="right"/>
    </xf>
    <xf numFmtId="3" fontId="0" fillId="0" borderId="12" xfId="0" applyNumberFormat="1" applyBorder="1" applyAlignment="1">
      <alignment horizontal="right"/>
    </xf>
    <xf numFmtId="3" fontId="0" fillId="0" borderId="0" xfId="0" applyNumberFormat="1" applyBorder="1" applyAlignment="1">
      <alignment horizontal="right"/>
    </xf>
    <xf numFmtId="3" fontId="0" fillId="0" borderId="62" xfId="0" applyNumberFormat="1" applyBorder="1" applyAlignment="1">
      <alignment horizontal="right"/>
    </xf>
    <xf numFmtId="3" fontId="0" fillId="0" borderId="78" xfId="0" applyNumberFormat="1" applyBorder="1" applyAlignment="1">
      <alignment horizontal="center"/>
    </xf>
    <xf numFmtId="3" fontId="0" fillId="0" borderId="72" xfId="0" applyNumberFormat="1" applyBorder="1" applyAlignment="1">
      <alignment horizontal="center"/>
    </xf>
    <xf numFmtId="3" fontId="0" fillId="0" borderId="8" xfId="0" applyNumberFormat="1" applyBorder="1" applyAlignment="1">
      <alignment horizontal="center"/>
    </xf>
    <xf numFmtId="3" fontId="0" fillId="0" borderId="8" xfId="0" applyNumberFormat="1" applyFill="1" applyBorder="1"/>
    <xf numFmtId="3" fontId="0" fillId="0" borderId="3" xfId="0" applyNumberFormat="1" applyFill="1" applyBorder="1"/>
    <xf numFmtId="3" fontId="4" fillId="0" borderId="12" xfId="0" applyNumberFormat="1" applyFont="1" applyBorder="1" applyAlignment="1">
      <alignment horizontal="right"/>
    </xf>
    <xf numFmtId="3" fontId="0" fillId="0" borderId="0" xfId="0" applyNumberFormat="1" applyAlignment="1">
      <alignment horizontal="right"/>
    </xf>
    <xf numFmtId="3" fontId="0" fillId="0" borderId="12" xfId="0" applyNumberFormat="1" applyFill="1" applyBorder="1" applyAlignment="1">
      <alignment horizontal="right"/>
    </xf>
    <xf numFmtId="3" fontId="4" fillId="0" borderId="18" xfId="0" applyNumberFormat="1" applyFont="1" applyBorder="1" applyAlignment="1">
      <alignment horizontal="right"/>
    </xf>
    <xf numFmtId="3" fontId="4" fillId="0" borderId="0" xfId="0" applyNumberFormat="1" applyFont="1" applyBorder="1" applyAlignment="1">
      <alignment horizontal="right"/>
    </xf>
    <xf numFmtId="3" fontId="4" fillId="0" borderId="18" xfId="0" applyNumberFormat="1" applyFont="1" applyFill="1" applyBorder="1" applyAlignment="1">
      <alignment horizontal="right"/>
    </xf>
    <xf numFmtId="3" fontId="4" fillId="0" borderId="16" xfId="0" applyNumberFormat="1" applyFont="1" applyFill="1" applyBorder="1" applyAlignment="1">
      <alignment horizontal="right"/>
    </xf>
    <xf numFmtId="3" fontId="4" fillId="0" borderId="12" xfId="0" applyNumberFormat="1" applyFont="1" applyFill="1" applyBorder="1" applyAlignment="1">
      <alignment horizontal="right"/>
    </xf>
    <xf numFmtId="3" fontId="4" fillId="0" borderId="8" xfId="0" applyNumberFormat="1" applyFont="1" applyFill="1" applyBorder="1" applyAlignment="1">
      <alignment horizontal="right"/>
    </xf>
    <xf numFmtId="3" fontId="4" fillId="0" borderId="16" xfId="0" applyNumberFormat="1" applyFont="1" applyBorder="1" applyAlignment="1">
      <alignment horizontal="right"/>
    </xf>
    <xf numFmtId="3" fontId="4" fillId="0" borderId="8" xfId="0" applyNumberFormat="1" applyFont="1" applyBorder="1" applyAlignment="1">
      <alignment horizontal="right"/>
    </xf>
    <xf numFmtId="3" fontId="8" fillId="0" borderId="18" xfId="0" applyNumberFormat="1" applyFont="1" applyBorder="1" applyAlignment="1">
      <alignment horizontal="right"/>
    </xf>
    <xf numFmtId="3" fontId="8" fillId="0" borderId="16" xfId="0" applyNumberFormat="1" applyFont="1" applyBorder="1" applyAlignment="1">
      <alignment horizontal="right"/>
    </xf>
    <xf numFmtId="3" fontId="8" fillId="0" borderId="12" xfId="0" applyNumberFormat="1" applyFont="1" applyFill="1" applyBorder="1" applyAlignment="1">
      <alignment horizontal="right"/>
    </xf>
    <xf numFmtId="3" fontId="10" fillId="0" borderId="8" xfId="0" applyNumberFormat="1" applyFont="1" applyBorder="1" applyAlignment="1">
      <alignment horizontal="right"/>
    </xf>
    <xf numFmtId="3" fontId="10" fillId="0" borderId="18" xfId="0" applyNumberFormat="1" applyFont="1" applyBorder="1" applyAlignment="1">
      <alignment horizontal="right"/>
    </xf>
    <xf numFmtId="3" fontId="10" fillId="0" borderId="16" xfId="0" applyNumberFormat="1" applyFont="1" applyBorder="1" applyAlignment="1">
      <alignment horizontal="right"/>
    </xf>
    <xf numFmtId="3" fontId="1" fillId="0" borderId="16" xfId="0" applyNumberFormat="1" applyFont="1" applyBorder="1" applyAlignment="1">
      <alignment horizontal="right"/>
    </xf>
    <xf numFmtId="3" fontId="1" fillId="0" borderId="18" xfId="0" applyNumberFormat="1" applyFont="1" applyBorder="1" applyAlignment="1">
      <alignment horizontal="right"/>
    </xf>
    <xf numFmtId="3" fontId="4" fillId="0" borderId="0" xfId="0" applyNumberFormat="1" applyFont="1" applyAlignment="1">
      <alignment horizontal="right"/>
    </xf>
    <xf numFmtId="3" fontId="4" fillId="0" borderId="0" xfId="0" applyNumberFormat="1" applyFont="1" applyFill="1" applyBorder="1" applyAlignment="1">
      <alignment horizontal="right"/>
    </xf>
    <xf numFmtId="3" fontId="1" fillId="0" borderId="12" xfId="0" applyNumberFormat="1" applyFont="1" applyFill="1" applyBorder="1" applyAlignment="1">
      <alignment horizontal="right"/>
    </xf>
    <xf numFmtId="3" fontId="8" fillId="0" borderId="0" xfId="0" applyNumberFormat="1" applyFont="1" applyBorder="1" applyAlignment="1">
      <alignment horizontal="right"/>
    </xf>
    <xf numFmtId="3" fontId="0" fillId="0" borderId="3" xfId="0" applyNumberFormat="1" applyBorder="1" applyAlignment="1">
      <alignment horizontal="right"/>
    </xf>
    <xf numFmtId="3" fontId="0" fillId="0" borderId="28" xfId="0" applyNumberFormat="1" applyBorder="1" applyAlignment="1">
      <alignment horizontal="right"/>
    </xf>
    <xf numFmtId="3" fontId="4" fillId="0" borderId="28" xfId="0" applyNumberFormat="1" applyFont="1" applyFill="1" applyBorder="1" applyAlignment="1">
      <alignment horizontal="right"/>
    </xf>
    <xf numFmtId="3" fontId="4" fillId="0" borderId="28" xfId="0" applyNumberFormat="1" applyFont="1" applyBorder="1" applyAlignment="1">
      <alignment horizontal="right"/>
    </xf>
    <xf numFmtId="3" fontId="8" fillId="0" borderId="28" xfId="0" applyNumberFormat="1" applyFont="1" applyBorder="1" applyAlignment="1">
      <alignment horizontal="right"/>
    </xf>
    <xf numFmtId="3" fontId="1" fillId="0" borderId="28" xfId="0" applyNumberFormat="1" applyFont="1" applyBorder="1" applyAlignment="1">
      <alignment horizontal="right"/>
    </xf>
    <xf numFmtId="3" fontId="0" fillId="0" borderId="79" xfId="0" applyNumberFormat="1" applyBorder="1" applyAlignment="1">
      <alignment horizontal="right"/>
    </xf>
    <xf numFmtId="3" fontId="0" fillId="0" borderId="72" xfId="0" applyNumberFormat="1" applyBorder="1" applyAlignment="1">
      <alignment horizontal="right"/>
    </xf>
    <xf numFmtId="3" fontId="0" fillId="0" borderId="34" xfId="0" applyNumberFormat="1" applyBorder="1" applyAlignment="1">
      <alignment horizontal="right"/>
    </xf>
    <xf numFmtId="3" fontId="0" fillId="0" borderId="4" xfId="0" applyNumberFormat="1" applyBorder="1" applyAlignment="1">
      <alignment horizontal="right"/>
    </xf>
    <xf numFmtId="3" fontId="0" fillId="0" borderId="16" xfId="0" applyNumberFormat="1" applyBorder="1" applyAlignment="1">
      <alignment horizontal="right"/>
    </xf>
    <xf numFmtId="3" fontId="4" fillId="0" borderId="3" xfId="0" applyNumberFormat="1" applyFont="1" applyBorder="1" applyAlignment="1">
      <alignment horizontal="right"/>
    </xf>
    <xf numFmtId="0" fontId="2" fillId="0" borderId="27" xfId="0" applyFont="1" applyFill="1" applyBorder="1" applyAlignment="1">
      <alignment horizontal="left"/>
    </xf>
    <xf numFmtId="0" fontId="0" fillId="0" borderId="76" xfId="0" applyFill="1" applyBorder="1" applyAlignment="1">
      <alignment horizontal="left"/>
    </xf>
    <xf numFmtId="0" fontId="0" fillId="0" borderId="76" xfId="0" applyFill="1" applyBorder="1"/>
    <xf numFmtId="3" fontId="0" fillId="0" borderId="2" xfId="0" applyNumberFormat="1" applyBorder="1" applyAlignment="1">
      <alignment horizontal="right"/>
    </xf>
    <xf numFmtId="3" fontId="4" fillId="0" borderId="19" xfId="0" applyNumberFormat="1" applyFont="1" applyBorder="1" applyAlignment="1">
      <alignment horizontal="right"/>
    </xf>
    <xf numFmtId="3" fontId="4" fillId="0" borderId="15" xfId="0" applyNumberFormat="1" applyFont="1" applyBorder="1" applyAlignment="1">
      <alignment horizontal="right"/>
    </xf>
    <xf numFmtId="3" fontId="4" fillId="0" borderId="13" xfId="0" applyNumberFormat="1" applyFont="1" applyFill="1" applyBorder="1" applyAlignment="1">
      <alignment horizontal="right"/>
    </xf>
    <xf numFmtId="3" fontId="4" fillId="0" borderId="59" xfId="0" applyNumberFormat="1" applyFont="1" applyBorder="1" applyAlignment="1">
      <alignment horizontal="right"/>
    </xf>
    <xf numFmtId="3" fontId="4" fillId="0" borderId="11" xfId="0" applyNumberFormat="1" applyFont="1" applyBorder="1" applyAlignment="1">
      <alignment horizontal="right"/>
    </xf>
    <xf numFmtId="3" fontId="4" fillId="0" borderId="10" xfId="0" applyNumberFormat="1" applyFont="1" applyBorder="1" applyAlignment="1">
      <alignment horizontal="right"/>
    </xf>
    <xf numFmtId="3" fontId="4" fillId="0" borderId="13" xfId="0" applyNumberFormat="1" applyFont="1" applyFill="1" applyBorder="1"/>
    <xf numFmtId="3" fontId="4" fillId="0" borderId="63" xfId="0" applyNumberFormat="1" applyFont="1" applyBorder="1"/>
    <xf numFmtId="0" fontId="0" fillId="0" borderId="50" xfId="0" applyFill="1" applyBorder="1" applyAlignment="1">
      <alignment horizontal="left"/>
    </xf>
    <xf numFmtId="0" fontId="0" fillId="0" borderId="50" xfId="0" applyFill="1" applyBorder="1"/>
    <xf numFmtId="0" fontId="2" fillId="0" borderId="34" xfId="0" applyFont="1" applyBorder="1"/>
    <xf numFmtId="3" fontId="4" fillId="0" borderId="36" xfId="0" applyNumberFormat="1" applyFont="1" applyBorder="1" applyAlignment="1">
      <alignment horizontal="right"/>
    </xf>
    <xf numFmtId="3" fontId="4" fillId="0" borderId="57" xfId="0" applyNumberFormat="1" applyFont="1" applyBorder="1" applyAlignment="1">
      <alignment horizontal="right"/>
    </xf>
    <xf numFmtId="3" fontId="4" fillId="0" borderId="51" xfId="0" applyNumberFormat="1" applyFont="1" applyFill="1" applyBorder="1" applyAlignment="1">
      <alignment horizontal="right"/>
    </xf>
    <xf numFmtId="3" fontId="4" fillId="0" borderId="35" xfId="0" applyNumberFormat="1" applyFont="1" applyBorder="1" applyAlignment="1">
      <alignment horizontal="right"/>
    </xf>
    <xf numFmtId="3" fontId="4" fillId="0" borderId="5" xfId="0" applyNumberFormat="1" applyFont="1" applyBorder="1" applyAlignment="1">
      <alignment horizontal="right"/>
    </xf>
    <xf numFmtId="3" fontId="4" fillId="0" borderId="56" xfId="0" applyNumberFormat="1" applyFont="1" applyBorder="1" applyAlignment="1">
      <alignment horizontal="right"/>
    </xf>
    <xf numFmtId="3" fontId="4" fillId="0" borderId="51" xfId="0" applyNumberFormat="1" applyFont="1" applyFill="1" applyBorder="1"/>
    <xf numFmtId="3" fontId="4" fillId="0" borderId="74" xfId="0" applyNumberFormat="1" applyFont="1" applyBorder="1"/>
    <xf numFmtId="3" fontId="0" fillId="0" borderId="0" xfId="0" applyNumberFormat="1" applyFont="1" applyBorder="1" applyAlignment="1">
      <alignment horizontal="right"/>
    </xf>
    <xf numFmtId="3" fontId="0" fillId="0" borderId="3" xfId="0" applyNumberFormat="1" applyFont="1" applyBorder="1" applyAlignment="1">
      <alignment horizontal="right"/>
    </xf>
    <xf numFmtId="0" fontId="0" fillId="0" borderId="76" xfId="0" applyBorder="1" applyAlignment="1">
      <alignment horizontal="left"/>
    </xf>
    <xf numFmtId="0" fontId="13" fillId="0" borderId="2" xfId="0" applyFont="1" applyBorder="1"/>
    <xf numFmtId="3" fontId="8" fillId="0" borderId="19" xfId="0" applyNumberFormat="1" applyFont="1" applyBorder="1" applyAlignment="1">
      <alignment horizontal="right"/>
    </xf>
    <xf numFmtId="3" fontId="8" fillId="0" borderId="15" xfId="0" applyNumberFormat="1" applyFont="1" applyBorder="1" applyAlignment="1">
      <alignment horizontal="right"/>
    </xf>
    <xf numFmtId="3" fontId="8" fillId="0" borderId="13" xfId="0" applyNumberFormat="1" applyFont="1" applyFill="1" applyBorder="1" applyAlignment="1">
      <alignment horizontal="right"/>
    </xf>
    <xf numFmtId="3" fontId="8" fillId="0" borderId="59" xfId="0" applyNumberFormat="1" applyFont="1" applyBorder="1" applyAlignment="1">
      <alignment horizontal="right"/>
    </xf>
    <xf numFmtId="3" fontId="8" fillId="0" borderId="11" xfId="0" applyNumberFormat="1" applyFont="1" applyBorder="1" applyAlignment="1">
      <alignment horizontal="right"/>
    </xf>
    <xf numFmtId="3" fontId="10" fillId="0" borderId="10" xfId="0" applyNumberFormat="1" applyFont="1" applyBorder="1" applyAlignment="1">
      <alignment horizontal="right"/>
    </xf>
    <xf numFmtId="3" fontId="10" fillId="0" borderId="15" xfId="0" applyNumberFormat="1" applyFont="1" applyBorder="1"/>
    <xf numFmtId="3" fontId="10" fillId="0" borderId="13" xfId="0" applyNumberFormat="1" applyFont="1" applyFill="1" applyBorder="1"/>
    <xf numFmtId="3" fontId="10" fillId="0" borderId="11" xfId="0" applyNumberFormat="1" applyFont="1" applyBorder="1"/>
    <xf numFmtId="3" fontId="10" fillId="0" borderId="13" xfId="0" applyNumberFormat="1" applyFont="1" applyBorder="1"/>
    <xf numFmtId="3" fontId="10" fillId="0" borderId="63" xfId="0" applyNumberFormat="1" applyFont="1" applyBorder="1"/>
    <xf numFmtId="0" fontId="0" fillId="0" borderId="50" xfId="0" applyBorder="1" applyAlignment="1">
      <alignment horizontal="left"/>
    </xf>
    <xf numFmtId="0" fontId="13" fillId="0" borderId="34" xfId="0" applyFont="1" applyBorder="1"/>
    <xf numFmtId="3" fontId="8" fillId="0" borderId="36" xfId="0" applyNumberFormat="1" applyFont="1" applyBorder="1" applyAlignment="1">
      <alignment horizontal="right"/>
    </xf>
    <xf numFmtId="3" fontId="8" fillId="0" borderId="57" xfId="0" applyNumberFormat="1" applyFont="1" applyBorder="1" applyAlignment="1">
      <alignment horizontal="right"/>
    </xf>
    <xf numFmtId="3" fontId="8" fillId="0" borderId="51" xfId="0" applyNumberFormat="1" applyFont="1" applyFill="1" applyBorder="1" applyAlignment="1">
      <alignment horizontal="right"/>
    </xf>
    <xf numFmtId="3" fontId="8" fillId="0" borderId="35" xfId="0" applyNumberFormat="1" applyFont="1" applyBorder="1" applyAlignment="1">
      <alignment horizontal="right"/>
    </xf>
    <xf numFmtId="3" fontId="8" fillId="0" borderId="5" xfId="0" applyNumberFormat="1" applyFont="1" applyBorder="1" applyAlignment="1">
      <alignment horizontal="right"/>
    </xf>
    <xf numFmtId="3" fontId="10" fillId="0" borderId="56" xfId="0" applyNumberFormat="1" applyFont="1" applyBorder="1" applyAlignment="1">
      <alignment horizontal="right"/>
    </xf>
    <xf numFmtId="3" fontId="10" fillId="0" borderId="57" xfId="0" applyNumberFormat="1" applyFont="1" applyBorder="1"/>
    <xf numFmtId="3" fontId="10" fillId="0" borderId="51" xfId="0" applyNumberFormat="1" applyFont="1" applyFill="1" applyBorder="1"/>
    <xf numFmtId="3" fontId="10" fillId="0" borderId="5" xfId="0" applyNumberFormat="1" applyFont="1" applyBorder="1"/>
    <xf numFmtId="3" fontId="10" fillId="0" borderId="51" xfId="0" applyNumberFormat="1" applyFont="1" applyBorder="1"/>
    <xf numFmtId="3" fontId="10" fillId="0" borderId="74" xfId="0" applyNumberFormat="1" applyFont="1" applyBorder="1"/>
    <xf numFmtId="0" fontId="5" fillId="0" borderId="2" xfId="0" applyFont="1" applyBorder="1"/>
    <xf numFmtId="3" fontId="10" fillId="0" borderId="19" xfId="0" applyNumberFormat="1" applyFont="1" applyBorder="1" applyAlignment="1">
      <alignment horizontal="right"/>
    </xf>
    <xf numFmtId="3" fontId="10" fillId="0" borderId="15" xfId="0" applyNumberFormat="1" applyFont="1" applyBorder="1" applyAlignment="1">
      <alignment horizontal="right"/>
    </xf>
    <xf numFmtId="3" fontId="10" fillId="0" borderId="13" xfId="0" applyNumberFormat="1" applyFont="1" applyFill="1" applyBorder="1" applyAlignment="1">
      <alignment horizontal="right"/>
    </xf>
    <xf numFmtId="3" fontId="10" fillId="0" borderId="59" xfId="0" applyNumberFormat="1" applyFont="1" applyBorder="1" applyAlignment="1">
      <alignment horizontal="right"/>
    </xf>
    <xf numFmtId="3" fontId="10" fillId="0" borderId="11" xfId="0" applyNumberFormat="1" applyFont="1" applyBorder="1" applyAlignment="1">
      <alignment horizontal="right"/>
    </xf>
    <xf numFmtId="0" fontId="5" fillId="0" borderId="34" xfId="0" applyFont="1" applyBorder="1"/>
    <xf numFmtId="3" fontId="10" fillId="0" borderId="36" xfId="0" applyNumberFormat="1" applyFont="1" applyBorder="1" applyAlignment="1">
      <alignment horizontal="right"/>
    </xf>
    <xf numFmtId="3" fontId="10" fillId="0" borderId="57" xfId="0" applyNumberFormat="1" applyFont="1" applyBorder="1" applyAlignment="1">
      <alignment horizontal="right"/>
    </xf>
    <xf numFmtId="3" fontId="10" fillId="0" borderId="51" xfId="0" applyNumberFormat="1" applyFont="1" applyFill="1" applyBorder="1" applyAlignment="1">
      <alignment horizontal="right"/>
    </xf>
    <xf numFmtId="3" fontId="10" fillId="0" borderId="35" xfId="0" applyNumberFormat="1" applyFont="1" applyBorder="1" applyAlignment="1">
      <alignment horizontal="right"/>
    </xf>
    <xf numFmtId="3" fontId="10" fillId="0" borderId="5" xfId="0" applyNumberFormat="1" applyFont="1" applyBorder="1" applyAlignment="1">
      <alignment horizontal="right"/>
    </xf>
    <xf numFmtId="3" fontId="0" fillId="0" borderId="12" xfId="0" applyNumberFormat="1" applyFont="1" applyBorder="1" applyAlignment="1">
      <alignment horizontal="right"/>
    </xf>
    <xf numFmtId="3" fontId="0" fillId="0" borderId="62" xfId="0" applyNumberFormat="1" applyFont="1" applyBorder="1" applyAlignment="1">
      <alignment horizontal="right"/>
    </xf>
    <xf numFmtId="3" fontId="0" fillId="0" borderId="21" xfId="0" applyNumberFormat="1" applyFont="1" applyBorder="1" applyAlignment="1">
      <alignment horizontal="right"/>
    </xf>
    <xf numFmtId="3" fontId="1" fillId="0" borderId="8" xfId="0" applyNumberFormat="1" applyFont="1" applyBorder="1" applyAlignment="1">
      <alignment horizontal="right"/>
    </xf>
    <xf numFmtId="3" fontId="0" fillId="0" borderId="3" xfId="0" applyNumberFormat="1" applyFill="1" applyBorder="1" applyAlignment="1">
      <alignment horizontal="right"/>
    </xf>
    <xf numFmtId="3" fontId="4" fillId="0" borderId="21" xfId="0" applyNumberFormat="1" applyFont="1" applyBorder="1" applyAlignment="1">
      <alignment horizontal="right"/>
    </xf>
    <xf numFmtId="3" fontId="4" fillId="0" borderId="62" xfId="0" applyNumberFormat="1" applyFont="1" applyBorder="1" applyAlignment="1">
      <alignment horizontal="right"/>
    </xf>
    <xf numFmtId="3" fontId="0" fillId="0" borderId="27" xfId="0" applyNumberFormat="1" applyFont="1" applyBorder="1" applyAlignment="1">
      <alignment horizontal="right"/>
    </xf>
    <xf numFmtId="0" fontId="4" fillId="0" borderId="2" xfId="0" applyFont="1" applyBorder="1"/>
    <xf numFmtId="3" fontId="1" fillId="0" borderId="11" xfId="0" applyNumberFormat="1" applyFont="1" applyBorder="1" applyAlignment="1">
      <alignment horizontal="right"/>
    </xf>
    <xf numFmtId="3" fontId="1" fillId="0" borderId="15" xfId="0" applyNumberFormat="1" applyFont="1" applyBorder="1" applyAlignment="1">
      <alignment horizontal="right"/>
    </xf>
    <xf numFmtId="3" fontId="1" fillId="0" borderId="19" xfId="0" applyNumberFormat="1" applyFont="1" applyBorder="1" applyAlignment="1">
      <alignment horizontal="right"/>
    </xf>
    <xf numFmtId="3" fontId="1" fillId="0" borderId="11" xfId="0" applyNumberFormat="1" applyFont="1" applyBorder="1"/>
    <xf numFmtId="3" fontId="4" fillId="0" borderId="22" xfId="0" applyNumberFormat="1" applyFont="1" applyFill="1" applyBorder="1"/>
    <xf numFmtId="3" fontId="1" fillId="0" borderId="22" xfId="0" applyNumberFormat="1" applyFont="1" applyBorder="1"/>
    <xf numFmtId="0" fontId="4" fillId="0" borderId="34" xfId="0" applyFont="1" applyBorder="1"/>
    <xf numFmtId="3" fontId="1" fillId="0" borderId="5" xfId="0" applyNumberFormat="1" applyFont="1" applyBorder="1" applyAlignment="1">
      <alignment horizontal="right"/>
    </xf>
    <xf numFmtId="3" fontId="1" fillId="0" borderId="57" xfId="0" applyNumberFormat="1" applyFont="1" applyBorder="1" applyAlignment="1">
      <alignment horizontal="right"/>
    </xf>
    <xf numFmtId="3" fontId="1" fillId="0" borderId="36" xfId="0" applyNumberFormat="1" applyFont="1" applyBorder="1" applyAlignment="1">
      <alignment horizontal="right"/>
    </xf>
    <xf numFmtId="3" fontId="4" fillId="0" borderId="52" xfId="0" applyNumberFormat="1" applyFont="1" applyFill="1" applyBorder="1"/>
    <xf numFmtId="3" fontId="1" fillId="0" borderId="13" xfId="0" applyNumberFormat="1" applyFont="1" applyFill="1" applyBorder="1" applyAlignment="1">
      <alignment horizontal="right"/>
    </xf>
    <xf numFmtId="3" fontId="1" fillId="0" borderId="59" xfId="0" applyNumberFormat="1" applyFont="1" applyBorder="1" applyAlignment="1">
      <alignment horizontal="right"/>
    </xf>
    <xf numFmtId="3" fontId="1" fillId="0" borderId="22" xfId="0" applyNumberFormat="1" applyFont="1" applyFill="1" applyBorder="1"/>
    <xf numFmtId="3" fontId="1" fillId="0" borderId="63" xfId="0" applyNumberFormat="1" applyFont="1" applyBorder="1"/>
    <xf numFmtId="3" fontId="1" fillId="0" borderId="0" xfId="0" applyNumberFormat="1" applyFont="1" applyBorder="1" applyAlignment="1">
      <alignment horizontal="right"/>
    </xf>
    <xf numFmtId="3" fontId="1" fillId="0" borderId="51" xfId="0" applyNumberFormat="1" applyFont="1" applyFill="1" applyBorder="1" applyAlignment="1">
      <alignment horizontal="right"/>
    </xf>
    <xf numFmtId="3" fontId="1" fillId="0" borderId="35" xfId="0" applyNumberFormat="1" applyFont="1" applyBorder="1" applyAlignment="1">
      <alignment horizontal="right"/>
    </xf>
    <xf numFmtId="0" fontId="0" fillId="0" borderId="76" xfId="0" applyFont="1" applyFill="1" applyBorder="1" applyAlignment="1">
      <alignment horizontal="left"/>
    </xf>
    <xf numFmtId="0" fontId="0" fillId="0" borderId="11" xfId="0" applyFont="1" applyFill="1" applyBorder="1"/>
    <xf numFmtId="0" fontId="0" fillId="0" borderId="50" xfId="0" applyFont="1" applyFill="1" applyBorder="1" applyAlignment="1">
      <alignment horizontal="left"/>
    </xf>
    <xf numFmtId="0" fontId="0" fillId="0" borderId="5" xfId="0" applyFont="1" applyFill="1" applyBorder="1"/>
    <xf numFmtId="3" fontId="12" fillId="0" borderId="9" xfId="0" applyNumberFormat="1" applyFont="1" applyBorder="1"/>
    <xf numFmtId="3" fontId="12" fillId="0" borderId="4" xfId="0" applyNumberFormat="1" applyFont="1" applyBorder="1"/>
    <xf numFmtId="3" fontId="0" fillId="0" borderId="14" xfId="0" applyNumberFormat="1" applyFill="1" applyBorder="1"/>
    <xf numFmtId="3" fontId="0" fillId="0" borderId="26" xfId="0" applyNumberFormat="1" applyBorder="1"/>
    <xf numFmtId="3" fontId="0" fillId="0" borderId="23" xfId="0" applyNumberFormat="1" applyFill="1" applyBorder="1"/>
    <xf numFmtId="3" fontId="0" fillId="0" borderId="67" xfId="0" applyNumberFormat="1" applyBorder="1"/>
    <xf numFmtId="3" fontId="0" fillId="0" borderId="13" xfId="0" applyNumberFormat="1" applyFill="1" applyBorder="1"/>
    <xf numFmtId="3" fontId="0" fillId="0" borderId="0" xfId="0" applyNumberFormat="1" applyFill="1" applyBorder="1"/>
    <xf numFmtId="3" fontId="0" fillId="0" borderId="0" xfId="0" applyNumberFormat="1" applyFill="1" applyBorder="1" applyAlignment="1">
      <alignment horizontal="right"/>
    </xf>
    <xf numFmtId="3" fontId="0" fillId="0" borderId="11" xfId="0" applyNumberFormat="1" applyFont="1" applyBorder="1" applyAlignment="1">
      <alignment horizontal="right"/>
    </xf>
    <xf numFmtId="3" fontId="0" fillId="0" borderId="2" xfId="0" applyNumberFormat="1" applyFont="1" applyBorder="1" applyAlignment="1">
      <alignment horizontal="right"/>
    </xf>
    <xf numFmtId="3" fontId="0" fillId="0" borderId="5" xfId="0" applyNumberFormat="1" applyFont="1" applyBorder="1" applyAlignment="1">
      <alignment horizontal="right"/>
    </xf>
    <xf numFmtId="3" fontId="0" fillId="0" borderId="34" xfId="0" applyNumberFormat="1" applyFont="1" applyBorder="1" applyAlignment="1">
      <alignment horizontal="right"/>
    </xf>
    <xf numFmtId="3" fontId="13" fillId="0" borderId="11" xfId="0" applyNumberFormat="1" applyFont="1" applyBorder="1" applyAlignment="1">
      <alignment horizontal="right"/>
    </xf>
    <xf numFmtId="3" fontId="13" fillId="0" borderId="2" xfId="0" applyNumberFormat="1" applyFont="1" applyBorder="1" applyAlignment="1">
      <alignment horizontal="right"/>
    </xf>
    <xf numFmtId="3" fontId="13" fillId="0" borderId="5" xfId="0" applyNumberFormat="1" applyFont="1" applyBorder="1" applyAlignment="1">
      <alignment horizontal="right"/>
    </xf>
    <xf numFmtId="3" fontId="13" fillId="0" borderId="34" xfId="0" applyNumberFormat="1" applyFont="1" applyBorder="1" applyAlignment="1">
      <alignment horizontal="right"/>
    </xf>
    <xf numFmtId="3" fontId="2" fillId="0" borderId="0" xfId="0" applyNumberFormat="1" applyFont="1" applyBorder="1" applyAlignment="1">
      <alignment horizontal="right"/>
    </xf>
    <xf numFmtId="3" fontId="2" fillId="0" borderId="3" xfId="0" applyNumberFormat="1" applyFont="1" applyBorder="1" applyAlignment="1">
      <alignment horizontal="right"/>
    </xf>
    <xf numFmtId="3" fontId="0" fillId="0" borderId="11" xfId="0" applyNumberFormat="1" applyFill="1" applyBorder="1" applyAlignment="1">
      <alignment horizontal="right"/>
    </xf>
    <xf numFmtId="3" fontId="0" fillId="0" borderId="2" xfId="0" applyNumberFormat="1" applyFill="1" applyBorder="1" applyAlignment="1">
      <alignment horizontal="right"/>
    </xf>
    <xf numFmtId="3" fontId="0" fillId="0" borderId="5" xfId="0" applyNumberFormat="1" applyFill="1" applyBorder="1" applyAlignment="1">
      <alignment horizontal="right"/>
    </xf>
    <xf numFmtId="3" fontId="0" fillId="0" borderId="34" xfId="0" applyNumberFormat="1" applyFill="1" applyBorder="1" applyAlignment="1">
      <alignment horizontal="right"/>
    </xf>
    <xf numFmtId="3" fontId="5" fillId="0" borderId="11" xfId="0" applyNumberFormat="1" applyFont="1" applyBorder="1" applyAlignment="1">
      <alignment horizontal="right"/>
    </xf>
    <xf numFmtId="3" fontId="5" fillId="0" borderId="2" xfId="0" applyNumberFormat="1" applyFont="1" applyBorder="1" applyAlignment="1">
      <alignment horizontal="right"/>
    </xf>
    <xf numFmtId="3" fontId="5" fillId="0" borderId="34" xfId="0" applyNumberFormat="1" applyFont="1" applyBorder="1" applyAlignment="1">
      <alignment horizontal="right"/>
    </xf>
    <xf numFmtId="3" fontId="4" fillId="0" borderId="2" xfId="0" applyNumberFormat="1" applyFont="1" applyBorder="1" applyAlignment="1">
      <alignment horizontal="right"/>
    </xf>
    <xf numFmtId="3" fontId="4" fillId="0" borderId="34" xfId="0" applyNumberFormat="1" applyFont="1" applyBorder="1" applyAlignment="1">
      <alignment horizontal="right"/>
    </xf>
    <xf numFmtId="3" fontId="0" fillId="0" borderId="10" xfId="0" applyNumberFormat="1" applyBorder="1" applyAlignment="1">
      <alignment horizontal="right"/>
    </xf>
    <xf numFmtId="3" fontId="0" fillId="0" borderId="56" xfId="0" applyNumberFormat="1" applyBorder="1" applyAlignment="1">
      <alignment horizontal="right"/>
    </xf>
    <xf numFmtId="3" fontId="0" fillId="0" borderId="16" xfId="0" applyNumberFormat="1" applyFont="1" applyBorder="1" applyAlignment="1">
      <alignment horizontal="right"/>
    </xf>
    <xf numFmtId="3" fontId="4" fillId="0" borderId="80" xfId="0" applyNumberFormat="1" applyFont="1" applyBorder="1"/>
    <xf numFmtId="3" fontId="1" fillId="0" borderId="15" xfId="0" applyNumberFormat="1" applyFont="1" applyBorder="1"/>
    <xf numFmtId="3" fontId="1" fillId="0" borderId="16" xfId="0" applyNumberFormat="1" applyFont="1" applyBorder="1"/>
    <xf numFmtId="3" fontId="4" fillId="0" borderId="81" xfId="0" applyNumberFormat="1" applyFont="1" applyBorder="1"/>
    <xf numFmtId="0" fontId="2" fillId="0" borderId="0" xfId="0" applyFont="1" applyBorder="1" applyAlignment="1">
      <alignment vertical="center"/>
    </xf>
    <xf numFmtId="3" fontId="4" fillId="0" borderId="73" xfId="0" applyNumberFormat="1" applyFont="1" applyBorder="1"/>
    <xf numFmtId="0" fontId="0" fillId="0" borderId="66" xfId="0" applyBorder="1"/>
    <xf numFmtId="3" fontId="2" fillId="0" borderId="8" xfId="0" applyNumberFormat="1" applyFont="1" applyBorder="1" applyAlignment="1">
      <alignment horizontal="right"/>
    </xf>
    <xf numFmtId="3" fontId="2" fillId="0" borderId="16" xfId="0" applyNumberFormat="1" applyFont="1" applyBorder="1" applyAlignment="1">
      <alignment horizontal="right"/>
    </xf>
    <xf numFmtId="3" fontId="2" fillId="0" borderId="62" xfId="0" applyNumberFormat="1" applyFont="1" applyBorder="1" applyAlignment="1">
      <alignment horizontal="right"/>
    </xf>
    <xf numFmtId="3" fontId="2" fillId="0" borderId="79" xfId="0" applyNumberFormat="1" applyFont="1" applyBorder="1" applyAlignment="1">
      <alignment horizontal="right"/>
    </xf>
    <xf numFmtId="3" fontId="0" fillId="0" borderId="6" xfId="0" applyNumberFormat="1" applyFont="1" applyBorder="1" applyAlignment="1">
      <alignment horizontal="right"/>
    </xf>
    <xf numFmtId="3" fontId="0" fillId="0" borderId="4" xfId="0" applyNumberFormat="1" applyFont="1" applyBorder="1" applyAlignment="1">
      <alignment horizontal="right"/>
    </xf>
    <xf numFmtId="3" fontId="4" fillId="0" borderId="66" xfId="0" applyNumberFormat="1" applyFont="1" applyBorder="1" applyAlignment="1">
      <alignment horizontal="right"/>
    </xf>
    <xf numFmtId="0" fontId="20" fillId="0" borderId="0" xfId="0" applyFont="1"/>
    <xf numFmtId="0" fontId="20" fillId="0" borderId="0" xfId="0" applyFont="1" applyFill="1" applyBorder="1"/>
    <xf numFmtId="0" fontId="20" fillId="0" borderId="0" xfId="0" applyFont="1" applyFill="1"/>
    <xf numFmtId="0" fontId="21" fillId="0" borderId="0" xfId="0" applyFont="1" applyBorder="1"/>
    <xf numFmtId="0" fontId="21" fillId="0" borderId="0" xfId="0" applyFont="1" applyFill="1" applyBorder="1"/>
    <xf numFmtId="3" fontId="4" fillId="0" borderId="27" xfId="0" applyNumberFormat="1" applyFont="1" applyBorder="1" applyAlignment="1">
      <alignment horizontal="right"/>
    </xf>
    <xf numFmtId="0" fontId="0" fillId="0" borderId="3" xfId="0" applyFont="1" applyBorder="1" applyAlignment="1">
      <alignment horizontal="center"/>
    </xf>
    <xf numFmtId="3" fontId="0" fillId="0" borderId="28" xfId="0" applyNumberFormat="1" applyFill="1" applyBorder="1" applyAlignment="1">
      <alignment horizontal="right"/>
    </xf>
    <xf numFmtId="0" fontId="4" fillId="0" borderId="12" xfId="0" applyFont="1" applyFill="1" applyBorder="1"/>
    <xf numFmtId="3" fontId="0" fillId="0" borderId="28" xfId="0" applyNumberFormat="1" applyFont="1" applyBorder="1" applyAlignment="1">
      <alignment horizontal="right"/>
    </xf>
    <xf numFmtId="3" fontId="0" fillId="0" borderId="18" xfId="0" applyNumberFormat="1" applyFont="1" applyBorder="1" applyAlignment="1">
      <alignment horizontal="right"/>
    </xf>
    <xf numFmtId="3" fontId="4" fillId="0" borderId="3" xfId="0" applyNumberFormat="1" applyFont="1" applyFill="1" applyBorder="1" applyAlignment="1">
      <alignment horizontal="right"/>
    </xf>
    <xf numFmtId="3" fontId="4" fillId="0" borderId="62" xfId="0" applyNumberFormat="1" applyFont="1" applyFill="1" applyBorder="1" applyAlignment="1">
      <alignment horizontal="right"/>
    </xf>
    <xf numFmtId="3" fontId="0" fillId="0" borderId="0" xfId="0" applyNumberFormat="1" applyFont="1" applyFill="1" applyBorder="1" applyAlignment="1">
      <alignment horizontal="right"/>
    </xf>
    <xf numFmtId="0" fontId="4" fillId="0" borderId="62" xfId="0" applyFont="1" applyBorder="1"/>
    <xf numFmtId="0" fontId="1" fillId="0" borderId="0" xfId="0" applyFont="1" applyBorder="1"/>
    <xf numFmtId="0" fontId="0" fillId="0" borderId="0" xfId="0" applyFont="1" applyBorder="1"/>
    <xf numFmtId="0" fontId="2" fillId="0" borderId="0" xfId="0" applyFont="1" applyFill="1" applyBorder="1" applyAlignment="1">
      <alignment horizontal="left"/>
    </xf>
    <xf numFmtId="0" fontId="2" fillId="0" borderId="0" xfId="0" applyFont="1" applyBorder="1" applyAlignment="1">
      <alignment horizontal="left"/>
    </xf>
    <xf numFmtId="0" fontId="13" fillId="0" borderId="0" xfId="0" applyFont="1" applyBorder="1"/>
    <xf numFmtId="3" fontId="8" fillId="0" borderId="0" xfId="0" applyNumberFormat="1" applyFont="1" applyFill="1" applyBorder="1" applyAlignment="1">
      <alignment horizontal="right"/>
    </xf>
    <xf numFmtId="3" fontId="10" fillId="0" borderId="0" xfId="0" applyNumberFormat="1" applyFont="1" applyBorder="1" applyAlignment="1">
      <alignment horizontal="right"/>
    </xf>
    <xf numFmtId="0" fontId="5" fillId="0" borderId="0" xfId="0" applyFont="1" applyBorder="1"/>
    <xf numFmtId="3" fontId="10" fillId="0" borderId="0" xfId="0" applyNumberFormat="1" applyFont="1" applyFill="1" applyBorder="1" applyAlignment="1">
      <alignment horizontal="right"/>
    </xf>
    <xf numFmtId="0" fontId="5" fillId="0" borderId="0" xfId="0" applyFont="1" applyBorder="1" applyAlignment="1">
      <alignment horizontal="left"/>
    </xf>
    <xf numFmtId="3" fontId="1" fillId="0" borderId="0" xfId="0" applyNumberFormat="1" applyFont="1" applyFill="1" applyBorder="1"/>
    <xf numFmtId="3" fontId="1" fillId="0" borderId="0" xfId="0" applyNumberFormat="1" applyFont="1" applyFill="1" applyBorder="1" applyAlignment="1">
      <alignment horizontal="right"/>
    </xf>
    <xf numFmtId="0" fontId="12" fillId="0" borderId="34" xfId="0" applyFont="1" applyBorder="1"/>
    <xf numFmtId="3" fontId="0" fillId="0" borderId="74" xfId="0" applyNumberFormat="1" applyBorder="1"/>
    <xf numFmtId="0" fontId="0" fillId="0" borderId="59" xfId="0" applyFill="1" applyBorder="1"/>
    <xf numFmtId="3" fontId="0" fillId="0" borderId="35" xfId="0" applyNumberFormat="1" applyFill="1" applyBorder="1"/>
    <xf numFmtId="0" fontId="0" fillId="0" borderId="14" xfId="0" applyBorder="1" applyAlignment="1">
      <alignment vertical="center"/>
    </xf>
    <xf numFmtId="0" fontId="2" fillId="0" borderId="13" xfId="0" applyFont="1" applyBorder="1" applyAlignment="1">
      <alignment horizontal="center" vertical="center"/>
    </xf>
    <xf numFmtId="0" fontId="2" fillId="0" borderId="12" xfId="0" applyFont="1" applyBorder="1" applyAlignment="1">
      <alignment horizontal="center" vertical="center"/>
    </xf>
    <xf numFmtId="0" fontId="2" fillId="0" borderId="19" xfId="0" applyFont="1" applyBorder="1" applyAlignment="1">
      <alignment horizontal="center" vertical="center"/>
    </xf>
    <xf numFmtId="0" fontId="2" fillId="0" borderId="18" xfId="0" applyFont="1" applyBorder="1" applyAlignment="1">
      <alignment horizontal="center" vertical="center"/>
    </xf>
    <xf numFmtId="0" fontId="2" fillId="0" borderId="24" xfId="0" applyFont="1" applyBorder="1" applyAlignment="1">
      <alignment horizontal="center" vertical="center"/>
    </xf>
    <xf numFmtId="0" fontId="0" fillId="0" borderId="0" xfId="0" applyBorder="1" applyAlignment="1">
      <alignment vertical="center"/>
    </xf>
    <xf numFmtId="3" fontId="4" fillId="0" borderId="82" xfId="0" applyNumberFormat="1" applyFont="1" applyBorder="1"/>
    <xf numFmtId="0" fontId="2" fillId="0" borderId="14" xfId="0" applyFont="1" applyBorder="1" applyAlignment="1">
      <alignment horizontal="center" vertical="center"/>
    </xf>
    <xf numFmtId="0" fontId="2" fillId="0" borderId="63" xfId="0" applyFont="1" applyBorder="1" applyAlignment="1">
      <alignment horizontal="center" vertical="center"/>
    </xf>
    <xf numFmtId="0" fontId="2" fillId="0" borderId="62" xfId="0" applyFont="1" applyBorder="1" applyAlignment="1">
      <alignment horizontal="center" vertical="center"/>
    </xf>
    <xf numFmtId="0" fontId="2" fillId="0" borderId="67" xfId="0" applyFont="1" applyBorder="1" applyAlignment="1">
      <alignment horizontal="center" vertical="center"/>
    </xf>
    <xf numFmtId="0" fontId="0" fillId="0" borderId="19" xfId="0" applyBorder="1" applyAlignment="1">
      <alignment horizontal="center"/>
    </xf>
    <xf numFmtId="3" fontId="4" fillId="0" borderId="83" xfId="0" applyNumberFormat="1" applyFont="1" applyBorder="1"/>
    <xf numFmtId="0" fontId="0" fillId="0" borderId="8" xfId="0" applyFont="1" applyBorder="1" applyAlignment="1">
      <alignment horizontal="center"/>
    </xf>
    <xf numFmtId="3" fontId="2" fillId="0" borderId="28" xfId="0" applyNumberFormat="1" applyFont="1" applyBorder="1" applyAlignment="1">
      <alignment horizontal="right"/>
    </xf>
    <xf numFmtId="0" fontId="0" fillId="0" borderId="27" xfId="0" applyFill="1" applyBorder="1" applyAlignment="1">
      <alignment horizontal="center"/>
    </xf>
    <xf numFmtId="3" fontId="0" fillId="0" borderId="50" xfId="0" applyNumberFormat="1" applyFill="1" applyBorder="1"/>
    <xf numFmtId="3" fontId="4" fillId="0" borderId="44" xfId="0" applyNumberFormat="1" applyFont="1" applyBorder="1"/>
    <xf numFmtId="3" fontId="4" fillId="0" borderId="84" xfId="0" applyNumberFormat="1" applyFont="1" applyBorder="1"/>
    <xf numFmtId="0" fontId="17" fillId="0" borderId="0" xfId="0" applyFont="1" applyBorder="1"/>
    <xf numFmtId="0" fontId="17" fillId="0" borderId="0" xfId="0" applyFont="1"/>
    <xf numFmtId="0" fontId="17" fillId="0" borderId="0" xfId="0" applyFont="1" applyFill="1" applyBorder="1"/>
    <xf numFmtId="0" fontId="17" fillId="0" borderId="0" xfId="0" applyFont="1" applyFill="1"/>
    <xf numFmtId="3" fontId="11" fillId="0" borderId="18" xfId="0" applyNumberFormat="1" applyFont="1" applyBorder="1" applyAlignment="1">
      <alignment horizontal="right"/>
    </xf>
    <xf numFmtId="0" fontId="0" fillId="0" borderId="60" xfId="0" applyBorder="1" applyAlignment="1">
      <alignment vertical="center"/>
    </xf>
    <xf numFmtId="3" fontId="11" fillId="0" borderId="3" xfId="0" applyNumberFormat="1" applyFont="1" applyBorder="1"/>
    <xf numFmtId="3" fontId="11" fillId="0" borderId="8" xfId="0" applyNumberFormat="1" applyFont="1" applyBorder="1"/>
    <xf numFmtId="3" fontId="11" fillId="0" borderId="27" xfId="0" applyNumberFormat="1" applyFont="1" applyBorder="1"/>
    <xf numFmtId="3" fontId="11" fillId="0" borderId="18" xfId="0" applyNumberFormat="1" applyFont="1" applyBorder="1"/>
    <xf numFmtId="0" fontId="3" fillId="0" borderId="0" xfId="0" applyFont="1" applyAlignment="1">
      <alignment horizontal="left"/>
    </xf>
    <xf numFmtId="0" fontId="0" fillId="0" borderId="8" xfId="0" applyFill="1" applyBorder="1" applyAlignment="1">
      <alignment horizontal="left"/>
    </xf>
    <xf numFmtId="0" fontId="0" fillId="0" borderId="6" xfId="0" applyFont="1" applyBorder="1" applyAlignment="1">
      <alignment horizontal="center"/>
    </xf>
    <xf numFmtId="0" fontId="0" fillId="0" borderId="3" xfId="0" applyFont="1" applyBorder="1" applyAlignment="1">
      <alignment horizontal="center"/>
    </xf>
    <xf numFmtId="0" fontId="0" fillId="0" borderId="4" xfId="0" applyFont="1" applyBorder="1" applyAlignment="1">
      <alignment horizontal="center"/>
    </xf>
    <xf numFmtId="0" fontId="2" fillId="0" borderId="6"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1" fillId="0" borderId="48" xfId="0" applyFont="1" applyBorder="1" applyAlignment="1">
      <alignment horizontal="left" vertical="center"/>
    </xf>
    <xf numFmtId="0" fontId="11" fillId="0" borderId="29" xfId="0" applyFont="1" applyBorder="1" applyAlignment="1">
      <alignment horizontal="left" vertical="center"/>
    </xf>
    <xf numFmtId="0" fontId="11" fillId="0" borderId="17" xfId="0" applyFont="1" applyBorder="1" applyAlignment="1">
      <alignment horizontal="left" vertical="center"/>
    </xf>
    <xf numFmtId="0" fontId="11" fillId="0" borderId="23" xfId="0" applyFont="1" applyBorder="1" applyAlignment="1">
      <alignment horizontal="left" vertical="center"/>
    </xf>
    <xf numFmtId="0" fontId="2" fillId="0" borderId="48" xfId="0" applyFont="1" applyBorder="1" applyAlignment="1">
      <alignment vertical="center"/>
    </xf>
    <xf numFmtId="0" fontId="2" fillId="0" borderId="29" xfId="0" applyFont="1" applyBorder="1" applyAlignment="1">
      <alignment vertical="center"/>
    </xf>
    <xf numFmtId="0" fontId="2" fillId="0" borderId="17" xfId="0" applyFont="1" applyBorder="1" applyAlignment="1">
      <alignment vertical="center"/>
    </xf>
    <xf numFmtId="0" fontId="2" fillId="0" borderId="23" xfId="0" applyFont="1" applyBorder="1" applyAlignment="1">
      <alignment vertical="center"/>
    </xf>
    <xf numFmtId="0" fontId="2" fillId="0" borderId="7" xfId="0" applyFont="1" applyBorder="1" applyAlignment="1">
      <alignment horizontal="center" vertical="center"/>
    </xf>
    <xf numFmtId="0" fontId="2" fillId="0" borderId="30" xfId="0" applyFont="1" applyBorder="1" applyAlignment="1">
      <alignment horizontal="center" vertical="center"/>
    </xf>
    <xf numFmtId="0" fontId="2" fillId="0" borderId="9" xfId="0" applyFont="1" applyBorder="1" applyAlignment="1">
      <alignment horizontal="center" vertical="center"/>
    </xf>
    <xf numFmtId="0" fontId="2" fillId="0" borderId="26" xfId="0" applyFont="1" applyBorder="1" applyAlignment="1">
      <alignment horizontal="center" vertical="center"/>
    </xf>
    <xf numFmtId="0" fontId="2" fillId="0" borderId="65" xfId="0" applyFont="1" applyBorder="1" applyAlignment="1">
      <alignment horizontal="center" vertical="center"/>
    </xf>
    <xf numFmtId="0" fontId="2" fillId="0" borderId="69" xfId="0" applyFont="1" applyBorder="1" applyAlignment="1">
      <alignment horizontal="center" vertical="center"/>
    </xf>
    <xf numFmtId="0" fontId="2" fillId="0" borderId="20" xfId="0" applyFont="1" applyBorder="1" applyAlignment="1">
      <alignment horizontal="center" vertical="center"/>
    </xf>
    <xf numFmtId="0" fontId="2" fillId="0" borderId="1" xfId="0" applyFont="1" applyBorder="1" applyAlignment="1">
      <alignment horizontal="center" vertical="center"/>
    </xf>
    <xf numFmtId="0" fontId="0" fillId="0" borderId="20" xfId="0" applyBorder="1" applyAlignment="1">
      <alignment horizontal="center" vertical="center"/>
    </xf>
    <xf numFmtId="0" fontId="0" fillId="0" borderId="29" xfId="0" applyBorder="1" applyAlignment="1">
      <alignment horizontal="center" vertical="center"/>
    </xf>
    <xf numFmtId="0" fontId="0" fillId="0" borderId="9" xfId="0" applyBorder="1" applyAlignment="1">
      <alignment horizontal="center" vertical="center"/>
    </xf>
    <xf numFmtId="0" fontId="0" fillId="0" borderId="1" xfId="0" applyBorder="1" applyAlignment="1">
      <alignment horizontal="center" vertical="center"/>
    </xf>
    <xf numFmtId="0" fontId="0" fillId="0" borderId="23" xfId="0" applyBorder="1" applyAlignment="1">
      <alignment horizontal="center" vertical="center"/>
    </xf>
    <xf numFmtId="0" fontId="2" fillId="0" borderId="48" xfId="0" applyFont="1" applyBorder="1" applyAlignment="1">
      <alignment horizontal="center" vertical="center"/>
    </xf>
    <xf numFmtId="0" fontId="2" fillId="0" borderId="17"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9" xfId="0" applyBorder="1" applyAlignment="1">
      <alignment horizontal="center" vertical="center"/>
    </xf>
    <xf numFmtId="0" fontId="0" fillId="0" borderId="18" xfId="0" applyBorder="1" applyAlignment="1">
      <alignment horizontal="center" vertical="center"/>
    </xf>
    <xf numFmtId="0" fontId="0" fillId="0" borderId="24" xfId="0" applyBorder="1" applyAlignment="1">
      <alignment horizontal="center" vertical="center"/>
    </xf>
    <xf numFmtId="0" fontId="0" fillId="0" borderId="13" xfId="0"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center" vertical="center"/>
    </xf>
    <xf numFmtId="0" fontId="0" fillId="0" borderId="63" xfId="0" applyBorder="1" applyAlignment="1">
      <alignment horizontal="center" vertical="center"/>
    </xf>
    <xf numFmtId="0" fontId="0" fillId="0" borderId="62" xfId="0" applyBorder="1" applyAlignment="1">
      <alignment horizontal="center" vertical="center"/>
    </xf>
    <xf numFmtId="0" fontId="0" fillId="0" borderId="67" xfId="0" applyBorder="1" applyAlignment="1">
      <alignment horizontal="center" vertical="center"/>
    </xf>
    <xf numFmtId="0" fontId="0" fillId="0" borderId="0" xfId="0" applyBorder="1" applyAlignment="1">
      <alignment horizontal="center" vertical="center"/>
    </xf>
    <xf numFmtId="0" fontId="4" fillId="0" borderId="19" xfId="0" applyFont="1" applyBorder="1" applyAlignment="1">
      <alignment horizontal="center" vertical="center"/>
    </xf>
    <xf numFmtId="0" fontId="4" fillId="0" borderId="18" xfId="0" applyFont="1" applyBorder="1" applyAlignment="1">
      <alignment horizontal="center" vertical="center"/>
    </xf>
    <xf numFmtId="0" fontId="4" fillId="0" borderId="24" xfId="0" applyFont="1" applyBorder="1" applyAlignment="1">
      <alignment horizontal="center" vertical="center"/>
    </xf>
    <xf numFmtId="0" fontId="0" fillId="0" borderId="13" xfId="0" applyFill="1" applyBorder="1" applyAlignment="1">
      <alignment horizontal="center" vertical="center"/>
    </xf>
    <xf numFmtId="0" fontId="0" fillId="0" borderId="12" xfId="0" applyFill="1" applyBorder="1" applyAlignment="1">
      <alignment horizontal="center" vertical="center"/>
    </xf>
    <xf numFmtId="0" fontId="0" fillId="0" borderId="14" xfId="0" applyFill="1" applyBorder="1" applyAlignment="1">
      <alignment horizontal="center" vertical="center"/>
    </xf>
    <xf numFmtId="0" fontId="0" fillId="0" borderId="59" xfId="0" applyBorder="1" applyAlignment="1">
      <alignment horizontal="center" vertical="center"/>
    </xf>
    <xf numFmtId="0" fontId="0" fillId="0" borderId="28" xfId="0" applyBorder="1" applyAlignment="1">
      <alignment horizontal="center" vertical="center"/>
    </xf>
    <xf numFmtId="0" fontId="0" fillId="0" borderId="25" xfId="0" applyBorder="1" applyAlignment="1">
      <alignment horizontal="center" vertical="center"/>
    </xf>
    <xf numFmtId="0" fontId="2" fillId="0" borderId="2" xfId="0" applyFont="1" applyBorder="1" applyAlignment="1">
      <alignment horizontal="center" vertical="center"/>
    </xf>
    <xf numFmtId="0" fontId="19" fillId="0" borderId="6" xfId="0" applyFont="1" applyBorder="1" applyAlignment="1">
      <alignment horizontal="center" vertical="center" textRotation="90"/>
    </xf>
    <xf numFmtId="0" fontId="19" fillId="0" borderId="3" xfId="0" applyFont="1" applyBorder="1" applyAlignment="1">
      <alignment horizontal="center" vertical="center" textRotation="90"/>
    </xf>
    <xf numFmtId="0" fontId="19" fillId="0" borderId="4" xfId="0" applyFont="1" applyBorder="1" applyAlignment="1">
      <alignment horizontal="center" vertical="center" textRotation="90"/>
    </xf>
    <xf numFmtId="0" fontId="0" fillId="0" borderId="15" xfId="0" applyBorder="1" applyAlignment="1">
      <alignment horizontal="center" vertical="center"/>
    </xf>
    <xf numFmtId="0" fontId="0" fillId="0" borderId="11" xfId="0" applyBorder="1" applyAlignment="1">
      <alignment horizontal="center" vertical="center"/>
    </xf>
    <xf numFmtId="0" fontId="0" fillId="0" borderId="17" xfId="0"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0" fillId="0" borderId="22" xfId="0"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9" xfId="0" applyFont="1" applyBorder="1" applyAlignment="1">
      <alignment horizontal="center" vertical="center"/>
    </xf>
    <xf numFmtId="0" fontId="4" fillId="0" borderId="1" xfId="0" applyFont="1" applyBorder="1" applyAlignment="1">
      <alignment horizontal="center" vertical="center"/>
    </xf>
    <xf numFmtId="0" fontId="4" fillId="0" borderId="15" xfId="0" applyFont="1" applyBorder="1" applyAlignment="1">
      <alignment horizontal="center" vertical="center"/>
    </xf>
    <xf numFmtId="0" fontId="4" fillId="0" borderId="17"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76" xfId="0" applyFont="1" applyBorder="1" applyAlignment="1">
      <alignment horizontal="center" vertical="center"/>
    </xf>
    <xf numFmtId="0" fontId="0" fillId="0" borderId="10" xfId="0" applyBorder="1" applyAlignment="1">
      <alignment horizontal="center" vertical="center"/>
    </xf>
    <xf numFmtId="0" fontId="0" fillId="0" borderId="76" xfId="0" applyBorder="1" applyAlignment="1">
      <alignment horizontal="center" vertical="center"/>
    </xf>
    <xf numFmtId="0" fontId="0" fillId="0" borderId="26" xfId="0" applyBorder="1" applyAlignment="1">
      <alignment horizontal="center" vertical="center"/>
    </xf>
    <xf numFmtId="0" fontId="4" fillId="0" borderId="76" xfId="0" applyFont="1" applyBorder="1" applyAlignment="1">
      <alignment horizontal="center" vertical="center"/>
    </xf>
    <xf numFmtId="0" fontId="4" fillId="0" borderId="26" xfId="0" applyFont="1" applyBorder="1" applyAlignment="1">
      <alignment horizontal="center" vertical="center"/>
    </xf>
    <xf numFmtId="0" fontId="2" fillId="0" borderId="70" xfId="0" applyFont="1" applyBorder="1" applyAlignment="1">
      <alignment horizontal="center" vertical="center"/>
    </xf>
    <xf numFmtId="0" fontId="0" fillId="0" borderId="70" xfId="0" applyBorder="1" applyAlignment="1">
      <alignment horizontal="center" vertical="center"/>
    </xf>
    <xf numFmtId="0" fontId="0" fillId="0" borderId="69" xfId="0" applyBorder="1" applyAlignment="1">
      <alignment horizontal="center" vertical="center"/>
    </xf>
    <xf numFmtId="0" fontId="0" fillId="0" borderId="59" xfId="0" applyFill="1" applyBorder="1" applyAlignment="1">
      <alignment horizontal="center" vertical="center"/>
    </xf>
    <xf numFmtId="0" fontId="0" fillId="0" borderId="25" xfId="0" applyFill="1" applyBorder="1" applyAlignment="1">
      <alignment horizontal="center" vertical="center"/>
    </xf>
    <xf numFmtId="0" fontId="2" fillId="0" borderId="13" xfId="0" applyFont="1" applyBorder="1" applyAlignment="1">
      <alignment horizontal="center" vertical="center"/>
    </xf>
    <xf numFmtId="0" fontId="2" fillId="0" borderId="12" xfId="0" applyFont="1" applyBorder="1" applyAlignment="1">
      <alignment horizontal="center" vertical="center"/>
    </xf>
    <xf numFmtId="0" fontId="2" fillId="0" borderId="14" xfId="0" applyFont="1" applyBorder="1" applyAlignment="1">
      <alignment horizontal="center" vertical="center"/>
    </xf>
    <xf numFmtId="0" fontId="2" fillId="0" borderId="59" xfId="0" applyFont="1" applyBorder="1" applyAlignment="1">
      <alignment horizontal="center" vertical="center"/>
    </xf>
    <xf numFmtId="0" fontId="2" fillId="0" borderId="28" xfId="0" applyFont="1" applyBorder="1" applyAlignment="1">
      <alignment horizontal="center" vertical="center"/>
    </xf>
    <xf numFmtId="0" fontId="2" fillId="0" borderId="25" xfId="0" applyFont="1" applyBorder="1" applyAlignment="1">
      <alignment horizontal="center" vertical="center"/>
    </xf>
    <xf numFmtId="0" fontId="11" fillId="0" borderId="19" xfId="0" applyFont="1" applyBorder="1" applyAlignment="1">
      <alignment horizontal="center" vertical="center"/>
    </xf>
    <xf numFmtId="0" fontId="11" fillId="0" borderId="18" xfId="0" applyFont="1" applyBorder="1" applyAlignment="1">
      <alignment horizontal="center" vertical="center"/>
    </xf>
    <xf numFmtId="0" fontId="11" fillId="0" borderId="24" xfId="0" applyFont="1" applyBorder="1" applyAlignment="1">
      <alignment horizontal="center" vertical="center"/>
    </xf>
    <xf numFmtId="0" fontId="11" fillId="0" borderId="13" xfId="0" applyFont="1" applyBorder="1" applyAlignment="1">
      <alignment horizontal="center" vertical="center"/>
    </xf>
    <xf numFmtId="0" fontId="11" fillId="0" borderId="12" xfId="0" applyFont="1" applyBorder="1" applyAlignment="1">
      <alignment horizontal="center" vertical="center"/>
    </xf>
    <xf numFmtId="0" fontId="11" fillId="0" borderId="14" xfId="0" applyFont="1" applyBorder="1" applyAlignment="1">
      <alignment horizontal="center" vertical="center"/>
    </xf>
    <xf numFmtId="0" fontId="2" fillId="0" borderId="15" xfId="0" applyFont="1" applyBorder="1" applyAlignment="1">
      <alignment horizontal="center" vertical="center"/>
    </xf>
    <xf numFmtId="0" fontId="0" fillId="0" borderId="16" xfId="0" applyBorder="1" applyAlignment="1">
      <alignment horizontal="center" vertical="center"/>
    </xf>
    <xf numFmtId="0" fontId="2" fillId="0" borderId="13" xfId="0" applyFont="1" applyFill="1" applyBorder="1" applyAlignment="1">
      <alignment horizontal="center" vertical="center"/>
    </xf>
  </cellXfs>
  <cellStyles count="7">
    <cellStyle name="Followed Hyperlink" xfId="2" builtinId="9" hidden="1"/>
    <cellStyle name="Followed Hyperlink" xfId="4" builtinId="9" hidden="1"/>
    <cellStyle name="Followed Hyperlink" xfId="6" builtinId="9" hidden="1"/>
    <cellStyle name="Hyperlink" xfId="1" builtinId="8" hidden="1"/>
    <cellStyle name="Hyperlink" xfId="3" builtinId="8" hidden="1"/>
    <cellStyle name="Hyperlink" xfId="5" builtinId="8" hidden="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 Id="rId17"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1"/>
  </sheetPr>
  <dimension ref="A2:X231"/>
  <sheetViews>
    <sheetView tabSelected="1" workbookViewId="0">
      <pane xSplit="3" ySplit="9" topLeftCell="D10" activePane="bottomRight" state="frozen"/>
      <selection pane="topRight" activeCell="D1" sqref="D1"/>
      <selection pane="bottomLeft" activeCell="A10" sqref="A10"/>
      <selection pane="bottomRight" activeCell="D10" sqref="D10"/>
    </sheetView>
  </sheetViews>
  <sheetFormatPr baseColWidth="10" defaultColWidth="11.5" defaultRowHeight="14" x14ac:dyDescent="0"/>
  <cols>
    <col min="1" max="1" width="30.5" customWidth="1"/>
    <col min="2" max="2" width="21.5" customWidth="1"/>
    <col min="3" max="3" width="6" customWidth="1"/>
    <col min="4" max="4" width="9.33203125" customWidth="1"/>
    <col min="5" max="5" width="13.5" customWidth="1"/>
    <col min="6" max="6" width="14.1640625" customWidth="1"/>
    <col min="7" max="7" width="13.1640625" style="68" customWidth="1"/>
    <col min="8" max="8" width="14.33203125" customWidth="1"/>
    <col min="9" max="9" width="12.5" customWidth="1"/>
    <col min="10" max="10" width="16.5" customWidth="1"/>
    <col min="11" max="11" width="13.1640625" customWidth="1"/>
    <col min="12" max="12" width="14.5" style="73" customWidth="1"/>
    <col min="13" max="13" width="15.6640625" customWidth="1"/>
    <col min="14" max="14" width="15.1640625" customWidth="1"/>
    <col min="15" max="15" width="13.83203125" customWidth="1"/>
    <col min="16" max="16" width="15" customWidth="1"/>
  </cols>
  <sheetData>
    <row r="2" spans="1:24" ht="18">
      <c r="A2" s="1" t="s">
        <v>43</v>
      </c>
      <c r="B2" s="262" t="s">
        <v>320</v>
      </c>
      <c r="C2" s="262"/>
      <c r="D2" s="262"/>
      <c r="E2" s="262"/>
      <c r="F2" s="262"/>
      <c r="G2" s="263"/>
      <c r="H2" s="262"/>
      <c r="I2" s="262"/>
      <c r="J2" s="262"/>
      <c r="K2" s="262"/>
      <c r="L2" s="264"/>
      <c r="M2" s="264"/>
      <c r="N2" s="264"/>
      <c r="V2" s="262"/>
      <c r="W2" s="262"/>
      <c r="X2" s="262"/>
    </row>
    <row r="3" spans="1:24" s="31" customFormat="1" ht="15">
      <c r="B3" s="262" t="s">
        <v>321</v>
      </c>
      <c r="C3" s="262"/>
      <c r="D3" s="262"/>
      <c r="E3" s="262"/>
      <c r="F3" s="262"/>
      <c r="G3" s="262"/>
      <c r="H3" s="262"/>
      <c r="L3" s="68"/>
      <c r="M3" s="68"/>
      <c r="N3" s="68"/>
    </row>
    <row r="4" spans="1:24" s="31" customFormat="1" ht="16" thickBot="1">
      <c r="B4" s="262"/>
      <c r="C4" s="262"/>
      <c r="D4" s="262"/>
      <c r="E4" s="262"/>
      <c r="F4" s="262"/>
      <c r="G4" s="262"/>
      <c r="H4" s="262"/>
      <c r="L4" s="68"/>
      <c r="M4" s="68"/>
      <c r="N4" s="68"/>
    </row>
    <row r="5" spans="1:24" s="31" customFormat="1" ht="15" thickTop="1">
      <c r="A5" s="64"/>
      <c r="B5" s="64"/>
      <c r="C5" s="707" t="s">
        <v>35</v>
      </c>
      <c r="D5" s="33"/>
      <c r="E5" s="65"/>
      <c r="F5" s="66"/>
      <c r="G5" s="280"/>
      <c r="H5" s="64"/>
      <c r="I5" s="53"/>
      <c r="J5" s="33"/>
      <c r="K5" s="65"/>
      <c r="L5" s="77"/>
      <c r="M5" s="65"/>
      <c r="N5" s="66"/>
      <c r="O5" s="33"/>
      <c r="P5" s="66"/>
    </row>
    <row r="6" spans="1:24">
      <c r="A6" s="59" t="s">
        <v>42</v>
      </c>
      <c r="B6" s="59"/>
      <c r="C6" s="708"/>
      <c r="D6" s="114" t="s">
        <v>44</v>
      </c>
      <c r="E6" s="115" t="s">
        <v>45</v>
      </c>
      <c r="F6" s="61" t="s">
        <v>9</v>
      </c>
      <c r="G6" s="281" t="s">
        <v>10</v>
      </c>
      <c r="H6" s="90" t="s">
        <v>6</v>
      </c>
      <c r="I6" s="88" t="s">
        <v>12</v>
      </c>
      <c r="J6" s="2" t="s">
        <v>13</v>
      </c>
      <c r="K6" s="56" t="s">
        <v>14</v>
      </c>
      <c r="L6" s="78" t="s">
        <v>14</v>
      </c>
      <c r="M6" s="56" t="s">
        <v>15</v>
      </c>
      <c r="N6" s="61" t="s">
        <v>13</v>
      </c>
      <c r="O6" s="2" t="s">
        <v>16</v>
      </c>
      <c r="P6" s="61" t="s">
        <v>16</v>
      </c>
    </row>
    <row r="7" spans="1:24">
      <c r="A7" s="138">
        <v>4145</v>
      </c>
      <c r="B7" s="138"/>
      <c r="C7" s="708"/>
      <c r="D7" s="95" t="s">
        <v>0</v>
      </c>
      <c r="E7" s="58" t="s">
        <v>8</v>
      </c>
      <c r="F7" s="61" t="s">
        <v>7</v>
      </c>
      <c r="G7" s="281" t="s">
        <v>11</v>
      </c>
      <c r="H7" s="90" t="s">
        <v>7</v>
      </c>
      <c r="I7" s="89" t="s">
        <v>17</v>
      </c>
      <c r="J7" s="60" t="s">
        <v>18</v>
      </c>
      <c r="K7" s="56" t="s">
        <v>17</v>
      </c>
      <c r="L7" s="79" t="s">
        <v>18</v>
      </c>
      <c r="M7" s="56" t="s">
        <v>19</v>
      </c>
      <c r="N7" s="61" t="s">
        <v>20</v>
      </c>
      <c r="O7" s="47" t="s">
        <v>19</v>
      </c>
      <c r="P7" s="61" t="s">
        <v>20</v>
      </c>
    </row>
    <row r="8" spans="1:24" s="31" customFormat="1">
      <c r="A8" s="44"/>
      <c r="B8" s="44"/>
      <c r="C8" s="709"/>
      <c r="D8" s="3"/>
      <c r="E8" s="57"/>
      <c r="F8" s="41"/>
      <c r="G8" s="282"/>
      <c r="H8" s="91"/>
      <c r="I8" s="39"/>
      <c r="J8" s="3"/>
      <c r="K8" s="57"/>
      <c r="L8" s="80"/>
      <c r="M8" s="57"/>
      <c r="N8" s="62"/>
      <c r="O8" s="19"/>
      <c r="P8" s="62"/>
    </row>
    <row r="9" spans="1:24" ht="16" thickBot="1">
      <c r="A9" s="144" t="s">
        <v>5</v>
      </c>
      <c r="B9" s="172"/>
      <c r="C9" s="109"/>
      <c r="D9" s="116"/>
      <c r="E9" s="20"/>
      <c r="F9" s="50"/>
      <c r="G9" s="283"/>
      <c r="H9" s="48"/>
      <c r="I9" s="35"/>
      <c r="K9" s="20"/>
      <c r="M9" s="20"/>
      <c r="N9" s="50"/>
      <c r="P9" s="50"/>
    </row>
    <row r="10" spans="1:24">
      <c r="A10" s="146">
        <v>1</v>
      </c>
      <c r="B10" s="48" t="s">
        <v>87</v>
      </c>
      <c r="C10" s="8" t="s">
        <v>29</v>
      </c>
      <c r="D10" s="117">
        <f>E10+F10+G10+H10+I10+J10+K10+L10+M10+N10+O10+P10</f>
        <v>9536</v>
      </c>
      <c r="E10" s="20">
        <v>818</v>
      </c>
      <c r="F10" s="50">
        <v>857</v>
      </c>
      <c r="G10" s="283">
        <v>1666</v>
      </c>
      <c r="H10" s="48">
        <v>1431</v>
      </c>
      <c r="I10" s="35">
        <v>97</v>
      </c>
      <c r="J10">
        <v>134</v>
      </c>
      <c r="K10" s="20">
        <v>795</v>
      </c>
      <c r="L10" s="73">
        <v>674</v>
      </c>
      <c r="M10" s="20">
        <v>351</v>
      </c>
      <c r="N10" s="50">
        <v>413</v>
      </c>
      <c r="O10">
        <v>1247</v>
      </c>
      <c r="P10" s="50">
        <v>1053</v>
      </c>
    </row>
    <row r="11" spans="1:24">
      <c r="A11" s="146">
        <v>2</v>
      </c>
      <c r="B11" s="48" t="s">
        <v>88</v>
      </c>
      <c r="C11" s="4"/>
      <c r="D11" s="117">
        <f>E11+F11+G11+H11+I11+J11+K11+L11+M11+N11+O11+P11</f>
        <v>9882</v>
      </c>
      <c r="E11" s="20">
        <v>506</v>
      </c>
      <c r="F11" s="50">
        <v>544</v>
      </c>
      <c r="G11" s="283">
        <v>703</v>
      </c>
      <c r="H11" s="48">
        <v>571</v>
      </c>
      <c r="I11" s="35">
        <v>420</v>
      </c>
      <c r="J11" s="26">
        <v>564</v>
      </c>
      <c r="K11" s="20">
        <v>2564</v>
      </c>
      <c r="L11" s="73">
        <v>2675</v>
      </c>
      <c r="M11" s="20">
        <v>235</v>
      </c>
      <c r="N11" s="50">
        <v>240</v>
      </c>
      <c r="O11">
        <v>468</v>
      </c>
      <c r="P11" s="50">
        <v>392</v>
      </c>
    </row>
    <row r="12" spans="1:24">
      <c r="A12" s="146">
        <v>3</v>
      </c>
      <c r="B12" s="48" t="s">
        <v>89</v>
      </c>
      <c r="C12" s="4"/>
      <c r="D12" s="117">
        <f t="shared" ref="D12:D27" si="0">E12+F12+G12+H12+I12+J12+K12+L12+M12+N12+O12+P12</f>
        <v>32403</v>
      </c>
      <c r="E12" s="20">
        <v>3680</v>
      </c>
      <c r="F12" s="50">
        <v>4044</v>
      </c>
      <c r="G12" s="283">
        <v>1559</v>
      </c>
      <c r="H12" s="48">
        <v>1383</v>
      </c>
      <c r="I12" s="35">
        <v>2171</v>
      </c>
      <c r="J12">
        <v>2698</v>
      </c>
      <c r="K12" s="20">
        <v>6523</v>
      </c>
      <c r="L12" s="73">
        <v>6743</v>
      </c>
      <c r="M12" s="20">
        <v>1154</v>
      </c>
      <c r="N12" s="50">
        <v>1324</v>
      </c>
      <c r="O12">
        <v>621</v>
      </c>
      <c r="P12" s="50">
        <v>503</v>
      </c>
    </row>
    <row r="13" spans="1:24">
      <c r="A13" s="146">
        <v>4</v>
      </c>
      <c r="B13" s="48" t="s">
        <v>90</v>
      </c>
      <c r="C13" s="4"/>
      <c r="D13" s="117">
        <f t="shared" si="0"/>
        <v>14709</v>
      </c>
      <c r="E13" s="20">
        <v>887</v>
      </c>
      <c r="F13" s="50">
        <v>894</v>
      </c>
      <c r="G13" s="283">
        <v>2603</v>
      </c>
      <c r="H13" s="48">
        <v>2241</v>
      </c>
      <c r="I13" s="35">
        <v>437</v>
      </c>
      <c r="J13">
        <v>616</v>
      </c>
      <c r="K13" s="20">
        <v>2657</v>
      </c>
      <c r="L13" s="73">
        <v>2241</v>
      </c>
      <c r="M13" s="20">
        <v>317</v>
      </c>
      <c r="N13" s="50">
        <v>358</v>
      </c>
      <c r="O13">
        <v>822</v>
      </c>
      <c r="P13" s="50">
        <v>636</v>
      </c>
    </row>
    <row r="14" spans="1:24">
      <c r="A14" s="146">
        <v>5</v>
      </c>
      <c r="B14" s="48" t="s">
        <v>91</v>
      </c>
      <c r="C14" s="4"/>
      <c r="D14" s="117">
        <f t="shared" si="0"/>
        <v>15090</v>
      </c>
      <c r="E14" s="20">
        <v>189</v>
      </c>
      <c r="F14" s="50">
        <v>221</v>
      </c>
      <c r="G14" s="283">
        <v>1235</v>
      </c>
      <c r="H14" s="48">
        <v>1158</v>
      </c>
      <c r="I14" s="35">
        <v>105</v>
      </c>
      <c r="J14">
        <v>114</v>
      </c>
      <c r="K14" s="20">
        <v>5242</v>
      </c>
      <c r="L14" s="73">
        <v>5280</v>
      </c>
      <c r="M14" s="20">
        <v>96</v>
      </c>
      <c r="N14" s="50">
        <v>117</v>
      </c>
      <c r="O14">
        <v>695</v>
      </c>
      <c r="P14" s="50">
        <v>638</v>
      </c>
    </row>
    <row r="15" spans="1:24">
      <c r="A15" s="146">
        <v>6</v>
      </c>
      <c r="B15" s="48" t="s">
        <v>92</v>
      </c>
      <c r="C15" s="4"/>
      <c r="D15" s="117">
        <f t="shared" si="0"/>
        <v>16425</v>
      </c>
      <c r="E15" s="20">
        <v>1511</v>
      </c>
      <c r="F15" s="50">
        <v>1724</v>
      </c>
      <c r="G15" s="283">
        <v>1873</v>
      </c>
      <c r="H15" s="48">
        <v>1687</v>
      </c>
      <c r="I15" s="35">
        <v>1192</v>
      </c>
      <c r="J15">
        <v>1365</v>
      </c>
      <c r="K15" s="20">
        <v>3308</v>
      </c>
      <c r="L15" s="73">
        <v>2169</v>
      </c>
      <c r="M15" s="20">
        <v>510</v>
      </c>
      <c r="N15" s="50">
        <v>587</v>
      </c>
      <c r="O15">
        <v>271</v>
      </c>
      <c r="P15" s="50">
        <v>228</v>
      </c>
    </row>
    <row r="16" spans="1:24">
      <c r="A16" s="146">
        <v>7</v>
      </c>
      <c r="B16" s="48" t="s">
        <v>93</v>
      </c>
      <c r="C16" s="4"/>
      <c r="D16" s="117">
        <f t="shared" si="0"/>
        <v>9577</v>
      </c>
      <c r="E16" s="20">
        <v>582</v>
      </c>
      <c r="F16" s="50">
        <v>603</v>
      </c>
      <c r="G16" s="283">
        <v>1660</v>
      </c>
      <c r="H16" s="48">
        <v>1441</v>
      </c>
      <c r="I16" s="35">
        <v>379</v>
      </c>
      <c r="J16">
        <v>369</v>
      </c>
      <c r="K16" s="20">
        <v>2337</v>
      </c>
      <c r="L16" s="73">
        <v>1699</v>
      </c>
      <c r="M16" s="20">
        <v>58</v>
      </c>
      <c r="N16" s="50">
        <v>79</v>
      </c>
      <c r="O16">
        <v>214</v>
      </c>
      <c r="P16" s="50">
        <v>156</v>
      </c>
    </row>
    <row r="17" spans="1:16">
      <c r="A17" s="146">
        <v>8</v>
      </c>
      <c r="B17" s="48" t="s">
        <v>94</v>
      </c>
      <c r="C17" s="4"/>
      <c r="D17" s="117">
        <f t="shared" si="0"/>
        <v>36858</v>
      </c>
      <c r="E17" s="20">
        <v>697</v>
      </c>
      <c r="F17" s="50">
        <v>553</v>
      </c>
      <c r="G17" s="283">
        <v>3166</v>
      </c>
      <c r="H17" s="48">
        <v>2432</v>
      </c>
      <c r="I17" s="35">
        <v>1556</v>
      </c>
      <c r="J17">
        <v>978</v>
      </c>
      <c r="K17" s="20">
        <v>12225</v>
      </c>
      <c r="L17" s="73">
        <v>10183</v>
      </c>
      <c r="M17" s="20">
        <v>816</v>
      </c>
      <c r="N17" s="50">
        <v>712</v>
      </c>
      <c r="O17">
        <v>1923</v>
      </c>
      <c r="P17" s="50">
        <v>1617</v>
      </c>
    </row>
    <row r="18" spans="1:16">
      <c r="A18" s="146">
        <v>9</v>
      </c>
      <c r="B18" s="48" t="s">
        <v>95</v>
      </c>
      <c r="C18" s="4"/>
      <c r="D18" s="117">
        <f t="shared" si="0"/>
        <v>12402</v>
      </c>
      <c r="E18" s="63">
        <v>344</v>
      </c>
      <c r="F18" s="21">
        <v>413</v>
      </c>
      <c r="G18" s="284">
        <v>660</v>
      </c>
      <c r="H18" s="21">
        <v>608</v>
      </c>
      <c r="I18" s="63">
        <v>707</v>
      </c>
      <c r="J18" s="21">
        <v>748</v>
      </c>
      <c r="K18" s="63">
        <v>4065</v>
      </c>
      <c r="L18" s="72">
        <v>4316</v>
      </c>
      <c r="M18" s="63">
        <v>160</v>
      </c>
      <c r="N18" s="49">
        <v>136</v>
      </c>
      <c r="O18" s="21">
        <v>126</v>
      </c>
      <c r="P18" s="49">
        <v>119</v>
      </c>
    </row>
    <row r="19" spans="1:16">
      <c r="A19" s="146">
        <v>10</v>
      </c>
      <c r="B19" s="48" t="s">
        <v>96</v>
      </c>
      <c r="C19" s="4"/>
      <c r="D19" s="117">
        <f t="shared" si="0"/>
        <v>11982</v>
      </c>
      <c r="E19" s="63">
        <v>1101</v>
      </c>
      <c r="F19" s="21">
        <v>1178</v>
      </c>
      <c r="G19" s="284">
        <v>1527</v>
      </c>
      <c r="H19" s="21">
        <v>1392</v>
      </c>
      <c r="I19" s="63">
        <v>199</v>
      </c>
      <c r="J19" s="21">
        <v>163</v>
      </c>
      <c r="K19" s="63">
        <v>238</v>
      </c>
      <c r="L19" s="72">
        <v>148</v>
      </c>
      <c r="M19" s="63">
        <v>934</v>
      </c>
      <c r="N19" s="49">
        <v>1253</v>
      </c>
      <c r="O19" s="21">
        <v>2100</v>
      </c>
      <c r="P19" s="49">
        <v>1749</v>
      </c>
    </row>
    <row r="20" spans="1:16">
      <c r="A20" s="146">
        <v>11</v>
      </c>
      <c r="B20" s="48" t="s">
        <v>97</v>
      </c>
      <c r="C20" s="4"/>
      <c r="D20" s="117">
        <f t="shared" si="0"/>
        <v>10431</v>
      </c>
      <c r="E20" s="63">
        <v>331</v>
      </c>
      <c r="F20" s="21">
        <v>403</v>
      </c>
      <c r="G20" s="284">
        <v>635</v>
      </c>
      <c r="H20" s="21">
        <v>581</v>
      </c>
      <c r="I20" s="63">
        <v>437</v>
      </c>
      <c r="J20" s="21">
        <v>612</v>
      </c>
      <c r="K20" s="63">
        <v>2842</v>
      </c>
      <c r="L20" s="72">
        <v>2798</v>
      </c>
      <c r="M20" s="63">
        <v>179</v>
      </c>
      <c r="N20" s="49">
        <v>195</v>
      </c>
      <c r="O20" s="21">
        <v>757</v>
      </c>
      <c r="P20" s="49">
        <v>661</v>
      </c>
    </row>
    <row r="21" spans="1:16">
      <c r="A21" s="146">
        <v>12</v>
      </c>
      <c r="B21" s="48" t="s">
        <v>98</v>
      </c>
      <c r="C21" s="4"/>
      <c r="D21" s="117">
        <f t="shared" si="0"/>
        <v>8787</v>
      </c>
      <c r="E21" s="63">
        <v>604</v>
      </c>
      <c r="F21" s="21">
        <v>676</v>
      </c>
      <c r="G21" s="284">
        <v>1914</v>
      </c>
      <c r="H21" s="21">
        <v>1739</v>
      </c>
      <c r="I21" s="63"/>
      <c r="J21" s="21"/>
      <c r="K21" s="63">
        <v>3</v>
      </c>
      <c r="L21" s="71">
        <v>1</v>
      </c>
      <c r="M21" s="20">
        <v>473</v>
      </c>
      <c r="N21" s="49">
        <v>553</v>
      </c>
      <c r="O21" s="21">
        <v>1457</v>
      </c>
      <c r="P21" s="49">
        <v>1367</v>
      </c>
    </row>
    <row r="22" spans="1:16">
      <c r="A22" s="146">
        <v>13</v>
      </c>
      <c r="B22" s="48" t="s">
        <v>99</v>
      </c>
      <c r="C22" s="4"/>
      <c r="D22" s="117">
        <f t="shared" si="0"/>
        <v>5489</v>
      </c>
      <c r="E22" s="63">
        <v>353</v>
      </c>
      <c r="F22" s="21">
        <v>364</v>
      </c>
      <c r="G22" s="284">
        <v>958</v>
      </c>
      <c r="H22" s="21">
        <v>849</v>
      </c>
      <c r="I22" s="63">
        <v>34</v>
      </c>
      <c r="J22" s="21">
        <v>23</v>
      </c>
      <c r="K22" s="63">
        <v>566</v>
      </c>
      <c r="L22" s="72">
        <v>272</v>
      </c>
      <c r="M22" s="63">
        <v>237</v>
      </c>
      <c r="N22" s="49">
        <v>288</v>
      </c>
      <c r="O22" s="21">
        <v>871</v>
      </c>
      <c r="P22" s="49">
        <v>674</v>
      </c>
    </row>
    <row r="23" spans="1:16">
      <c r="A23" s="146">
        <v>14</v>
      </c>
      <c r="B23" s="48" t="s">
        <v>100</v>
      </c>
      <c r="C23" s="4"/>
      <c r="D23" s="117">
        <f t="shared" si="0"/>
        <v>17392</v>
      </c>
      <c r="E23" s="63">
        <v>1491</v>
      </c>
      <c r="F23" s="21">
        <v>1605</v>
      </c>
      <c r="G23" s="284">
        <v>3376</v>
      </c>
      <c r="H23" s="21">
        <v>2992</v>
      </c>
      <c r="I23" s="63">
        <v>10</v>
      </c>
      <c r="J23" s="21">
        <v>6</v>
      </c>
      <c r="K23" s="63">
        <v>41</v>
      </c>
      <c r="L23" s="72">
        <v>23</v>
      </c>
      <c r="M23" s="63">
        <v>970</v>
      </c>
      <c r="N23" s="49">
        <v>1170</v>
      </c>
      <c r="O23" s="21">
        <v>2921</v>
      </c>
      <c r="P23" s="49">
        <v>2787</v>
      </c>
    </row>
    <row r="24" spans="1:16">
      <c r="A24" s="146">
        <v>15</v>
      </c>
      <c r="B24" s="48" t="s">
        <v>101</v>
      </c>
      <c r="C24" s="4"/>
      <c r="D24" s="117">
        <f t="shared" si="0"/>
        <v>14005</v>
      </c>
      <c r="E24" s="63">
        <v>495</v>
      </c>
      <c r="F24" s="21">
        <v>491</v>
      </c>
      <c r="G24" s="284">
        <v>3190</v>
      </c>
      <c r="H24" s="21">
        <v>2939</v>
      </c>
      <c r="I24" s="63">
        <v>6</v>
      </c>
      <c r="J24" s="21">
        <v>6</v>
      </c>
      <c r="K24" s="63">
        <v>53</v>
      </c>
      <c r="L24" s="72">
        <v>15</v>
      </c>
      <c r="M24" s="63">
        <v>648</v>
      </c>
      <c r="N24" s="49">
        <v>767</v>
      </c>
      <c r="O24" s="21">
        <v>2845</v>
      </c>
      <c r="P24" s="49">
        <v>2550</v>
      </c>
    </row>
    <row r="25" spans="1:16">
      <c r="A25" s="146">
        <v>16</v>
      </c>
      <c r="B25" s="48" t="s">
        <v>102</v>
      </c>
      <c r="C25" s="4"/>
      <c r="D25" s="117">
        <f t="shared" si="0"/>
        <v>187831</v>
      </c>
      <c r="E25" s="63">
        <v>43470</v>
      </c>
      <c r="F25" s="21">
        <v>41146</v>
      </c>
      <c r="G25" s="284">
        <v>4241</v>
      </c>
      <c r="H25" s="21">
        <v>3579</v>
      </c>
      <c r="I25" s="63">
        <v>1334</v>
      </c>
      <c r="J25" s="21">
        <v>326</v>
      </c>
      <c r="K25" s="63">
        <v>943</v>
      </c>
      <c r="L25" s="72">
        <v>363</v>
      </c>
      <c r="M25" s="63">
        <v>34954</v>
      </c>
      <c r="N25" s="49">
        <v>39713</v>
      </c>
      <c r="O25" s="21">
        <v>9183</v>
      </c>
      <c r="P25" s="49">
        <v>8579</v>
      </c>
    </row>
    <row r="26" spans="1:16">
      <c r="A26" s="146">
        <v>17</v>
      </c>
      <c r="B26" s="48" t="s">
        <v>103</v>
      </c>
      <c r="C26" s="4"/>
      <c r="D26" s="117">
        <f t="shared" si="0"/>
        <v>8116</v>
      </c>
      <c r="E26" s="63">
        <v>349</v>
      </c>
      <c r="F26" s="21">
        <v>416</v>
      </c>
      <c r="G26" s="284">
        <v>1637</v>
      </c>
      <c r="H26" s="21">
        <v>1458</v>
      </c>
      <c r="I26" s="63">
        <v>193</v>
      </c>
      <c r="J26" s="21">
        <v>302</v>
      </c>
      <c r="K26" s="63">
        <v>526</v>
      </c>
      <c r="L26" s="72">
        <v>406</v>
      </c>
      <c r="M26" s="63">
        <v>335</v>
      </c>
      <c r="N26" s="49">
        <v>437</v>
      </c>
      <c r="O26" s="21">
        <v>1107</v>
      </c>
      <c r="P26" s="49">
        <v>950</v>
      </c>
    </row>
    <row r="27" spans="1:16">
      <c r="A27" s="146">
        <v>18</v>
      </c>
      <c r="B27" s="48" t="s">
        <v>104</v>
      </c>
      <c r="C27" s="8" t="s">
        <v>36</v>
      </c>
      <c r="D27" s="117">
        <f t="shared" si="0"/>
        <v>12518</v>
      </c>
      <c r="E27" s="63">
        <v>370</v>
      </c>
      <c r="F27" s="21">
        <v>375</v>
      </c>
      <c r="G27" s="284">
        <v>890</v>
      </c>
      <c r="H27" s="21">
        <v>795</v>
      </c>
      <c r="I27" s="120">
        <v>311</v>
      </c>
      <c r="J27" s="29">
        <v>373</v>
      </c>
      <c r="K27" s="120">
        <v>4173</v>
      </c>
      <c r="L27" s="121">
        <v>4561</v>
      </c>
      <c r="M27" s="120">
        <v>129</v>
      </c>
      <c r="N27" s="122">
        <v>134</v>
      </c>
      <c r="O27" s="27">
        <v>206</v>
      </c>
      <c r="P27" s="122">
        <v>201</v>
      </c>
    </row>
    <row r="28" spans="1:16">
      <c r="A28" s="146">
        <v>19</v>
      </c>
      <c r="B28" s="48" t="s">
        <v>105</v>
      </c>
      <c r="C28" s="4"/>
      <c r="D28" s="117">
        <f>E28+F28+G28+H28+I28+J28+K28+L28+M28+N28+O28+P28</f>
        <v>7757</v>
      </c>
      <c r="E28" s="63">
        <v>578</v>
      </c>
      <c r="F28" s="21">
        <v>631</v>
      </c>
      <c r="G28" s="284">
        <v>1149</v>
      </c>
      <c r="H28" s="21">
        <v>1062</v>
      </c>
      <c r="I28" s="120">
        <v>626</v>
      </c>
      <c r="J28" s="27">
        <v>11</v>
      </c>
      <c r="K28" s="120">
        <v>20</v>
      </c>
      <c r="L28" s="121">
        <v>1</v>
      </c>
      <c r="M28" s="120">
        <v>1018</v>
      </c>
      <c r="N28" s="122">
        <v>951</v>
      </c>
      <c r="O28" s="27">
        <v>953</v>
      </c>
      <c r="P28" s="122">
        <v>757</v>
      </c>
    </row>
    <row r="29" spans="1:16">
      <c r="A29" s="146">
        <v>20</v>
      </c>
      <c r="B29" s="48" t="s">
        <v>106</v>
      </c>
      <c r="C29" s="4"/>
      <c r="D29" s="117">
        <f>E29+F29+G29+H29+I29+J29+K29+L29+M29+N29+O29+P29</f>
        <v>11307</v>
      </c>
      <c r="E29" s="63">
        <v>145</v>
      </c>
      <c r="F29" s="21">
        <v>139</v>
      </c>
      <c r="G29" s="284">
        <v>2500</v>
      </c>
      <c r="H29" s="21">
        <v>2419</v>
      </c>
      <c r="I29" s="120">
        <v>2</v>
      </c>
      <c r="J29" s="27">
        <v>4</v>
      </c>
      <c r="K29" s="120">
        <v>74</v>
      </c>
      <c r="L29" s="121">
        <v>52</v>
      </c>
      <c r="M29" s="120">
        <v>329</v>
      </c>
      <c r="N29" s="122">
        <v>426</v>
      </c>
      <c r="O29" s="27">
        <v>2764</v>
      </c>
      <c r="P29" s="122">
        <v>2453</v>
      </c>
    </row>
    <row r="30" spans="1:16">
      <c r="A30" s="146">
        <v>21</v>
      </c>
      <c r="B30" s="48" t="s">
        <v>107</v>
      </c>
      <c r="C30" s="4"/>
      <c r="D30" s="117">
        <f t="shared" ref="D30:D36" si="1">E30+F30+G30+H30+I30+J30+K30+L30+M30+N30+O30+P30</f>
        <v>10225</v>
      </c>
      <c r="E30" s="63">
        <v>446</v>
      </c>
      <c r="F30" s="21">
        <v>463</v>
      </c>
      <c r="G30" s="284">
        <v>1484</v>
      </c>
      <c r="H30" s="21">
        <v>1335</v>
      </c>
      <c r="I30" s="120">
        <v>385</v>
      </c>
      <c r="J30" s="27">
        <v>364</v>
      </c>
      <c r="K30" s="120">
        <v>1833</v>
      </c>
      <c r="L30" s="121">
        <v>1349</v>
      </c>
      <c r="M30" s="120">
        <v>303</v>
      </c>
      <c r="N30" s="122">
        <v>408</v>
      </c>
      <c r="O30" s="27">
        <v>1030</v>
      </c>
      <c r="P30" s="122">
        <v>825</v>
      </c>
    </row>
    <row r="31" spans="1:16">
      <c r="A31" s="174">
        <v>22</v>
      </c>
      <c r="B31" s="55" t="s">
        <v>108</v>
      </c>
      <c r="C31" s="96"/>
      <c r="D31" s="117">
        <f t="shared" si="1"/>
        <v>20765</v>
      </c>
      <c r="E31" s="63">
        <v>1636</v>
      </c>
      <c r="F31" s="21">
        <v>1934</v>
      </c>
      <c r="G31" s="284">
        <v>2187</v>
      </c>
      <c r="H31" s="21">
        <v>1966</v>
      </c>
      <c r="I31" s="120">
        <v>747</v>
      </c>
      <c r="J31" s="27">
        <v>891</v>
      </c>
      <c r="K31" s="120">
        <v>3765</v>
      </c>
      <c r="L31" s="121">
        <v>3360</v>
      </c>
      <c r="M31" s="120">
        <v>965</v>
      </c>
      <c r="N31" s="122">
        <v>1164</v>
      </c>
      <c r="O31" s="27">
        <v>1184</v>
      </c>
      <c r="P31" s="122">
        <v>966</v>
      </c>
    </row>
    <row r="32" spans="1:16">
      <c r="A32" s="146">
        <v>23</v>
      </c>
      <c r="B32" s="48" t="s">
        <v>109</v>
      </c>
      <c r="C32" s="4"/>
      <c r="D32" s="117">
        <f t="shared" si="1"/>
        <v>4105</v>
      </c>
      <c r="E32" s="63">
        <v>476</v>
      </c>
      <c r="F32" s="21">
        <v>461</v>
      </c>
      <c r="G32" s="284">
        <v>305</v>
      </c>
      <c r="H32" s="21">
        <v>268</v>
      </c>
      <c r="I32" s="120">
        <v>322</v>
      </c>
      <c r="J32" s="27">
        <v>298</v>
      </c>
      <c r="K32" s="120">
        <v>291</v>
      </c>
      <c r="L32" s="121">
        <v>152</v>
      </c>
      <c r="M32" s="120">
        <v>401</v>
      </c>
      <c r="N32" s="122">
        <v>449</v>
      </c>
      <c r="O32" s="27">
        <v>365</v>
      </c>
      <c r="P32" s="122">
        <v>317</v>
      </c>
    </row>
    <row r="33" spans="1:16">
      <c r="A33" s="146">
        <v>24</v>
      </c>
      <c r="B33" s="48" t="s">
        <v>110</v>
      </c>
      <c r="C33" s="4"/>
      <c r="D33" s="117">
        <f t="shared" si="1"/>
        <v>47711</v>
      </c>
      <c r="E33" s="63">
        <v>7833</v>
      </c>
      <c r="F33" s="21">
        <v>7520</v>
      </c>
      <c r="G33" s="284">
        <v>1451</v>
      </c>
      <c r="H33" s="21">
        <v>1342</v>
      </c>
      <c r="I33" s="120">
        <v>4573</v>
      </c>
      <c r="J33" s="27">
        <v>3527</v>
      </c>
      <c r="K33" s="120">
        <v>8764</v>
      </c>
      <c r="L33" s="121">
        <v>10447</v>
      </c>
      <c r="M33" s="120">
        <v>1251</v>
      </c>
      <c r="N33" s="122">
        <v>901</v>
      </c>
      <c r="O33" s="27">
        <v>49</v>
      </c>
      <c r="P33" s="122">
        <v>53</v>
      </c>
    </row>
    <row r="34" spans="1:16">
      <c r="A34" s="146">
        <v>25</v>
      </c>
      <c r="B34" s="48" t="s">
        <v>111</v>
      </c>
      <c r="C34" s="4"/>
      <c r="D34" s="117">
        <f t="shared" si="1"/>
        <v>13987</v>
      </c>
      <c r="E34" s="63">
        <v>553</v>
      </c>
      <c r="F34" s="21">
        <v>519</v>
      </c>
      <c r="G34" s="284">
        <v>470</v>
      </c>
      <c r="H34" s="21">
        <v>396</v>
      </c>
      <c r="I34" s="120">
        <v>3031</v>
      </c>
      <c r="J34" s="27">
        <v>3634</v>
      </c>
      <c r="K34" s="120">
        <v>1965</v>
      </c>
      <c r="L34" s="121">
        <v>2259</v>
      </c>
      <c r="M34" s="120">
        <v>358</v>
      </c>
      <c r="N34" s="122">
        <v>357</v>
      </c>
      <c r="O34" s="27">
        <v>222</v>
      </c>
      <c r="P34" s="122">
        <v>223</v>
      </c>
    </row>
    <row r="35" spans="1:16">
      <c r="A35" s="146">
        <v>26</v>
      </c>
      <c r="B35" s="48" t="s">
        <v>112</v>
      </c>
      <c r="C35" s="4"/>
      <c r="D35" s="117">
        <f t="shared" si="1"/>
        <v>8059</v>
      </c>
      <c r="E35" s="63">
        <v>256</v>
      </c>
      <c r="F35" s="21">
        <v>251</v>
      </c>
      <c r="G35" s="284">
        <v>2191</v>
      </c>
      <c r="H35" s="21">
        <v>1902</v>
      </c>
      <c r="I35" s="120">
        <v>9</v>
      </c>
      <c r="J35" s="27">
        <v>4</v>
      </c>
      <c r="K35" s="120">
        <v>103</v>
      </c>
      <c r="L35" s="121">
        <v>66</v>
      </c>
      <c r="M35" s="120">
        <v>288</v>
      </c>
      <c r="N35" s="122">
        <v>341</v>
      </c>
      <c r="O35" s="27">
        <v>1416</v>
      </c>
      <c r="P35" s="122">
        <v>1232</v>
      </c>
    </row>
    <row r="36" spans="1:16">
      <c r="A36" s="146">
        <v>27</v>
      </c>
      <c r="B36" s="48" t="s">
        <v>113</v>
      </c>
      <c r="C36" s="4"/>
      <c r="D36" s="117">
        <f t="shared" si="1"/>
        <v>15394</v>
      </c>
      <c r="E36" s="63">
        <v>1343</v>
      </c>
      <c r="F36" s="21">
        <v>1295</v>
      </c>
      <c r="G36" s="284">
        <v>2453</v>
      </c>
      <c r="H36" s="21">
        <v>2173</v>
      </c>
      <c r="I36" s="120">
        <v>151</v>
      </c>
      <c r="J36" s="27">
        <v>37</v>
      </c>
      <c r="K36" s="120">
        <v>853</v>
      </c>
      <c r="L36" s="121">
        <v>259</v>
      </c>
      <c r="M36" s="120">
        <v>1611</v>
      </c>
      <c r="N36" s="122">
        <v>1516</v>
      </c>
      <c r="O36" s="27">
        <v>2085</v>
      </c>
      <c r="P36" s="122">
        <v>1618</v>
      </c>
    </row>
    <row r="37" spans="1:16">
      <c r="A37" s="146">
        <v>28</v>
      </c>
      <c r="B37" s="48" t="s">
        <v>114</v>
      </c>
      <c r="C37" s="4"/>
      <c r="D37" s="117">
        <f>E37+F37+G37+H37+I37+J37+K37+L37+M37+N37+O37+P37</f>
        <v>50597</v>
      </c>
      <c r="E37" s="63">
        <v>158</v>
      </c>
      <c r="F37" s="21">
        <v>132</v>
      </c>
      <c r="G37" s="284">
        <v>275</v>
      </c>
      <c r="H37" s="21">
        <v>209</v>
      </c>
      <c r="I37" s="120">
        <v>81</v>
      </c>
      <c r="J37" s="27">
        <v>58</v>
      </c>
      <c r="K37" s="120">
        <v>22381</v>
      </c>
      <c r="L37" s="121">
        <v>26982</v>
      </c>
      <c r="M37" s="120">
        <v>12</v>
      </c>
      <c r="N37" s="122">
        <v>21</v>
      </c>
      <c r="O37" s="27">
        <v>148</v>
      </c>
      <c r="P37" s="122">
        <v>140</v>
      </c>
    </row>
    <row r="38" spans="1:16">
      <c r="A38" s="146">
        <v>29</v>
      </c>
      <c r="B38" s="48" t="s">
        <v>115</v>
      </c>
      <c r="C38" s="4"/>
      <c r="D38" s="117">
        <f>E38+F38+G38+H38+I38+J38+K38+L38+M38+N38+O38+P38</f>
        <v>19396</v>
      </c>
      <c r="E38" s="63">
        <v>2025</v>
      </c>
      <c r="F38" s="21">
        <v>2484</v>
      </c>
      <c r="G38" s="284">
        <v>1522</v>
      </c>
      <c r="H38" s="21">
        <v>1364</v>
      </c>
      <c r="I38" s="120">
        <v>669</v>
      </c>
      <c r="J38" s="27">
        <v>839</v>
      </c>
      <c r="K38" s="120">
        <v>1850</v>
      </c>
      <c r="L38" s="121">
        <v>1630</v>
      </c>
      <c r="M38" s="120">
        <v>1439</v>
      </c>
      <c r="N38" s="122">
        <v>1930</v>
      </c>
      <c r="O38" s="27">
        <v>1908</v>
      </c>
      <c r="P38" s="122">
        <v>1736</v>
      </c>
    </row>
    <row r="39" spans="1:16">
      <c r="A39" s="146">
        <v>30</v>
      </c>
      <c r="B39" s="48" t="s">
        <v>116</v>
      </c>
      <c r="C39" s="4"/>
      <c r="D39" s="117">
        <f t="shared" ref="D39:D45" si="2">E39+F39+G39+H39+I39+J39+K39+L39+M39+N39+O39+P39</f>
        <v>4045</v>
      </c>
      <c r="E39" s="63">
        <v>306</v>
      </c>
      <c r="F39" s="21">
        <v>329</v>
      </c>
      <c r="G39" s="284">
        <v>589</v>
      </c>
      <c r="H39" s="21">
        <v>534</v>
      </c>
      <c r="I39" s="120">
        <v>27</v>
      </c>
      <c r="J39" s="27">
        <v>25</v>
      </c>
      <c r="K39" s="120">
        <v>503</v>
      </c>
      <c r="L39" s="121">
        <v>355</v>
      </c>
      <c r="M39" s="120">
        <v>166</v>
      </c>
      <c r="N39" s="122">
        <v>207</v>
      </c>
      <c r="O39" s="27">
        <v>572</v>
      </c>
      <c r="P39" s="122">
        <v>432</v>
      </c>
    </row>
    <row r="40" spans="1:16">
      <c r="A40" s="146">
        <v>31</v>
      </c>
      <c r="B40" s="48" t="s">
        <v>117</v>
      </c>
      <c r="C40" s="4"/>
      <c r="D40" s="117">
        <f t="shared" si="2"/>
        <v>12698</v>
      </c>
      <c r="E40" s="63">
        <v>376</v>
      </c>
      <c r="F40" s="21">
        <v>364</v>
      </c>
      <c r="G40" s="284">
        <v>2220</v>
      </c>
      <c r="H40" s="21">
        <v>1977</v>
      </c>
      <c r="I40" s="120">
        <v>185</v>
      </c>
      <c r="J40" s="27">
        <v>209</v>
      </c>
      <c r="K40" s="120">
        <v>1915</v>
      </c>
      <c r="L40" s="121">
        <v>1871</v>
      </c>
      <c r="M40" s="120">
        <v>211</v>
      </c>
      <c r="N40" s="122">
        <v>225</v>
      </c>
      <c r="O40" s="27">
        <v>1566</v>
      </c>
      <c r="P40" s="122">
        <v>1579</v>
      </c>
    </row>
    <row r="41" spans="1:16">
      <c r="A41" s="146">
        <v>32</v>
      </c>
      <c r="B41" s="48" t="s">
        <v>118</v>
      </c>
      <c r="C41" s="4"/>
      <c r="D41" s="117">
        <f t="shared" si="2"/>
        <v>11172</v>
      </c>
      <c r="E41" s="63">
        <v>433</v>
      </c>
      <c r="F41" s="21">
        <v>385</v>
      </c>
      <c r="G41" s="284">
        <v>1185</v>
      </c>
      <c r="H41" s="21">
        <v>1062</v>
      </c>
      <c r="I41" s="120">
        <v>318</v>
      </c>
      <c r="J41" s="27">
        <v>327</v>
      </c>
      <c r="K41" s="120">
        <v>2337</v>
      </c>
      <c r="L41" s="121">
        <v>2378</v>
      </c>
      <c r="M41" s="120">
        <v>314</v>
      </c>
      <c r="N41" s="122">
        <v>317</v>
      </c>
      <c r="O41" s="27">
        <v>1054</v>
      </c>
      <c r="P41" s="122">
        <v>1062</v>
      </c>
    </row>
    <row r="42" spans="1:16">
      <c r="A42" s="146">
        <v>33</v>
      </c>
      <c r="B42" s="48" t="s">
        <v>119</v>
      </c>
      <c r="C42" s="4"/>
      <c r="D42" s="117">
        <f t="shared" si="2"/>
        <v>39078</v>
      </c>
      <c r="E42" s="63"/>
      <c r="F42" s="21"/>
      <c r="G42" s="284">
        <v>152</v>
      </c>
      <c r="H42" s="21">
        <v>120</v>
      </c>
      <c r="I42" s="120"/>
      <c r="J42" s="27"/>
      <c r="K42" s="120">
        <v>17493</v>
      </c>
      <c r="L42" s="121">
        <v>20005</v>
      </c>
      <c r="M42" s="120"/>
      <c r="N42" s="122"/>
      <c r="O42" s="27">
        <v>590</v>
      </c>
      <c r="P42" s="122">
        <v>718</v>
      </c>
    </row>
    <row r="43" spans="1:16">
      <c r="A43" s="146">
        <v>34</v>
      </c>
      <c r="B43" s="48" t="s">
        <v>120</v>
      </c>
      <c r="C43" s="4"/>
      <c r="D43" s="124">
        <f t="shared" si="2"/>
        <v>6408</v>
      </c>
      <c r="E43" s="63">
        <v>439</v>
      </c>
      <c r="F43" s="21">
        <v>477</v>
      </c>
      <c r="G43" s="284">
        <v>1246</v>
      </c>
      <c r="H43" s="21">
        <v>1132</v>
      </c>
      <c r="I43" s="120">
        <v>165</v>
      </c>
      <c r="J43" s="27">
        <v>224</v>
      </c>
      <c r="K43" s="120">
        <v>445</v>
      </c>
      <c r="L43" s="121">
        <v>328</v>
      </c>
      <c r="M43" s="120">
        <v>211</v>
      </c>
      <c r="N43" s="122">
        <v>283</v>
      </c>
      <c r="O43" s="27">
        <v>791</v>
      </c>
      <c r="P43" s="122">
        <v>667</v>
      </c>
    </row>
    <row r="44" spans="1:16">
      <c r="A44" s="146">
        <v>35</v>
      </c>
      <c r="B44" s="48" t="s">
        <v>121</v>
      </c>
      <c r="C44" s="4"/>
      <c r="D44" s="117">
        <f t="shared" si="2"/>
        <v>16623</v>
      </c>
      <c r="E44" s="63">
        <v>395</v>
      </c>
      <c r="F44" s="21">
        <v>401</v>
      </c>
      <c r="G44" s="284">
        <v>2940</v>
      </c>
      <c r="H44" s="21">
        <v>2594</v>
      </c>
      <c r="I44" s="120">
        <v>290</v>
      </c>
      <c r="J44" s="27">
        <v>287</v>
      </c>
      <c r="K44" s="120">
        <v>1900</v>
      </c>
      <c r="L44" s="121">
        <v>1812</v>
      </c>
      <c r="M44" s="120">
        <v>692</v>
      </c>
      <c r="N44" s="122">
        <v>651</v>
      </c>
      <c r="O44" s="27">
        <v>2418</v>
      </c>
      <c r="P44" s="122">
        <v>2243</v>
      </c>
    </row>
    <row r="45" spans="1:16">
      <c r="A45" s="146">
        <v>36</v>
      </c>
      <c r="B45" s="48" t="s">
        <v>122</v>
      </c>
      <c r="C45" s="4"/>
      <c r="D45" s="117">
        <f t="shared" si="2"/>
        <v>11167</v>
      </c>
      <c r="E45" s="63">
        <v>311</v>
      </c>
      <c r="F45" s="21">
        <v>321</v>
      </c>
      <c r="G45" s="284">
        <v>2429</v>
      </c>
      <c r="H45" s="21">
        <v>2406</v>
      </c>
      <c r="I45" s="120">
        <v>154</v>
      </c>
      <c r="J45" s="27">
        <v>234</v>
      </c>
      <c r="K45" s="120">
        <v>1561</v>
      </c>
      <c r="L45" s="121">
        <v>1394</v>
      </c>
      <c r="M45" s="120">
        <v>151</v>
      </c>
      <c r="N45" s="122">
        <v>184</v>
      </c>
      <c r="O45" s="27">
        <v>1049</v>
      </c>
      <c r="P45" s="122">
        <v>973</v>
      </c>
    </row>
    <row r="46" spans="1:16">
      <c r="A46" s="146">
        <v>37</v>
      </c>
      <c r="B46" s="48" t="s">
        <v>123</v>
      </c>
      <c r="C46" s="4"/>
      <c r="D46" s="117">
        <f>E46+F46+G46+H46+I46+J46+K46+L46+M46+N46+O46+P46</f>
        <v>12225</v>
      </c>
      <c r="E46" s="63">
        <v>128</v>
      </c>
      <c r="F46" s="70">
        <v>92</v>
      </c>
      <c r="G46" s="284">
        <v>3612</v>
      </c>
      <c r="H46" s="21">
        <v>3123</v>
      </c>
      <c r="I46" s="120">
        <v>25</v>
      </c>
      <c r="J46" s="27">
        <v>28</v>
      </c>
      <c r="K46" s="120">
        <v>227</v>
      </c>
      <c r="L46" s="121">
        <v>192</v>
      </c>
      <c r="M46" s="120">
        <v>189</v>
      </c>
      <c r="N46" s="122">
        <v>234</v>
      </c>
      <c r="O46" s="27">
        <v>2344</v>
      </c>
      <c r="P46" s="122">
        <v>2031</v>
      </c>
    </row>
    <row r="47" spans="1:16">
      <c r="A47" s="146">
        <v>38</v>
      </c>
      <c r="B47" s="48" t="s">
        <v>124</v>
      </c>
      <c r="C47" s="4"/>
      <c r="D47" s="117">
        <f>E47+F47+G47+H47+I47+J47+K47+L47+M47+N47+O47+P47</f>
        <v>64352</v>
      </c>
      <c r="E47" s="63">
        <v>9768</v>
      </c>
      <c r="F47" s="21">
        <v>8603</v>
      </c>
      <c r="G47" s="284">
        <v>1331</v>
      </c>
      <c r="H47" s="21">
        <v>1174</v>
      </c>
      <c r="I47" s="120">
        <v>13724</v>
      </c>
      <c r="J47" s="27">
        <v>4746</v>
      </c>
      <c r="K47" s="120">
        <v>10398</v>
      </c>
      <c r="L47" s="121">
        <v>1903</v>
      </c>
      <c r="M47" s="120">
        <v>5113</v>
      </c>
      <c r="N47" s="122">
        <v>4759</v>
      </c>
      <c r="O47" s="27">
        <v>1793</v>
      </c>
      <c r="P47" s="122">
        <v>1040</v>
      </c>
    </row>
    <row r="48" spans="1:16">
      <c r="A48" s="146">
        <v>39</v>
      </c>
      <c r="B48" s="48" t="s">
        <v>125</v>
      </c>
      <c r="C48" s="4"/>
      <c r="D48" s="117">
        <f t="shared" ref="D48:D54" si="3">E48+F48+G48+H48+I48+J48+K48+L48+M48+N48+O48+P48</f>
        <v>106474</v>
      </c>
      <c r="E48" s="63">
        <v>3740</v>
      </c>
      <c r="F48" s="21">
        <v>3862</v>
      </c>
      <c r="G48" s="284">
        <v>1421</v>
      </c>
      <c r="H48" s="21">
        <v>1310</v>
      </c>
      <c r="I48" s="120">
        <v>4974</v>
      </c>
      <c r="J48" s="27">
        <v>5726</v>
      </c>
      <c r="K48" s="120">
        <v>37028</v>
      </c>
      <c r="L48" s="121">
        <v>46575</v>
      </c>
      <c r="M48" s="120">
        <v>594</v>
      </c>
      <c r="N48" s="122">
        <v>599</v>
      </c>
      <c r="O48" s="27">
        <v>309</v>
      </c>
      <c r="P48" s="122">
        <v>336</v>
      </c>
    </row>
    <row r="49" spans="1:16">
      <c r="A49" s="146">
        <v>40</v>
      </c>
      <c r="B49" s="48" t="s">
        <v>126</v>
      </c>
      <c r="C49" s="4"/>
      <c r="D49" s="117">
        <f t="shared" si="3"/>
        <v>10603</v>
      </c>
      <c r="E49" s="63">
        <v>464</v>
      </c>
      <c r="F49" s="21">
        <v>486</v>
      </c>
      <c r="G49" s="284">
        <v>2145</v>
      </c>
      <c r="H49" s="21">
        <v>1934</v>
      </c>
      <c r="I49" s="120">
        <v>5</v>
      </c>
      <c r="J49" s="27">
        <v>9</v>
      </c>
      <c r="K49" s="120">
        <v>237</v>
      </c>
      <c r="L49" s="121">
        <v>217</v>
      </c>
      <c r="M49" s="120">
        <v>344</v>
      </c>
      <c r="N49" s="122">
        <v>320</v>
      </c>
      <c r="O49" s="27">
        <v>2280</v>
      </c>
      <c r="P49" s="122">
        <v>2162</v>
      </c>
    </row>
    <row r="50" spans="1:16">
      <c r="A50" s="146">
        <v>41</v>
      </c>
      <c r="B50" s="48" t="s">
        <v>127</v>
      </c>
      <c r="C50" s="4"/>
      <c r="D50" s="117">
        <f t="shared" si="3"/>
        <v>16355</v>
      </c>
      <c r="E50" s="63">
        <v>199</v>
      </c>
      <c r="F50" s="21">
        <v>211</v>
      </c>
      <c r="G50" s="284">
        <v>674</v>
      </c>
      <c r="H50" s="21">
        <v>644</v>
      </c>
      <c r="I50" s="120">
        <v>156</v>
      </c>
      <c r="J50" s="27">
        <v>150</v>
      </c>
      <c r="K50" s="120">
        <v>6328</v>
      </c>
      <c r="L50" s="121">
        <v>7840</v>
      </c>
      <c r="M50" s="120">
        <v>35</v>
      </c>
      <c r="N50" s="122">
        <v>40</v>
      </c>
      <c r="O50" s="27">
        <v>41</v>
      </c>
      <c r="P50" s="122">
        <v>37</v>
      </c>
    </row>
    <row r="51" spans="1:16">
      <c r="A51" s="146">
        <v>42</v>
      </c>
      <c r="B51" s="48" t="s">
        <v>128</v>
      </c>
      <c r="C51" s="4"/>
      <c r="D51" s="117">
        <f t="shared" si="3"/>
        <v>10940</v>
      </c>
      <c r="E51" s="63">
        <v>684</v>
      </c>
      <c r="F51" s="21">
        <v>619</v>
      </c>
      <c r="G51" s="284">
        <v>2475</v>
      </c>
      <c r="H51" s="69">
        <v>2266</v>
      </c>
      <c r="I51" s="123">
        <v>9</v>
      </c>
      <c r="J51" s="27">
        <v>6</v>
      </c>
      <c r="K51" s="120">
        <v>116</v>
      </c>
      <c r="L51" s="121">
        <v>67</v>
      </c>
      <c r="M51" s="120">
        <v>370</v>
      </c>
      <c r="N51" s="122">
        <v>410</v>
      </c>
      <c r="O51" s="27">
        <v>2088</v>
      </c>
      <c r="P51" s="122">
        <v>1830</v>
      </c>
    </row>
    <row r="52" spans="1:16" s="73" customFormat="1">
      <c r="A52" s="175">
        <v>43</v>
      </c>
      <c r="B52" s="67" t="s">
        <v>129</v>
      </c>
      <c r="C52" s="110" t="s">
        <v>30</v>
      </c>
      <c r="D52" s="117">
        <f t="shared" si="3"/>
        <v>5901</v>
      </c>
      <c r="E52" s="127">
        <v>304</v>
      </c>
      <c r="F52" s="126">
        <v>358</v>
      </c>
      <c r="G52" s="127">
        <v>1419</v>
      </c>
      <c r="H52" s="128">
        <v>1306</v>
      </c>
      <c r="I52" s="121">
        <v>9</v>
      </c>
      <c r="J52" s="126">
        <v>6</v>
      </c>
      <c r="K52" s="121">
        <v>159</v>
      </c>
      <c r="L52" s="126">
        <v>44</v>
      </c>
      <c r="M52" s="121">
        <v>288</v>
      </c>
      <c r="N52" s="126">
        <v>302</v>
      </c>
      <c r="O52" s="121">
        <v>950</v>
      </c>
      <c r="P52" s="126">
        <v>756</v>
      </c>
    </row>
    <row r="53" spans="1:16">
      <c r="A53" s="175">
        <v>44</v>
      </c>
      <c r="B53" s="67" t="s">
        <v>130</v>
      </c>
      <c r="C53" s="111"/>
      <c r="D53" s="117">
        <f t="shared" si="3"/>
        <v>31546</v>
      </c>
      <c r="E53" s="120">
        <v>2138</v>
      </c>
      <c r="F53" s="122">
        <v>2309</v>
      </c>
      <c r="G53" s="127">
        <v>5171</v>
      </c>
      <c r="H53" s="125">
        <v>4378</v>
      </c>
      <c r="I53" s="27">
        <v>21</v>
      </c>
      <c r="J53" s="122">
        <v>4</v>
      </c>
      <c r="K53" s="27">
        <v>126</v>
      </c>
      <c r="L53" s="126">
        <v>34</v>
      </c>
      <c r="M53" s="27">
        <v>1664</v>
      </c>
      <c r="N53" s="122">
        <v>1968</v>
      </c>
      <c r="O53" s="27">
        <v>7567</v>
      </c>
      <c r="P53" s="122">
        <v>6166</v>
      </c>
    </row>
    <row r="54" spans="1:16">
      <c r="A54" s="175">
        <v>45</v>
      </c>
      <c r="B54" s="67" t="s">
        <v>131</v>
      </c>
      <c r="C54" s="111"/>
      <c r="D54" s="117">
        <f t="shared" si="3"/>
        <v>12948</v>
      </c>
      <c r="E54" s="120">
        <v>896</v>
      </c>
      <c r="F54" s="122">
        <v>965</v>
      </c>
      <c r="G54" s="127">
        <v>1558</v>
      </c>
      <c r="H54" s="125">
        <v>1407</v>
      </c>
      <c r="I54" s="27">
        <v>329</v>
      </c>
      <c r="J54" s="122">
        <v>409</v>
      </c>
      <c r="K54" s="27">
        <v>1980</v>
      </c>
      <c r="L54" s="126">
        <v>1803</v>
      </c>
      <c r="M54" s="27">
        <v>678</v>
      </c>
      <c r="N54" s="122">
        <v>867</v>
      </c>
      <c r="O54" s="27">
        <v>1111</v>
      </c>
      <c r="P54" s="122">
        <v>945</v>
      </c>
    </row>
    <row r="55" spans="1:16">
      <c r="A55" s="175">
        <v>46</v>
      </c>
      <c r="B55" s="67" t="s">
        <v>132</v>
      </c>
      <c r="C55" s="111"/>
      <c r="D55" s="117">
        <f>E55+F55+G55+H55+I55+J55+K55+L55+M55+N55+O55+P55</f>
        <v>8171</v>
      </c>
      <c r="E55" s="120">
        <v>556</v>
      </c>
      <c r="F55" s="122">
        <v>561</v>
      </c>
      <c r="G55" s="127">
        <v>974</v>
      </c>
      <c r="H55" s="125">
        <v>902</v>
      </c>
      <c r="I55" s="27">
        <v>417</v>
      </c>
      <c r="J55" s="122">
        <v>538</v>
      </c>
      <c r="K55" s="27">
        <v>1906</v>
      </c>
      <c r="L55" s="126">
        <v>1764</v>
      </c>
      <c r="M55" s="27">
        <v>109</v>
      </c>
      <c r="N55" s="122">
        <v>116</v>
      </c>
      <c r="O55" s="27">
        <v>172</v>
      </c>
      <c r="P55" s="122">
        <v>156</v>
      </c>
    </row>
    <row r="56" spans="1:16">
      <c r="A56" s="175">
        <v>47</v>
      </c>
      <c r="B56" s="67" t="s">
        <v>133</v>
      </c>
      <c r="C56" s="111"/>
      <c r="D56" s="117">
        <f>E56+F56+G56+H56+I56+J56+K56+L56+M56+N56+O56+P56</f>
        <v>6515</v>
      </c>
      <c r="E56" s="120">
        <v>658</v>
      </c>
      <c r="F56" s="125">
        <v>717</v>
      </c>
      <c r="G56" s="127">
        <v>1205</v>
      </c>
      <c r="H56" s="125">
        <v>1128</v>
      </c>
      <c r="I56" s="27">
        <v>4</v>
      </c>
      <c r="J56" s="122">
        <v>2</v>
      </c>
      <c r="K56" s="27">
        <v>11</v>
      </c>
      <c r="L56" s="126"/>
      <c r="M56" s="27">
        <v>465</v>
      </c>
      <c r="N56" s="122">
        <v>506</v>
      </c>
      <c r="O56" s="27">
        <v>1022</v>
      </c>
      <c r="P56" s="122">
        <v>797</v>
      </c>
    </row>
    <row r="57" spans="1:16">
      <c r="A57" s="175">
        <v>48</v>
      </c>
      <c r="B57" s="67" t="s">
        <v>134</v>
      </c>
      <c r="C57" s="111"/>
      <c r="D57" s="117">
        <f t="shared" ref="D57:D62" si="4">E57+F57+G57+H57+I57+J57+K57+L57+M57+N57+O57+P57</f>
        <v>11681</v>
      </c>
      <c r="E57" s="120">
        <v>1035</v>
      </c>
      <c r="F57" s="125">
        <v>1038</v>
      </c>
      <c r="G57" s="127">
        <v>2020</v>
      </c>
      <c r="H57" s="125">
        <v>1872</v>
      </c>
      <c r="I57" s="27">
        <v>13</v>
      </c>
      <c r="J57" s="122">
        <v>4</v>
      </c>
      <c r="K57" s="27">
        <v>86</v>
      </c>
      <c r="L57" s="126">
        <v>51</v>
      </c>
      <c r="M57" s="27">
        <v>1384</v>
      </c>
      <c r="N57" s="122">
        <v>1526</v>
      </c>
      <c r="O57" s="27">
        <v>1381</v>
      </c>
      <c r="P57" s="122">
        <v>1271</v>
      </c>
    </row>
    <row r="58" spans="1:16">
      <c r="A58" s="175">
        <v>49</v>
      </c>
      <c r="B58" s="67" t="s">
        <v>135</v>
      </c>
      <c r="C58" s="111"/>
      <c r="D58" s="117">
        <f t="shared" si="4"/>
        <v>4723</v>
      </c>
      <c r="E58" s="120">
        <v>298</v>
      </c>
      <c r="F58" s="125">
        <v>355</v>
      </c>
      <c r="G58" s="127">
        <v>522</v>
      </c>
      <c r="H58" s="125">
        <v>426</v>
      </c>
      <c r="I58" s="27">
        <v>63</v>
      </c>
      <c r="J58" s="122">
        <v>78</v>
      </c>
      <c r="K58" s="27">
        <v>484</v>
      </c>
      <c r="L58" s="126">
        <v>384</v>
      </c>
      <c r="M58" s="27">
        <v>241</v>
      </c>
      <c r="N58" s="122">
        <v>307</v>
      </c>
      <c r="O58" s="27">
        <v>866</v>
      </c>
      <c r="P58" s="122">
        <v>699</v>
      </c>
    </row>
    <row r="59" spans="1:16">
      <c r="A59" s="175">
        <v>50</v>
      </c>
      <c r="B59" s="67" t="s">
        <v>136</v>
      </c>
      <c r="C59" s="111"/>
      <c r="D59" s="117">
        <f t="shared" si="4"/>
        <v>20375</v>
      </c>
      <c r="E59" s="120">
        <v>578</v>
      </c>
      <c r="F59" s="125">
        <v>407</v>
      </c>
      <c r="G59" s="127">
        <v>2090</v>
      </c>
      <c r="H59" s="125">
        <v>1772</v>
      </c>
      <c r="I59" s="27">
        <v>263</v>
      </c>
      <c r="J59" s="122">
        <v>238</v>
      </c>
      <c r="K59" s="27">
        <v>106</v>
      </c>
      <c r="L59" s="126">
        <v>129</v>
      </c>
      <c r="M59" s="27">
        <v>2565</v>
      </c>
      <c r="N59" s="122">
        <v>2786</v>
      </c>
      <c r="O59" s="27">
        <v>4732</v>
      </c>
      <c r="P59" s="122">
        <v>4709</v>
      </c>
    </row>
    <row r="60" spans="1:16">
      <c r="A60" s="175">
        <v>51</v>
      </c>
      <c r="B60" s="67" t="s">
        <v>137</v>
      </c>
      <c r="C60" s="111"/>
      <c r="D60" s="117">
        <f t="shared" si="4"/>
        <v>36866</v>
      </c>
      <c r="E60" s="120">
        <v>3369</v>
      </c>
      <c r="F60" s="125">
        <v>3318</v>
      </c>
      <c r="G60" s="127">
        <v>6119</v>
      </c>
      <c r="H60" s="128">
        <v>5690</v>
      </c>
      <c r="I60" s="27">
        <v>136</v>
      </c>
      <c r="J60" s="122">
        <v>101</v>
      </c>
      <c r="K60" s="27">
        <v>311</v>
      </c>
      <c r="L60" s="126">
        <v>212</v>
      </c>
      <c r="M60" s="27">
        <v>3741</v>
      </c>
      <c r="N60" s="122">
        <v>4087</v>
      </c>
      <c r="O60" s="27">
        <v>5068</v>
      </c>
      <c r="P60" s="122">
        <v>4714</v>
      </c>
    </row>
    <row r="61" spans="1:16">
      <c r="A61" s="175">
        <v>52</v>
      </c>
      <c r="B61" s="67" t="s">
        <v>138</v>
      </c>
      <c r="C61" s="111"/>
      <c r="D61" s="117">
        <f t="shared" si="4"/>
        <v>30413</v>
      </c>
      <c r="E61" s="120">
        <v>3776</v>
      </c>
      <c r="F61" s="122">
        <v>4183</v>
      </c>
      <c r="G61" s="127">
        <v>1906</v>
      </c>
      <c r="H61" s="128">
        <v>1646</v>
      </c>
      <c r="I61" s="27">
        <v>68</v>
      </c>
      <c r="J61" s="122">
        <v>27</v>
      </c>
      <c r="K61" s="27">
        <v>77</v>
      </c>
      <c r="L61" s="126">
        <v>24</v>
      </c>
      <c r="M61" s="27">
        <v>4619</v>
      </c>
      <c r="N61" s="122">
        <v>5010</v>
      </c>
      <c r="O61" s="27">
        <v>4719</v>
      </c>
      <c r="P61" s="122">
        <v>4358</v>
      </c>
    </row>
    <row r="62" spans="1:16">
      <c r="A62" s="175">
        <v>53</v>
      </c>
      <c r="B62" s="67" t="s">
        <v>139</v>
      </c>
      <c r="C62" s="111"/>
      <c r="D62" s="117">
        <f t="shared" si="4"/>
        <v>20946</v>
      </c>
      <c r="E62" s="120">
        <v>268</v>
      </c>
      <c r="F62" s="122">
        <v>264</v>
      </c>
      <c r="G62" s="127">
        <v>569</v>
      </c>
      <c r="H62" s="125">
        <v>482</v>
      </c>
      <c r="I62" s="27">
        <v>473</v>
      </c>
      <c r="J62" s="122">
        <v>557</v>
      </c>
      <c r="K62" s="27">
        <v>8182</v>
      </c>
      <c r="L62" s="126">
        <v>9998</v>
      </c>
      <c r="M62" s="27">
        <v>26</v>
      </c>
      <c r="N62" s="122">
        <v>18</v>
      </c>
      <c r="O62" s="27">
        <v>55</v>
      </c>
      <c r="P62" s="122">
        <v>54</v>
      </c>
    </row>
    <row r="63" spans="1:16">
      <c r="A63" s="175">
        <v>54</v>
      </c>
      <c r="B63" s="67" t="s">
        <v>140</v>
      </c>
      <c r="C63" s="111"/>
      <c r="D63" s="117">
        <f>E63+F63+G63+H63+I63+J63+K63+L63+M63+N63+O63+P63</f>
        <v>5484</v>
      </c>
      <c r="E63" s="120">
        <v>645</v>
      </c>
      <c r="F63" s="122">
        <v>692</v>
      </c>
      <c r="G63" s="127">
        <v>697</v>
      </c>
      <c r="H63" s="125">
        <v>665</v>
      </c>
      <c r="I63" s="27">
        <v>76</v>
      </c>
      <c r="J63" s="122">
        <v>121</v>
      </c>
      <c r="K63" s="27">
        <v>456</v>
      </c>
      <c r="L63" s="126">
        <v>392</v>
      </c>
      <c r="M63" s="27">
        <v>232</v>
      </c>
      <c r="N63" s="122">
        <v>262</v>
      </c>
      <c r="O63" s="27">
        <v>701</v>
      </c>
      <c r="P63" s="122">
        <v>545</v>
      </c>
    </row>
    <row r="64" spans="1:16">
      <c r="A64" s="175">
        <v>55</v>
      </c>
      <c r="B64" s="67" t="s">
        <v>141</v>
      </c>
      <c r="C64" s="111"/>
      <c r="D64" s="117">
        <f>E64+F64+G64+H64+I64+J64+K64+L64+M64+N64+O64+P64</f>
        <v>17595</v>
      </c>
      <c r="E64" s="120">
        <v>599</v>
      </c>
      <c r="F64" s="122">
        <v>682</v>
      </c>
      <c r="G64" s="127">
        <v>4841</v>
      </c>
      <c r="H64" s="125">
        <v>4546</v>
      </c>
      <c r="I64" s="27">
        <v>8</v>
      </c>
      <c r="J64" s="122">
        <v>3</v>
      </c>
      <c r="K64" s="27">
        <v>19</v>
      </c>
      <c r="L64" s="126"/>
      <c r="M64" s="27">
        <v>567</v>
      </c>
      <c r="N64" s="122">
        <v>721</v>
      </c>
      <c r="O64" s="27">
        <v>3005</v>
      </c>
      <c r="P64" s="122">
        <v>2604</v>
      </c>
    </row>
    <row r="65" spans="1:17">
      <c r="A65" s="175">
        <v>56</v>
      </c>
      <c r="B65" s="67" t="s">
        <v>142</v>
      </c>
      <c r="C65" s="111"/>
      <c r="D65" s="117">
        <f t="shared" ref="D65:D69" si="5">E65+F65+G65+H65+I65+J65+K65+L65+M65+N65+O65+P65</f>
        <v>44101</v>
      </c>
      <c r="E65" s="120">
        <v>10117</v>
      </c>
      <c r="F65" s="122">
        <v>9890</v>
      </c>
      <c r="G65" s="127">
        <v>383</v>
      </c>
      <c r="H65" s="125">
        <v>365</v>
      </c>
      <c r="I65" s="27">
        <v>2358</v>
      </c>
      <c r="J65" s="122">
        <v>1841</v>
      </c>
      <c r="K65" s="27">
        <v>2322</v>
      </c>
      <c r="L65" s="126">
        <v>1849</v>
      </c>
      <c r="M65" s="27">
        <v>6526</v>
      </c>
      <c r="N65" s="122">
        <v>6331</v>
      </c>
      <c r="O65" s="27">
        <v>1089</v>
      </c>
      <c r="P65" s="122">
        <v>1030</v>
      </c>
    </row>
    <row r="66" spans="1:17">
      <c r="A66" s="175">
        <v>57</v>
      </c>
      <c r="B66" s="67" t="s">
        <v>143</v>
      </c>
      <c r="C66" s="111"/>
      <c r="D66" s="117">
        <f t="shared" si="5"/>
        <v>2834</v>
      </c>
      <c r="E66" s="120">
        <v>279</v>
      </c>
      <c r="F66" s="122">
        <v>130</v>
      </c>
      <c r="G66" s="127">
        <v>123</v>
      </c>
      <c r="H66" s="125">
        <v>110</v>
      </c>
      <c r="I66" s="27">
        <v>17</v>
      </c>
      <c r="J66" s="122">
        <v>10</v>
      </c>
      <c r="K66" s="27"/>
      <c r="L66" s="126"/>
      <c r="M66" s="27">
        <v>578</v>
      </c>
      <c r="N66" s="122">
        <v>670</v>
      </c>
      <c r="O66" s="27">
        <v>479</v>
      </c>
      <c r="P66" s="122">
        <v>438</v>
      </c>
    </row>
    <row r="67" spans="1:17">
      <c r="A67" s="175">
        <v>58</v>
      </c>
      <c r="B67" s="67" t="s">
        <v>144</v>
      </c>
      <c r="C67" s="111"/>
      <c r="D67" s="117">
        <f t="shared" si="5"/>
        <v>7593</v>
      </c>
      <c r="E67" s="120">
        <v>462</v>
      </c>
      <c r="F67" s="122">
        <v>419</v>
      </c>
      <c r="G67" s="127">
        <v>1399</v>
      </c>
      <c r="H67" s="125">
        <v>1285</v>
      </c>
      <c r="I67" s="27">
        <v>106</v>
      </c>
      <c r="J67" s="122">
        <v>134</v>
      </c>
      <c r="K67" s="27">
        <v>414</v>
      </c>
      <c r="L67" s="126">
        <v>312</v>
      </c>
      <c r="M67" s="27">
        <v>240</v>
      </c>
      <c r="N67" s="122">
        <v>287</v>
      </c>
      <c r="O67" s="27">
        <v>1370</v>
      </c>
      <c r="P67" s="122">
        <v>1165</v>
      </c>
    </row>
    <row r="68" spans="1:17">
      <c r="A68" s="175">
        <v>59</v>
      </c>
      <c r="B68" s="67" t="s">
        <v>145</v>
      </c>
      <c r="C68" s="111"/>
      <c r="D68" s="124">
        <f t="shared" si="5"/>
        <v>6797</v>
      </c>
      <c r="E68" s="120">
        <v>551</v>
      </c>
      <c r="F68" s="122">
        <v>581</v>
      </c>
      <c r="G68" s="127">
        <v>1380</v>
      </c>
      <c r="H68" s="125">
        <v>1238</v>
      </c>
      <c r="I68" s="27">
        <v>8</v>
      </c>
      <c r="J68" s="122">
        <v>1</v>
      </c>
      <c r="K68" s="27">
        <v>91</v>
      </c>
      <c r="L68" s="126">
        <v>43</v>
      </c>
      <c r="M68" s="27">
        <v>413</v>
      </c>
      <c r="N68" s="122">
        <v>414</v>
      </c>
      <c r="O68" s="27">
        <v>1080</v>
      </c>
      <c r="P68" s="122">
        <v>997</v>
      </c>
    </row>
    <row r="69" spans="1:17">
      <c r="A69" s="175">
        <v>60</v>
      </c>
      <c r="B69" s="67" t="s">
        <v>146</v>
      </c>
      <c r="C69" s="111"/>
      <c r="D69" s="117">
        <f t="shared" si="5"/>
        <v>32905</v>
      </c>
      <c r="E69" s="120">
        <v>2247</v>
      </c>
      <c r="F69" s="122">
        <v>2467</v>
      </c>
      <c r="G69" s="127">
        <v>1350</v>
      </c>
      <c r="H69" s="125">
        <v>1221</v>
      </c>
      <c r="I69" s="27">
        <v>4013</v>
      </c>
      <c r="J69" s="122">
        <v>4886</v>
      </c>
      <c r="K69" s="27">
        <v>6653</v>
      </c>
      <c r="L69" s="126">
        <v>7225</v>
      </c>
      <c r="M69" s="27">
        <v>705</v>
      </c>
      <c r="N69" s="122">
        <v>939</v>
      </c>
      <c r="O69" s="27">
        <v>610</v>
      </c>
      <c r="P69" s="122">
        <v>589</v>
      </c>
    </row>
    <row r="70" spans="1:17">
      <c r="A70" s="175">
        <v>61</v>
      </c>
      <c r="B70" s="67" t="s">
        <v>147</v>
      </c>
      <c r="C70" s="111"/>
      <c r="D70" s="124">
        <f>E70+F70+G70+H70+I70+J70+K70+L70+M70+N70+O70+P70</f>
        <v>5295</v>
      </c>
      <c r="E70" s="120">
        <v>402</v>
      </c>
      <c r="F70" s="122">
        <v>483</v>
      </c>
      <c r="G70" s="127">
        <v>627</v>
      </c>
      <c r="H70" s="125">
        <v>484</v>
      </c>
      <c r="I70" s="27">
        <v>87</v>
      </c>
      <c r="J70" s="122">
        <v>93</v>
      </c>
      <c r="K70" s="27">
        <v>556</v>
      </c>
      <c r="L70" s="126">
        <v>379</v>
      </c>
      <c r="M70" s="27">
        <v>282</v>
      </c>
      <c r="N70" s="122">
        <v>381</v>
      </c>
      <c r="O70" s="27">
        <v>866</v>
      </c>
      <c r="P70" s="122">
        <v>655</v>
      </c>
      <c r="Q70" s="21"/>
    </row>
    <row r="71" spans="1:17">
      <c r="A71" s="175">
        <v>62</v>
      </c>
      <c r="B71" s="67" t="s">
        <v>148</v>
      </c>
      <c r="C71" s="111"/>
      <c r="D71" s="117">
        <f>E71+F71+G71+H71+I71+J71+K71+L71+M71+N71+O71+P71</f>
        <v>15103</v>
      </c>
      <c r="E71" s="120">
        <v>724</v>
      </c>
      <c r="F71" s="122">
        <v>861</v>
      </c>
      <c r="G71" s="127">
        <v>3855</v>
      </c>
      <c r="H71" s="125">
        <v>3497</v>
      </c>
      <c r="I71" s="27">
        <v>3</v>
      </c>
      <c r="J71" s="122">
        <v>1</v>
      </c>
      <c r="K71" s="27">
        <v>59</v>
      </c>
      <c r="L71" s="126">
        <v>25</v>
      </c>
      <c r="M71" s="27">
        <v>808</v>
      </c>
      <c r="N71" s="122">
        <v>968</v>
      </c>
      <c r="O71" s="27">
        <v>2294</v>
      </c>
      <c r="P71" s="122">
        <v>2008</v>
      </c>
    </row>
    <row r="72" spans="1:17">
      <c r="A72" s="175">
        <v>63</v>
      </c>
      <c r="B72" s="67" t="s">
        <v>149</v>
      </c>
      <c r="C72" s="111"/>
      <c r="D72" s="117">
        <f t="shared" ref="D72:D75" si="6">E72+F72+G72+H72+I72+J72+K72+L72+M72+N72+O72+P72</f>
        <v>11120</v>
      </c>
      <c r="E72" s="120">
        <v>1338</v>
      </c>
      <c r="F72" s="122">
        <v>1436</v>
      </c>
      <c r="G72" s="127">
        <v>1612</v>
      </c>
      <c r="H72" s="125">
        <v>1385</v>
      </c>
      <c r="I72" s="27">
        <v>6</v>
      </c>
      <c r="J72" s="122"/>
      <c r="K72" s="27">
        <v>57</v>
      </c>
      <c r="L72" s="126">
        <v>20</v>
      </c>
      <c r="M72" s="27">
        <v>958</v>
      </c>
      <c r="N72" s="122">
        <v>1023</v>
      </c>
      <c r="O72" s="27">
        <v>1731</v>
      </c>
      <c r="P72" s="122">
        <v>1554</v>
      </c>
    </row>
    <row r="73" spans="1:17">
      <c r="A73" s="175">
        <v>64</v>
      </c>
      <c r="B73" s="67" t="s">
        <v>150</v>
      </c>
      <c r="C73" s="111"/>
      <c r="D73" s="117">
        <f t="shared" si="6"/>
        <v>9422</v>
      </c>
      <c r="E73" s="120">
        <v>2861</v>
      </c>
      <c r="F73" s="122">
        <v>1810</v>
      </c>
      <c r="G73" s="127">
        <v>293</v>
      </c>
      <c r="H73" s="125">
        <v>261</v>
      </c>
      <c r="I73" s="27">
        <v>148</v>
      </c>
      <c r="J73" s="122">
        <v>65</v>
      </c>
      <c r="K73" s="27">
        <v>28</v>
      </c>
      <c r="L73" s="126">
        <v>9</v>
      </c>
      <c r="M73" s="27">
        <v>1544</v>
      </c>
      <c r="N73" s="122">
        <v>1491</v>
      </c>
      <c r="O73" s="27">
        <v>491</v>
      </c>
      <c r="P73" s="122">
        <v>421</v>
      </c>
    </row>
    <row r="74" spans="1:17">
      <c r="A74" s="175">
        <v>65</v>
      </c>
      <c r="B74" s="67" t="s">
        <v>151</v>
      </c>
      <c r="C74" s="111"/>
      <c r="D74" s="117">
        <f t="shared" si="6"/>
        <v>22283</v>
      </c>
      <c r="E74" s="120">
        <v>1054</v>
      </c>
      <c r="F74" s="122">
        <v>1160</v>
      </c>
      <c r="G74" s="127">
        <v>2758</v>
      </c>
      <c r="H74" s="125">
        <v>2470</v>
      </c>
      <c r="I74" s="27">
        <v>686</v>
      </c>
      <c r="J74" s="122">
        <v>936</v>
      </c>
      <c r="K74" s="27">
        <v>4239</v>
      </c>
      <c r="L74" s="126">
        <v>4203</v>
      </c>
      <c r="M74" s="27">
        <v>1107</v>
      </c>
      <c r="N74" s="122">
        <v>1243</v>
      </c>
      <c r="O74" s="27">
        <v>1348</v>
      </c>
      <c r="P74" s="122">
        <v>1079</v>
      </c>
    </row>
    <row r="75" spans="1:17">
      <c r="A75" s="175">
        <v>66</v>
      </c>
      <c r="B75" s="67" t="s">
        <v>152</v>
      </c>
      <c r="C75" s="111"/>
      <c r="D75" s="117">
        <f t="shared" si="6"/>
        <v>21900</v>
      </c>
      <c r="E75" s="120">
        <v>2640</v>
      </c>
      <c r="F75" s="122">
        <v>2900</v>
      </c>
      <c r="G75" s="127">
        <v>1580</v>
      </c>
      <c r="H75" s="125">
        <v>1185</v>
      </c>
      <c r="I75" s="27">
        <v>53</v>
      </c>
      <c r="J75" s="122">
        <v>59</v>
      </c>
      <c r="K75" s="27">
        <v>582</v>
      </c>
      <c r="L75" s="126">
        <v>101</v>
      </c>
      <c r="M75" s="27">
        <v>2819</v>
      </c>
      <c r="N75" s="122">
        <v>3287</v>
      </c>
      <c r="O75" s="27">
        <v>3514</v>
      </c>
      <c r="P75" s="122">
        <v>3180</v>
      </c>
    </row>
    <row r="76" spans="1:17">
      <c r="A76" s="175">
        <v>67</v>
      </c>
      <c r="B76" s="67" t="s">
        <v>153</v>
      </c>
      <c r="C76" s="111"/>
      <c r="D76" s="117">
        <f>E76+F76+G76+H76+I76+J76+K76+L76+M76+N76+O76+P76</f>
        <v>5625</v>
      </c>
      <c r="E76" s="120">
        <v>545</v>
      </c>
      <c r="F76" s="122">
        <v>557</v>
      </c>
      <c r="G76" s="127">
        <v>732</v>
      </c>
      <c r="H76" s="125">
        <v>680</v>
      </c>
      <c r="I76" s="27">
        <v>93</v>
      </c>
      <c r="J76" s="122">
        <v>122</v>
      </c>
      <c r="K76" s="27">
        <v>1051</v>
      </c>
      <c r="L76" s="126">
        <v>981</v>
      </c>
      <c r="M76" s="27">
        <v>227</v>
      </c>
      <c r="N76" s="122">
        <v>256</v>
      </c>
      <c r="O76" s="27">
        <v>218</v>
      </c>
      <c r="P76" s="122">
        <v>163</v>
      </c>
    </row>
    <row r="77" spans="1:17">
      <c r="A77" s="175">
        <v>68</v>
      </c>
      <c r="B77" s="67" t="s">
        <v>154</v>
      </c>
      <c r="C77" s="110" t="s">
        <v>31</v>
      </c>
      <c r="D77" s="124">
        <f>E77+F77+G77+H77+I77+J77+K77+L77+M77+N77+O77+P77</f>
        <v>6934</v>
      </c>
      <c r="E77" s="120">
        <v>265</v>
      </c>
      <c r="F77" s="122">
        <v>289</v>
      </c>
      <c r="G77" s="127">
        <v>1438</v>
      </c>
      <c r="H77" s="125">
        <v>1291</v>
      </c>
      <c r="I77" s="27">
        <v>59</v>
      </c>
      <c r="J77" s="122">
        <v>67</v>
      </c>
      <c r="K77" s="27">
        <v>953</v>
      </c>
      <c r="L77" s="126">
        <v>877</v>
      </c>
      <c r="M77" s="27">
        <v>213</v>
      </c>
      <c r="N77" s="122">
        <v>230</v>
      </c>
      <c r="O77" s="27">
        <v>679</v>
      </c>
      <c r="P77" s="122">
        <v>573</v>
      </c>
    </row>
    <row r="78" spans="1:17">
      <c r="A78" s="175">
        <v>69</v>
      </c>
      <c r="B78" s="67" t="s">
        <v>155</v>
      </c>
      <c r="C78" s="111"/>
      <c r="D78" s="117">
        <f t="shared" ref="D78:D141" si="7">E78+F78+G78+H78+I78+J78+K78+L78+M78+N78+O78+P78</f>
        <v>10641</v>
      </c>
      <c r="E78" s="120">
        <v>604</v>
      </c>
      <c r="F78" s="122">
        <v>556</v>
      </c>
      <c r="G78" s="127">
        <v>465</v>
      </c>
      <c r="H78" s="125">
        <v>405</v>
      </c>
      <c r="I78" s="27">
        <v>1448</v>
      </c>
      <c r="J78" s="122">
        <v>1711</v>
      </c>
      <c r="K78" s="27">
        <v>1582</v>
      </c>
      <c r="L78" s="126">
        <v>1790</v>
      </c>
      <c r="M78" s="27">
        <v>687</v>
      </c>
      <c r="N78" s="122">
        <v>728</v>
      </c>
      <c r="O78" s="27">
        <v>328</v>
      </c>
      <c r="P78" s="122">
        <v>337</v>
      </c>
    </row>
    <row r="79" spans="1:17">
      <c r="A79" s="175">
        <v>70</v>
      </c>
      <c r="B79" s="67" t="s">
        <v>156</v>
      </c>
      <c r="C79" s="111"/>
      <c r="D79" s="117">
        <f t="shared" si="7"/>
        <v>13305</v>
      </c>
      <c r="E79" s="120">
        <v>470</v>
      </c>
      <c r="F79" s="122">
        <v>512</v>
      </c>
      <c r="G79" s="127">
        <v>788</v>
      </c>
      <c r="H79" s="125">
        <v>696</v>
      </c>
      <c r="I79" s="27">
        <v>1324</v>
      </c>
      <c r="J79" s="122">
        <v>1559</v>
      </c>
      <c r="K79" s="27">
        <v>3641</v>
      </c>
      <c r="L79" s="126">
        <v>4071</v>
      </c>
      <c r="M79" s="27">
        <v>27</v>
      </c>
      <c r="N79" s="122">
        <v>27</v>
      </c>
      <c r="O79" s="27">
        <v>101</v>
      </c>
      <c r="P79" s="122">
        <v>89</v>
      </c>
    </row>
    <row r="80" spans="1:17">
      <c r="A80" s="175">
        <v>71</v>
      </c>
      <c r="B80" s="67" t="s">
        <v>157</v>
      </c>
      <c r="C80" s="111"/>
      <c r="D80" s="117">
        <f t="shared" si="7"/>
        <v>3841</v>
      </c>
      <c r="E80" s="120">
        <v>187</v>
      </c>
      <c r="F80" s="122">
        <v>156</v>
      </c>
      <c r="G80" s="127">
        <v>1040</v>
      </c>
      <c r="H80" s="125">
        <v>915</v>
      </c>
      <c r="I80" s="27">
        <v>5</v>
      </c>
      <c r="J80" s="122">
        <v>2</v>
      </c>
      <c r="K80" s="27">
        <v>40</v>
      </c>
      <c r="L80" s="126">
        <v>15</v>
      </c>
      <c r="M80" s="27">
        <v>102</v>
      </c>
      <c r="N80" s="122">
        <v>152</v>
      </c>
      <c r="O80" s="27">
        <v>630</v>
      </c>
      <c r="P80" s="122">
        <v>597</v>
      </c>
    </row>
    <row r="81" spans="1:16">
      <c r="A81" s="175">
        <v>72</v>
      </c>
      <c r="B81" s="67" t="s">
        <v>158</v>
      </c>
      <c r="C81" s="111"/>
      <c r="D81" s="117">
        <f t="shared" si="7"/>
        <v>15809</v>
      </c>
      <c r="E81" s="120">
        <v>1214</v>
      </c>
      <c r="F81" s="122">
        <v>1302</v>
      </c>
      <c r="G81" s="127">
        <v>3116</v>
      </c>
      <c r="H81" s="125">
        <v>2760</v>
      </c>
      <c r="I81" s="27">
        <v>5</v>
      </c>
      <c r="J81" s="122"/>
      <c r="K81" s="27">
        <v>70</v>
      </c>
      <c r="L81" s="126">
        <v>21</v>
      </c>
      <c r="M81" s="27">
        <v>1737</v>
      </c>
      <c r="N81" s="122">
        <v>1963</v>
      </c>
      <c r="O81" s="27">
        <v>1974</v>
      </c>
      <c r="P81" s="122">
        <v>1647</v>
      </c>
    </row>
    <row r="82" spans="1:16">
      <c r="A82" s="175">
        <v>73</v>
      </c>
      <c r="B82" s="67" t="s">
        <v>159</v>
      </c>
      <c r="C82" s="111"/>
      <c r="D82" s="117">
        <f t="shared" si="7"/>
        <v>9596</v>
      </c>
      <c r="E82" s="120">
        <v>388</v>
      </c>
      <c r="F82" s="122">
        <v>452</v>
      </c>
      <c r="G82" s="127">
        <v>1022</v>
      </c>
      <c r="H82" s="125">
        <v>925</v>
      </c>
      <c r="I82" s="27">
        <v>274</v>
      </c>
      <c r="J82" s="122">
        <v>380</v>
      </c>
      <c r="K82" s="27">
        <v>2682</v>
      </c>
      <c r="L82" s="126">
        <v>2610</v>
      </c>
      <c r="M82" s="27">
        <v>169</v>
      </c>
      <c r="N82" s="122">
        <v>204</v>
      </c>
      <c r="O82" s="27">
        <v>263</v>
      </c>
      <c r="P82" s="122">
        <v>227</v>
      </c>
    </row>
    <row r="83" spans="1:16">
      <c r="A83" s="175">
        <v>74</v>
      </c>
      <c r="B83" s="67" t="s">
        <v>160</v>
      </c>
      <c r="C83" s="111"/>
      <c r="D83" s="124">
        <f t="shared" si="7"/>
        <v>7530</v>
      </c>
      <c r="E83" s="120">
        <v>396</v>
      </c>
      <c r="F83" s="122">
        <v>438</v>
      </c>
      <c r="G83" s="127">
        <v>816</v>
      </c>
      <c r="H83" s="125">
        <v>666</v>
      </c>
      <c r="I83" s="27">
        <v>10</v>
      </c>
      <c r="J83" s="122">
        <v>9</v>
      </c>
      <c r="K83" s="27">
        <v>305</v>
      </c>
      <c r="L83" s="126">
        <v>17</v>
      </c>
      <c r="M83" s="27">
        <v>485</v>
      </c>
      <c r="N83" s="122">
        <v>493</v>
      </c>
      <c r="O83" s="27">
        <v>1968</v>
      </c>
      <c r="P83" s="122">
        <v>1927</v>
      </c>
    </row>
    <row r="84" spans="1:16">
      <c r="A84" s="175">
        <v>75</v>
      </c>
      <c r="B84" s="67" t="s">
        <v>161</v>
      </c>
      <c r="C84" s="111"/>
      <c r="D84" s="117">
        <f t="shared" si="7"/>
        <v>29865</v>
      </c>
      <c r="E84" s="120">
        <v>3161</v>
      </c>
      <c r="F84" s="122">
        <v>3063</v>
      </c>
      <c r="G84" s="127">
        <v>2986</v>
      </c>
      <c r="H84" s="125">
        <v>2568</v>
      </c>
      <c r="I84" s="27">
        <v>1113</v>
      </c>
      <c r="J84" s="122">
        <v>1265</v>
      </c>
      <c r="K84" s="27">
        <v>4464</v>
      </c>
      <c r="L84" s="126">
        <v>4246</v>
      </c>
      <c r="M84" s="27">
        <v>1432</v>
      </c>
      <c r="N84" s="122">
        <v>1539</v>
      </c>
      <c r="O84" s="27">
        <v>2146</v>
      </c>
      <c r="P84" s="122">
        <v>1882</v>
      </c>
    </row>
    <row r="85" spans="1:16">
      <c r="A85" s="175">
        <v>76</v>
      </c>
      <c r="B85" s="67" t="s">
        <v>162</v>
      </c>
      <c r="C85" s="111"/>
      <c r="D85" s="117">
        <f t="shared" si="7"/>
        <v>11636</v>
      </c>
      <c r="E85" s="120">
        <v>279</v>
      </c>
      <c r="F85" s="122">
        <v>312</v>
      </c>
      <c r="G85" s="127">
        <v>2697</v>
      </c>
      <c r="H85" s="125">
        <v>2535</v>
      </c>
      <c r="I85" s="27">
        <v>58</v>
      </c>
      <c r="J85" s="122">
        <v>58</v>
      </c>
      <c r="K85" s="27">
        <v>653</v>
      </c>
      <c r="L85" s="126">
        <v>569</v>
      </c>
      <c r="M85" s="27">
        <v>583</v>
      </c>
      <c r="N85" s="122">
        <v>664</v>
      </c>
      <c r="O85" s="27">
        <v>1668</v>
      </c>
      <c r="P85" s="122">
        <v>1560</v>
      </c>
    </row>
    <row r="86" spans="1:16">
      <c r="A86" s="175">
        <v>77</v>
      </c>
      <c r="B86" s="67" t="s">
        <v>163</v>
      </c>
      <c r="C86" s="111"/>
      <c r="D86" s="117">
        <f t="shared" si="7"/>
        <v>6047</v>
      </c>
      <c r="E86" s="120">
        <v>203</v>
      </c>
      <c r="F86" s="122">
        <v>182</v>
      </c>
      <c r="G86" s="127">
        <v>1465</v>
      </c>
      <c r="H86" s="125">
        <v>1403</v>
      </c>
      <c r="I86" s="27"/>
      <c r="J86" s="122"/>
      <c r="K86" s="27">
        <v>7</v>
      </c>
      <c r="L86" s="126">
        <v>6</v>
      </c>
      <c r="M86" s="27">
        <v>129</v>
      </c>
      <c r="N86" s="122">
        <v>158</v>
      </c>
      <c r="O86" s="27">
        <v>1300</v>
      </c>
      <c r="P86" s="122">
        <v>1194</v>
      </c>
    </row>
    <row r="87" spans="1:16">
      <c r="A87" s="175">
        <v>78</v>
      </c>
      <c r="B87" s="67" t="s">
        <v>164</v>
      </c>
      <c r="C87" s="111"/>
      <c r="D87" s="117">
        <f t="shared" si="7"/>
        <v>16275</v>
      </c>
      <c r="E87" s="120">
        <v>322</v>
      </c>
      <c r="F87" s="122">
        <v>369</v>
      </c>
      <c r="G87" s="127">
        <v>411</v>
      </c>
      <c r="H87" s="125">
        <v>337</v>
      </c>
      <c r="I87" s="27">
        <v>670</v>
      </c>
      <c r="J87" s="122">
        <v>567</v>
      </c>
      <c r="K87" s="27">
        <v>5848</v>
      </c>
      <c r="L87" s="126">
        <v>7254</v>
      </c>
      <c r="M87" s="27">
        <v>76</v>
      </c>
      <c r="N87" s="122">
        <v>55</v>
      </c>
      <c r="O87" s="27">
        <v>160</v>
      </c>
      <c r="P87" s="122">
        <v>206</v>
      </c>
    </row>
    <row r="88" spans="1:16">
      <c r="A88" s="175">
        <v>79</v>
      </c>
      <c r="B88" s="67" t="s">
        <v>165</v>
      </c>
      <c r="C88" s="111"/>
      <c r="D88" s="117">
        <f t="shared" si="7"/>
        <v>7514</v>
      </c>
      <c r="E88" s="120">
        <v>734</v>
      </c>
      <c r="F88" s="122">
        <v>853</v>
      </c>
      <c r="G88" s="127">
        <v>973</v>
      </c>
      <c r="H88" s="125">
        <v>757</v>
      </c>
      <c r="I88" s="27">
        <v>99</v>
      </c>
      <c r="J88" s="122">
        <v>109</v>
      </c>
      <c r="K88" s="27">
        <v>597</v>
      </c>
      <c r="L88" s="126">
        <v>398</v>
      </c>
      <c r="M88" s="27">
        <v>387</v>
      </c>
      <c r="N88" s="122">
        <v>487</v>
      </c>
      <c r="O88" s="27">
        <v>1130</v>
      </c>
      <c r="P88" s="122">
        <v>990</v>
      </c>
    </row>
    <row r="89" spans="1:16">
      <c r="A89" s="175">
        <v>80</v>
      </c>
      <c r="B89" s="67" t="s">
        <v>166</v>
      </c>
      <c r="C89" s="111"/>
      <c r="D89" s="117">
        <f t="shared" si="7"/>
        <v>9635</v>
      </c>
      <c r="E89" s="120">
        <v>434</v>
      </c>
      <c r="F89" s="122">
        <v>437</v>
      </c>
      <c r="G89" s="127">
        <v>2059</v>
      </c>
      <c r="H89" s="125">
        <v>1859</v>
      </c>
      <c r="I89" s="27">
        <v>81</v>
      </c>
      <c r="J89" s="122">
        <v>113</v>
      </c>
      <c r="K89" s="27">
        <v>482</v>
      </c>
      <c r="L89" s="126">
        <v>363</v>
      </c>
      <c r="M89" s="27">
        <v>403</v>
      </c>
      <c r="N89" s="122">
        <v>512</v>
      </c>
      <c r="O89" s="27">
        <v>1541</v>
      </c>
      <c r="P89" s="122">
        <v>1351</v>
      </c>
    </row>
    <row r="90" spans="1:16">
      <c r="A90" s="175">
        <v>81</v>
      </c>
      <c r="B90" s="67" t="s">
        <v>167</v>
      </c>
      <c r="C90" s="111"/>
      <c r="D90" s="117">
        <f t="shared" si="7"/>
        <v>22854</v>
      </c>
      <c r="E90" s="120">
        <v>780</v>
      </c>
      <c r="F90" s="122">
        <v>753</v>
      </c>
      <c r="G90" s="127">
        <v>3100</v>
      </c>
      <c r="H90" s="125">
        <v>2867</v>
      </c>
      <c r="I90" s="27">
        <v>629</v>
      </c>
      <c r="J90" s="122">
        <v>752</v>
      </c>
      <c r="K90" s="27">
        <v>6543</v>
      </c>
      <c r="L90" s="126">
        <v>6596</v>
      </c>
      <c r="M90" s="27">
        <v>173</v>
      </c>
      <c r="N90" s="122">
        <v>178</v>
      </c>
      <c r="O90" s="27">
        <v>268</v>
      </c>
      <c r="P90" s="122">
        <v>215</v>
      </c>
    </row>
    <row r="91" spans="1:16">
      <c r="A91" s="175">
        <v>82</v>
      </c>
      <c r="B91" s="67" t="s">
        <v>168</v>
      </c>
      <c r="C91" s="111"/>
      <c r="D91" s="117">
        <f t="shared" si="7"/>
        <v>19130</v>
      </c>
      <c r="E91" s="120">
        <v>1647</v>
      </c>
      <c r="F91" s="122">
        <v>1861</v>
      </c>
      <c r="G91" s="127">
        <v>2027</v>
      </c>
      <c r="H91" s="125">
        <v>1846</v>
      </c>
      <c r="I91" s="27">
        <v>51</v>
      </c>
      <c r="J91" s="122">
        <v>20</v>
      </c>
      <c r="K91" s="27">
        <v>596</v>
      </c>
      <c r="L91" s="126">
        <v>87</v>
      </c>
      <c r="M91" s="27">
        <v>2201</v>
      </c>
      <c r="N91" s="122">
        <v>2421</v>
      </c>
      <c r="O91" s="27">
        <v>3486</v>
      </c>
      <c r="P91" s="122">
        <v>2887</v>
      </c>
    </row>
    <row r="92" spans="1:16">
      <c r="A92" s="176" t="s">
        <v>21</v>
      </c>
      <c r="B92" s="59"/>
      <c r="C92" s="97"/>
      <c r="D92" s="117"/>
      <c r="E92" s="120"/>
      <c r="F92" s="122"/>
      <c r="G92" s="127"/>
      <c r="H92" s="125"/>
      <c r="I92" s="27"/>
      <c r="J92" s="122"/>
      <c r="K92" s="27"/>
      <c r="L92" s="126"/>
      <c r="M92" s="27"/>
      <c r="N92" s="122"/>
      <c r="O92" s="27"/>
      <c r="P92" s="122"/>
    </row>
    <row r="93" spans="1:16">
      <c r="A93" s="146">
        <v>83</v>
      </c>
      <c r="B93" s="48" t="s">
        <v>169</v>
      </c>
      <c r="C93" s="4"/>
      <c r="D93" s="117">
        <f t="shared" si="7"/>
        <v>13024</v>
      </c>
      <c r="E93" s="120">
        <v>580</v>
      </c>
      <c r="F93" s="122">
        <v>516</v>
      </c>
      <c r="G93" s="127">
        <v>1253</v>
      </c>
      <c r="H93" s="125">
        <v>1001</v>
      </c>
      <c r="I93" s="27">
        <v>123</v>
      </c>
      <c r="J93" s="122">
        <v>112</v>
      </c>
      <c r="K93" s="27">
        <v>353</v>
      </c>
      <c r="L93" s="126">
        <v>345</v>
      </c>
      <c r="M93" s="27">
        <v>993</v>
      </c>
      <c r="N93" s="122">
        <v>1164</v>
      </c>
      <c r="O93" s="27">
        <v>3347</v>
      </c>
      <c r="P93" s="122">
        <v>3237</v>
      </c>
    </row>
    <row r="94" spans="1:16">
      <c r="A94" s="146">
        <v>84</v>
      </c>
      <c r="B94" s="48" t="s">
        <v>170</v>
      </c>
      <c r="C94" s="4"/>
      <c r="D94" s="117">
        <f t="shared" si="7"/>
        <v>17524</v>
      </c>
      <c r="E94" s="120">
        <v>73</v>
      </c>
      <c r="F94" s="122">
        <v>53</v>
      </c>
      <c r="G94" s="127">
        <v>1987</v>
      </c>
      <c r="H94" s="125">
        <v>1721</v>
      </c>
      <c r="I94" s="27">
        <v>536</v>
      </c>
      <c r="J94" s="122">
        <v>610</v>
      </c>
      <c r="K94" s="27">
        <v>5095</v>
      </c>
      <c r="L94" s="126">
        <v>5858</v>
      </c>
      <c r="M94" s="27">
        <v>99</v>
      </c>
      <c r="N94" s="122">
        <v>130</v>
      </c>
      <c r="O94" s="27">
        <v>694</v>
      </c>
      <c r="P94" s="122">
        <v>668</v>
      </c>
    </row>
    <row r="95" spans="1:16">
      <c r="A95" s="146">
        <v>85</v>
      </c>
      <c r="B95" s="48" t="s">
        <v>171</v>
      </c>
      <c r="C95" s="4"/>
      <c r="D95" s="117">
        <f t="shared" si="7"/>
        <v>24578</v>
      </c>
      <c r="E95" s="120">
        <v>635</v>
      </c>
      <c r="F95" s="122">
        <v>603</v>
      </c>
      <c r="G95" s="127">
        <v>803</v>
      </c>
      <c r="H95" s="125">
        <v>700</v>
      </c>
      <c r="I95" s="27">
        <v>402</v>
      </c>
      <c r="J95" s="122">
        <v>439</v>
      </c>
      <c r="K95" s="27">
        <v>9187</v>
      </c>
      <c r="L95" s="126">
        <v>11015</v>
      </c>
      <c r="M95" s="27">
        <v>217</v>
      </c>
      <c r="N95" s="122">
        <v>185</v>
      </c>
      <c r="O95" s="27">
        <v>200</v>
      </c>
      <c r="P95" s="122">
        <v>192</v>
      </c>
    </row>
    <row r="96" spans="1:16">
      <c r="A96" s="146">
        <v>86</v>
      </c>
      <c r="B96" s="48" t="s">
        <v>172</v>
      </c>
      <c r="C96" s="4"/>
      <c r="D96" s="117">
        <f t="shared" si="7"/>
        <v>22809</v>
      </c>
      <c r="E96" s="120"/>
      <c r="F96" s="122"/>
      <c r="G96" s="127">
        <v>382</v>
      </c>
      <c r="H96" s="125">
        <v>314</v>
      </c>
      <c r="I96" s="27"/>
      <c r="J96" s="122"/>
      <c r="K96" s="27">
        <v>9255</v>
      </c>
      <c r="L96" s="126">
        <v>12392</v>
      </c>
      <c r="M96" s="27"/>
      <c r="N96" s="122"/>
      <c r="O96" s="27">
        <v>210</v>
      </c>
      <c r="P96" s="122">
        <v>256</v>
      </c>
    </row>
    <row r="97" spans="1:16">
      <c r="A97" s="146">
        <v>87</v>
      </c>
      <c r="B97" s="48" t="s">
        <v>173</v>
      </c>
      <c r="C97" s="4"/>
      <c r="D97" s="117">
        <f t="shared" si="7"/>
        <v>21618</v>
      </c>
      <c r="E97" s="120">
        <v>483</v>
      </c>
      <c r="F97" s="122">
        <v>473</v>
      </c>
      <c r="G97" s="127">
        <v>1778</v>
      </c>
      <c r="H97" s="125">
        <v>1562</v>
      </c>
      <c r="I97" s="27">
        <v>481</v>
      </c>
      <c r="J97" s="122">
        <v>583</v>
      </c>
      <c r="K97" s="27">
        <v>7062</v>
      </c>
      <c r="L97" s="126">
        <v>8029</v>
      </c>
      <c r="M97" s="27">
        <v>205</v>
      </c>
      <c r="N97" s="122">
        <v>236</v>
      </c>
      <c r="O97" s="27">
        <v>397</v>
      </c>
      <c r="P97" s="122">
        <v>329</v>
      </c>
    </row>
    <row r="98" spans="1:16">
      <c r="A98" s="177" t="s">
        <v>22</v>
      </c>
      <c r="B98" s="84"/>
      <c r="C98" s="112"/>
      <c r="D98" s="117"/>
      <c r="E98" s="74"/>
      <c r="F98" s="75"/>
      <c r="G98" s="285"/>
      <c r="H98" s="76"/>
      <c r="I98" s="81"/>
      <c r="J98" s="82"/>
      <c r="K98" s="81"/>
      <c r="L98" s="83"/>
      <c r="M98" s="81"/>
      <c r="N98" s="82"/>
      <c r="O98" s="81"/>
      <c r="P98" s="82"/>
    </row>
    <row r="99" spans="1:16">
      <c r="A99" s="176" t="s">
        <v>23</v>
      </c>
      <c r="B99" s="59"/>
      <c r="C99" s="97"/>
      <c r="D99" s="117"/>
      <c r="E99" s="74"/>
      <c r="F99" s="75"/>
      <c r="G99" s="285"/>
      <c r="H99" s="76"/>
      <c r="I99" s="81"/>
      <c r="J99" s="82"/>
      <c r="K99" s="81"/>
      <c r="L99" s="83"/>
      <c r="M99" s="81"/>
      <c r="N99" s="82"/>
      <c r="O99" s="81"/>
      <c r="P99" s="82"/>
    </row>
    <row r="100" spans="1:16">
      <c r="A100" s="146">
        <v>88</v>
      </c>
      <c r="B100" s="48" t="s">
        <v>174</v>
      </c>
      <c r="C100" s="8" t="s">
        <v>32</v>
      </c>
      <c r="D100" s="117">
        <f t="shared" si="7"/>
        <v>7193</v>
      </c>
      <c r="E100" s="120">
        <v>296</v>
      </c>
      <c r="F100" s="122">
        <v>250</v>
      </c>
      <c r="G100" s="127">
        <v>839</v>
      </c>
      <c r="H100" s="125">
        <v>790</v>
      </c>
      <c r="I100" s="27">
        <v>327</v>
      </c>
      <c r="J100" s="122">
        <v>202</v>
      </c>
      <c r="K100" s="27">
        <v>2106</v>
      </c>
      <c r="L100" s="126">
        <v>1968</v>
      </c>
      <c r="M100" s="27">
        <v>76</v>
      </c>
      <c r="N100" s="122">
        <v>112</v>
      </c>
      <c r="O100" s="27">
        <v>127</v>
      </c>
      <c r="P100" s="122">
        <v>100</v>
      </c>
    </row>
    <row r="101" spans="1:16">
      <c r="A101" s="146">
        <v>89</v>
      </c>
      <c r="B101" s="48" t="s">
        <v>175</v>
      </c>
      <c r="C101" s="4"/>
      <c r="D101" s="117">
        <f t="shared" si="7"/>
        <v>38875</v>
      </c>
      <c r="E101" s="120">
        <v>196</v>
      </c>
      <c r="F101" s="122">
        <v>158</v>
      </c>
      <c r="G101" s="127">
        <v>717</v>
      </c>
      <c r="H101" s="125">
        <v>630</v>
      </c>
      <c r="I101" s="27">
        <v>292</v>
      </c>
      <c r="J101" s="122">
        <v>214</v>
      </c>
      <c r="K101" s="27">
        <v>16451</v>
      </c>
      <c r="L101" s="126">
        <v>19498</v>
      </c>
      <c r="M101" s="27">
        <v>41</v>
      </c>
      <c r="N101" s="122">
        <v>52</v>
      </c>
      <c r="O101" s="27">
        <v>297</v>
      </c>
      <c r="P101" s="122">
        <v>329</v>
      </c>
    </row>
    <row r="102" spans="1:16">
      <c r="A102" s="146">
        <v>90</v>
      </c>
      <c r="B102" s="48" t="s">
        <v>176</v>
      </c>
      <c r="C102" s="4"/>
      <c r="D102" s="117">
        <f t="shared" si="7"/>
        <v>19212</v>
      </c>
      <c r="E102" s="120">
        <v>67</v>
      </c>
      <c r="F102" s="122">
        <v>49</v>
      </c>
      <c r="G102" s="127">
        <v>65</v>
      </c>
      <c r="H102" s="125">
        <v>61</v>
      </c>
      <c r="I102" s="27">
        <v>84</v>
      </c>
      <c r="J102" s="122">
        <v>46</v>
      </c>
      <c r="K102" s="27">
        <v>8475</v>
      </c>
      <c r="L102" s="126">
        <v>10230</v>
      </c>
      <c r="M102" s="27">
        <v>12</v>
      </c>
      <c r="N102" s="122">
        <v>39</v>
      </c>
      <c r="O102" s="27">
        <v>42</v>
      </c>
      <c r="P102" s="122">
        <v>42</v>
      </c>
    </row>
    <row r="103" spans="1:16">
      <c r="A103" s="146">
        <v>91</v>
      </c>
      <c r="B103" s="48" t="s">
        <v>177</v>
      </c>
      <c r="C103" s="4"/>
      <c r="D103" s="117">
        <f t="shared" si="7"/>
        <v>15161</v>
      </c>
      <c r="E103" s="120">
        <v>439</v>
      </c>
      <c r="F103" s="122">
        <v>409</v>
      </c>
      <c r="G103" s="127">
        <v>630</v>
      </c>
      <c r="H103" s="125">
        <v>482</v>
      </c>
      <c r="I103" s="27">
        <v>644</v>
      </c>
      <c r="J103" s="122">
        <v>366</v>
      </c>
      <c r="K103" s="27">
        <v>4798</v>
      </c>
      <c r="L103" s="126">
        <v>4773</v>
      </c>
      <c r="M103" s="27">
        <v>623</v>
      </c>
      <c r="N103" s="122">
        <v>806</v>
      </c>
      <c r="O103" s="27">
        <v>575</v>
      </c>
      <c r="P103" s="122">
        <v>616</v>
      </c>
    </row>
    <row r="104" spans="1:16">
      <c r="A104" s="146">
        <v>92</v>
      </c>
      <c r="B104" s="48" t="s">
        <v>178</v>
      </c>
      <c r="C104" s="4"/>
      <c r="D104" s="117">
        <f t="shared" si="7"/>
        <v>26226</v>
      </c>
      <c r="E104" s="120">
        <v>53</v>
      </c>
      <c r="F104" s="122">
        <v>42</v>
      </c>
      <c r="G104" s="127">
        <v>97</v>
      </c>
      <c r="H104" s="125">
        <v>81</v>
      </c>
      <c r="I104" s="27">
        <v>115</v>
      </c>
      <c r="J104" s="122">
        <v>72</v>
      </c>
      <c r="K104" s="27">
        <v>11771</v>
      </c>
      <c r="L104" s="126">
        <v>13862</v>
      </c>
      <c r="M104" s="27">
        <v>1</v>
      </c>
      <c r="N104" s="122">
        <v>7</v>
      </c>
      <c r="O104" s="27">
        <v>68</v>
      </c>
      <c r="P104" s="122">
        <v>57</v>
      </c>
    </row>
    <row r="105" spans="1:16">
      <c r="A105" s="146">
        <v>93</v>
      </c>
      <c r="B105" s="48" t="s">
        <v>179</v>
      </c>
      <c r="C105" s="4"/>
      <c r="D105" s="124">
        <f t="shared" si="7"/>
        <v>38282</v>
      </c>
      <c r="E105" s="120">
        <v>86</v>
      </c>
      <c r="F105" s="122">
        <v>81</v>
      </c>
      <c r="G105" s="127">
        <v>87</v>
      </c>
      <c r="H105" s="125">
        <v>64</v>
      </c>
      <c r="I105" s="27">
        <v>115</v>
      </c>
      <c r="J105" s="122">
        <v>81</v>
      </c>
      <c r="K105" s="27">
        <v>16517</v>
      </c>
      <c r="L105" s="126">
        <v>20954</v>
      </c>
      <c r="M105" s="27">
        <v>17</v>
      </c>
      <c r="N105" s="122">
        <v>19</v>
      </c>
      <c r="O105" s="27">
        <v>131</v>
      </c>
      <c r="P105" s="122">
        <v>130</v>
      </c>
    </row>
    <row r="106" spans="1:16">
      <c r="A106" s="146">
        <v>94</v>
      </c>
      <c r="B106" s="48" t="s">
        <v>180</v>
      </c>
      <c r="C106" s="4"/>
      <c r="D106" s="117">
        <f t="shared" si="7"/>
        <v>33731</v>
      </c>
      <c r="E106" s="120">
        <v>61</v>
      </c>
      <c r="F106" s="122">
        <v>58</v>
      </c>
      <c r="G106" s="127">
        <v>65</v>
      </c>
      <c r="H106" s="125">
        <v>56</v>
      </c>
      <c r="I106" s="27">
        <v>75</v>
      </c>
      <c r="J106" s="122">
        <v>51</v>
      </c>
      <c r="K106" s="27">
        <v>14869</v>
      </c>
      <c r="L106" s="126">
        <v>18164</v>
      </c>
      <c r="M106" s="27">
        <v>4</v>
      </c>
      <c r="N106" s="122">
        <v>5</v>
      </c>
      <c r="O106" s="27">
        <v>151</v>
      </c>
      <c r="P106" s="122">
        <v>172</v>
      </c>
    </row>
    <row r="107" spans="1:16">
      <c r="A107" s="146">
        <v>95</v>
      </c>
      <c r="B107" s="48" t="s">
        <v>181</v>
      </c>
      <c r="C107" s="4"/>
      <c r="D107" s="117">
        <f t="shared" si="7"/>
        <v>33119</v>
      </c>
      <c r="E107" s="120">
        <v>74</v>
      </c>
      <c r="F107" s="122">
        <v>60</v>
      </c>
      <c r="G107" s="127">
        <v>120</v>
      </c>
      <c r="H107" s="125">
        <v>90</v>
      </c>
      <c r="I107" s="27">
        <v>96</v>
      </c>
      <c r="J107" s="122">
        <v>75</v>
      </c>
      <c r="K107" s="27">
        <v>14776</v>
      </c>
      <c r="L107" s="126">
        <v>17699</v>
      </c>
      <c r="M107" s="27">
        <v>12</v>
      </c>
      <c r="N107" s="122">
        <v>15</v>
      </c>
      <c r="O107" s="27">
        <v>45</v>
      </c>
      <c r="P107" s="122">
        <v>57</v>
      </c>
    </row>
    <row r="108" spans="1:16">
      <c r="A108" s="146">
        <v>96</v>
      </c>
      <c r="B108" s="48" t="s">
        <v>182</v>
      </c>
      <c r="C108" s="4"/>
      <c r="D108" s="117">
        <f t="shared" si="7"/>
        <v>37289</v>
      </c>
      <c r="E108" s="120">
        <v>47</v>
      </c>
      <c r="F108" s="122">
        <v>23</v>
      </c>
      <c r="G108" s="127">
        <v>375</v>
      </c>
      <c r="H108" s="125">
        <v>252</v>
      </c>
      <c r="I108" s="27">
        <v>82</v>
      </c>
      <c r="J108" s="122">
        <v>41</v>
      </c>
      <c r="K108" s="27">
        <v>16212</v>
      </c>
      <c r="L108" s="126">
        <v>19268</v>
      </c>
      <c r="M108" s="27">
        <v>45</v>
      </c>
      <c r="N108" s="122">
        <v>41</v>
      </c>
      <c r="O108" s="27">
        <v>445</v>
      </c>
      <c r="P108" s="122">
        <v>458</v>
      </c>
    </row>
    <row r="109" spans="1:16">
      <c r="A109" s="176" t="s">
        <v>24</v>
      </c>
      <c r="B109" s="59"/>
      <c r="C109" s="97"/>
      <c r="D109" s="117"/>
      <c r="E109" s="120"/>
      <c r="F109" s="122"/>
      <c r="G109" s="127"/>
      <c r="H109" s="125"/>
      <c r="I109" s="27"/>
      <c r="J109" s="122"/>
      <c r="K109" s="27"/>
      <c r="L109" s="126"/>
      <c r="M109" s="27"/>
      <c r="N109" s="122"/>
      <c r="O109" s="27"/>
      <c r="P109" s="122"/>
    </row>
    <row r="110" spans="1:16">
      <c r="A110" s="178">
        <v>97</v>
      </c>
      <c r="B110" s="85" t="s">
        <v>183</v>
      </c>
      <c r="C110" s="113"/>
      <c r="D110" s="117">
        <f t="shared" si="7"/>
        <v>8654</v>
      </c>
      <c r="E110" s="120">
        <v>749</v>
      </c>
      <c r="F110" s="122">
        <v>743</v>
      </c>
      <c r="G110" s="127">
        <v>1362</v>
      </c>
      <c r="H110" s="125">
        <v>1251</v>
      </c>
      <c r="I110" s="27">
        <v>353</v>
      </c>
      <c r="J110" s="122">
        <v>366</v>
      </c>
      <c r="K110" s="27">
        <v>1716</v>
      </c>
      <c r="L110" s="126">
        <v>1810</v>
      </c>
      <c r="M110" s="27">
        <v>70</v>
      </c>
      <c r="N110" s="122">
        <v>95</v>
      </c>
      <c r="O110" s="27">
        <v>73</v>
      </c>
      <c r="P110" s="122">
        <v>66</v>
      </c>
    </row>
    <row r="111" spans="1:16">
      <c r="A111" s="146">
        <v>98</v>
      </c>
      <c r="B111" s="48" t="s">
        <v>184</v>
      </c>
      <c r="C111" s="4"/>
      <c r="D111" s="117">
        <f t="shared" si="7"/>
        <v>28321</v>
      </c>
      <c r="E111" s="120"/>
      <c r="F111" s="122"/>
      <c r="G111" s="127">
        <v>127</v>
      </c>
      <c r="H111" s="125">
        <v>86</v>
      </c>
      <c r="I111" s="27"/>
      <c r="J111" s="122"/>
      <c r="K111" s="27">
        <v>13282</v>
      </c>
      <c r="L111" s="126">
        <v>14754</v>
      </c>
      <c r="M111" s="27"/>
      <c r="N111" s="122"/>
      <c r="O111" s="27">
        <v>31</v>
      </c>
      <c r="P111" s="122">
        <v>41</v>
      </c>
    </row>
    <row r="112" spans="1:16">
      <c r="A112" s="146">
        <v>99</v>
      </c>
      <c r="B112" s="48" t="s">
        <v>185</v>
      </c>
      <c r="C112" s="4"/>
      <c r="D112" s="117">
        <f t="shared" si="7"/>
        <v>62055</v>
      </c>
      <c r="E112" s="120">
        <v>100</v>
      </c>
      <c r="F112" s="122">
        <v>89</v>
      </c>
      <c r="G112" s="127">
        <v>241</v>
      </c>
      <c r="H112" s="125">
        <v>204</v>
      </c>
      <c r="I112" s="27">
        <v>98</v>
      </c>
      <c r="J112" s="122">
        <v>88</v>
      </c>
      <c r="K112" s="27">
        <v>27514</v>
      </c>
      <c r="L112" s="126">
        <v>33363</v>
      </c>
      <c r="M112" s="27">
        <v>3</v>
      </c>
      <c r="N112" s="122">
        <v>4</v>
      </c>
      <c r="O112" s="27">
        <v>157</v>
      </c>
      <c r="P112" s="122">
        <v>194</v>
      </c>
    </row>
    <row r="113" spans="1:16">
      <c r="A113" s="146">
        <v>100</v>
      </c>
      <c r="B113" s="48" t="s">
        <v>186</v>
      </c>
      <c r="C113" s="4"/>
      <c r="D113" s="117">
        <f t="shared" si="7"/>
        <v>35498</v>
      </c>
      <c r="E113" s="120">
        <v>58</v>
      </c>
      <c r="F113" s="122">
        <v>42</v>
      </c>
      <c r="G113" s="127">
        <v>90</v>
      </c>
      <c r="H113" s="125">
        <v>67</v>
      </c>
      <c r="I113" s="27">
        <v>82</v>
      </c>
      <c r="J113" s="122">
        <v>45</v>
      </c>
      <c r="K113" s="27">
        <v>16419</v>
      </c>
      <c r="L113" s="126">
        <v>18637</v>
      </c>
      <c r="M113" s="27">
        <v>1</v>
      </c>
      <c r="N113" s="122">
        <v>2</v>
      </c>
      <c r="O113" s="27">
        <v>22</v>
      </c>
      <c r="P113" s="122">
        <v>33</v>
      </c>
    </row>
    <row r="114" spans="1:16">
      <c r="A114" s="146">
        <v>101</v>
      </c>
      <c r="B114" s="48" t="s">
        <v>291</v>
      </c>
      <c r="C114" s="4"/>
      <c r="D114" s="124">
        <f t="shared" si="7"/>
        <v>39041</v>
      </c>
      <c r="E114" s="120">
        <v>47</v>
      </c>
      <c r="F114" s="122">
        <v>39</v>
      </c>
      <c r="G114" s="127">
        <v>166</v>
      </c>
      <c r="H114" s="125">
        <v>140</v>
      </c>
      <c r="I114" s="27">
        <v>61</v>
      </c>
      <c r="J114" s="122">
        <v>37</v>
      </c>
      <c r="K114" s="27">
        <v>17181</v>
      </c>
      <c r="L114" s="126">
        <v>21159</v>
      </c>
      <c r="M114" s="27">
        <v>20</v>
      </c>
      <c r="N114" s="122">
        <v>31</v>
      </c>
      <c r="O114" s="27">
        <v>74</v>
      </c>
      <c r="P114" s="122">
        <v>86</v>
      </c>
    </row>
    <row r="115" spans="1:16">
      <c r="A115" s="146">
        <v>102</v>
      </c>
      <c r="B115" s="48" t="s">
        <v>187</v>
      </c>
      <c r="C115" s="4"/>
      <c r="D115" s="117">
        <f t="shared" si="7"/>
        <v>45678</v>
      </c>
      <c r="E115" s="120">
        <v>592</v>
      </c>
      <c r="F115" s="122">
        <v>525</v>
      </c>
      <c r="G115" s="127">
        <v>308</v>
      </c>
      <c r="H115" s="125">
        <v>283</v>
      </c>
      <c r="I115" s="27">
        <v>567</v>
      </c>
      <c r="J115" s="122">
        <v>382</v>
      </c>
      <c r="K115" s="27">
        <v>19189</v>
      </c>
      <c r="L115" s="126">
        <v>23497</v>
      </c>
      <c r="M115" s="27">
        <v>108</v>
      </c>
      <c r="N115" s="122">
        <v>100</v>
      </c>
      <c r="O115" s="27">
        <v>65</v>
      </c>
      <c r="P115" s="122">
        <v>62</v>
      </c>
    </row>
    <row r="116" spans="1:16">
      <c r="A116" s="146">
        <v>103</v>
      </c>
      <c r="B116" s="48" t="s">
        <v>188</v>
      </c>
      <c r="C116" s="4"/>
      <c r="D116" s="117">
        <f t="shared" si="7"/>
        <v>16839</v>
      </c>
      <c r="E116" s="120">
        <v>338</v>
      </c>
      <c r="F116" s="122">
        <v>333</v>
      </c>
      <c r="G116" s="127">
        <v>96</v>
      </c>
      <c r="H116" s="125">
        <v>62</v>
      </c>
      <c r="I116" s="27">
        <v>165</v>
      </c>
      <c r="J116" s="122">
        <v>204</v>
      </c>
      <c r="K116" s="27">
        <v>6964</v>
      </c>
      <c r="L116" s="126">
        <v>7837</v>
      </c>
      <c r="M116" s="27">
        <v>123</v>
      </c>
      <c r="N116" s="122">
        <v>157</v>
      </c>
      <c r="O116" s="27">
        <v>263</v>
      </c>
      <c r="P116" s="122">
        <v>297</v>
      </c>
    </row>
    <row r="117" spans="1:16">
      <c r="A117" s="176" t="s">
        <v>25</v>
      </c>
      <c r="B117" s="59"/>
      <c r="C117" s="97"/>
      <c r="D117" s="117"/>
      <c r="E117" s="120"/>
      <c r="F117" s="122"/>
      <c r="G117" s="127"/>
      <c r="H117" s="125"/>
      <c r="I117" s="27"/>
      <c r="J117" s="122"/>
      <c r="K117" s="27"/>
      <c r="L117" s="126"/>
      <c r="M117" s="27"/>
      <c r="N117" s="122"/>
      <c r="O117" s="27"/>
      <c r="P117" s="122"/>
    </row>
    <row r="118" spans="1:16">
      <c r="A118" s="146">
        <v>104</v>
      </c>
      <c r="B118" s="48" t="s">
        <v>189</v>
      </c>
      <c r="C118" s="4"/>
      <c r="D118" s="117">
        <f t="shared" si="7"/>
        <v>21744</v>
      </c>
      <c r="E118" s="120">
        <v>294</v>
      </c>
      <c r="F118" s="122">
        <v>241</v>
      </c>
      <c r="G118" s="127">
        <v>112</v>
      </c>
      <c r="H118" s="125">
        <v>94</v>
      </c>
      <c r="I118" s="27">
        <v>217</v>
      </c>
      <c r="J118" s="122">
        <v>113</v>
      </c>
      <c r="K118" s="27">
        <v>9028</v>
      </c>
      <c r="L118" s="126">
        <v>11532</v>
      </c>
      <c r="M118" s="27">
        <v>23</v>
      </c>
      <c r="N118" s="122">
        <v>11</v>
      </c>
      <c r="O118" s="27">
        <v>42</v>
      </c>
      <c r="P118" s="122">
        <v>37</v>
      </c>
    </row>
    <row r="119" spans="1:16">
      <c r="A119" s="146">
        <v>105</v>
      </c>
      <c r="B119" s="48" t="s">
        <v>190</v>
      </c>
      <c r="C119" s="4"/>
      <c r="D119" s="117">
        <f t="shared" si="7"/>
        <v>30708</v>
      </c>
      <c r="E119" s="120">
        <v>128</v>
      </c>
      <c r="F119" s="122">
        <v>115</v>
      </c>
      <c r="G119" s="127">
        <v>98</v>
      </c>
      <c r="H119" s="125">
        <v>59</v>
      </c>
      <c r="I119" s="27">
        <v>105</v>
      </c>
      <c r="J119" s="122">
        <v>78</v>
      </c>
      <c r="K119" s="27">
        <v>13120</v>
      </c>
      <c r="L119" s="126">
        <v>16974</v>
      </c>
      <c r="M119" s="27">
        <v>8</v>
      </c>
      <c r="N119" s="122">
        <v>11</v>
      </c>
      <c r="O119" s="27">
        <v>7</v>
      </c>
      <c r="P119" s="122">
        <v>5</v>
      </c>
    </row>
    <row r="120" spans="1:16">
      <c r="A120" s="146">
        <v>106</v>
      </c>
      <c r="B120" s="48" t="s">
        <v>191</v>
      </c>
      <c r="C120" s="4"/>
      <c r="D120" s="117">
        <f t="shared" si="7"/>
        <v>36775</v>
      </c>
      <c r="E120" s="120"/>
      <c r="F120" s="122"/>
      <c r="G120" s="127">
        <v>134</v>
      </c>
      <c r="H120" s="125">
        <v>102</v>
      </c>
      <c r="I120" s="27"/>
      <c r="J120" s="122"/>
      <c r="K120" s="27">
        <v>16366</v>
      </c>
      <c r="L120" s="126">
        <v>20102</v>
      </c>
      <c r="M120" s="27"/>
      <c r="N120" s="122"/>
      <c r="O120" s="27">
        <v>33</v>
      </c>
      <c r="P120" s="122">
        <v>38</v>
      </c>
    </row>
    <row r="121" spans="1:16">
      <c r="A121" s="146">
        <v>107</v>
      </c>
      <c r="B121" s="48" t="s">
        <v>192</v>
      </c>
      <c r="C121" s="4"/>
      <c r="D121" s="117">
        <f t="shared" si="7"/>
        <v>37013</v>
      </c>
      <c r="E121" s="120">
        <v>72</v>
      </c>
      <c r="F121" s="122">
        <v>67</v>
      </c>
      <c r="G121" s="127">
        <v>93</v>
      </c>
      <c r="H121" s="125">
        <v>87</v>
      </c>
      <c r="I121" s="27">
        <v>59</v>
      </c>
      <c r="J121" s="122">
        <v>44</v>
      </c>
      <c r="K121" s="27">
        <v>15944</v>
      </c>
      <c r="L121" s="126">
        <v>20605</v>
      </c>
      <c r="M121" s="27">
        <v>8</v>
      </c>
      <c r="N121" s="122">
        <v>5</v>
      </c>
      <c r="O121" s="27">
        <v>14</v>
      </c>
      <c r="P121" s="122">
        <v>15</v>
      </c>
    </row>
    <row r="122" spans="1:16">
      <c r="A122" s="146">
        <v>108</v>
      </c>
      <c r="B122" s="48" t="s">
        <v>193</v>
      </c>
      <c r="C122" s="4"/>
      <c r="D122" s="117">
        <f t="shared" si="7"/>
        <v>20983</v>
      </c>
      <c r="E122" s="120"/>
      <c r="F122" s="122"/>
      <c r="G122" s="127">
        <v>109</v>
      </c>
      <c r="H122" s="125">
        <v>97</v>
      </c>
      <c r="I122" s="27"/>
      <c r="J122" s="122"/>
      <c r="K122" s="27">
        <v>8871</v>
      </c>
      <c r="L122" s="126">
        <v>11878</v>
      </c>
      <c r="M122" s="27"/>
      <c r="N122" s="122"/>
      <c r="O122" s="27">
        <v>20</v>
      </c>
      <c r="P122" s="122">
        <v>8</v>
      </c>
    </row>
    <row r="123" spans="1:16">
      <c r="A123" s="146">
        <v>109</v>
      </c>
      <c r="B123" s="48" t="s">
        <v>194</v>
      </c>
      <c r="C123" s="4"/>
      <c r="D123" s="117">
        <f t="shared" si="7"/>
        <v>41672</v>
      </c>
      <c r="E123" s="120"/>
      <c r="F123" s="122"/>
      <c r="G123" s="127">
        <v>170</v>
      </c>
      <c r="H123" s="125">
        <v>117</v>
      </c>
      <c r="I123" s="27"/>
      <c r="J123" s="122"/>
      <c r="K123" s="27">
        <v>18537</v>
      </c>
      <c r="L123" s="126">
        <v>22787</v>
      </c>
      <c r="M123" s="27"/>
      <c r="N123" s="122"/>
      <c r="O123" s="27">
        <v>28</v>
      </c>
      <c r="P123" s="122">
        <v>33</v>
      </c>
    </row>
    <row r="124" spans="1:16">
      <c r="A124" s="176" t="s">
        <v>26</v>
      </c>
      <c r="B124" s="59"/>
      <c r="C124" s="97"/>
      <c r="D124" s="117"/>
      <c r="E124" s="120"/>
      <c r="F124" s="122"/>
      <c r="G124" s="127"/>
      <c r="H124" s="125"/>
      <c r="I124" s="27"/>
      <c r="J124" s="122"/>
      <c r="K124" s="27"/>
      <c r="L124" s="126"/>
      <c r="M124" s="27"/>
      <c r="N124" s="122"/>
      <c r="O124" s="27"/>
      <c r="P124" s="122"/>
    </row>
    <row r="125" spans="1:16">
      <c r="A125" s="146">
        <v>110</v>
      </c>
      <c r="B125" s="48" t="s">
        <v>195</v>
      </c>
      <c r="C125" s="8" t="s">
        <v>33</v>
      </c>
      <c r="D125" s="117">
        <f t="shared" si="7"/>
        <v>42719</v>
      </c>
      <c r="E125" s="120"/>
      <c r="F125" s="122"/>
      <c r="G125" s="127">
        <v>163</v>
      </c>
      <c r="H125" s="125">
        <v>72</v>
      </c>
      <c r="I125" s="27"/>
      <c r="J125" s="122"/>
      <c r="K125" s="27">
        <v>19556</v>
      </c>
      <c r="L125" s="126">
        <v>22810</v>
      </c>
      <c r="M125" s="27"/>
      <c r="N125" s="122"/>
      <c r="O125" s="27">
        <v>64</v>
      </c>
      <c r="P125" s="122">
        <v>54</v>
      </c>
    </row>
    <row r="126" spans="1:16">
      <c r="A126" s="146">
        <v>111</v>
      </c>
      <c r="B126" s="48" t="s">
        <v>196</v>
      </c>
      <c r="C126" s="4"/>
      <c r="D126" s="117">
        <f t="shared" si="7"/>
        <v>28169</v>
      </c>
      <c r="E126" s="120"/>
      <c r="F126" s="122"/>
      <c r="G126" s="127">
        <v>136</v>
      </c>
      <c r="H126" s="125">
        <v>62</v>
      </c>
      <c r="I126" s="27"/>
      <c r="J126" s="122"/>
      <c r="K126" s="27">
        <v>13214</v>
      </c>
      <c r="L126" s="126">
        <v>14566</v>
      </c>
      <c r="M126" s="27"/>
      <c r="N126" s="122"/>
      <c r="O126" s="27">
        <v>98</v>
      </c>
      <c r="P126" s="122">
        <v>93</v>
      </c>
    </row>
    <row r="127" spans="1:16">
      <c r="A127" s="146">
        <v>112</v>
      </c>
      <c r="B127" s="48" t="s">
        <v>197</v>
      </c>
      <c r="C127" s="4"/>
      <c r="D127" s="117">
        <f t="shared" si="7"/>
        <v>25638</v>
      </c>
      <c r="E127" s="120"/>
      <c r="F127" s="122"/>
      <c r="G127" s="127">
        <v>92</v>
      </c>
      <c r="H127" s="125">
        <v>56</v>
      </c>
      <c r="I127" s="27"/>
      <c r="J127" s="122"/>
      <c r="K127" s="27">
        <v>12025</v>
      </c>
      <c r="L127" s="126">
        <v>13396</v>
      </c>
      <c r="M127" s="27"/>
      <c r="N127" s="122"/>
      <c r="O127" s="27">
        <v>32</v>
      </c>
      <c r="P127" s="122">
        <v>37</v>
      </c>
    </row>
    <row r="128" spans="1:16">
      <c r="A128" s="146">
        <v>113</v>
      </c>
      <c r="B128" s="48" t="s">
        <v>198</v>
      </c>
      <c r="C128" s="4"/>
      <c r="D128" s="117">
        <f t="shared" si="7"/>
        <v>44754</v>
      </c>
      <c r="E128" s="120"/>
      <c r="F128" s="122"/>
      <c r="G128" s="127">
        <v>147</v>
      </c>
      <c r="H128" s="125">
        <v>73</v>
      </c>
      <c r="I128" s="27"/>
      <c r="J128" s="122"/>
      <c r="K128" s="27">
        <v>21466</v>
      </c>
      <c r="L128" s="126">
        <v>22549</v>
      </c>
      <c r="M128" s="27"/>
      <c r="N128" s="122"/>
      <c r="O128" s="27">
        <v>253</v>
      </c>
      <c r="P128" s="122">
        <v>266</v>
      </c>
    </row>
    <row r="129" spans="1:16">
      <c r="A129" s="146">
        <v>114</v>
      </c>
      <c r="B129" s="48" t="s">
        <v>199</v>
      </c>
      <c r="C129" s="4"/>
      <c r="D129" s="117">
        <f t="shared" si="7"/>
        <v>37114</v>
      </c>
      <c r="E129" s="120"/>
      <c r="F129" s="122"/>
      <c r="G129" s="127">
        <v>99</v>
      </c>
      <c r="H129" s="125">
        <v>51</v>
      </c>
      <c r="I129" s="27"/>
      <c r="J129" s="122"/>
      <c r="K129" s="27">
        <v>17266</v>
      </c>
      <c r="L129" s="126">
        <v>19382</v>
      </c>
      <c r="M129" s="27"/>
      <c r="N129" s="122"/>
      <c r="O129" s="27">
        <v>167</v>
      </c>
      <c r="P129" s="122">
        <v>149</v>
      </c>
    </row>
    <row r="130" spans="1:16">
      <c r="A130" s="146">
        <v>115</v>
      </c>
      <c r="B130" s="48" t="s">
        <v>292</v>
      </c>
      <c r="C130" s="4"/>
      <c r="D130" s="117">
        <f t="shared" si="7"/>
        <v>18527</v>
      </c>
      <c r="E130" s="120">
        <v>113</v>
      </c>
      <c r="F130" s="122">
        <v>99</v>
      </c>
      <c r="G130" s="127">
        <v>59</v>
      </c>
      <c r="H130" s="125">
        <v>44</v>
      </c>
      <c r="I130" s="27">
        <v>318</v>
      </c>
      <c r="J130" s="122">
        <v>114</v>
      </c>
      <c r="K130" s="27">
        <v>8152</v>
      </c>
      <c r="L130" s="126">
        <v>9304</v>
      </c>
      <c r="M130" s="27">
        <v>60</v>
      </c>
      <c r="N130" s="122">
        <v>74</v>
      </c>
      <c r="O130" s="27">
        <v>91</v>
      </c>
      <c r="P130" s="122">
        <v>99</v>
      </c>
    </row>
    <row r="131" spans="1:16">
      <c r="A131" s="146">
        <v>116</v>
      </c>
      <c r="B131" s="48" t="s">
        <v>200</v>
      </c>
      <c r="C131" s="4"/>
      <c r="D131" s="117">
        <f t="shared" si="7"/>
        <v>37716</v>
      </c>
      <c r="E131" s="120"/>
      <c r="F131" s="122"/>
      <c r="G131" s="127">
        <v>73</v>
      </c>
      <c r="H131" s="125">
        <v>44</v>
      </c>
      <c r="I131" s="27"/>
      <c r="J131" s="122"/>
      <c r="K131" s="27">
        <v>17370</v>
      </c>
      <c r="L131" s="126">
        <v>20139</v>
      </c>
      <c r="M131" s="27"/>
      <c r="N131" s="122"/>
      <c r="O131" s="27">
        <v>52</v>
      </c>
      <c r="P131" s="122">
        <v>38</v>
      </c>
    </row>
    <row r="132" spans="1:16" ht="15" thickBot="1">
      <c r="A132" s="175">
        <v>117</v>
      </c>
      <c r="B132" s="67" t="s">
        <v>201</v>
      </c>
      <c r="C132" s="111"/>
      <c r="D132" s="117">
        <f t="shared" si="7"/>
        <v>637</v>
      </c>
      <c r="E132" s="120"/>
      <c r="F132" s="122"/>
      <c r="G132" s="127">
        <v>21</v>
      </c>
      <c r="H132" s="125">
        <v>11</v>
      </c>
      <c r="I132" s="27"/>
      <c r="J132" s="122"/>
      <c r="K132" s="27">
        <v>60</v>
      </c>
      <c r="L132" s="126">
        <v>68</v>
      </c>
      <c r="M132" s="27"/>
      <c r="N132" s="122"/>
      <c r="O132" s="27">
        <v>226</v>
      </c>
      <c r="P132" s="122">
        <v>251</v>
      </c>
    </row>
    <row r="133" spans="1:16" ht="16" thickTop="1" thickBot="1">
      <c r="A133" s="175">
        <v>118</v>
      </c>
      <c r="B133" s="67" t="s">
        <v>202</v>
      </c>
      <c r="C133" s="111"/>
      <c r="D133" s="117">
        <f t="shared" si="7"/>
        <v>2439</v>
      </c>
      <c r="E133" s="86"/>
      <c r="F133" s="82"/>
      <c r="G133" s="286">
        <v>1214</v>
      </c>
      <c r="H133" s="129">
        <v>392</v>
      </c>
      <c r="I133" s="27"/>
      <c r="J133" s="122"/>
      <c r="K133" s="130">
        <v>471</v>
      </c>
      <c r="L133" s="131">
        <v>85</v>
      </c>
      <c r="M133" s="27"/>
      <c r="N133" s="122"/>
      <c r="O133" s="130">
        <v>207</v>
      </c>
      <c r="P133" s="132">
        <v>70</v>
      </c>
    </row>
    <row r="134" spans="1:16" ht="17" thickTop="1" thickBot="1">
      <c r="A134" s="179" t="s">
        <v>27</v>
      </c>
      <c r="B134" s="173"/>
      <c r="C134" s="94"/>
      <c r="D134" s="117"/>
      <c r="E134" s="86"/>
      <c r="F134" s="82"/>
      <c r="G134" s="287"/>
      <c r="H134" s="87"/>
      <c r="I134" s="81"/>
      <c r="J134" s="82"/>
      <c r="K134" s="81"/>
      <c r="L134" s="83"/>
      <c r="M134" s="81"/>
      <c r="N134" s="82"/>
      <c r="O134" s="81"/>
      <c r="P134" s="82"/>
    </row>
    <row r="135" spans="1:16">
      <c r="A135" s="180">
        <v>1</v>
      </c>
      <c r="B135" t="s">
        <v>203</v>
      </c>
      <c r="C135" s="4"/>
      <c r="D135" s="117">
        <f t="shared" si="7"/>
        <v>52578</v>
      </c>
      <c r="E135" s="120">
        <v>146</v>
      </c>
      <c r="F135" s="122">
        <v>162</v>
      </c>
      <c r="G135" s="127">
        <v>469</v>
      </c>
      <c r="H135" s="125">
        <v>456</v>
      </c>
      <c r="I135" s="27">
        <v>204</v>
      </c>
      <c r="J135" s="122">
        <v>47</v>
      </c>
      <c r="K135" s="27">
        <v>17980</v>
      </c>
      <c r="L135" s="126">
        <v>22587</v>
      </c>
      <c r="M135" s="27">
        <v>988</v>
      </c>
      <c r="N135" s="122">
        <v>715</v>
      </c>
      <c r="O135" s="27">
        <v>5172</v>
      </c>
      <c r="P135" s="122">
        <v>3652</v>
      </c>
    </row>
    <row r="136" spans="1:16">
      <c r="A136" s="146">
        <v>2</v>
      </c>
      <c r="B136" t="s">
        <v>204</v>
      </c>
      <c r="C136" s="4"/>
      <c r="D136" s="117">
        <f t="shared" si="7"/>
        <v>26998</v>
      </c>
      <c r="E136" s="120"/>
      <c r="F136" s="122"/>
      <c r="G136" s="127">
        <v>232</v>
      </c>
      <c r="H136" s="125">
        <v>175</v>
      </c>
      <c r="I136" s="27"/>
      <c r="J136" s="122"/>
      <c r="K136" s="27">
        <v>11837</v>
      </c>
      <c r="L136" s="126">
        <v>14201</v>
      </c>
      <c r="M136" s="27"/>
      <c r="N136" s="122"/>
      <c r="O136" s="27">
        <v>259</v>
      </c>
      <c r="P136" s="122">
        <v>294</v>
      </c>
    </row>
    <row r="137" spans="1:16">
      <c r="A137" s="146">
        <v>3</v>
      </c>
      <c r="B137" t="s">
        <v>205</v>
      </c>
      <c r="C137" s="4"/>
      <c r="D137" s="117">
        <f t="shared" si="7"/>
        <v>15554</v>
      </c>
      <c r="E137" s="120"/>
      <c r="F137" s="122"/>
      <c r="G137" s="127">
        <v>315</v>
      </c>
      <c r="H137" s="125">
        <v>256</v>
      </c>
      <c r="I137" s="27"/>
      <c r="J137" s="122"/>
      <c r="K137" s="27">
        <v>6393</v>
      </c>
      <c r="L137" s="126">
        <v>8449</v>
      </c>
      <c r="M137" s="27"/>
      <c r="N137" s="122"/>
      <c r="O137" s="27">
        <v>98</v>
      </c>
      <c r="P137" s="122">
        <v>43</v>
      </c>
    </row>
    <row r="138" spans="1:16">
      <c r="A138" s="146">
        <v>4</v>
      </c>
      <c r="B138" t="s">
        <v>206</v>
      </c>
      <c r="C138" s="4"/>
      <c r="D138" s="117">
        <f t="shared" si="7"/>
        <v>18189</v>
      </c>
      <c r="E138" s="120"/>
      <c r="F138" s="122"/>
      <c r="G138" s="127">
        <v>482</v>
      </c>
      <c r="H138" s="125">
        <v>435</v>
      </c>
      <c r="I138" s="27"/>
      <c r="J138" s="122"/>
      <c r="K138" s="27">
        <v>7111</v>
      </c>
      <c r="L138" s="126">
        <v>9234</v>
      </c>
      <c r="M138" s="27"/>
      <c r="N138" s="122"/>
      <c r="O138" s="27">
        <v>609</v>
      </c>
      <c r="P138" s="122">
        <v>318</v>
      </c>
    </row>
    <row r="139" spans="1:16">
      <c r="A139" s="146">
        <v>5</v>
      </c>
      <c r="B139" t="s">
        <v>207</v>
      </c>
      <c r="C139" s="4"/>
      <c r="D139" s="117">
        <f t="shared" si="7"/>
        <v>30555</v>
      </c>
      <c r="E139" s="120">
        <v>7697</v>
      </c>
      <c r="F139" s="122">
        <v>7040</v>
      </c>
      <c r="G139" s="127"/>
      <c r="H139" s="125"/>
      <c r="I139" s="27">
        <v>6538</v>
      </c>
      <c r="J139" s="122">
        <v>1491</v>
      </c>
      <c r="K139" s="27"/>
      <c r="L139" s="126"/>
      <c r="M139" s="27">
        <v>4723</v>
      </c>
      <c r="N139" s="122">
        <v>3066</v>
      </c>
      <c r="O139" s="27"/>
      <c r="P139" s="122"/>
    </row>
    <row r="140" spans="1:16">
      <c r="A140" s="146">
        <v>6</v>
      </c>
      <c r="B140" t="s">
        <v>208</v>
      </c>
      <c r="C140" s="4"/>
      <c r="D140" s="117">
        <f t="shared" si="7"/>
        <v>32900</v>
      </c>
      <c r="E140" s="120">
        <v>536</v>
      </c>
      <c r="F140" s="122">
        <v>598</v>
      </c>
      <c r="G140" s="127">
        <v>1260</v>
      </c>
      <c r="H140" s="125">
        <v>1011</v>
      </c>
      <c r="I140" s="27">
        <v>839</v>
      </c>
      <c r="J140" s="122">
        <v>305</v>
      </c>
      <c r="K140" s="27">
        <v>11908</v>
      </c>
      <c r="L140" s="126">
        <v>11015</v>
      </c>
      <c r="M140" s="27">
        <v>449</v>
      </c>
      <c r="N140" s="122">
        <v>268</v>
      </c>
      <c r="O140" s="27">
        <v>3356</v>
      </c>
      <c r="P140" s="122">
        <v>1355</v>
      </c>
    </row>
    <row r="141" spans="1:16">
      <c r="A141" s="146">
        <v>7</v>
      </c>
      <c r="B141" t="s">
        <v>209</v>
      </c>
      <c r="C141" s="4"/>
      <c r="D141" s="117">
        <f t="shared" si="7"/>
        <v>72512</v>
      </c>
      <c r="E141" s="120">
        <v>17813</v>
      </c>
      <c r="F141" s="122">
        <v>15100</v>
      </c>
      <c r="G141" s="127">
        <v>157</v>
      </c>
      <c r="H141" s="125">
        <v>84</v>
      </c>
      <c r="I141" s="27">
        <v>16860</v>
      </c>
      <c r="J141" s="122">
        <v>1065</v>
      </c>
      <c r="K141" s="27">
        <v>472</v>
      </c>
      <c r="L141" s="126">
        <v>63</v>
      </c>
      <c r="M141" s="27">
        <v>12398</v>
      </c>
      <c r="N141" s="122">
        <v>7474</v>
      </c>
      <c r="O141" s="27">
        <v>623</v>
      </c>
      <c r="P141" s="122">
        <v>403</v>
      </c>
    </row>
    <row r="142" spans="1:16">
      <c r="A142" s="146">
        <v>8</v>
      </c>
      <c r="B142" t="s">
        <v>210</v>
      </c>
      <c r="C142" s="4"/>
      <c r="D142" s="117">
        <f t="shared" ref="D142:D205" si="8">E142+F142+G142+H142+I142+J142+K142+L142+M142+N142+O142+P142</f>
        <v>38625</v>
      </c>
      <c r="E142" s="120">
        <v>290</v>
      </c>
      <c r="F142" s="122">
        <v>278</v>
      </c>
      <c r="G142" s="127">
        <v>1419</v>
      </c>
      <c r="H142" s="125">
        <v>1126</v>
      </c>
      <c r="I142" s="27">
        <v>271</v>
      </c>
      <c r="J142" s="122">
        <v>73</v>
      </c>
      <c r="K142" s="27">
        <v>15625</v>
      </c>
      <c r="L142" s="126">
        <v>17418</v>
      </c>
      <c r="M142" s="27">
        <v>262</v>
      </c>
      <c r="N142" s="122">
        <v>121</v>
      </c>
      <c r="O142" s="27">
        <v>1198</v>
      </c>
      <c r="P142" s="122">
        <v>544</v>
      </c>
    </row>
    <row r="143" spans="1:16">
      <c r="A143" s="146">
        <v>9</v>
      </c>
      <c r="B143" t="s">
        <v>211</v>
      </c>
      <c r="C143" s="4"/>
      <c r="D143" s="117">
        <f t="shared" si="8"/>
        <v>23071</v>
      </c>
      <c r="E143" s="120"/>
      <c r="F143" s="122"/>
      <c r="G143" s="127">
        <v>237</v>
      </c>
      <c r="H143" s="125">
        <v>214</v>
      </c>
      <c r="I143" s="27"/>
      <c r="J143" s="122"/>
      <c r="K143" s="27">
        <v>9135</v>
      </c>
      <c r="L143" s="126">
        <v>13277</v>
      </c>
      <c r="M143" s="27"/>
      <c r="N143" s="122"/>
      <c r="O143" s="27">
        <v>104</v>
      </c>
      <c r="P143" s="122">
        <v>104</v>
      </c>
    </row>
    <row r="144" spans="1:16">
      <c r="A144" s="146">
        <v>10</v>
      </c>
      <c r="B144" t="s">
        <v>212</v>
      </c>
      <c r="C144" s="4"/>
      <c r="D144" s="117">
        <f t="shared" si="8"/>
        <v>9943</v>
      </c>
      <c r="E144" s="120"/>
      <c r="F144" s="122"/>
      <c r="G144" s="127">
        <v>265</v>
      </c>
      <c r="H144" s="125">
        <v>220</v>
      </c>
      <c r="I144" s="27"/>
      <c r="J144" s="122"/>
      <c r="K144" s="27">
        <v>4012</v>
      </c>
      <c r="L144" s="126">
        <v>5136</v>
      </c>
      <c r="M144" s="27"/>
      <c r="N144" s="122"/>
      <c r="O144" s="27">
        <v>211</v>
      </c>
      <c r="P144" s="122">
        <v>99</v>
      </c>
    </row>
    <row r="145" spans="1:16">
      <c r="A145" s="146">
        <v>11</v>
      </c>
      <c r="B145" t="s">
        <v>213</v>
      </c>
      <c r="C145" s="8" t="s">
        <v>34</v>
      </c>
      <c r="D145" s="117">
        <f t="shared" si="8"/>
        <v>22024</v>
      </c>
      <c r="E145" s="120"/>
      <c r="F145" s="122"/>
      <c r="G145" s="127">
        <v>22</v>
      </c>
      <c r="H145" s="125">
        <v>5</v>
      </c>
      <c r="I145" s="27"/>
      <c r="J145" s="122"/>
      <c r="K145" s="27">
        <v>9096</v>
      </c>
      <c r="L145" s="126">
        <v>12896</v>
      </c>
      <c r="M145" s="27"/>
      <c r="N145" s="122"/>
      <c r="O145" s="27">
        <v>4</v>
      </c>
      <c r="P145" s="122">
        <v>1</v>
      </c>
    </row>
    <row r="146" spans="1:16">
      <c r="A146" s="146">
        <v>12</v>
      </c>
      <c r="B146" t="s">
        <v>214</v>
      </c>
      <c r="C146" s="4"/>
      <c r="D146" s="117">
        <f t="shared" si="8"/>
        <v>59222</v>
      </c>
      <c r="E146" s="120">
        <v>160</v>
      </c>
      <c r="F146" s="122">
        <v>160</v>
      </c>
      <c r="G146" s="127">
        <v>1118</v>
      </c>
      <c r="H146" s="125">
        <v>1141</v>
      </c>
      <c r="I146" s="27">
        <v>157</v>
      </c>
      <c r="J146" s="122">
        <v>30</v>
      </c>
      <c r="K146" s="27">
        <v>12207</v>
      </c>
      <c r="L146" s="126">
        <v>17790</v>
      </c>
      <c r="M146" s="27">
        <v>448</v>
      </c>
      <c r="N146" s="122">
        <v>324</v>
      </c>
      <c r="O146" s="27">
        <v>14757</v>
      </c>
      <c r="P146" s="122">
        <v>10930</v>
      </c>
    </row>
    <row r="147" spans="1:16">
      <c r="A147" s="146">
        <v>13</v>
      </c>
      <c r="B147" t="s">
        <v>215</v>
      </c>
      <c r="C147" s="4"/>
      <c r="D147" s="117">
        <f t="shared" si="8"/>
        <v>17742</v>
      </c>
      <c r="E147" s="120">
        <v>50</v>
      </c>
      <c r="F147" s="122">
        <v>53</v>
      </c>
      <c r="G147" s="127">
        <v>432</v>
      </c>
      <c r="H147" s="125">
        <v>361</v>
      </c>
      <c r="I147" s="27">
        <v>95</v>
      </c>
      <c r="J147" s="122">
        <v>19</v>
      </c>
      <c r="K147" s="27">
        <v>7279</v>
      </c>
      <c r="L147" s="126">
        <v>9079</v>
      </c>
      <c r="M147" s="27">
        <v>25</v>
      </c>
      <c r="N147" s="122">
        <v>11</v>
      </c>
      <c r="O147" s="27">
        <v>215</v>
      </c>
      <c r="P147" s="122">
        <v>123</v>
      </c>
    </row>
    <row r="148" spans="1:16">
      <c r="A148" s="146">
        <v>14</v>
      </c>
      <c r="B148" t="s">
        <v>216</v>
      </c>
      <c r="C148" s="4"/>
      <c r="D148" s="117">
        <f t="shared" si="8"/>
        <v>47262</v>
      </c>
      <c r="E148" s="120"/>
      <c r="F148" s="122"/>
      <c r="G148" s="127">
        <v>568</v>
      </c>
      <c r="H148" s="125">
        <v>427</v>
      </c>
      <c r="I148" s="27"/>
      <c r="J148" s="122"/>
      <c r="K148" s="27">
        <v>20394</v>
      </c>
      <c r="L148" s="126">
        <v>25312</v>
      </c>
      <c r="M148" s="27"/>
      <c r="N148" s="122"/>
      <c r="O148" s="27">
        <v>329</v>
      </c>
      <c r="P148" s="122">
        <v>232</v>
      </c>
    </row>
    <row r="149" spans="1:16">
      <c r="A149" s="146">
        <v>15</v>
      </c>
      <c r="B149" t="s">
        <v>217</v>
      </c>
      <c r="C149" s="4"/>
      <c r="D149" s="117">
        <f t="shared" si="8"/>
        <v>41601</v>
      </c>
      <c r="E149" s="120">
        <v>1226</v>
      </c>
      <c r="F149" s="122">
        <v>1061</v>
      </c>
      <c r="G149" s="127">
        <v>761</v>
      </c>
      <c r="H149" s="125">
        <v>637</v>
      </c>
      <c r="I149" s="27">
        <v>1179</v>
      </c>
      <c r="J149" s="122">
        <v>486</v>
      </c>
      <c r="K149" s="27">
        <v>14260</v>
      </c>
      <c r="L149" s="126">
        <v>17879</v>
      </c>
      <c r="M149" s="27">
        <v>1023</v>
      </c>
      <c r="N149" s="122">
        <v>620</v>
      </c>
      <c r="O149" s="27">
        <v>1693</v>
      </c>
      <c r="P149" s="122">
        <v>776</v>
      </c>
    </row>
    <row r="150" spans="1:16">
      <c r="A150" s="146">
        <v>16</v>
      </c>
      <c r="B150" t="s">
        <v>218</v>
      </c>
      <c r="C150" s="4"/>
      <c r="D150" s="117">
        <f t="shared" si="8"/>
        <v>18767</v>
      </c>
      <c r="E150" s="120"/>
      <c r="F150" s="122"/>
      <c r="G150" s="127">
        <v>189</v>
      </c>
      <c r="H150" s="125">
        <v>153</v>
      </c>
      <c r="I150" s="27"/>
      <c r="J150" s="122"/>
      <c r="K150" s="27">
        <v>7388</v>
      </c>
      <c r="L150" s="126">
        <v>10983</v>
      </c>
      <c r="M150" s="27"/>
      <c r="N150" s="122"/>
      <c r="O150" s="27">
        <v>40</v>
      </c>
      <c r="P150" s="122">
        <v>14</v>
      </c>
    </row>
    <row r="151" spans="1:16">
      <c r="A151" s="146">
        <v>17</v>
      </c>
      <c r="B151" t="s">
        <v>219</v>
      </c>
      <c r="C151" s="4"/>
      <c r="D151" s="117">
        <f t="shared" si="8"/>
        <v>12977</v>
      </c>
      <c r="E151" s="120">
        <v>156</v>
      </c>
      <c r="F151" s="122">
        <v>167</v>
      </c>
      <c r="G151" s="127">
        <v>720</v>
      </c>
      <c r="H151" s="125">
        <v>451</v>
      </c>
      <c r="I151" s="27">
        <v>100</v>
      </c>
      <c r="J151" s="122">
        <v>26</v>
      </c>
      <c r="K151" s="27">
        <v>4736</v>
      </c>
      <c r="L151" s="126">
        <v>5273</v>
      </c>
      <c r="M151" s="27">
        <v>172</v>
      </c>
      <c r="N151" s="122">
        <v>104</v>
      </c>
      <c r="O151" s="27">
        <v>722</v>
      </c>
      <c r="P151" s="122">
        <v>350</v>
      </c>
    </row>
    <row r="152" spans="1:16">
      <c r="A152" s="146">
        <v>18</v>
      </c>
      <c r="B152" t="s">
        <v>220</v>
      </c>
      <c r="C152" s="4"/>
      <c r="D152" s="117">
        <f t="shared" si="8"/>
        <v>44416</v>
      </c>
      <c r="E152" s="120">
        <v>132</v>
      </c>
      <c r="F152" s="122">
        <v>102</v>
      </c>
      <c r="G152" s="127">
        <v>373</v>
      </c>
      <c r="H152" s="125">
        <v>312</v>
      </c>
      <c r="I152" s="27">
        <v>219</v>
      </c>
      <c r="J152" s="122">
        <v>17</v>
      </c>
      <c r="K152" s="27">
        <v>11100</v>
      </c>
      <c r="L152" s="126">
        <v>18222</v>
      </c>
      <c r="M152" s="27">
        <v>290</v>
      </c>
      <c r="N152" s="122">
        <v>191</v>
      </c>
      <c r="O152" s="27">
        <v>7581</v>
      </c>
      <c r="P152" s="122">
        <v>5877</v>
      </c>
    </row>
    <row r="153" spans="1:16">
      <c r="A153" s="146">
        <v>19</v>
      </c>
      <c r="B153" t="s">
        <v>221</v>
      </c>
      <c r="C153" s="4"/>
      <c r="D153" s="117">
        <f t="shared" si="8"/>
        <v>31142</v>
      </c>
      <c r="E153" s="120">
        <v>122</v>
      </c>
      <c r="F153" s="122">
        <v>122</v>
      </c>
      <c r="G153" s="127">
        <v>444</v>
      </c>
      <c r="H153" s="125">
        <v>354</v>
      </c>
      <c r="I153" s="27">
        <v>158</v>
      </c>
      <c r="J153" s="122">
        <v>7</v>
      </c>
      <c r="K153" s="27">
        <v>12883</v>
      </c>
      <c r="L153" s="126">
        <v>14494</v>
      </c>
      <c r="M153" s="27">
        <v>89</v>
      </c>
      <c r="N153" s="122">
        <v>50</v>
      </c>
      <c r="O153" s="27">
        <v>1436</v>
      </c>
      <c r="P153" s="122">
        <v>983</v>
      </c>
    </row>
    <row r="154" spans="1:16">
      <c r="A154" s="146">
        <v>20</v>
      </c>
      <c r="B154" t="s">
        <v>222</v>
      </c>
      <c r="C154" s="4"/>
      <c r="D154" s="117">
        <f t="shared" si="8"/>
        <v>26911</v>
      </c>
      <c r="E154" s="120"/>
      <c r="F154" s="122"/>
      <c r="G154" s="127">
        <v>44</v>
      </c>
      <c r="H154" s="125">
        <v>21</v>
      </c>
      <c r="I154" s="27"/>
      <c r="J154" s="122"/>
      <c r="K154" s="27">
        <v>10035</v>
      </c>
      <c r="L154" s="126">
        <v>16785</v>
      </c>
      <c r="M154" s="27"/>
      <c r="N154" s="122"/>
      <c r="O154" s="27">
        <v>13</v>
      </c>
      <c r="P154" s="122">
        <v>13</v>
      </c>
    </row>
    <row r="155" spans="1:16">
      <c r="A155" s="146">
        <v>21</v>
      </c>
      <c r="B155" t="s">
        <v>223</v>
      </c>
      <c r="C155" s="4"/>
      <c r="D155" s="117">
        <f t="shared" si="8"/>
        <v>19807</v>
      </c>
      <c r="E155" s="120"/>
      <c r="F155" s="122"/>
      <c r="G155" s="127">
        <v>950</v>
      </c>
      <c r="H155" s="125">
        <v>826</v>
      </c>
      <c r="I155" s="27"/>
      <c r="J155" s="122"/>
      <c r="K155" s="27">
        <v>7338</v>
      </c>
      <c r="L155" s="126">
        <v>8872</v>
      </c>
      <c r="M155" s="27"/>
      <c r="N155" s="122"/>
      <c r="O155" s="27">
        <v>1321</v>
      </c>
      <c r="P155" s="122">
        <v>500</v>
      </c>
    </row>
    <row r="156" spans="1:16">
      <c r="A156" s="146">
        <v>22</v>
      </c>
      <c r="B156" t="s">
        <v>224</v>
      </c>
      <c r="C156" s="4"/>
      <c r="D156" s="117">
        <f t="shared" si="8"/>
        <v>31961</v>
      </c>
      <c r="E156" s="120">
        <v>625</v>
      </c>
      <c r="F156" s="122">
        <v>933</v>
      </c>
      <c r="G156" s="127">
        <v>1408</v>
      </c>
      <c r="H156" s="125">
        <v>1034</v>
      </c>
      <c r="I156" s="27">
        <v>837</v>
      </c>
      <c r="J156" s="122">
        <v>94</v>
      </c>
      <c r="K156" s="27">
        <v>11108</v>
      </c>
      <c r="L156" s="126">
        <v>12401</v>
      </c>
      <c r="M156" s="27">
        <v>570</v>
      </c>
      <c r="N156" s="122">
        <v>352</v>
      </c>
      <c r="O156" s="27">
        <v>1661</v>
      </c>
      <c r="P156" s="122">
        <v>938</v>
      </c>
    </row>
    <row r="157" spans="1:16">
      <c r="A157" s="146">
        <v>23</v>
      </c>
      <c r="B157" t="s">
        <v>225</v>
      </c>
      <c r="C157" s="4"/>
      <c r="D157" s="117">
        <f t="shared" si="8"/>
        <v>24485</v>
      </c>
      <c r="E157" s="120"/>
      <c r="F157" s="122"/>
      <c r="G157" s="127">
        <v>267</v>
      </c>
      <c r="H157" s="125">
        <v>207</v>
      </c>
      <c r="I157" s="27"/>
      <c r="J157" s="122"/>
      <c r="K157" s="27">
        <v>9748</v>
      </c>
      <c r="L157" s="126">
        <v>14214</v>
      </c>
      <c r="M157" s="27"/>
      <c r="N157" s="122"/>
      <c r="O157" s="27">
        <v>16</v>
      </c>
      <c r="P157" s="122">
        <v>33</v>
      </c>
    </row>
    <row r="158" spans="1:16">
      <c r="A158" s="146">
        <v>24</v>
      </c>
      <c r="B158" t="s">
        <v>226</v>
      </c>
      <c r="C158" s="4"/>
      <c r="D158" s="117">
        <f t="shared" si="8"/>
        <v>14119</v>
      </c>
      <c r="E158" s="120">
        <v>78</v>
      </c>
      <c r="F158" s="122">
        <v>82</v>
      </c>
      <c r="G158" s="127">
        <v>454</v>
      </c>
      <c r="H158" s="125">
        <v>441</v>
      </c>
      <c r="I158" s="27">
        <v>70</v>
      </c>
      <c r="J158" s="122">
        <v>27</v>
      </c>
      <c r="K158" s="27">
        <v>5724</v>
      </c>
      <c r="L158" s="126">
        <v>7241</v>
      </c>
      <c r="M158" s="27"/>
      <c r="N158" s="122"/>
      <c r="O158" s="27">
        <v>2</v>
      </c>
      <c r="P158" s="122"/>
    </row>
    <row r="159" spans="1:16">
      <c r="A159" s="146">
        <v>25</v>
      </c>
      <c r="B159" t="s">
        <v>147</v>
      </c>
      <c r="C159" s="4"/>
      <c r="D159" s="117">
        <f t="shared" si="8"/>
        <v>21911</v>
      </c>
      <c r="E159" s="120">
        <v>146</v>
      </c>
      <c r="F159" s="122">
        <v>134</v>
      </c>
      <c r="G159" s="127">
        <v>320</v>
      </c>
      <c r="H159" s="125">
        <v>280</v>
      </c>
      <c r="I159" s="27">
        <v>252</v>
      </c>
      <c r="J159" s="122">
        <v>32</v>
      </c>
      <c r="K159" s="27">
        <v>8614</v>
      </c>
      <c r="L159" s="126">
        <v>11081</v>
      </c>
      <c r="M159" s="27">
        <v>135</v>
      </c>
      <c r="N159" s="122">
        <v>84</v>
      </c>
      <c r="O159" s="27">
        <v>535</v>
      </c>
      <c r="P159" s="122">
        <v>298</v>
      </c>
    </row>
    <row r="160" spans="1:16">
      <c r="A160" s="146">
        <v>26</v>
      </c>
      <c r="B160" t="s">
        <v>227</v>
      </c>
      <c r="C160" s="4"/>
      <c r="D160" s="117">
        <f t="shared" si="8"/>
        <v>23739</v>
      </c>
      <c r="E160" s="120"/>
      <c r="F160" s="122"/>
      <c r="G160" s="127">
        <v>579</v>
      </c>
      <c r="H160" s="125">
        <v>579</v>
      </c>
      <c r="I160" s="27"/>
      <c r="J160" s="122"/>
      <c r="K160" s="27">
        <v>8748</v>
      </c>
      <c r="L160" s="126">
        <v>11607</v>
      </c>
      <c r="M160" s="27"/>
      <c r="N160" s="122"/>
      <c r="O160" s="27">
        <v>1314</v>
      </c>
      <c r="P160" s="122">
        <v>912</v>
      </c>
    </row>
    <row r="161" spans="1:16">
      <c r="A161" s="146">
        <v>27</v>
      </c>
      <c r="B161" t="s">
        <v>228</v>
      </c>
      <c r="C161" s="4"/>
      <c r="D161" s="117">
        <f t="shared" si="8"/>
        <v>75856</v>
      </c>
      <c r="E161" s="120">
        <v>2121</v>
      </c>
      <c r="F161" s="122">
        <v>2110</v>
      </c>
      <c r="G161" s="127">
        <v>1575</v>
      </c>
      <c r="H161" s="125">
        <v>1311</v>
      </c>
      <c r="I161" s="27">
        <v>1428</v>
      </c>
      <c r="J161" s="122">
        <v>129</v>
      </c>
      <c r="K161" s="27">
        <v>15917</v>
      </c>
      <c r="L161" s="126">
        <v>20019</v>
      </c>
      <c r="M161" s="27">
        <v>10188</v>
      </c>
      <c r="N161" s="122">
        <v>8308</v>
      </c>
      <c r="O161" s="27">
        <v>7363</v>
      </c>
      <c r="P161" s="122">
        <v>5387</v>
      </c>
    </row>
    <row r="162" spans="1:16">
      <c r="A162" s="146">
        <v>28</v>
      </c>
      <c r="B162" t="s">
        <v>229</v>
      </c>
      <c r="C162" s="4"/>
      <c r="D162" s="117">
        <f t="shared" si="8"/>
        <v>32137</v>
      </c>
      <c r="E162" s="120">
        <v>519</v>
      </c>
      <c r="F162" s="122">
        <v>510</v>
      </c>
      <c r="G162" s="127">
        <v>511</v>
      </c>
      <c r="H162" s="125">
        <v>404</v>
      </c>
      <c r="I162" s="27">
        <v>666</v>
      </c>
      <c r="J162" s="122">
        <v>209</v>
      </c>
      <c r="K162" s="27">
        <v>12133</v>
      </c>
      <c r="L162" s="126">
        <v>15991</v>
      </c>
      <c r="M162" s="27">
        <v>270</v>
      </c>
      <c r="N162" s="122">
        <v>170</v>
      </c>
      <c r="O162" s="27">
        <v>498</v>
      </c>
      <c r="P162" s="122">
        <v>256</v>
      </c>
    </row>
    <row r="163" spans="1:16">
      <c r="A163" s="146">
        <v>29</v>
      </c>
      <c r="B163" t="s">
        <v>230</v>
      </c>
      <c r="C163" s="4"/>
      <c r="D163" s="117">
        <f t="shared" si="8"/>
        <v>27403</v>
      </c>
      <c r="E163" s="120">
        <v>299</v>
      </c>
      <c r="F163" s="122">
        <v>242</v>
      </c>
      <c r="G163" s="127">
        <v>1184</v>
      </c>
      <c r="H163" s="125">
        <v>1067</v>
      </c>
      <c r="I163" s="27">
        <v>277</v>
      </c>
      <c r="J163" s="122">
        <v>117</v>
      </c>
      <c r="K163" s="27">
        <v>11132</v>
      </c>
      <c r="L163" s="126">
        <v>12983</v>
      </c>
      <c r="M163" s="27">
        <v>27</v>
      </c>
      <c r="N163" s="122">
        <v>14</v>
      </c>
      <c r="O163" s="27">
        <v>35</v>
      </c>
      <c r="P163" s="122">
        <v>26</v>
      </c>
    </row>
    <row r="164" spans="1:16">
      <c r="A164" s="146">
        <v>30</v>
      </c>
      <c r="B164" t="s">
        <v>231</v>
      </c>
      <c r="C164" s="4"/>
      <c r="D164" s="117">
        <f t="shared" si="8"/>
        <v>38866</v>
      </c>
      <c r="E164" s="120">
        <v>534</v>
      </c>
      <c r="F164" s="122">
        <v>482</v>
      </c>
      <c r="G164" s="127">
        <v>1186</v>
      </c>
      <c r="H164" s="125">
        <v>1076</v>
      </c>
      <c r="I164" s="27">
        <v>593</v>
      </c>
      <c r="J164" s="122">
        <v>237</v>
      </c>
      <c r="K164" s="27">
        <v>14161</v>
      </c>
      <c r="L164" s="126">
        <v>20371</v>
      </c>
      <c r="M164" s="27">
        <v>74</v>
      </c>
      <c r="N164" s="122">
        <v>36</v>
      </c>
      <c r="O164" s="27">
        <v>78</v>
      </c>
      <c r="P164" s="122">
        <v>38</v>
      </c>
    </row>
    <row r="165" spans="1:16" ht="15" thickBot="1">
      <c r="A165" s="146">
        <v>31</v>
      </c>
      <c r="B165" t="s">
        <v>232</v>
      </c>
      <c r="C165" s="4"/>
      <c r="D165" s="117">
        <f t="shared" si="8"/>
        <v>20411</v>
      </c>
      <c r="E165" s="133">
        <v>212</v>
      </c>
      <c r="F165" s="122">
        <v>184</v>
      </c>
      <c r="G165" s="127">
        <v>186</v>
      </c>
      <c r="H165" s="134">
        <v>153</v>
      </c>
      <c r="I165" s="120">
        <v>180</v>
      </c>
      <c r="J165" s="134">
        <v>73</v>
      </c>
      <c r="K165" s="120">
        <v>8323</v>
      </c>
      <c r="L165" s="128">
        <v>10932</v>
      </c>
      <c r="M165" s="27">
        <v>106</v>
      </c>
      <c r="N165" s="122">
        <v>37</v>
      </c>
      <c r="O165" s="27">
        <v>19</v>
      </c>
      <c r="P165" s="122">
        <v>6</v>
      </c>
    </row>
    <row r="166" spans="1:16" s="25" customFormat="1" ht="16" thickTop="1" thickBot="1">
      <c r="A166" s="174">
        <v>32</v>
      </c>
      <c r="B166" s="26" t="s">
        <v>202</v>
      </c>
      <c r="C166" s="96"/>
      <c r="D166" s="137">
        <f t="shared" si="8"/>
        <v>753</v>
      </c>
      <c r="E166" s="92"/>
      <c r="F166" s="98"/>
      <c r="G166" s="286">
        <v>214</v>
      </c>
      <c r="H166" s="129">
        <v>54</v>
      </c>
      <c r="I166" s="99"/>
      <c r="J166" s="92"/>
      <c r="K166" s="135">
        <v>382</v>
      </c>
      <c r="L166" s="136">
        <v>38</v>
      </c>
      <c r="M166" s="99"/>
      <c r="N166" s="92"/>
      <c r="O166" s="135">
        <v>55</v>
      </c>
      <c r="P166" s="132">
        <v>10</v>
      </c>
    </row>
    <row r="167" spans="1:16" ht="15" thickTop="1">
      <c r="A167" s="176" t="s">
        <v>28</v>
      </c>
      <c r="B167" s="59"/>
      <c r="C167" s="97"/>
      <c r="D167" s="118"/>
      <c r="F167" s="50"/>
      <c r="G167" s="283"/>
      <c r="I167" s="20"/>
      <c r="K167" s="20"/>
      <c r="M167" s="20"/>
      <c r="O167" s="20"/>
      <c r="P167" s="50"/>
    </row>
    <row r="168" spans="1:16">
      <c r="A168" s="181">
        <v>33</v>
      </c>
      <c r="B168" s="100" t="s">
        <v>233</v>
      </c>
      <c r="C168" s="8" t="s">
        <v>37</v>
      </c>
      <c r="D168" s="118">
        <f t="shared" si="8"/>
        <v>15295</v>
      </c>
      <c r="E168" s="27"/>
      <c r="F168" s="122"/>
      <c r="G168" s="127">
        <v>221</v>
      </c>
      <c r="H168" s="29">
        <v>172</v>
      </c>
      <c r="I168" s="120"/>
      <c r="J168" s="27"/>
      <c r="K168" s="120">
        <v>6014</v>
      </c>
      <c r="L168" s="128">
        <v>8841</v>
      </c>
      <c r="M168" s="120"/>
      <c r="N168" s="27"/>
      <c r="O168" s="120">
        <v>32</v>
      </c>
      <c r="P168" s="122">
        <v>15</v>
      </c>
    </row>
    <row r="169" spans="1:16">
      <c r="A169" s="146">
        <v>34</v>
      </c>
      <c r="B169" t="s">
        <v>234</v>
      </c>
      <c r="C169" s="4"/>
      <c r="D169" s="118">
        <f t="shared" si="8"/>
        <v>34833</v>
      </c>
      <c r="E169" s="27">
        <v>189</v>
      </c>
      <c r="F169" s="122">
        <v>161</v>
      </c>
      <c r="G169" s="127">
        <v>85</v>
      </c>
      <c r="H169" s="29">
        <v>66</v>
      </c>
      <c r="I169" s="120">
        <v>499</v>
      </c>
      <c r="J169" s="29">
        <v>61</v>
      </c>
      <c r="K169" s="120">
        <v>12834</v>
      </c>
      <c r="L169" s="128">
        <v>20702</v>
      </c>
      <c r="M169" s="120">
        <v>62</v>
      </c>
      <c r="N169" s="27">
        <v>45</v>
      </c>
      <c r="O169" s="120">
        <v>76</v>
      </c>
      <c r="P169" s="122">
        <v>53</v>
      </c>
    </row>
    <row r="170" spans="1:16">
      <c r="A170" s="146">
        <v>35</v>
      </c>
      <c r="B170" t="s">
        <v>235</v>
      </c>
      <c r="C170" s="4"/>
      <c r="D170" s="118">
        <f t="shared" si="8"/>
        <v>14923</v>
      </c>
      <c r="E170" s="27"/>
      <c r="F170" s="122"/>
      <c r="G170" s="127">
        <v>46</v>
      </c>
      <c r="H170" s="29">
        <v>14</v>
      </c>
      <c r="I170" s="120"/>
      <c r="J170" s="27"/>
      <c r="K170" s="120">
        <v>6370</v>
      </c>
      <c r="L170" s="128">
        <v>8432</v>
      </c>
      <c r="M170" s="120"/>
      <c r="N170" s="27"/>
      <c r="O170" s="120">
        <v>32</v>
      </c>
      <c r="P170" s="122">
        <v>29</v>
      </c>
    </row>
    <row r="171" spans="1:16">
      <c r="A171" s="146">
        <v>36</v>
      </c>
      <c r="B171" t="s">
        <v>236</v>
      </c>
      <c r="C171" s="4"/>
      <c r="D171" s="118">
        <f t="shared" si="8"/>
        <v>25897</v>
      </c>
      <c r="E171" s="27"/>
      <c r="F171" s="122"/>
      <c r="G171" s="127">
        <v>39</v>
      </c>
      <c r="H171" s="27">
        <v>9</v>
      </c>
      <c r="I171" s="120"/>
      <c r="J171" s="27"/>
      <c r="K171" s="120">
        <v>11443</v>
      </c>
      <c r="L171" s="128">
        <v>14404</v>
      </c>
      <c r="M171" s="120"/>
      <c r="N171" s="27"/>
      <c r="O171" s="120">
        <v>2</v>
      </c>
      <c r="P171" s="122"/>
    </row>
    <row r="172" spans="1:16">
      <c r="A172" s="146">
        <v>37</v>
      </c>
      <c r="B172" t="s">
        <v>237</v>
      </c>
      <c r="C172" s="4"/>
      <c r="D172" s="118">
        <f t="shared" si="8"/>
        <v>12834</v>
      </c>
      <c r="E172" s="27"/>
      <c r="F172" s="122"/>
      <c r="G172" s="127">
        <v>27</v>
      </c>
      <c r="H172" s="27">
        <v>17</v>
      </c>
      <c r="I172" s="120"/>
      <c r="J172" s="27"/>
      <c r="K172" s="120">
        <v>5349</v>
      </c>
      <c r="L172" s="128">
        <v>7419</v>
      </c>
      <c r="M172" s="120"/>
      <c r="N172" s="27"/>
      <c r="O172" s="120">
        <v>10</v>
      </c>
      <c r="P172" s="122">
        <v>12</v>
      </c>
    </row>
    <row r="173" spans="1:16">
      <c r="A173" s="146">
        <v>38</v>
      </c>
      <c r="B173" t="s">
        <v>238</v>
      </c>
      <c r="C173" s="4"/>
      <c r="D173" s="118">
        <f t="shared" si="8"/>
        <v>23524</v>
      </c>
      <c r="E173" s="27"/>
      <c r="F173" s="122"/>
      <c r="G173" s="127">
        <v>278</v>
      </c>
      <c r="H173" s="27">
        <v>195</v>
      </c>
      <c r="I173" s="120"/>
      <c r="J173" s="27"/>
      <c r="K173" s="120">
        <v>8866</v>
      </c>
      <c r="L173" s="121">
        <v>12547</v>
      </c>
      <c r="M173" s="120"/>
      <c r="N173" s="27"/>
      <c r="O173" s="120">
        <v>1017</v>
      </c>
      <c r="P173" s="122">
        <v>621</v>
      </c>
    </row>
    <row r="174" spans="1:16">
      <c r="A174" s="146">
        <v>39</v>
      </c>
      <c r="B174" t="s">
        <v>239</v>
      </c>
      <c r="C174" s="4"/>
      <c r="D174" s="137">
        <f t="shared" si="8"/>
        <v>14918</v>
      </c>
      <c r="E174" s="93"/>
      <c r="F174" s="98"/>
      <c r="G174" s="127">
        <v>39</v>
      </c>
      <c r="H174" s="27">
        <v>12</v>
      </c>
      <c r="I174" s="99"/>
      <c r="J174" s="93"/>
      <c r="K174" s="120">
        <v>6224</v>
      </c>
      <c r="L174" s="121">
        <v>8616</v>
      </c>
      <c r="M174" s="99"/>
      <c r="N174" s="93"/>
      <c r="O174" s="120">
        <v>10</v>
      </c>
      <c r="P174" s="122">
        <v>17</v>
      </c>
    </row>
    <row r="175" spans="1:16">
      <c r="A175" s="146">
        <v>40</v>
      </c>
      <c r="B175" t="s">
        <v>240</v>
      </c>
      <c r="C175" s="4"/>
      <c r="D175" s="118">
        <f t="shared" si="8"/>
        <v>26619</v>
      </c>
      <c r="E175" s="27"/>
      <c r="F175" s="122"/>
      <c r="G175" s="127">
        <v>108</v>
      </c>
      <c r="H175" s="27">
        <v>57</v>
      </c>
      <c r="I175" s="120"/>
      <c r="J175" s="27"/>
      <c r="K175" s="120">
        <v>10477</v>
      </c>
      <c r="L175" s="121">
        <v>15954</v>
      </c>
      <c r="M175" s="120"/>
      <c r="N175" s="27"/>
      <c r="O175" s="120">
        <v>13</v>
      </c>
      <c r="P175" s="122">
        <v>10</v>
      </c>
    </row>
    <row r="176" spans="1:16">
      <c r="A176" s="146">
        <v>41</v>
      </c>
      <c r="B176" t="s">
        <v>241</v>
      </c>
      <c r="C176" s="4"/>
      <c r="D176" s="118">
        <f t="shared" si="8"/>
        <v>22760</v>
      </c>
      <c r="E176" s="27"/>
      <c r="F176" s="122"/>
      <c r="G176" s="127">
        <v>76</v>
      </c>
      <c r="H176" s="27">
        <v>53</v>
      </c>
      <c r="I176" s="120"/>
      <c r="J176" s="27"/>
      <c r="K176" s="120">
        <v>9048</v>
      </c>
      <c r="L176" s="121">
        <v>13564</v>
      </c>
      <c r="M176" s="120"/>
      <c r="N176" s="27"/>
      <c r="O176" s="120">
        <v>8</v>
      </c>
      <c r="P176" s="122">
        <v>11</v>
      </c>
    </row>
    <row r="177" spans="1:16">
      <c r="A177" s="146">
        <v>42</v>
      </c>
      <c r="B177" t="s">
        <v>242</v>
      </c>
      <c r="C177" s="4"/>
      <c r="D177" s="137">
        <f t="shared" si="8"/>
        <v>14728</v>
      </c>
      <c r="E177" s="93"/>
      <c r="F177" s="98"/>
      <c r="G177" s="127">
        <v>17</v>
      </c>
      <c r="H177" s="27">
        <v>4</v>
      </c>
      <c r="I177" s="99"/>
      <c r="J177" s="93"/>
      <c r="K177" s="120">
        <v>6251</v>
      </c>
      <c r="L177" s="121">
        <v>8447</v>
      </c>
      <c r="M177" s="99"/>
      <c r="N177" s="93"/>
      <c r="O177" s="120">
        <v>9</v>
      </c>
      <c r="P177" s="98"/>
    </row>
    <row r="178" spans="1:16">
      <c r="A178" s="146">
        <v>43</v>
      </c>
      <c r="B178" t="s">
        <v>243</v>
      </c>
      <c r="C178" s="4"/>
      <c r="D178" s="118">
        <f t="shared" si="8"/>
        <v>13275</v>
      </c>
      <c r="E178" s="27"/>
      <c r="F178" s="122"/>
      <c r="G178" s="127">
        <v>167</v>
      </c>
      <c r="H178" s="27">
        <v>68</v>
      </c>
      <c r="I178" s="120"/>
      <c r="J178" s="27"/>
      <c r="K178" s="120">
        <v>5584</v>
      </c>
      <c r="L178" s="121">
        <v>7023</v>
      </c>
      <c r="M178" s="120"/>
      <c r="N178" s="27"/>
      <c r="O178" s="120">
        <v>267</v>
      </c>
      <c r="P178" s="122">
        <v>166</v>
      </c>
    </row>
    <row r="179" spans="1:16" ht="16" thickBot="1">
      <c r="A179" s="179" t="s">
        <v>38</v>
      </c>
      <c r="B179" s="173"/>
      <c r="C179" s="4"/>
      <c r="D179" s="118"/>
      <c r="E179" s="93"/>
      <c r="F179" s="98"/>
      <c r="G179" s="288"/>
      <c r="H179" s="93"/>
      <c r="I179" s="99"/>
      <c r="J179" s="93"/>
      <c r="K179" s="99"/>
      <c r="L179" s="101"/>
      <c r="M179" s="99"/>
      <c r="N179" s="93"/>
      <c r="O179" s="99"/>
      <c r="P179" s="98"/>
    </row>
    <row r="180" spans="1:16">
      <c r="A180" s="146">
        <v>1</v>
      </c>
      <c r="B180" s="48" t="s">
        <v>244</v>
      </c>
      <c r="C180" s="8"/>
      <c r="D180" s="118">
        <f t="shared" si="8"/>
        <v>37292</v>
      </c>
      <c r="E180" s="27">
        <v>552</v>
      </c>
      <c r="F180" s="122">
        <v>510</v>
      </c>
      <c r="G180" s="127">
        <v>1501</v>
      </c>
      <c r="H180" s="27">
        <v>684</v>
      </c>
      <c r="I180" s="120">
        <v>960</v>
      </c>
      <c r="J180" s="27">
        <v>62</v>
      </c>
      <c r="K180" s="120">
        <v>17632</v>
      </c>
      <c r="L180" s="121">
        <v>14999</v>
      </c>
      <c r="M180" s="120">
        <v>81</v>
      </c>
      <c r="N180" s="27">
        <v>70</v>
      </c>
      <c r="O180" s="120">
        <v>133</v>
      </c>
      <c r="P180" s="122">
        <v>108</v>
      </c>
    </row>
    <row r="181" spans="1:16">
      <c r="A181" s="146">
        <v>2</v>
      </c>
      <c r="B181" t="s">
        <v>245</v>
      </c>
      <c r="C181" s="4"/>
      <c r="D181" s="137">
        <f t="shared" si="8"/>
        <v>13864</v>
      </c>
      <c r="E181" s="27">
        <v>261</v>
      </c>
      <c r="F181" s="122">
        <v>239</v>
      </c>
      <c r="G181" s="127">
        <v>2905</v>
      </c>
      <c r="H181" s="27">
        <v>2511</v>
      </c>
      <c r="I181" s="120">
        <v>128</v>
      </c>
      <c r="J181" s="27">
        <v>43</v>
      </c>
      <c r="K181" s="120">
        <v>3985</v>
      </c>
      <c r="L181" s="121">
        <v>3408</v>
      </c>
      <c r="M181" s="120">
        <v>31</v>
      </c>
      <c r="N181" s="27">
        <v>17</v>
      </c>
      <c r="O181" s="120">
        <v>190</v>
      </c>
      <c r="P181" s="122">
        <v>146</v>
      </c>
    </row>
    <row r="182" spans="1:16">
      <c r="A182" s="146">
        <v>3</v>
      </c>
      <c r="B182" t="s">
        <v>246</v>
      </c>
      <c r="C182" s="4"/>
      <c r="D182" s="137">
        <f t="shared" si="8"/>
        <v>18061</v>
      </c>
      <c r="E182" s="27">
        <v>713</v>
      </c>
      <c r="F182" s="122">
        <v>705</v>
      </c>
      <c r="G182" s="127">
        <v>4590</v>
      </c>
      <c r="H182" s="27">
        <v>3297</v>
      </c>
      <c r="I182" s="120">
        <v>266</v>
      </c>
      <c r="J182" s="27">
        <v>242</v>
      </c>
      <c r="K182" s="120">
        <v>4008</v>
      </c>
      <c r="L182" s="121">
        <v>3260</v>
      </c>
      <c r="M182" s="120">
        <v>91</v>
      </c>
      <c r="N182" s="27">
        <v>71</v>
      </c>
      <c r="O182" s="120">
        <v>566</v>
      </c>
      <c r="P182" s="122">
        <v>252</v>
      </c>
    </row>
    <row r="183" spans="1:16">
      <c r="A183" s="146">
        <v>4</v>
      </c>
      <c r="B183" t="s">
        <v>247</v>
      </c>
      <c r="C183" s="4"/>
      <c r="D183" s="118">
        <f t="shared" si="8"/>
        <v>86922</v>
      </c>
      <c r="E183" s="27">
        <v>13382</v>
      </c>
      <c r="F183" s="122">
        <v>8291</v>
      </c>
      <c r="G183" s="127">
        <v>522</v>
      </c>
      <c r="H183" s="125">
        <v>377</v>
      </c>
      <c r="I183" s="123">
        <v>53150</v>
      </c>
      <c r="J183" s="123">
        <v>4121</v>
      </c>
      <c r="K183" s="127">
        <v>2582</v>
      </c>
      <c r="L183" s="121">
        <v>1192</v>
      </c>
      <c r="M183" s="120">
        <v>2262</v>
      </c>
      <c r="N183" s="27">
        <v>899</v>
      </c>
      <c r="O183" s="120">
        <v>96</v>
      </c>
      <c r="P183" s="122">
        <v>48</v>
      </c>
    </row>
    <row r="184" spans="1:16">
      <c r="A184" s="146">
        <v>5</v>
      </c>
      <c r="B184" t="s">
        <v>248</v>
      </c>
      <c r="C184" s="4"/>
      <c r="D184" s="118">
        <f t="shared" si="8"/>
        <v>16960</v>
      </c>
      <c r="E184" s="27">
        <v>167</v>
      </c>
      <c r="F184" s="122">
        <v>154</v>
      </c>
      <c r="G184" s="127">
        <v>1827</v>
      </c>
      <c r="H184" s="27">
        <v>1543</v>
      </c>
      <c r="I184" s="120">
        <v>270</v>
      </c>
      <c r="J184" s="27">
        <v>105</v>
      </c>
      <c r="K184" s="120">
        <v>6023</v>
      </c>
      <c r="L184" s="121">
        <v>6670</v>
      </c>
      <c r="M184" s="120">
        <v>14</v>
      </c>
      <c r="N184" s="27">
        <v>3</v>
      </c>
      <c r="O184" s="120">
        <v>110</v>
      </c>
      <c r="P184" s="122">
        <v>74</v>
      </c>
    </row>
    <row r="185" spans="1:16">
      <c r="A185" s="146">
        <v>6</v>
      </c>
      <c r="B185" t="s">
        <v>249</v>
      </c>
      <c r="C185" s="4"/>
      <c r="D185" s="137">
        <f t="shared" si="8"/>
        <v>30935</v>
      </c>
      <c r="E185" s="27">
        <v>832</v>
      </c>
      <c r="F185" s="122">
        <v>726</v>
      </c>
      <c r="G185" s="127">
        <v>2964</v>
      </c>
      <c r="H185" s="27">
        <v>2399</v>
      </c>
      <c r="I185" s="120">
        <v>702</v>
      </c>
      <c r="J185" s="27">
        <v>291</v>
      </c>
      <c r="K185" s="120">
        <v>10596</v>
      </c>
      <c r="L185" s="121">
        <v>10588</v>
      </c>
      <c r="M185" s="120">
        <v>102</v>
      </c>
      <c r="N185" s="27">
        <v>63</v>
      </c>
      <c r="O185" s="120">
        <v>840</v>
      </c>
      <c r="P185" s="122">
        <v>832</v>
      </c>
    </row>
    <row r="186" spans="1:16">
      <c r="A186" s="146">
        <v>7</v>
      </c>
      <c r="B186" t="s">
        <v>250</v>
      </c>
      <c r="C186" s="4"/>
      <c r="D186" s="118">
        <f t="shared" si="8"/>
        <v>64805</v>
      </c>
      <c r="E186" s="27">
        <v>10291</v>
      </c>
      <c r="F186" s="122">
        <v>6789</v>
      </c>
      <c r="G186" s="127">
        <v>1827</v>
      </c>
      <c r="H186" s="27">
        <v>1419</v>
      </c>
      <c r="I186" s="120">
        <v>35424</v>
      </c>
      <c r="J186" s="27">
        <v>1485</v>
      </c>
      <c r="K186" s="120">
        <v>4284</v>
      </c>
      <c r="L186" s="121">
        <v>758</v>
      </c>
      <c r="M186" s="120">
        <v>1519</v>
      </c>
      <c r="N186" s="27">
        <v>541</v>
      </c>
      <c r="O186" s="120">
        <v>294</v>
      </c>
      <c r="P186" s="122">
        <v>174</v>
      </c>
    </row>
    <row r="187" spans="1:16">
      <c r="A187" s="178">
        <v>8</v>
      </c>
      <c r="B187" s="102" t="s">
        <v>251</v>
      </c>
      <c r="C187" s="8" t="s">
        <v>39</v>
      </c>
      <c r="D187" s="137">
        <f t="shared" si="8"/>
        <v>39363</v>
      </c>
      <c r="E187" s="27">
        <v>1523</v>
      </c>
      <c r="F187" s="122">
        <v>1198</v>
      </c>
      <c r="G187" s="127">
        <v>5430</v>
      </c>
      <c r="H187" s="27">
        <v>4837</v>
      </c>
      <c r="I187" s="120">
        <v>3424</v>
      </c>
      <c r="J187" s="27">
        <v>791</v>
      </c>
      <c r="K187" s="120">
        <v>11221</v>
      </c>
      <c r="L187" s="121">
        <v>9332</v>
      </c>
      <c r="M187" s="120">
        <v>437</v>
      </c>
      <c r="N187" s="27">
        <v>226</v>
      </c>
      <c r="O187" s="120">
        <v>613</v>
      </c>
      <c r="P187" s="122">
        <v>331</v>
      </c>
    </row>
    <row r="188" spans="1:16">
      <c r="A188" s="178">
        <v>9</v>
      </c>
      <c r="B188" s="102" t="s">
        <v>252</v>
      </c>
      <c r="C188" s="4"/>
      <c r="D188" s="118">
        <f t="shared" si="8"/>
        <v>241131</v>
      </c>
      <c r="E188" s="27">
        <v>67775</v>
      </c>
      <c r="F188" s="122">
        <v>52178</v>
      </c>
      <c r="G188" s="127">
        <v>1050</v>
      </c>
      <c r="H188" s="27">
        <v>854</v>
      </c>
      <c r="I188" s="120">
        <v>97614</v>
      </c>
      <c r="J188" s="27">
        <v>4357</v>
      </c>
      <c r="K188" s="120">
        <v>1322</v>
      </c>
      <c r="L188" s="121">
        <v>375</v>
      </c>
      <c r="M188" s="120">
        <v>9307</v>
      </c>
      <c r="N188" s="27">
        <v>5873</v>
      </c>
      <c r="O188" s="120">
        <v>267</v>
      </c>
      <c r="P188" s="122">
        <v>159</v>
      </c>
    </row>
    <row r="189" spans="1:16">
      <c r="A189" s="178">
        <v>10</v>
      </c>
      <c r="B189" s="102" t="s">
        <v>253</v>
      </c>
      <c r="C189" s="4"/>
      <c r="D189" s="137">
        <f t="shared" si="8"/>
        <v>103473</v>
      </c>
      <c r="E189" s="27">
        <v>12510</v>
      </c>
      <c r="F189" s="122">
        <v>8279</v>
      </c>
      <c r="G189" s="127">
        <v>3825</v>
      </c>
      <c r="H189" s="27">
        <v>3370</v>
      </c>
      <c r="I189" s="120">
        <v>61290</v>
      </c>
      <c r="J189" s="27">
        <v>3087</v>
      </c>
      <c r="K189" s="120">
        <v>4467</v>
      </c>
      <c r="L189" s="121">
        <v>3272</v>
      </c>
      <c r="M189" s="120">
        <v>1701</v>
      </c>
      <c r="N189" s="27">
        <v>855</v>
      </c>
      <c r="O189" s="120">
        <v>519</v>
      </c>
      <c r="P189" s="122">
        <v>298</v>
      </c>
    </row>
    <row r="190" spans="1:16">
      <c r="A190" s="182">
        <v>11</v>
      </c>
      <c r="B190" s="103" t="s">
        <v>254</v>
      </c>
      <c r="C190" s="4"/>
      <c r="D190" s="137">
        <f t="shared" si="8"/>
        <v>25379</v>
      </c>
      <c r="E190" s="27">
        <v>712</v>
      </c>
      <c r="F190" s="122">
        <v>583</v>
      </c>
      <c r="G190" s="127">
        <v>4912</v>
      </c>
      <c r="H190" s="27">
        <v>4210</v>
      </c>
      <c r="I190" s="120">
        <v>291</v>
      </c>
      <c r="J190" s="27">
        <v>192</v>
      </c>
      <c r="K190" s="120">
        <v>6669</v>
      </c>
      <c r="L190" s="121">
        <v>6843</v>
      </c>
      <c r="M190" s="120">
        <v>99</v>
      </c>
      <c r="N190" s="27">
        <v>75</v>
      </c>
      <c r="O190" s="120">
        <v>443</v>
      </c>
      <c r="P190" s="122">
        <v>350</v>
      </c>
    </row>
    <row r="191" spans="1:16">
      <c r="A191" s="182">
        <v>12</v>
      </c>
      <c r="B191" s="103" t="s">
        <v>255</v>
      </c>
      <c r="C191" s="4"/>
      <c r="D191" s="118">
        <f t="shared" si="8"/>
        <v>114757</v>
      </c>
      <c r="E191" s="27">
        <v>891</v>
      </c>
      <c r="F191" s="122">
        <v>847</v>
      </c>
      <c r="G191" s="127">
        <v>4027</v>
      </c>
      <c r="H191" s="27">
        <v>3015</v>
      </c>
      <c r="I191" s="120">
        <v>1023</v>
      </c>
      <c r="J191" s="27">
        <v>343</v>
      </c>
      <c r="K191" s="120">
        <v>46479</v>
      </c>
      <c r="L191" s="27">
        <v>57474</v>
      </c>
      <c r="M191" s="120">
        <v>126</v>
      </c>
      <c r="N191" s="27">
        <v>78</v>
      </c>
      <c r="O191" s="120">
        <v>305</v>
      </c>
      <c r="P191" s="122">
        <v>149</v>
      </c>
    </row>
    <row r="192" spans="1:16">
      <c r="A192" s="182">
        <v>13</v>
      </c>
      <c r="B192" s="103" t="s">
        <v>256</v>
      </c>
      <c r="C192" s="4"/>
      <c r="D192" s="118">
        <f t="shared" si="8"/>
        <v>26904</v>
      </c>
      <c r="E192" s="27">
        <v>466</v>
      </c>
      <c r="F192" s="122">
        <v>440</v>
      </c>
      <c r="G192" s="127">
        <v>3562</v>
      </c>
      <c r="H192" s="27">
        <v>3332</v>
      </c>
      <c r="I192" s="127">
        <v>452</v>
      </c>
      <c r="J192" s="27">
        <v>343</v>
      </c>
      <c r="K192" s="120">
        <v>8255</v>
      </c>
      <c r="L192" s="121">
        <v>9540</v>
      </c>
      <c r="M192" s="120">
        <v>75</v>
      </c>
      <c r="N192" s="27">
        <v>33</v>
      </c>
      <c r="O192" s="120">
        <v>235</v>
      </c>
      <c r="P192" s="122">
        <v>171</v>
      </c>
    </row>
    <row r="193" spans="1:16">
      <c r="A193" s="182">
        <v>14</v>
      </c>
      <c r="B193" s="103" t="s">
        <v>257</v>
      </c>
      <c r="C193" s="4"/>
      <c r="D193" s="118">
        <f t="shared" si="8"/>
        <v>64251</v>
      </c>
      <c r="E193" s="27">
        <v>1469</v>
      </c>
      <c r="F193" s="122">
        <v>1167</v>
      </c>
      <c r="G193" s="127">
        <v>5755</v>
      </c>
      <c r="H193" s="27">
        <v>4901</v>
      </c>
      <c r="I193" s="120">
        <v>3252</v>
      </c>
      <c r="J193" s="27">
        <v>425</v>
      </c>
      <c r="K193" s="120">
        <v>22861</v>
      </c>
      <c r="L193" s="121">
        <v>23315</v>
      </c>
      <c r="M193" s="120">
        <v>188</v>
      </c>
      <c r="N193" s="27">
        <v>81</v>
      </c>
      <c r="O193" s="120">
        <v>513</v>
      </c>
      <c r="P193" s="122">
        <v>324</v>
      </c>
    </row>
    <row r="194" spans="1:16">
      <c r="A194" s="182">
        <v>15</v>
      </c>
      <c r="B194" s="103" t="s">
        <v>258</v>
      </c>
      <c r="C194" s="4"/>
      <c r="D194" s="118">
        <f t="shared" si="8"/>
        <v>27512</v>
      </c>
      <c r="E194" s="27">
        <v>220</v>
      </c>
      <c r="F194" s="122">
        <v>156</v>
      </c>
      <c r="G194" s="127">
        <v>1152</v>
      </c>
      <c r="H194" s="27">
        <v>878</v>
      </c>
      <c r="I194" s="120">
        <v>551</v>
      </c>
      <c r="J194" s="27">
        <v>300</v>
      </c>
      <c r="K194" s="120">
        <v>10697</v>
      </c>
      <c r="L194" s="121">
        <v>13503</v>
      </c>
      <c r="M194" s="120">
        <v>12</v>
      </c>
      <c r="N194" s="27">
        <v>1</v>
      </c>
      <c r="O194" s="120">
        <v>24</v>
      </c>
      <c r="P194" s="122">
        <v>18</v>
      </c>
    </row>
    <row r="195" spans="1:16">
      <c r="A195" s="182">
        <v>16</v>
      </c>
      <c r="B195" s="103" t="s">
        <v>259</v>
      </c>
      <c r="C195" s="4"/>
      <c r="D195" s="118">
        <f t="shared" si="8"/>
        <v>69360</v>
      </c>
      <c r="E195" s="27">
        <v>6282</v>
      </c>
      <c r="F195" s="122">
        <v>4834</v>
      </c>
      <c r="G195" s="127">
        <v>10555</v>
      </c>
      <c r="H195" s="27">
        <v>9115</v>
      </c>
      <c r="I195" s="120">
        <v>2957</v>
      </c>
      <c r="J195" s="27">
        <v>2231</v>
      </c>
      <c r="K195" s="120">
        <v>15292</v>
      </c>
      <c r="L195" s="121">
        <v>14167</v>
      </c>
      <c r="M195" s="120">
        <v>1029</v>
      </c>
      <c r="N195" s="27">
        <v>780</v>
      </c>
      <c r="O195" s="120">
        <v>1323</v>
      </c>
      <c r="P195" s="122">
        <v>795</v>
      </c>
    </row>
    <row r="196" spans="1:16">
      <c r="A196" s="182">
        <v>17</v>
      </c>
      <c r="B196" s="103" t="s">
        <v>260</v>
      </c>
      <c r="C196" s="4"/>
      <c r="D196" s="118">
        <f t="shared" si="8"/>
        <v>157444</v>
      </c>
      <c r="E196" s="27">
        <v>22100</v>
      </c>
      <c r="F196" s="122">
        <v>15616</v>
      </c>
      <c r="G196" s="127">
        <v>9499</v>
      </c>
      <c r="H196" s="27">
        <v>8078</v>
      </c>
      <c r="I196" s="120">
        <v>25364</v>
      </c>
      <c r="J196" s="27">
        <v>3582</v>
      </c>
      <c r="K196" s="120">
        <v>33811</v>
      </c>
      <c r="L196" s="121">
        <v>34868</v>
      </c>
      <c r="M196" s="120">
        <v>2265</v>
      </c>
      <c r="N196" s="27">
        <v>1355</v>
      </c>
      <c r="O196" s="120">
        <v>573</v>
      </c>
      <c r="P196" s="122">
        <v>333</v>
      </c>
    </row>
    <row r="197" spans="1:16">
      <c r="A197" s="182">
        <v>18</v>
      </c>
      <c r="B197" s="103" t="s">
        <v>261</v>
      </c>
      <c r="C197" s="4"/>
      <c r="D197" s="118">
        <f t="shared" si="8"/>
        <v>64902</v>
      </c>
      <c r="E197" s="27">
        <v>489</v>
      </c>
      <c r="F197" s="122">
        <v>412</v>
      </c>
      <c r="G197" s="127">
        <v>7985</v>
      </c>
      <c r="H197" s="27">
        <v>7196</v>
      </c>
      <c r="I197" s="120">
        <v>582</v>
      </c>
      <c r="J197" s="27">
        <v>349</v>
      </c>
      <c r="K197" s="120">
        <v>20990</v>
      </c>
      <c r="L197" s="121">
        <v>26401</v>
      </c>
      <c r="M197" s="120">
        <v>51</v>
      </c>
      <c r="N197" s="27">
        <v>12</v>
      </c>
      <c r="O197" s="120">
        <v>284</v>
      </c>
      <c r="P197" s="122">
        <v>151</v>
      </c>
    </row>
    <row r="198" spans="1:16">
      <c r="A198" s="182">
        <v>19</v>
      </c>
      <c r="B198" s="103" t="s">
        <v>262</v>
      </c>
      <c r="C198" s="4"/>
      <c r="D198" s="118">
        <f t="shared" si="8"/>
        <v>25029</v>
      </c>
      <c r="E198" s="27">
        <v>923</v>
      </c>
      <c r="F198" s="122">
        <v>821</v>
      </c>
      <c r="G198" s="127">
        <v>4009</v>
      </c>
      <c r="H198" s="27">
        <v>3406</v>
      </c>
      <c r="I198" s="120">
        <v>606</v>
      </c>
      <c r="J198" s="27">
        <v>249</v>
      </c>
      <c r="K198" s="120">
        <v>7441</v>
      </c>
      <c r="L198" s="121">
        <v>6481</v>
      </c>
      <c r="M198" s="120">
        <v>198</v>
      </c>
      <c r="N198" s="27">
        <v>110</v>
      </c>
      <c r="O198" s="120">
        <v>450</v>
      </c>
      <c r="P198" s="122">
        <v>335</v>
      </c>
    </row>
    <row r="199" spans="1:16">
      <c r="A199" s="182">
        <v>20</v>
      </c>
      <c r="B199" s="103" t="s">
        <v>263</v>
      </c>
      <c r="C199" s="4"/>
      <c r="D199" s="118">
        <f t="shared" si="8"/>
        <v>33223</v>
      </c>
      <c r="E199" s="27">
        <v>1286</v>
      </c>
      <c r="F199" s="122">
        <v>1205</v>
      </c>
      <c r="G199" s="127">
        <v>2719</v>
      </c>
      <c r="H199" s="27">
        <v>2328</v>
      </c>
      <c r="I199" s="120">
        <v>1181</v>
      </c>
      <c r="J199" s="27">
        <v>542</v>
      </c>
      <c r="K199" s="120">
        <v>10733</v>
      </c>
      <c r="L199" s="121">
        <v>12669</v>
      </c>
      <c r="M199" s="120">
        <v>148</v>
      </c>
      <c r="N199" s="27">
        <v>78</v>
      </c>
      <c r="O199" s="120">
        <v>183</v>
      </c>
      <c r="P199" s="122">
        <v>151</v>
      </c>
    </row>
    <row r="200" spans="1:16">
      <c r="A200" s="182">
        <v>21</v>
      </c>
      <c r="B200" s="103" t="s">
        <v>264</v>
      </c>
      <c r="C200" s="4"/>
      <c r="D200" s="118">
        <f t="shared" si="8"/>
        <v>73901</v>
      </c>
      <c r="E200" s="27">
        <v>659</v>
      </c>
      <c r="F200" s="122">
        <v>619</v>
      </c>
      <c r="G200" s="127">
        <v>3115</v>
      </c>
      <c r="H200" s="27">
        <v>2387</v>
      </c>
      <c r="I200" s="120">
        <v>523</v>
      </c>
      <c r="J200" s="27">
        <v>181</v>
      </c>
      <c r="K200" s="120">
        <v>29122</v>
      </c>
      <c r="L200" s="121">
        <v>36926</v>
      </c>
      <c r="M200" s="120">
        <v>72</v>
      </c>
      <c r="N200" s="27">
        <v>24</v>
      </c>
      <c r="O200" s="120">
        <v>195</v>
      </c>
      <c r="P200" s="122">
        <v>78</v>
      </c>
    </row>
    <row r="201" spans="1:16">
      <c r="A201" s="182">
        <v>22</v>
      </c>
      <c r="B201" s="103" t="s">
        <v>265</v>
      </c>
      <c r="C201" s="4"/>
      <c r="D201" s="118">
        <f t="shared" si="8"/>
        <v>13492</v>
      </c>
      <c r="E201" s="27">
        <v>229</v>
      </c>
      <c r="F201" s="122">
        <v>199</v>
      </c>
      <c r="G201" s="127">
        <v>3689</v>
      </c>
      <c r="H201" s="27">
        <v>3176</v>
      </c>
      <c r="I201" s="120">
        <v>91</v>
      </c>
      <c r="J201" s="27">
        <v>66</v>
      </c>
      <c r="K201" s="120">
        <v>2692</v>
      </c>
      <c r="L201" s="121">
        <v>2691</v>
      </c>
      <c r="M201" s="120">
        <v>32</v>
      </c>
      <c r="N201" s="27">
        <v>22</v>
      </c>
      <c r="O201" s="120">
        <v>327</v>
      </c>
      <c r="P201" s="122">
        <v>278</v>
      </c>
    </row>
    <row r="202" spans="1:16" ht="15" thickBot="1">
      <c r="A202" s="182">
        <v>23</v>
      </c>
      <c r="B202" s="103" t="s">
        <v>266</v>
      </c>
      <c r="C202" s="4"/>
      <c r="D202" s="137">
        <f t="shared" si="8"/>
        <v>336075</v>
      </c>
      <c r="E202" s="27">
        <v>952</v>
      </c>
      <c r="F202" s="122">
        <v>816</v>
      </c>
      <c r="G202" s="127">
        <v>4236</v>
      </c>
      <c r="H202" s="27">
        <v>3437</v>
      </c>
      <c r="I202" s="120">
        <v>2032</v>
      </c>
      <c r="J202" s="27">
        <v>1166</v>
      </c>
      <c r="K202" s="120">
        <v>132153</v>
      </c>
      <c r="L202" s="121">
        <v>190672</v>
      </c>
      <c r="M202" s="120">
        <v>193</v>
      </c>
      <c r="N202" s="27">
        <v>55</v>
      </c>
      <c r="O202" s="120">
        <v>223</v>
      </c>
      <c r="P202" s="122">
        <v>140</v>
      </c>
    </row>
    <row r="203" spans="1:16" ht="16" thickTop="1" thickBot="1">
      <c r="A203" s="182">
        <v>24</v>
      </c>
      <c r="B203" s="103" t="s">
        <v>202</v>
      </c>
      <c r="C203" s="4"/>
      <c r="D203" s="137">
        <f t="shared" si="8"/>
        <v>1177</v>
      </c>
      <c r="E203" s="27"/>
      <c r="F203" s="122"/>
      <c r="G203" s="286">
        <v>573</v>
      </c>
      <c r="H203" s="129">
        <v>115</v>
      </c>
      <c r="I203" s="120"/>
      <c r="J203" s="27"/>
      <c r="K203" s="135">
        <v>414</v>
      </c>
      <c r="L203" s="136">
        <v>26</v>
      </c>
      <c r="M203" s="120"/>
      <c r="N203" s="27"/>
      <c r="O203" s="135">
        <v>41</v>
      </c>
      <c r="P203" s="132">
        <v>8</v>
      </c>
    </row>
    <row r="204" spans="1:16" ht="17" thickTop="1" thickBot="1">
      <c r="A204" s="179" t="s">
        <v>40</v>
      </c>
      <c r="B204" s="173"/>
      <c r="C204" s="4"/>
      <c r="D204" s="118"/>
      <c r="E204" s="93"/>
      <c r="F204" s="98"/>
      <c r="G204" s="288"/>
      <c r="H204" s="93"/>
      <c r="I204" s="99"/>
      <c r="J204" s="93"/>
      <c r="K204" s="99"/>
      <c r="L204" s="101"/>
      <c r="M204" s="99"/>
      <c r="N204" s="93"/>
      <c r="O204" s="99"/>
      <c r="P204" s="98"/>
    </row>
    <row r="205" spans="1:16">
      <c r="A205" s="183">
        <v>1</v>
      </c>
      <c r="B205" s="103" t="s">
        <v>267</v>
      </c>
      <c r="C205" s="4"/>
      <c r="D205" s="118">
        <f t="shared" si="8"/>
        <v>38043</v>
      </c>
      <c r="E205" s="27">
        <v>1620</v>
      </c>
      <c r="F205" s="122">
        <v>1446</v>
      </c>
      <c r="G205" s="127">
        <v>3812</v>
      </c>
      <c r="H205" s="27">
        <v>3251</v>
      </c>
      <c r="I205" s="120">
        <v>1186</v>
      </c>
      <c r="J205" s="27">
        <v>632</v>
      </c>
      <c r="K205" s="120">
        <v>12266</v>
      </c>
      <c r="L205" s="121">
        <v>13172</v>
      </c>
      <c r="M205" s="120">
        <v>147</v>
      </c>
      <c r="N205" s="27">
        <v>145</v>
      </c>
      <c r="O205" s="120">
        <v>208</v>
      </c>
      <c r="P205" s="122">
        <v>158</v>
      </c>
    </row>
    <row r="206" spans="1:16">
      <c r="A206" s="182">
        <v>2</v>
      </c>
      <c r="B206" s="103" t="s">
        <v>268</v>
      </c>
      <c r="C206" s="4"/>
      <c r="D206" s="118">
        <f t="shared" ref="D206:D229" si="9">E206+F206+G206+H206+I206+J206+K206+L206+M206+N206+O206+P206</f>
        <v>7033</v>
      </c>
      <c r="E206" s="27">
        <v>749</v>
      </c>
      <c r="F206" s="122">
        <v>736</v>
      </c>
      <c r="G206" s="127">
        <v>1017</v>
      </c>
      <c r="H206" s="27">
        <v>927</v>
      </c>
      <c r="I206" s="120">
        <v>468</v>
      </c>
      <c r="J206" s="27">
        <v>533</v>
      </c>
      <c r="K206" s="120">
        <v>1043</v>
      </c>
      <c r="L206" s="121">
        <v>818</v>
      </c>
      <c r="M206" s="120">
        <v>189</v>
      </c>
      <c r="N206" s="27">
        <v>226</v>
      </c>
      <c r="O206" s="120">
        <v>181</v>
      </c>
      <c r="P206" s="122">
        <v>146</v>
      </c>
    </row>
    <row r="207" spans="1:16">
      <c r="A207" s="182">
        <v>3</v>
      </c>
      <c r="B207" s="103" t="s">
        <v>269</v>
      </c>
      <c r="C207" s="4"/>
      <c r="D207" s="118">
        <f t="shared" si="9"/>
        <v>58451</v>
      </c>
      <c r="E207" s="27">
        <v>10242</v>
      </c>
      <c r="F207" s="122">
        <v>6933</v>
      </c>
      <c r="G207" s="127">
        <v>4779</v>
      </c>
      <c r="H207" s="27">
        <v>4193</v>
      </c>
      <c r="I207" s="120">
        <v>5961</v>
      </c>
      <c r="J207" s="27">
        <v>5776</v>
      </c>
      <c r="K207" s="120">
        <v>8121</v>
      </c>
      <c r="L207" s="121">
        <v>7814</v>
      </c>
      <c r="M207" s="120">
        <v>1040</v>
      </c>
      <c r="N207" s="27">
        <v>1019</v>
      </c>
      <c r="O207" s="120">
        <v>1369</v>
      </c>
      <c r="P207" s="122">
        <v>1204</v>
      </c>
    </row>
    <row r="208" spans="1:16">
      <c r="A208" s="182">
        <v>4</v>
      </c>
      <c r="B208" s="103" t="s">
        <v>270</v>
      </c>
      <c r="C208" s="4"/>
      <c r="D208" s="118">
        <f t="shared" si="9"/>
        <v>16316</v>
      </c>
      <c r="E208" s="27">
        <v>591</v>
      </c>
      <c r="F208" s="122">
        <v>631</v>
      </c>
      <c r="G208" s="127">
        <v>3503</v>
      </c>
      <c r="H208" s="27">
        <v>3060</v>
      </c>
      <c r="I208" s="120">
        <v>137</v>
      </c>
      <c r="J208" s="27">
        <v>113</v>
      </c>
      <c r="K208" s="120">
        <v>3332</v>
      </c>
      <c r="L208" s="121">
        <v>2278</v>
      </c>
      <c r="M208" s="120">
        <v>196</v>
      </c>
      <c r="N208" s="27">
        <v>212</v>
      </c>
      <c r="O208" s="120">
        <v>1167</v>
      </c>
      <c r="P208" s="122">
        <v>1096</v>
      </c>
    </row>
    <row r="209" spans="1:16">
      <c r="A209" s="182">
        <v>5</v>
      </c>
      <c r="B209" s="103" t="s">
        <v>271</v>
      </c>
      <c r="C209" s="8" t="s">
        <v>41</v>
      </c>
      <c r="D209" s="118">
        <f t="shared" si="9"/>
        <v>7417</v>
      </c>
      <c r="E209" s="27">
        <v>689</v>
      </c>
      <c r="F209" s="122">
        <v>699</v>
      </c>
      <c r="G209" s="127">
        <v>1030</v>
      </c>
      <c r="H209" s="27">
        <v>945</v>
      </c>
      <c r="I209" s="120">
        <v>324</v>
      </c>
      <c r="J209" s="27">
        <v>349</v>
      </c>
      <c r="K209" s="120">
        <v>1326</v>
      </c>
      <c r="L209" s="121">
        <v>1255</v>
      </c>
      <c r="M209" s="120">
        <v>147</v>
      </c>
      <c r="N209" s="27">
        <v>160</v>
      </c>
      <c r="O209" s="120">
        <v>263</v>
      </c>
      <c r="P209" s="122">
        <v>230</v>
      </c>
    </row>
    <row r="210" spans="1:16">
      <c r="A210" s="182">
        <v>6</v>
      </c>
      <c r="B210" s="103" t="s">
        <v>272</v>
      </c>
      <c r="C210" s="4"/>
      <c r="D210" s="118">
        <f t="shared" si="9"/>
        <v>26092</v>
      </c>
      <c r="E210" s="27">
        <v>2756</v>
      </c>
      <c r="F210" s="122">
        <v>2349</v>
      </c>
      <c r="G210" s="127">
        <v>2426</v>
      </c>
      <c r="H210" s="27">
        <v>2115</v>
      </c>
      <c r="I210" s="120">
        <v>8379</v>
      </c>
      <c r="J210" s="27">
        <v>1696</v>
      </c>
      <c r="K210" s="120">
        <v>1787</v>
      </c>
      <c r="L210" s="121">
        <v>1266</v>
      </c>
      <c r="M210" s="120">
        <v>883</v>
      </c>
      <c r="N210" s="27">
        <v>773</v>
      </c>
      <c r="O210" s="120">
        <v>937</v>
      </c>
      <c r="P210" s="122">
        <v>725</v>
      </c>
    </row>
    <row r="211" spans="1:16">
      <c r="A211" s="182">
        <v>7</v>
      </c>
      <c r="B211" s="103" t="s">
        <v>273</v>
      </c>
      <c r="C211" s="4"/>
      <c r="D211" s="137">
        <f t="shared" si="9"/>
        <v>23357</v>
      </c>
      <c r="E211" s="27">
        <v>866</v>
      </c>
      <c r="F211" s="122">
        <v>880</v>
      </c>
      <c r="G211" s="127">
        <v>1980</v>
      </c>
      <c r="H211" s="27">
        <v>1805</v>
      </c>
      <c r="I211" s="120">
        <v>628</v>
      </c>
      <c r="J211" s="27">
        <v>389</v>
      </c>
      <c r="K211" s="120">
        <v>7940</v>
      </c>
      <c r="L211" s="121">
        <v>8302</v>
      </c>
      <c r="M211" s="120">
        <v>135</v>
      </c>
      <c r="N211" s="27">
        <v>121</v>
      </c>
      <c r="O211" s="120">
        <v>173</v>
      </c>
      <c r="P211" s="122">
        <v>138</v>
      </c>
    </row>
    <row r="212" spans="1:16">
      <c r="A212" s="182">
        <v>8</v>
      </c>
      <c r="B212" s="103" t="s">
        <v>274</v>
      </c>
      <c r="C212" s="4"/>
      <c r="D212" s="118">
        <f t="shared" si="9"/>
        <v>16225</v>
      </c>
      <c r="E212" s="27">
        <v>575</v>
      </c>
      <c r="F212" s="122">
        <v>571</v>
      </c>
      <c r="G212" s="127">
        <v>2963</v>
      </c>
      <c r="H212" s="27">
        <v>2581</v>
      </c>
      <c r="I212" s="120">
        <v>308</v>
      </c>
      <c r="J212" s="27">
        <v>229</v>
      </c>
      <c r="K212" s="120">
        <v>4307</v>
      </c>
      <c r="L212" s="121">
        <v>4492</v>
      </c>
      <c r="M212" s="120">
        <v>37</v>
      </c>
      <c r="N212" s="27">
        <v>32</v>
      </c>
      <c r="O212" s="120">
        <v>80</v>
      </c>
      <c r="P212" s="122">
        <v>50</v>
      </c>
    </row>
    <row r="213" spans="1:16">
      <c r="A213" s="182">
        <v>9</v>
      </c>
      <c r="B213" s="103" t="s">
        <v>275</v>
      </c>
      <c r="C213" s="4"/>
      <c r="D213" s="137">
        <f t="shared" si="9"/>
        <v>49553</v>
      </c>
      <c r="E213" s="27">
        <v>2260</v>
      </c>
      <c r="F213" s="122">
        <v>1187</v>
      </c>
      <c r="G213" s="127">
        <v>2987</v>
      </c>
      <c r="H213" s="27">
        <v>2364</v>
      </c>
      <c r="I213" s="120">
        <v>1935</v>
      </c>
      <c r="J213" s="27">
        <v>1121</v>
      </c>
      <c r="K213" s="120">
        <v>17747</v>
      </c>
      <c r="L213" s="121">
        <v>19248</v>
      </c>
      <c r="M213" s="120">
        <v>173</v>
      </c>
      <c r="N213" s="27">
        <v>123</v>
      </c>
      <c r="O213" s="120">
        <v>217</v>
      </c>
      <c r="P213" s="122">
        <v>191</v>
      </c>
    </row>
    <row r="214" spans="1:16">
      <c r="A214" s="182">
        <v>10</v>
      </c>
      <c r="B214" s="103" t="s">
        <v>276</v>
      </c>
      <c r="C214" s="4"/>
      <c r="D214" s="118">
        <f t="shared" si="9"/>
        <v>24267</v>
      </c>
      <c r="E214" s="27">
        <v>579</v>
      </c>
      <c r="F214" s="122">
        <v>542</v>
      </c>
      <c r="G214" s="127">
        <v>4087</v>
      </c>
      <c r="H214" s="27">
        <v>3573</v>
      </c>
      <c r="I214" s="120">
        <v>403</v>
      </c>
      <c r="J214" s="27">
        <v>317</v>
      </c>
      <c r="K214" s="120">
        <v>7639</v>
      </c>
      <c r="L214" s="121">
        <v>6325</v>
      </c>
      <c r="M214" s="120">
        <v>69</v>
      </c>
      <c r="N214" s="27">
        <v>90</v>
      </c>
      <c r="O214" s="120">
        <v>386</v>
      </c>
      <c r="P214" s="122">
        <v>257</v>
      </c>
    </row>
    <row r="215" spans="1:16">
      <c r="A215" s="182">
        <v>11</v>
      </c>
      <c r="B215" s="103" t="s">
        <v>277</v>
      </c>
      <c r="C215" s="4"/>
      <c r="D215" s="118">
        <f t="shared" si="9"/>
        <v>15504</v>
      </c>
      <c r="E215" s="27">
        <v>421</v>
      </c>
      <c r="F215" s="122">
        <v>418</v>
      </c>
      <c r="G215" s="127">
        <v>3356</v>
      </c>
      <c r="H215" s="27">
        <v>2965</v>
      </c>
      <c r="I215" s="120">
        <v>224</v>
      </c>
      <c r="J215" s="27">
        <v>222</v>
      </c>
      <c r="K215" s="120">
        <v>3445</v>
      </c>
      <c r="L215" s="121">
        <v>3324</v>
      </c>
      <c r="M215" s="120">
        <v>66</v>
      </c>
      <c r="N215" s="27">
        <v>72</v>
      </c>
      <c r="O215" s="120">
        <v>514</v>
      </c>
      <c r="P215" s="122">
        <v>477</v>
      </c>
    </row>
    <row r="216" spans="1:16">
      <c r="A216" s="182">
        <v>12</v>
      </c>
      <c r="B216" s="103" t="s">
        <v>278</v>
      </c>
      <c r="C216" s="4"/>
      <c r="D216" s="118">
        <f t="shared" si="9"/>
        <v>3929</v>
      </c>
      <c r="E216" s="27">
        <v>152</v>
      </c>
      <c r="F216" s="122">
        <v>184</v>
      </c>
      <c r="G216" s="127">
        <v>807</v>
      </c>
      <c r="H216" s="27">
        <v>742</v>
      </c>
      <c r="I216" s="120">
        <v>95</v>
      </c>
      <c r="J216" s="27">
        <v>91</v>
      </c>
      <c r="K216" s="120">
        <v>423</v>
      </c>
      <c r="L216" s="121">
        <v>363</v>
      </c>
      <c r="M216" s="120">
        <v>72</v>
      </c>
      <c r="N216" s="27">
        <v>69</v>
      </c>
      <c r="O216" s="120">
        <v>475</v>
      </c>
      <c r="P216" s="122">
        <v>456</v>
      </c>
    </row>
    <row r="217" spans="1:16">
      <c r="A217" s="182">
        <v>13</v>
      </c>
      <c r="B217" s="103" t="s">
        <v>279</v>
      </c>
      <c r="C217" s="4"/>
      <c r="D217" s="118">
        <f t="shared" si="9"/>
        <v>35820</v>
      </c>
      <c r="E217" s="27">
        <v>1471</v>
      </c>
      <c r="F217" s="122">
        <v>1314</v>
      </c>
      <c r="G217" s="127">
        <v>5442</v>
      </c>
      <c r="H217" s="27">
        <v>4763</v>
      </c>
      <c r="I217" s="120">
        <v>1330</v>
      </c>
      <c r="J217" s="27">
        <v>1306</v>
      </c>
      <c r="K217" s="120">
        <v>10377</v>
      </c>
      <c r="L217" s="121">
        <v>8126</v>
      </c>
      <c r="M217" s="120">
        <v>319</v>
      </c>
      <c r="N217" s="27">
        <v>253</v>
      </c>
      <c r="O217" s="120">
        <v>697</v>
      </c>
      <c r="P217" s="122">
        <v>422</v>
      </c>
    </row>
    <row r="218" spans="1:16">
      <c r="A218" s="182">
        <v>14</v>
      </c>
      <c r="B218" s="103" t="s">
        <v>280</v>
      </c>
      <c r="C218" s="4"/>
      <c r="D218" s="137">
        <f t="shared" si="9"/>
        <v>25743</v>
      </c>
      <c r="E218" s="27">
        <v>1153</v>
      </c>
      <c r="F218" s="122">
        <v>1179</v>
      </c>
      <c r="G218" s="127">
        <v>2914</v>
      </c>
      <c r="H218" s="27">
        <v>2596</v>
      </c>
      <c r="I218" s="120">
        <v>814</v>
      </c>
      <c r="J218" s="27">
        <v>669</v>
      </c>
      <c r="K218" s="120">
        <v>7811</v>
      </c>
      <c r="L218" s="121">
        <v>7641</v>
      </c>
      <c r="M218" s="120">
        <v>113</v>
      </c>
      <c r="N218" s="27">
        <v>131</v>
      </c>
      <c r="O218" s="120">
        <v>387</v>
      </c>
      <c r="P218" s="122">
        <v>335</v>
      </c>
    </row>
    <row r="219" spans="1:16">
      <c r="A219" s="182">
        <v>15</v>
      </c>
      <c r="B219" s="103" t="s">
        <v>281</v>
      </c>
      <c r="C219" s="4"/>
      <c r="D219" s="118">
        <f t="shared" si="9"/>
        <v>15493</v>
      </c>
      <c r="E219" s="27">
        <v>353</v>
      </c>
      <c r="F219" s="122">
        <v>326</v>
      </c>
      <c r="G219" s="127">
        <v>2075</v>
      </c>
      <c r="H219" s="27">
        <v>1886</v>
      </c>
      <c r="I219" s="120">
        <v>201</v>
      </c>
      <c r="J219" s="27">
        <v>158</v>
      </c>
      <c r="K219" s="120">
        <v>4826</v>
      </c>
      <c r="L219" s="121">
        <v>5361</v>
      </c>
      <c r="M219" s="120">
        <v>29</v>
      </c>
      <c r="N219" s="27">
        <v>24</v>
      </c>
      <c r="O219" s="120">
        <v>125</v>
      </c>
      <c r="P219" s="122">
        <v>129</v>
      </c>
    </row>
    <row r="220" spans="1:16">
      <c r="A220" s="182">
        <v>16</v>
      </c>
      <c r="B220" s="103" t="s">
        <v>282</v>
      </c>
      <c r="C220" s="4"/>
      <c r="D220" s="118">
        <f t="shared" si="9"/>
        <v>5418</v>
      </c>
      <c r="E220" s="27">
        <v>464</v>
      </c>
      <c r="F220" s="122">
        <v>483</v>
      </c>
      <c r="G220" s="127">
        <v>989</v>
      </c>
      <c r="H220" s="27">
        <v>926</v>
      </c>
      <c r="I220" s="120">
        <v>140</v>
      </c>
      <c r="J220" s="27">
        <v>150</v>
      </c>
      <c r="K220" s="120">
        <v>880</v>
      </c>
      <c r="L220" s="121">
        <v>664</v>
      </c>
      <c r="M220" s="120">
        <v>85</v>
      </c>
      <c r="N220" s="27">
        <v>76</v>
      </c>
      <c r="O220" s="120">
        <v>332</v>
      </c>
      <c r="P220" s="122">
        <v>229</v>
      </c>
    </row>
    <row r="221" spans="1:16">
      <c r="A221" s="182">
        <v>17</v>
      </c>
      <c r="B221" s="103" t="s">
        <v>283</v>
      </c>
      <c r="C221" s="4"/>
      <c r="D221" s="118">
        <f t="shared" si="9"/>
        <v>16525</v>
      </c>
      <c r="E221" s="27">
        <v>823</v>
      </c>
      <c r="F221" s="122">
        <v>821</v>
      </c>
      <c r="G221" s="127">
        <v>2945</v>
      </c>
      <c r="H221" s="27">
        <v>2559</v>
      </c>
      <c r="I221" s="120">
        <v>411</v>
      </c>
      <c r="J221" s="27">
        <v>450</v>
      </c>
      <c r="K221" s="120">
        <v>4244</v>
      </c>
      <c r="L221" s="121">
        <v>3508</v>
      </c>
      <c r="M221" s="120">
        <v>91</v>
      </c>
      <c r="N221" s="27">
        <v>96</v>
      </c>
      <c r="O221" s="120">
        <v>304</v>
      </c>
      <c r="P221" s="122">
        <v>273</v>
      </c>
    </row>
    <row r="222" spans="1:16">
      <c r="A222" s="182">
        <v>18</v>
      </c>
      <c r="B222" s="103" t="s">
        <v>284</v>
      </c>
      <c r="C222" s="4"/>
      <c r="D222" s="118">
        <f t="shared" si="9"/>
        <v>24615</v>
      </c>
      <c r="E222" s="27">
        <v>627</v>
      </c>
      <c r="F222" s="122">
        <v>611</v>
      </c>
      <c r="G222" s="127">
        <v>2898</v>
      </c>
      <c r="H222" s="27">
        <v>2518</v>
      </c>
      <c r="I222" s="120">
        <v>426</v>
      </c>
      <c r="J222" s="27">
        <v>347</v>
      </c>
      <c r="K222" s="120">
        <v>8124</v>
      </c>
      <c r="L222" s="121">
        <v>8667</v>
      </c>
      <c r="M222" s="120">
        <v>40</v>
      </c>
      <c r="N222" s="27">
        <v>53</v>
      </c>
      <c r="O222" s="120">
        <v>164</v>
      </c>
      <c r="P222" s="122">
        <v>140</v>
      </c>
    </row>
    <row r="223" spans="1:16">
      <c r="A223" s="182">
        <v>19</v>
      </c>
      <c r="B223" s="103" t="s">
        <v>285</v>
      </c>
      <c r="C223" s="4"/>
      <c r="D223" s="118">
        <f t="shared" si="9"/>
        <v>8060</v>
      </c>
      <c r="E223" s="27">
        <v>462</v>
      </c>
      <c r="F223" s="122">
        <v>423</v>
      </c>
      <c r="G223" s="127">
        <v>1772</v>
      </c>
      <c r="H223" s="27">
        <v>1533</v>
      </c>
      <c r="I223" s="120">
        <v>278</v>
      </c>
      <c r="J223" s="27">
        <v>270</v>
      </c>
      <c r="K223" s="120">
        <v>1671</v>
      </c>
      <c r="L223" s="121">
        <v>1341</v>
      </c>
      <c r="M223" s="120">
        <v>45</v>
      </c>
      <c r="N223" s="27">
        <v>34</v>
      </c>
      <c r="O223" s="120">
        <v>120</v>
      </c>
      <c r="P223" s="122">
        <v>111</v>
      </c>
    </row>
    <row r="224" spans="1:16">
      <c r="A224" s="182">
        <v>20</v>
      </c>
      <c r="B224" s="103" t="s">
        <v>286</v>
      </c>
      <c r="C224" s="4"/>
      <c r="D224" s="118">
        <f t="shared" si="9"/>
        <v>27963</v>
      </c>
      <c r="E224" s="27">
        <v>274</v>
      </c>
      <c r="F224" s="122">
        <v>268</v>
      </c>
      <c r="G224" s="127">
        <v>1427</v>
      </c>
      <c r="H224" s="27">
        <v>1278</v>
      </c>
      <c r="I224" s="120">
        <v>54</v>
      </c>
      <c r="J224" s="27">
        <v>17</v>
      </c>
      <c r="K224" s="120">
        <v>11330</v>
      </c>
      <c r="L224" s="121">
        <v>12207</v>
      </c>
      <c r="M224" s="120">
        <v>12</v>
      </c>
      <c r="N224" s="27">
        <v>12</v>
      </c>
      <c r="O224" s="120">
        <v>552</v>
      </c>
      <c r="P224" s="122">
        <v>532</v>
      </c>
    </row>
    <row r="225" spans="1:16">
      <c r="A225" s="182">
        <v>21</v>
      </c>
      <c r="B225" s="103" t="s">
        <v>287</v>
      </c>
      <c r="C225" s="4"/>
      <c r="D225" s="118">
        <f t="shared" si="9"/>
        <v>21487</v>
      </c>
      <c r="E225" s="27">
        <v>397</v>
      </c>
      <c r="F225" s="122">
        <v>317</v>
      </c>
      <c r="G225" s="127">
        <v>2224</v>
      </c>
      <c r="H225" s="27">
        <v>1778</v>
      </c>
      <c r="I225" s="120">
        <v>362</v>
      </c>
      <c r="J225" s="27">
        <v>238</v>
      </c>
      <c r="K225" s="120">
        <v>7359</v>
      </c>
      <c r="L225" s="121">
        <v>8513</v>
      </c>
      <c r="M225" s="120">
        <v>68</v>
      </c>
      <c r="N225" s="27">
        <v>44</v>
      </c>
      <c r="O225" s="120">
        <v>125</v>
      </c>
      <c r="P225" s="122">
        <v>62</v>
      </c>
    </row>
    <row r="226" spans="1:16">
      <c r="A226" s="182">
        <v>22</v>
      </c>
      <c r="B226" s="103" t="s">
        <v>288</v>
      </c>
      <c r="C226" s="4"/>
      <c r="D226" s="118">
        <f t="shared" si="9"/>
        <v>15842</v>
      </c>
      <c r="E226" s="27">
        <v>986</v>
      </c>
      <c r="F226" s="122">
        <v>959</v>
      </c>
      <c r="G226" s="127">
        <v>3004</v>
      </c>
      <c r="H226" s="27">
        <v>2671</v>
      </c>
      <c r="I226" s="120">
        <v>429</v>
      </c>
      <c r="J226" s="27">
        <v>385</v>
      </c>
      <c r="K226" s="120">
        <v>3460</v>
      </c>
      <c r="L226" s="121">
        <v>3396</v>
      </c>
      <c r="M226" s="120">
        <v>115</v>
      </c>
      <c r="N226" s="27">
        <v>73</v>
      </c>
      <c r="O226" s="120">
        <v>214</v>
      </c>
      <c r="P226" s="122">
        <v>150</v>
      </c>
    </row>
    <row r="227" spans="1:16">
      <c r="A227" s="182">
        <v>23</v>
      </c>
      <c r="B227" s="103" t="s">
        <v>289</v>
      </c>
      <c r="C227" s="4"/>
      <c r="D227" s="118">
        <f t="shared" si="9"/>
        <v>7969</v>
      </c>
      <c r="E227" s="27">
        <v>592</v>
      </c>
      <c r="F227" s="122">
        <v>567</v>
      </c>
      <c r="G227" s="127">
        <v>1033</v>
      </c>
      <c r="H227" s="27">
        <v>829</v>
      </c>
      <c r="I227" s="120">
        <v>240</v>
      </c>
      <c r="J227" s="27">
        <v>198</v>
      </c>
      <c r="K227" s="120">
        <v>2372</v>
      </c>
      <c r="L227" s="121">
        <v>1850</v>
      </c>
      <c r="M227" s="120">
        <v>47</v>
      </c>
      <c r="N227" s="27">
        <v>53</v>
      </c>
      <c r="O227" s="120">
        <v>103</v>
      </c>
      <c r="P227" s="122">
        <v>85</v>
      </c>
    </row>
    <row r="228" spans="1:16" ht="15" thickBot="1">
      <c r="A228" s="182">
        <v>24</v>
      </c>
      <c r="B228" s="103" t="s">
        <v>290</v>
      </c>
      <c r="C228" s="4"/>
      <c r="D228" s="118">
        <f t="shared" si="9"/>
        <v>36128</v>
      </c>
      <c r="E228" s="27">
        <v>1068</v>
      </c>
      <c r="F228" s="122">
        <v>965</v>
      </c>
      <c r="G228" s="127">
        <v>4545</v>
      </c>
      <c r="H228" s="27">
        <v>3971</v>
      </c>
      <c r="I228" s="120">
        <v>976</v>
      </c>
      <c r="J228" s="27">
        <v>981</v>
      </c>
      <c r="K228" s="120">
        <v>10528</v>
      </c>
      <c r="L228" s="121">
        <v>10648</v>
      </c>
      <c r="M228" s="120">
        <v>220</v>
      </c>
      <c r="N228" s="27">
        <v>240</v>
      </c>
      <c r="O228" s="120">
        <v>1005</v>
      </c>
      <c r="P228" s="122">
        <v>981</v>
      </c>
    </row>
    <row r="229" spans="1:16" ht="16" thickTop="1" thickBot="1">
      <c r="A229" s="182">
        <v>25</v>
      </c>
      <c r="B229" s="103" t="s">
        <v>202</v>
      </c>
      <c r="C229" s="4"/>
      <c r="D229" s="118">
        <f t="shared" si="9"/>
        <v>924</v>
      </c>
      <c r="E229" s="93"/>
      <c r="F229" s="98"/>
      <c r="G229" s="286">
        <v>303</v>
      </c>
      <c r="H229" s="129">
        <v>63</v>
      </c>
      <c r="I229" s="99"/>
      <c r="J229" s="93"/>
      <c r="K229" s="135">
        <v>518</v>
      </c>
      <c r="L229" s="136">
        <v>23</v>
      </c>
      <c r="M229" s="120"/>
      <c r="N229" s="27"/>
      <c r="O229" s="135">
        <v>9</v>
      </c>
      <c r="P229" s="132">
        <v>8</v>
      </c>
    </row>
    <row r="230" spans="1:16" ht="16" thickTop="1" thickBot="1">
      <c r="A230" s="184"/>
      <c r="B230" s="6"/>
      <c r="C230" s="104"/>
      <c r="D230" s="119"/>
      <c r="E230" s="105"/>
      <c r="F230" s="106"/>
      <c r="G230" s="289"/>
      <c r="H230" s="105"/>
      <c r="I230" s="108"/>
      <c r="J230" s="105"/>
      <c r="K230" s="108"/>
      <c r="L230" s="107"/>
      <c r="M230" s="108"/>
      <c r="N230" s="105"/>
      <c r="O230" s="108"/>
      <c r="P230" s="106"/>
    </row>
    <row r="231" spans="1:16" ht="15" thickTop="1"/>
  </sheetData>
  <mergeCells count="1">
    <mergeCell ref="C5:C8"/>
  </mergeCells>
  <pageMargins left="0.75" right="0.75" top="1" bottom="1" header="0.5" footer="0.5"/>
  <pageSetup paperSize="9" orientation="portrai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1"/>
  </sheetPr>
  <dimension ref="A2:AF264"/>
  <sheetViews>
    <sheetView workbookViewId="0">
      <pane xSplit="3" ySplit="17" topLeftCell="T18" activePane="bottomRight" state="frozen"/>
      <selection pane="topRight" activeCell="D1" sqref="D1"/>
      <selection pane="bottomLeft" activeCell="A18" sqref="A18"/>
      <selection pane="bottomRight" activeCell="AF12" sqref="AF12"/>
    </sheetView>
  </sheetViews>
  <sheetFormatPr baseColWidth="10" defaultColWidth="11.5" defaultRowHeight="14" x14ac:dyDescent="0"/>
  <cols>
    <col min="1" max="1" width="34.1640625" customWidth="1"/>
    <col min="2" max="2" width="21.33203125" customWidth="1"/>
    <col min="3" max="3" width="10.33203125" customWidth="1"/>
    <col min="4" max="5" width="10.6640625" customWidth="1"/>
    <col min="6" max="6" width="10.6640625" style="26" customWidth="1"/>
    <col min="7" max="7" width="10.6640625" customWidth="1"/>
    <col min="8" max="8" width="17" customWidth="1"/>
    <col min="9" max="11" width="10.6640625" customWidth="1"/>
    <col min="12" max="12" width="14.6640625" customWidth="1"/>
    <col min="13" max="13" width="10.6640625" customWidth="1"/>
    <col min="14" max="14" width="15.1640625" customWidth="1"/>
    <col min="15" max="16" width="10.6640625" customWidth="1"/>
    <col min="17" max="17" width="16.33203125" customWidth="1"/>
    <col min="18" max="18" width="15.5" customWidth="1"/>
    <col min="20" max="20" width="18.5" customWidth="1"/>
    <col min="21" max="21" width="12" customWidth="1"/>
    <col min="22" max="22" width="14.33203125" customWidth="1"/>
    <col min="25" max="29" width="11.5" style="26"/>
    <col min="30" max="30" width="13.5" style="26" customWidth="1"/>
  </cols>
  <sheetData>
    <row r="2" spans="1:32" ht="18">
      <c r="A2" s="1" t="s">
        <v>46</v>
      </c>
      <c r="B2" s="262" t="s">
        <v>323</v>
      </c>
      <c r="F2"/>
    </row>
    <row r="3" spans="1:32" ht="18">
      <c r="A3" s="1"/>
      <c r="B3" s="102" t="s">
        <v>324</v>
      </c>
      <c r="F3"/>
    </row>
    <row r="4" spans="1:32" ht="19" thickBot="1">
      <c r="A4" s="139"/>
      <c r="B4" s="139"/>
      <c r="C4" s="139"/>
    </row>
    <row r="5" spans="1:32" ht="15" thickTop="1">
      <c r="A5" s="33"/>
      <c r="B5" s="7"/>
      <c r="C5" s="710" t="s">
        <v>306</v>
      </c>
      <c r="D5" s="65"/>
      <c r="E5" s="142"/>
      <c r="F5" s="195"/>
      <c r="G5" s="142"/>
      <c r="H5" s="142"/>
      <c r="I5" s="142"/>
      <c r="J5" s="142"/>
      <c r="K5" s="142"/>
      <c r="L5" s="142"/>
      <c r="M5" s="142"/>
      <c r="N5" s="142"/>
      <c r="O5" s="142"/>
      <c r="P5" s="142"/>
      <c r="Q5" s="142"/>
      <c r="R5" s="53"/>
      <c r="S5" s="156"/>
      <c r="T5" s="159" t="s">
        <v>70</v>
      </c>
      <c r="U5" s="33"/>
      <c r="V5" s="159" t="s">
        <v>73</v>
      </c>
      <c r="W5" s="157" t="s">
        <v>74</v>
      </c>
      <c r="X5" s="142"/>
      <c r="Y5" s="191"/>
      <c r="Z5" s="195"/>
      <c r="AA5" s="191"/>
      <c r="AB5" s="195"/>
      <c r="AC5" s="191"/>
      <c r="AD5" s="306" t="s">
        <v>82</v>
      </c>
    </row>
    <row r="6" spans="1:32">
      <c r="A6" s="140" t="s">
        <v>42</v>
      </c>
      <c r="B6" s="97"/>
      <c r="C6" s="711"/>
      <c r="D6" s="115" t="s">
        <v>47</v>
      </c>
      <c r="E6" s="143" t="s">
        <v>48</v>
      </c>
      <c r="F6" s="164" t="s">
        <v>64</v>
      </c>
      <c r="G6" s="143" t="s">
        <v>65</v>
      </c>
      <c r="H6" s="143" t="s">
        <v>49</v>
      </c>
      <c r="I6" s="143" t="s">
        <v>50</v>
      </c>
      <c r="J6" s="143" t="s">
        <v>51</v>
      </c>
      <c r="K6" s="143" t="s">
        <v>52</v>
      </c>
      <c r="L6" s="143" t="s">
        <v>53</v>
      </c>
      <c r="M6" s="143" t="s">
        <v>54</v>
      </c>
      <c r="N6" s="143" t="s">
        <v>55</v>
      </c>
      <c r="O6" s="143" t="s">
        <v>56</v>
      </c>
      <c r="P6" s="143" t="s">
        <v>57</v>
      </c>
      <c r="Q6" s="143" t="s">
        <v>66</v>
      </c>
      <c r="R6" s="155" t="s">
        <v>67</v>
      </c>
      <c r="S6" s="158" t="s">
        <v>68</v>
      </c>
      <c r="T6" s="154" t="s">
        <v>69</v>
      </c>
      <c r="U6" s="160" t="s">
        <v>71</v>
      </c>
      <c r="V6" s="154" t="s">
        <v>72</v>
      </c>
      <c r="W6" s="160" t="s">
        <v>75</v>
      </c>
      <c r="X6" s="154" t="s">
        <v>76</v>
      </c>
      <c r="Y6" s="192" t="s">
        <v>77</v>
      </c>
      <c r="Z6" s="196" t="s">
        <v>78</v>
      </c>
      <c r="AA6" s="192" t="s">
        <v>79</v>
      </c>
      <c r="AB6" s="196" t="s">
        <v>80</v>
      </c>
      <c r="AC6" s="192" t="s">
        <v>81</v>
      </c>
      <c r="AD6" s="291" t="s">
        <v>83</v>
      </c>
    </row>
    <row r="7" spans="1:32">
      <c r="A7" s="141">
        <v>4145</v>
      </c>
      <c r="B7" s="241"/>
      <c r="C7" s="711"/>
      <c r="D7" s="56" t="s">
        <v>58</v>
      </c>
      <c r="E7" s="18" t="s">
        <v>58</v>
      </c>
      <c r="F7" s="165" t="s">
        <v>59</v>
      </c>
      <c r="G7" s="18" t="s">
        <v>58</v>
      </c>
      <c r="H7" s="18" t="s">
        <v>58</v>
      </c>
      <c r="I7" s="18" t="s">
        <v>60</v>
      </c>
      <c r="J7" s="18" t="s">
        <v>58</v>
      </c>
      <c r="K7" s="18" t="s">
        <v>58</v>
      </c>
      <c r="L7" s="18" t="s">
        <v>58</v>
      </c>
      <c r="M7" s="18" t="s">
        <v>58</v>
      </c>
      <c r="N7" s="18" t="s">
        <v>58</v>
      </c>
      <c r="O7" s="18" t="s">
        <v>63</v>
      </c>
      <c r="P7" s="18" t="s">
        <v>58</v>
      </c>
      <c r="Q7" s="18" t="s">
        <v>58</v>
      </c>
      <c r="R7" s="18" t="s">
        <v>59</v>
      </c>
      <c r="S7" s="161" t="s">
        <v>84</v>
      </c>
      <c r="T7" s="161" t="s">
        <v>84</v>
      </c>
      <c r="U7" s="18" t="s">
        <v>58</v>
      </c>
      <c r="V7" s="161" t="s">
        <v>84</v>
      </c>
      <c r="W7" s="161" t="s">
        <v>84</v>
      </c>
      <c r="X7" s="18" t="s">
        <v>59</v>
      </c>
      <c r="Y7" s="193" t="s">
        <v>84</v>
      </c>
      <c r="Z7" s="165" t="s">
        <v>59</v>
      </c>
      <c r="AA7" s="165" t="s">
        <v>59</v>
      </c>
      <c r="AB7" s="193" t="s">
        <v>84</v>
      </c>
      <c r="AC7" s="197" t="s">
        <v>85</v>
      </c>
      <c r="AD7" s="307" t="s">
        <v>59</v>
      </c>
    </row>
    <row r="8" spans="1:32">
      <c r="A8" s="3"/>
      <c r="B8" s="5"/>
      <c r="C8" s="712"/>
      <c r="D8" s="40"/>
      <c r="E8" s="14"/>
      <c r="F8" s="166"/>
      <c r="G8" s="14"/>
      <c r="H8" s="14"/>
      <c r="I8" s="14"/>
      <c r="J8" s="14"/>
      <c r="K8" s="14"/>
      <c r="L8" s="14"/>
      <c r="M8" s="14"/>
      <c r="N8" s="14"/>
      <c r="O8" s="14"/>
      <c r="P8" s="14"/>
      <c r="Q8" s="14"/>
      <c r="R8" s="39"/>
      <c r="S8" s="30"/>
      <c r="T8" s="14"/>
      <c r="U8" s="3"/>
      <c r="V8" s="14"/>
      <c r="W8" s="3"/>
      <c r="X8" s="14"/>
      <c r="Y8" s="194"/>
      <c r="Z8" s="166"/>
      <c r="AA8" s="194"/>
      <c r="AB8" s="166"/>
      <c r="AC8" s="194"/>
      <c r="AD8" s="292"/>
    </row>
    <row r="9" spans="1:32">
      <c r="A9" s="31"/>
      <c r="B9" s="4"/>
      <c r="C9" s="10"/>
      <c r="D9" s="20"/>
      <c r="E9" s="13"/>
      <c r="F9" s="167"/>
      <c r="G9" s="13"/>
      <c r="H9" s="13"/>
      <c r="I9" s="13"/>
      <c r="J9" s="13"/>
      <c r="K9" s="13"/>
      <c r="L9" s="13"/>
      <c r="M9" s="13"/>
      <c r="N9" s="13"/>
      <c r="O9" s="13"/>
      <c r="P9" s="13"/>
      <c r="Q9" s="13"/>
      <c r="R9" s="35"/>
      <c r="S9" s="36"/>
      <c r="T9" s="37"/>
      <c r="U9" s="13"/>
      <c r="V9" s="35"/>
      <c r="W9" s="36"/>
      <c r="X9" s="37"/>
      <c r="Y9" s="167"/>
      <c r="Z9" s="199"/>
      <c r="AA9" s="200"/>
      <c r="AB9" s="185"/>
      <c r="AC9" s="167"/>
      <c r="AD9" s="295"/>
      <c r="AE9" s="31"/>
      <c r="AF9" s="31"/>
    </row>
    <row r="10" spans="1:32">
      <c r="A10" s="145" t="s">
        <v>61</v>
      </c>
      <c r="B10" s="235"/>
      <c r="C10" s="244"/>
      <c r="D10" s="150">
        <f t="shared" ref="D10:P10" si="0">D13+D14+D15+D16</f>
        <v>1810315</v>
      </c>
      <c r="E10" s="151">
        <f t="shared" si="0"/>
        <v>2060922</v>
      </c>
      <c r="F10" s="152">
        <f t="shared" si="0"/>
        <v>506202649</v>
      </c>
      <c r="G10" s="152">
        <f t="shared" si="0"/>
        <v>407636</v>
      </c>
      <c r="H10" s="152">
        <f t="shared" si="0"/>
        <v>8827897</v>
      </c>
      <c r="I10" s="152">
        <f t="shared" si="0"/>
        <v>8632516</v>
      </c>
      <c r="J10" s="152">
        <f t="shared" si="0"/>
        <v>1547726</v>
      </c>
      <c r="K10" s="153">
        <f t="shared" si="0"/>
        <v>202703</v>
      </c>
      <c r="L10" s="152">
        <f t="shared" si="0"/>
        <v>279495</v>
      </c>
      <c r="M10" s="153">
        <f t="shared" si="0"/>
        <v>1228256</v>
      </c>
      <c r="N10" s="152">
        <f t="shared" si="0"/>
        <v>637195</v>
      </c>
      <c r="O10" s="153">
        <f t="shared" si="0"/>
        <v>16727111</v>
      </c>
      <c r="P10" s="152">
        <f t="shared" si="0"/>
        <v>157153</v>
      </c>
      <c r="Q10" s="152">
        <f t="shared" ref="Q10:AD10" si="1">Q13+Q14+Q15+Q16</f>
        <v>818505</v>
      </c>
      <c r="R10" s="152">
        <f t="shared" si="1"/>
        <v>14961199</v>
      </c>
      <c r="S10" s="152">
        <f t="shared" si="1"/>
        <v>122919</v>
      </c>
      <c r="T10" s="152">
        <f t="shared" si="1"/>
        <v>20639</v>
      </c>
      <c r="U10" s="152">
        <f t="shared" si="1"/>
        <v>43129</v>
      </c>
      <c r="V10" s="152">
        <f t="shared" si="1"/>
        <v>38319</v>
      </c>
      <c r="W10" s="152">
        <f t="shared" si="1"/>
        <v>1095234</v>
      </c>
      <c r="X10" s="152">
        <f t="shared" si="1"/>
        <v>5010091</v>
      </c>
      <c r="Y10" s="152">
        <f t="shared" si="1"/>
        <v>17201</v>
      </c>
      <c r="Z10" s="152">
        <f t="shared" si="1"/>
        <v>88419</v>
      </c>
      <c r="AA10" s="152">
        <f t="shared" si="1"/>
        <v>184596</v>
      </c>
      <c r="AB10" s="152">
        <f t="shared" si="1"/>
        <v>79633</v>
      </c>
      <c r="AC10" s="152">
        <f t="shared" si="1"/>
        <v>46733</v>
      </c>
      <c r="AD10" s="308">
        <f t="shared" si="1"/>
        <v>5078600</v>
      </c>
      <c r="AE10" s="31"/>
      <c r="AF10" s="31"/>
    </row>
    <row r="11" spans="1:32" ht="15" thickBot="1">
      <c r="A11" s="47" t="s">
        <v>62</v>
      </c>
      <c r="B11" s="8"/>
      <c r="C11" s="17"/>
      <c r="D11" s="147"/>
      <c r="E11" s="148"/>
      <c r="F11" s="168"/>
      <c r="G11" s="148"/>
      <c r="H11" s="148"/>
      <c r="I11" s="148"/>
      <c r="J11" s="148"/>
      <c r="K11" s="149"/>
      <c r="L11" s="148"/>
      <c r="M11" s="149"/>
      <c r="N11" s="148"/>
      <c r="O11" s="149"/>
      <c r="P11" s="148"/>
      <c r="Q11" s="168"/>
      <c r="R11" s="168"/>
      <c r="S11" s="168"/>
      <c r="T11" s="168"/>
      <c r="U11" s="168"/>
      <c r="V11" s="168"/>
      <c r="W11" s="168"/>
      <c r="X11" s="168"/>
      <c r="Y11" s="168"/>
      <c r="Z11" s="168"/>
      <c r="AA11" s="168"/>
      <c r="AB11" s="168"/>
      <c r="AC11" s="168"/>
      <c r="AD11" s="294"/>
      <c r="AE11" s="31"/>
      <c r="AF11" s="31"/>
    </row>
    <row r="12" spans="1:32">
      <c r="A12" s="47"/>
      <c r="B12" s="8"/>
      <c r="C12" s="17"/>
      <c r="D12" s="63"/>
      <c r="E12" s="22"/>
      <c r="F12" s="28"/>
      <c r="G12" s="22"/>
      <c r="H12" s="22"/>
      <c r="I12" s="22"/>
      <c r="J12" s="22"/>
      <c r="K12" s="32"/>
      <c r="L12" s="22"/>
      <c r="M12" s="32"/>
      <c r="N12" s="22"/>
      <c r="O12" s="32"/>
      <c r="P12" s="22"/>
      <c r="Q12" s="28"/>
      <c r="R12" s="28"/>
      <c r="S12" s="28"/>
      <c r="T12" s="28"/>
      <c r="U12" s="28"/>
      <c r="V12" s="28"/>
      <c r="W12" s="28"/>
      <c r="X12" s="28"/>
      <c r="Y12" s="28"/>
      <c r="Z12" s="28"/>
      <c r="AA12" s="28"/>
      <c r="AB12" s="28"/>
      <c r="AC12" s="28"/>
      <c r="AD12" s="122"/>
      <c r="AE12" s="31"/>
      <c r="AF12" s="31"/>
    </row>
    <row r="13" spans="1:32">
      <c r="A13" s="31" t="s">
        <v>4</v>
      </c>
      <c r="B13" s="4"/>
      <c r="C13" s="10"/>
      <c r="D13" s="63">
        <v>1305006</v>
      </c>
      <c r="E13" s="22">
        <v>1228927</v>
      </c>
      <c r="F13" s="28">
        <v>294650490</v>
      </c>
      <c r="G13" s="22">
        <v>373509</v>
      </c>
      <c r="H13" s="22">
        <v>5049583</v>
      </c>
      <c r="I13" s="22">
        <v>1727864</v>
      </c>
      <c r="J13" s="22">
        <v>299422</v>
      </c>
      <c r="K13" s="32">
        <v>169287</v>
      </c>
      <c r="L13" s="22">
        <v>144132</v>
      </c>
      <c r="M13" s="32">
        <v>414674</v>
      </c>
      <c r="N13" s="22">
        <v>249862</v>
      </c>
      <c r="O13" s="32">
        <v>7082293</v>
      </c>
      <c r="P13" s="22">
        <v>105963</v>
      </c>
      <c r="Q13" s="28">
        <v>669417</v>
      </c>
      <c r="R13" s="28">
        <v>3767179</v>
      </c>
      <c r="S13" s="28">
        <v>100233</v>
      </c>
      <c r="T13" s="28">
        <v>6913</v>
      </c>
      <c r="U13" s="28">
        <v>1794</v>
      </c>
      <c r="V13" s="28">
        <v>409</v>
      </c>
      <c r="W13" s="28"/>
      <c r="X13" s="28">
        <v>3000</v>
      </c>
      <c r="Y13" s="28">
        <v>127</v>
      </c>
      <c r="Z13" s="28">
        <v>86465</v>
      </c>
      <c r="AA13" s="28">
        <v>184401</v>
      </c>
      <c r="AB13" s="28"/>
      <c r="AC13" s="28"/>
      <c r="AD13" s="122"/>
      <c r="AE13" s="31"/>
      <c r="AF13" s="31"/>
    </row>
    <row r="14" spans="1:32">
      <c r="A14" s="68" t="s">
        <v>1</v>
      </c>
      <c r="B14" s="111"/>
      <c r="C14" s="245"/>
      <c r="D14" s="63">
        <v>7231</v>
      </c>
      <c r="E14" s="22">
        <v>43639</v>
      </c>
      <c r="F14" s="28">
        <v>9784726</v>
      </c>
      <c r="G14" s="22">
        <v>2807</v>
      </c>
      <c r="H14" s="22">
        <v>419370</v>
      </c>
      <c r="I14" s="22">
        <v>1805745</v>
      </c>
      <c r="J14" s="22">
        <v>594132</v>
      </c>
      <c r="K14" s="32">
        <v>828</v>
      </c>
      <c r="L14" s="22">
        <v>44087</v>
      </c>
      <c r="M14" s="32">
        <v>202641</v>
      </c>
      <c r="N14" s="22">
        <v>285905</v>
      </c>
      <c r="O14" s="32">
        <v>2683911</v>
      </c>
      <c r="P14" s="22">
        <v>4546</v>
      </c>
      <c r="Q14" s="28">
        <v>9607</v>
      </c>
      <c r="R14" s="28">
        <v>2685037</v>
      </c>
      <c r="S14" s="28">
        <v>4775</v>
      </c>
      <c r="T14" s="28">
        <v>4363</v>
      </c>
      <c r="U14" s="28">
        <v>8966</v>
      </c>
      <c r="V14" s="28">
        <v>36458</v>
      </c>
      <c r="W14" s="28">
        <v>1095034</v>
      </c>
      <c r="X14" s="28">
        <v>5007091</v>
      </c>
      <c r="Y14" s="28">
        <v>110</v>
      </c>
      <c r="Z14" s="28">
        <v>144</v>
      </c>
      <c r="AA14" s="28">
        <v>10</v>
      </c>
      <c r="AB14" s="28">
        <v>79633</v>
      </c>
      <c r="AC14" s="28">
        <v>46733</v>
      </c>
      <c r="AD14" s="122">
        <v>5078600</v>
      </c>
      <c r="AE14" s="31"/>
      <c r="AF14" s="31"/>
    </row>
    <row r="15" spans="1:32">
      <c r="A15" s="68" t="s">
        <v>2</v>
      </c>
      <c r="B15" s="111"/>
      <c r="C15" s="245"/>
      <c r="D15" s="63">
        <v>265487</v>
      </c>
      <c r="E15" s="22">
        <v>155067</v>
      </c>
      <c r="F15" s="28">
        <v>108163902</v>
      </c>
      <c r="G15" s="22">
        <v>12381</v>
      </c>
      <c r="H15" s="22">
        <v>2236010</v>
      </c>
      <c r="I15" s="28">
        <v>3310613</v>
      </c>
      <c r="J15" s="22">
        <v>462758</v>
      </c>
      <c r="K15" s="32">
        <v>1270</v>
      </c>
      <c r="L15" s="22">
        <v>81694</v>
      </c>
      <c r="M15" s="32">
        <v>411150</v>
      </c>
      <c r="N15" s="22">
        <v>98804</v>
      </c>
      <c r="O15" s="32">
        <v>4068699</v>
      </c>
      <c r="P15" s="22">
        <v>38457</v>
      </c>
      <c r="Q15" s="28">
        <v>123407</v>
      </c>
      <c r="R15" s="28">
        <v>7701774</v>
      </c>
      <c r="S15" s="28">
        <v>9823</v>
      </c>
      <c r="T15" s="28">
        <v>8045</v>
      </c>
      <c r="U15" s="28">
        <v>32147</v>
      </c>
      <c r="V15" s="28">
        <v>1292</v>
      </c>
      <c r="W15" s="28">
        <v>200</v>
      </c>
      <c r="X15" s="28"/>
      <c r="Y15" s="28">
        <v>11886</v>
      </c>
      <c r="Z15" s="28">
        <v>500</v>
      </c>
      <c r="AA15" s="28">
        <v>55</v>
      </c>
      <c r="AB15" s="28"/>
      <c r="AC15" s="28"/>
      <c r="AD15" s="122"/>
      <c r="AE15" s="31"/>
      <c r="AF15" s="31"/>
    </row>
    <row r="16" spans="1:32">
      <c r="A16" s="68" t="s">
        <v>3</v>
      </c>
      <c r="B16" s="111"/>
      <c r="C16" s="245"/>
      <c r="D16" s="63">
        <v>232591</v>
      </c>
      <c r="E16" s="22">
        <v>633289</v>
      </c>
      <c r="F16" s="28">
        <v>93603531</v>
      </c>
      <c r="G16" s="22">
        <v>18939</v>
      </c>
      <c r="H16" s="22">
        <v>1122934</v>
      </c>
      <c r="I16" s="22">
        <v>1788294</v>
      </c>
      <c r="J16" s="22">
        <v>191414</v>
      </c>
      <c r="K16" s="32">
        <v>31318</v>
      </c>
      <c r="L16" s="22">
        <v>9582</v>
      </c>
      <c r="M16" s="32">
        <v>199791</v>
      </c>
      <c r="N16" s="22">
        <v>2624</v>
      </c>
      <c r="O16" s="32">
        <v>2892208</v>
      </c>
      <c r="P16" s="22">
        <v>8187</v>
      </c>
      <c r="Q16" s="28">
        <v>16074</v>
      </c>
      <c r="R16" s="28">
        <v>807209</v>
      </c>
      <c r="S16" s="28">
        <v>8088</v>
      </c>
      <c r="T16" s="28">
        <v>1318</v>
      </c>
      <c r="U16" s="28">
        <v>222</v>
      </c>
      <c r="V16" s="28">
        <v>160</v>
      </c>
      <c r="W16" s="28"/>
      <c r="X16" s="28"/>
      <c r="Y16" s="28">
        <v>5078</v>
      </c>
      <c r="Z16" s="28">
        <v>1310</v>
      </c>
      <c r="AA16" s="28">
        <v>130</v>
      </c>
      <c r="AB16" s="28"/>
      <c r="AC16" s="28"/>
      <c r="AD16" s="122"/>
      <c r="AE16" s="31"/>
      <c r="AF16" s="31"/>
    </row>
    <row r="17" spans="1:32">
      <c r="A17" s="68"/>
      <c r="B17" s="111"/>
      <c r="C17" s="245"/>
      <c r="D17" s="40"/>
      <c r="E17" s="14"/>
      <c r="F17" s="166"/>
      <c r="G17" s="14"/>
      <c r="H17" s="14"/>
      <c r="I17" s="14"/>
      <c r="J17" s="14"/>
      <c r="K17" s="31"/>
      <c r="L17" s="14"/>
      <c r="M17" s="31"/>
      <c r="N17" s="14"/>
      <c r="O17" s="31"/>
      <c r="P17" s="14"/>
      <c r="Q17" s="13"/>
      <c r="R17" s="35"/>
      <c r="T17" s="14"/>
      <c r="U17" s="13"/>
      <c r="V17" s="35"/>
      <c r="X17" s="14"/>
      <c r="Y17" s="167"/>
      <c r="Z17" s="199"/>
      <c r="AB17" s="166"/>
      <c r="AC17" s="167"/>
      <c r="AD17" s="292"/>
      <c r="AE17" s="31"/>
      <c r="AF17" s="31"/>
    </row>
    <row r="18" spans="1:32" ht="16" thickBot="1">
      <c r="A18" s="144" t="s">
        <v>5</v>
      </c>
      <c r="B18" s="242"/>
      <c r="C18" s="246"/>
      <c r="D18" s="38"/>
      <c r="E18" s="37"/>
      <c r="F18" s="185"/>
      <c r="G18" s="37"/>
      <c r="H18" s="37"/>
      <c r="I18" s="37"/>
      <c r="J18" s="37"/>
      <c r="K18" s="37"/>
      <c r="L18" s="36"/>
      <c r="M18" s="37"/>
      <c r="N18" s="54"/>
      <c r="O18" s="37"/>
      <c r="P18" s="37"/>
      <c r="Q18" s="37"/>
      <c r="R18" s="54"/>
      <c r="S18" s="37"/>
      <c r="T18" s="37"/>
      <c r="U18" s="37"/>
      <c r="V18" s="37"/>
      <c r="W18" s="37"/>
      <c r="X18" s="37"/>
      <c r="Y18" s="185"/>
      <c r="Z18" s="185"/>
      <c r="AA18" s="185"/>
      <c r="AB18" s="185"/>
      <c r="AC18" s="185"/>
      <c r="AD18" s="295"/>
    </row>
    <row r="19" spans="1:32">
      <c r="A19" s="100">
        <v>1</v>
      </c>
      <c r="B19" s="4" t="s">
        <v>300</v>
      </c>
      <c r="C19" s="17" t="s">
        <v>307</v>
      </c>
      <c r="D19" s="162">
        <v>7511</v>
      </c>
      <c r="E19" s="28">
        <v>903</v>
      </c>
      <c r="F19" s="134">
        <v>1238865</v>
      </c>
      <c r="G19" s="28">
        <v>1983</v>
      </c>
      <c r="H19" s="134">
        <v>35350</v>
      </c>
      <c r="I19" s="28">
        <v>2957</v>
      </c>
      <c r="J19" s="134"/>
      <c r="K19" s="28"/>
      <c r="L19" s="134">
        <v>17</v>
      </c>
      <c r="M19" s="28">
        <v>1093</v>
      </c>
      <c r="N19" s="134">
        <v>26</v>
      </c>
      <c r="O19" s="28">
        <v>36345</v>
      </c>
      <c r="P19" s="134">
        <v>17</v>
      </c>
      <c r="Q19" s="28">
        <v>70</v>
      </c>
      <c r="R19" s="134">
        <v>4200</v>
      </c>
      <c r="S19" s="28">
        <v>546</v>
      </c>
      <c r="T19" s="134"/>
      <c r="U19" s="28"/>
      <c r="V19" s="134"/>
      <c r="W19" s="28"/>
      <c r="X19" s="134"/>
      <c r="Y19" s="28"/>
      <c r="Z19" s="134"/>
      <c r="AA19" s="28"/>
      <c r="AB19" s="134"/>
      <c r="AC19" s="28"/>
      <c r="AD19" s="122"/>
    </row>
    <row r="20" spans="1:32">
      <c r="A20" s="100">
        <v>2</v>
      </c>
      <c r="B20" s="4" t="s">
        <v>88</v>
      </c>
      <c r="C20" s="10"/>
      <c r="D20" s="162">
        <v>3858</v>
      </c>
      <c r="E20" s="28">
        <v>94</v>
      </c>
      <c r="F20" s="134">
        <v>943000</v>
      </c>
      <c r="G20" s="28">
        <v>539</v>
      </c>
      <c r="H20" s="134">
        <v>45315</v>
      </c>
      <c r="I20" s="28">
        <v>9929</v>
      </c>
      <c r="J20" s="134">
        <v>81</v>
      </c>
      <c r="K20" s="28">
        <v>12</v>
      </c>
      <c r="L20" s="134">
        <v>21</v>
      </c>
      <c r="M20" s="28">
        <v>553</v>
      </c>
      <c r="N20" s="134">
        <v>12</v>
      </c>
      <c r="O20" s="28">
        <v>70041</v>
      </c>
      <c r="P20" s="134">
        <v>16</v>
      </c>
      <c r="Q20" s="28">
        <v>220</v>
      </c>
      <c r="R20" s="134">
        <v>4070</v>
      </c>
      <c r="S20" s="28">
        <v>1539</v>
      </c>
      <c r="T20" s="134">
        <v>6</v>
      </c>
      <c r="U20" s="28"/>
      <c r="V20" s="134"/>
      <c r="W20" s="28"/>
      <c r="X20" s="134"/>
      <c r="Y20" s="28"/>
      <c r="Z20" s="134"/>
      <c r="AA20" s="28"/>
      <c r="AB20" s="134"/>
      <c r="AC20" s="28"/>
      <c r="AD20" s="122"/>
    </row>
    <row r="21" spans="1:32">
      <c r="A21" s="100">
        <v>3</v>
      </c>
      <c r="B21" s="4" t="s">
        <v>89</v>
      </c>
      <c r="C21" s="10"/>
      <c r="D21" s="162">
        <v>1951</v>
      </c>
      <c r="E21" s="28">
        <v>1293</v>
      </c>
      <c r="F21" s="134">
        <v>5247226</v>
      </c>
      <c r="G21" s="28">
        <v>2964</v>
      </c>
      <c r="H21" s="134">
        <v>209950</v>
      </c>
      <c r="I21" s="28">
        <v>26072</v>
      </c>
      <c r="J21" s="134">
        <v>376</v>
      </c>
      <c r="K21" s="28"/>
      <c r="L21" s="134">
        <v>231</v>
      </c>
      <c r="M21" s="28">
        <v>11190</v>
      </c>
      <c r="N21" s="134">
        <v>278</v>
      </c>
      <c r="O21" s="28">
        <v>165443</v>
      </c>
      <c r="P21" s="134">
        <v>2657</v>
      </c>
      <c r="Q21" s="28">
        <v>13363</v>
      </c>
      <c r="R21" s="134">
        <v>65987</v>
      </c>
      <c r="S21" s="28">
        <v>682</v>
      </c>
      <c r="T21" s="134">
        <v>2</v>
      </c>
      <c r="U21" s="28">
        <v>2</v>
      </c>
      <c r="V21" s="134">
        <v>5</v>
      </c>
      <c r="W21" s="28"/>
      <c r="X21" s="134"/>
      <c r="Y21" s="28"/>
      <c r="Z21" s="134"/>
      <c r="AA21" s="28"/>
      <c r="AB21" s="134"/>
      <c r="AC21" s="28"/>
      <c r="AD21" s="122"/>
    </row>
    <row r="22" spans="1:32">
      <c r="A22" s="100">
        <v>4</v>
      </c>
      <c r="B22" s="4" t="s">
        <v>90</v>
      </c>
      <c r="C22" s="10"/>
      <c r="D22" s="162">
        <v>23060</v>
      </c>
      <c r="E22" s="28">
        <v>970</v>
      </c>
      <c r="F22" s="134">
        <v>1392953</v>
      </c>
      <c r="G22" s="28">
        <v>1678</v>
      </c>
      <c r="H22" s="134">
        <v>182248</v>
      </c>
      <c r="I22" s="28">
        <v>7109</v>
      </c>
      <c r="J22" s="134">
        <v>197</v>
      </c>
      <c r="K22" s="28">
        <v>673</v>
      </c>
      <c r="L22" s="134">
        <v>132</v>
      </c>
      <c r="M22" s="28">
        <v>4278</v>
      </c>
      <c r="N22" s="134">
        <v>22</v>
      </c>
      <c r="O22" s="28">
        <v>165645</v>
      </c>
      <c r="P22" s="134">
        <v>123</v>
      </c>
      <c r="Q22" s="28">
        <v>790</v>
      </c>
      <c r="R22" s="134">
        <v>26705</v>
      </c>
      <c r="S22" s="28">
        <v>6591</v>
      </c>
      <c r="T22" s="134"/>
      <c r="U22" s="28"/>
      <c r="V22" s="134"/>
      <c r="W22" s="28"/>
      <c r="X22" s="134"/>
      <c r="Y22" s="28"/>
      <c r="Z22" s="134"/>
      <c r="AA22" s="28"/>
      <c r="AB22" s="134"/>
      <c r="AC22" s="28"/>
      <c r="AD22" s="122"/>
    </row>
    <row r="23" spans="1:32">
      <c r="A23" s="100">
        <v>5</v>
      </c>
      <c r="B23" s="4" t="s">
        <v>91</v>
      </c>
      <c r="C23" s="10"/>
      <c r="D23" s="162">
        <v>12498</v>
      </c>
      <c r="E23" s="28">
        <v>5627</v>
      </c>
      <c r="F23" s="134">
        <v>6096890</v>
      </c>
      <c r="G23" s="28">
        <v>20847</v>
      </c>
      <c r="H23" s="134">
        <v>10375</v>
      </c>
      <c r="I23" s="28">
        <v>24106</v>
      </c>
      <c r="J23" s="134">
        <v>655</v>
      </c>
      <c r="K23" s="28">
        <v>11</v>
      </c>
      <c r="L23" s="134">
        <v>45</v>
      </c>
      <c r="M23" s="28">
        <v>752</v>
      </c>
      <c r="N23" s="134">
        <v>87</v>
      </c>
      <c r="O23" s="28">
        <v>131758</v>
      </c>
      <c r="P23" s="134">
        <v>12</v>
      </c>
      <c r="Q23" s="28">
        <v>9633</v>
      </c>
      <c r="R23" s="134">
        <v>570</v>
      </c>
      <c r="S23" s="28">
        <v>10</v>
      </c>
      <c r="T23" s="134"/>
      <c r="U23" s="28"/>
      <c r="V23" s="134"/>
      <c r="W23" s="28"/>
      <c r="X23" s="134"/>
      <c r="Y23" s="28"/>
      <c r="Z23" s="134"/>
      <c r="AA23" s="28"/>
      <c r="AB23" s="134"/>
      <c r="AC23" s="28"/>
      <c r="AD23" s="122"/>
    </row>
    <row r="24" spans="1:32">
      <c r="A24" s="100">
        <v>6</v>
      </c>
      <c r="B24" s="4" t="s">
        <v>92</v>
      </c>
      <c r="C24" s="10"/>
      <c r="D24" s="162">
        <v>24484</v>
      </c>
      <c r="E24" s="28">
        <v>1486</v>
      </c>
      <c r="F24" s="134">
        <v>3402520</v>
      </c>
      <c r="G24" s="28">
        <v>1423</v>
      </c>
      <c r="H24" s="134">
        <v>160164</v>
      </c>
      <c r="I24" s="28">
        <v>14900</v>
      </c>
      <c r="J24" s="134">
        <v>615</v>
      </c>
      <c r="K24" s="28">
        <v>1633</v>
      </c>
      <c r="L24" s="134">
        <v>86</v>
      </c>
      <c r="M24" s="28">
        <v>1947</v>
      </c>
      <c r="N24" s="134">
        <v>10</v>
      </c>
      <c r="O24" s="28">
        <v>89865</v>
      </c>
      <c r="P24" s="134">
        <v>24</v>
      </c>
      <c r="Q24" s="28"/>
      <c r="R24" s="134">
        <v>3520</v>
      </c>
      <c r="S24" s="28">
        <v>925</v>
      </c>
      <c r="T24" s="134">
        <v>12</v>
      </c>
      <c r="U24" s="28"/>
      <c r="V24" s="134"/>
      <c r="W24" s="28"/>
      <c r="X24" s="134"/>
      <c r="Y24" s="28"/>
      <c r="Z24" s="134"/>
      <c r="AA24" s="28"/>
      <c r="AB24" s="134"/>
      <c r="AC24" s="28"/>
      <c r="AD24" s="122"/>
    </row>
    <row r="25" spans="1:32">
      <c r="A25" s="100">
        <v>7</v>
      </c>
      <c r="B25" s="4" t="s">
        <v>93</v>
      </c>
      <c r="C25" s="10"/>
      <c r="D25" s="162">
        <v>15437</v>
      </c>
      <c r="E25" s="28">
        <v>703</v>
      </c>
      <c r="F25" s="134">
        <v>3335720</v>
      </c>
      <c r="G25" s="28">
        <v>3026</v>
      </c>
      <c r="H25" s="134">
        <v>85110</v>
      </c>
      <c r="I25" s="28">
        <v>1659</v>
      </c>
      <c r="J25" s="134"/>
      <c r="K25" s="28">
        <v>2242</v>
      </c>
      <c r="L25" s="134">
        <v>202</v>
      </c>
      <c r="M25" s="28">
        <v>3205</v>
      </c>
      <c r="N25" s="134"/>
      <c r="O25" s="28">
        <v>8352</v>
      </c>
      <c r="P25" s="134">
        <v>10</v>
      </c>
      <c r="Q25" s="28"/>
      <c r="R25" s="134"/>
      <c r="S25" s="28">
        <v>253</v>
      </c>
      <c r="T25" s="134"/>
      <c r="U25" s="28"/>
      <c r="V25" s="134"/>
      <c r="W25" s="28"/>
      <c r="X25" s="134"/>
      <c r="Y25" s="28"/>
      <c r="Z25" s="134"/>
      <c r="AA25" s="28"/>
      <c r="AB25" s="134"/>
      <c r="AC25" s="28"/>
      <c r="AD25" s="122"/>
    </row>
    <row r="26" spans="1:32">
      <c r="A26" s="100">
        <v>8</v>
      </c>
      <c r="B26" s="4" t="s">
        <v>94</v>
      </c>
      <c r="C26" s="10"/>
      <c r="D26" s="162">
        <v>230</v>
      </c>
      <c r="E26" s="28"/>
      <c r="F26" s="134">
        <v>267009</v>
      </c>
      <c r="G26" s="28">
        <v>1</v>
      </c>
      <c r="H26" s="134">
        <v>800</v>
      </c>
      <c r="I26" s="28">
        <v>2210</v>
      </c>
      <c r="J26" s="134">
        <v>168</v>
      </c>
      <c r="K26" s="28">
        <v>4</v>
      </c>
      <c r="L26" s="134">
        <v>11</v>
      </c>
      <c r="M26" s="28">
        <v>1089</v>
      </c>
      <c r="N26" s="134"/>
      <c r="O26" s="28">
        <v>9988</v>
      </c>
      <c r="P26" s="134">
        <v>47</v>
      </c>
      <c r="Q26" s="28">
        <v>200</v>
      </c>
      <c r="R26" s="134">
        <v>594</v>
      </c>
      <c r="S26" s="28">
        <v>53</v>
      </c>
      <c r="T26" s="134"/>
      <c r="U26" s="28"/>
      <c r="V26" s="134"/>
      <c r="W26" s="28"/>
      <c r="X26" s="134"/>
      <c r="Y26" s="28"/>
      <c r="Z26" s="134"/>
      <c r="AA26" s="28"/>
      <c r="AB26" s="134"/>
      <c r="AC26" s="28"/>
      <c r="AD26" s="122"/>
    </row>
    <row r="27" spans="1:32">
      <c r="A27" s="100">
        <v>9</v>
      </c>
      <c r="B27" s="4" t="s">
        <v>95</v>
      </c>
      <c r="C27" s="10"/>
      <c r="D27" s="162">
        <v>1393</v>
      </c>
      <c r="E27" s="28">
        <v>667</v>
      </c>
      <c r="F27" s="134">
        <v>3177740</v>
      </c>
      <c r="G27" s="28">
        <v>4717</v>
      </c>
      <c r="H27" s="134">
        <v>12468</v>
      </c>
      <c r="I27" s="28">
        <v>36590</v>
      </c>
      <c r="J27" s="134">
        <v>1078</v>
      </c>
      <c r="K27" s="28">
        <v>19</v>
      </c>
      <c r="L27" s="134">
        <v>149</v>
      </c>
      <c r="M27" s="28">
        <v>8494</v>
      </c>
      <c r="N27" s="134">
        <v>2650</v>
      </c>
      <c r="O27" s="28">
        <v>52707</v>
      </c>
      <c r="P27" s="134">
        <v>80</v>
      </c>
      <c r="Q27" s="28">
        <v>2015</v>
      </c>
      <c r="R27" s="134">
        <v>4507</v>
      </c>
      <c r="S27" s="28">
        <v>12029</v>
      </c>
      <c r="T27" s="134">
        <v>5003</v>
      </c>
      <c r="U27" s="28"/>
      <c r="V27" s="134"/>
      <c r="W27" s="28"/>
      <c r="X27" s="134"/>
      <c r="Y27" s="28"/>
      <c r="Z27" s="134"/>
      <c r="AA27" s="28"/>
      <c r="AB27" s="134"/>
      <c r="AC27" s="28"/>
      <c r="AD27" s="122"/>
    </row>
    <row r="28" spans="1:32">
      <c r="A28" s="100">
        <v>10</v>
      </c>
      <c r="B28" s="4" t="s">
        <v>96</v>
      </c>
      <c r="C28" s="10"/>
      <c r="D28" s="162">
        <v>3014</v>
      </c>
      <c r="E28" s="28">
        <v>535</v>
      </c>
      <c r="F28" s="134">
        <v>540738</v>
      </c>
      <c r="G28" s="28">
        <v>334</v>
      </c>
      <c r="H28" s="134">
        <v>11700</v>
      </c>
      <c r="I28" s="28">
        <v>491</v>
      </c>
      <c r="J28" s="134">
        <v>15</v>
      </c>
      <c r="K28" s="28"/>
      <c r="L28" s="134">
        <v>35</v>
      </c>
      <c r="M28" s="28">
        <v>1624</v>
      </c>
      <c r="N28" s="134">
        <v>324</v>
      </c>
      <c r="O28" s="28">
        <v>18668</v>
      </c>
      <c r="P28" s="134">
        <v>69</v>
      </c>
      <c r="Q28" s="28">
        <v>154</v>
      </c>
      <c r="R28" s="134">
        <v>330</v>
      </c>
      <c r="S28" s="28">
        <v>1951</v>
      </c>
      <c r="T28" s="134">
        <v>11</v>
      </c>
      <c r="U28" s="28"/>
      <c r="V28" s="134"/>
      <c r="W28" s="28"/>
      <c r="X28" s="134"/>
      <c r="Y28" s="28"/>
      <c r="Z28" s="134"/>
      <c r="AA28" s="28"/>
      <c r="AB28" s="134"/>
      <c r="AC28" s="28"/>
      <c r="AD28" s="122"/>
    </row>
    <row r="29" spans="1:32">
      <c r="A29" s="100">
        <v>11</v>
      </c>
      <c r="B29" s="4" t="s">
        <v>97</v>
      </c>
      <c r="C29" s="10"/>
      <c r="D29" s="162">
        <v>2242</v>
      </c>
      <c r="E29" s="28">
        <v>2149</v>
      </c>
      <c r="F29" s="134">
        <v>2846180</v>
      </c>
      <c r="G29" s="28">
        <v>620</v>
      </c>
      <c r="H29" s="134">
        <v>51875</v>
      </c>
      <c r="I29" s="28">
        <v>8086</v>
      </c>
      <c r="J29" s="134">
        <v>150</v>
      </c>
      <c r="K29" s="28">
        <v>3</v>
      </c>
      <c r="L29" s="134">
        <v>26</v>
      </c>
      <c r="M29" s="28">
        <v>1013</v>
      </c>
      <c r="N29" s="134"/>
      <c r="O29" s="28">
        <v>55160</v>
      </c>
      <c r="P29" s="134">
        <v>6</v>
      </c>
      <c r="Q29" s="28">
        <v>460</v>
      </c>
      <c r="R29" s="134">
        <v>500</v>
      </c>
      <c r="S29" s="28">
        <v>400</v>
      </c>
      <c r="T29" s="134"/>
      <c r="U29" s="28">
        <v>1600</v>
      </c>
      <c r="V29" s="134"/>
      <c r="W29" s="28"/>
      <c r="X29" s="134"/>
      <c r="Y29" s="28"/>
      <c r="Z29" s="134"/>
      <c r="AA29" s="28"/>
      <c r="AB29" s="134"/>
      <c r="AC29" s="28"/>
      <c r="AD29" s="122"/>
    </row>
    <row r="30" spans="1:32">
      <c r="A30" s="100">
        <v>12</v>
      </c>
      <c r="B30" s="4" t="s">
        <v>98</v>
      </c>
      <c r="C30" s="10"/>
      <c r="D30" s="162">
        <v>36866</v>
      </c>
      <c r="E30" s="28">
        <v>89087</v>
      </c>
      <c r="F30" s="134">
        <v>1468245</v>
      </c>
      <c r="G30" s="28">
        <v>13422</v>
      </c>
      <c r="H30" s="134">
        <v>22090</v>
      </c>
      <c r="I30" s="28">
        <v>1393</v>
      </c>
      <c r="J30" s="134"/>
      <c r="K30" s="28">
        <v>261</v>
      </c>
      <c r="L30" s="134">
        <v>45</v>
      </c>
      <c r="M30" s="28">
        <v>1730</v>
      </c>
      <c r="N30" s="134">
        <v>3789</v>
      </c>
      <c r="O30" s="28">
        <v>23041</v>
      </c>
      <c r="P30" s="134">
        <v>517</v>
      </c>
      <c r="Q30" s="28">
        <v>342</v>
      </c>
      <c r="R30" s="134">
        <v>16272</v>
      </c>
      <c r="S30" s="28">
        <v>651</v>
      </c>
      <c r="T30" s="134"/>
      <c r="U30" s="28"/>
      <c r="V30" s="134"/>
      <c r="W30" s="28"/>
      <c r="X30" s="134"/>
      <c r="Y30" s="28"/>
      <c r="Z30" s="134"/>
      <c r="AA30" s="28"/>
      <c r="AB30" s="134"/>
      <c r="AC30" s="28"/>
      <c r="AD30" s="122"/>
    </row>
    <row r="31" spans="1:32">
      <c r="A31" s="100">
        <v>13</v>
      </c>
      <c r="B31" s="4" t="s">
        <v>99</v>
      </c>
      <c r="C31" s="10"/>
      <c r="D31" s="162">
        <v>1870</v>
      </c>
      <c r="E31" s="28">
        <v>56</v>
      </c>
      <c r="F31" s="134">
        <v>108650</v>
      </c>
      <c r="G31" s="28">
        <v>43</v>
      </c>
      <c r="H31" s="134">
        <v>1300</v>
      </c>
      <c r="I31" s="28">
        <v>85</v>
      </c>
      <c r="J31" s="134">
        <v>66</v>
      </c>
      <c r="K31" s="28"/>
      <c r="L31" s="134">
        <v>7</v>
      </c>
      <c r="M31" s="28">
        <v>360</v>
      </c>
      <c r="N31" s="134">
        <v>26</v>
      </c>
      <c r="O31" s="28">
        <v>26482</v>
      </c>
      <c r="P31" s="134">
        <v>14</v>
      </c>
      <c r="Q31" s="28">
        <v>6</v>
      </c>
      <c r="R31" s="134"/>
      <c r="S31" s="28">
        <v>86</v>
      </c>
      <c r="T31" s="134">
        <v>6</v>
      </c>
      <c r="U31" s="28"/>
      <c r="V31" s="134"/>
      <c r="W31" s="28"/>
      <c r="X31" s="134"/>
      <c r="Y31" s="28"/>
      <c r="Z31" s="134"/>
      <c r="AA31" s="28"/>
      <c r="AB31" s="134"/>
      <c r="AC31" s="28"/>
      <c r="AD31" s="122"/>
    </row>
    <row r="32" spans="1:32">
      <c r="A32" s="100">
        <v>14</v>
      </c>
      <c r="B32" s="4" t="s">
        <v>100</v>
      </c>
      <c r="C32" s="10"/>
      <c r="D32" s="162">
        <v>101249</v>
      </c>
      <c r="E32" s="28">
        <v>201607</v>
      </c>
      <c r="F32" s="134">
        <v>112601</v>
      </c>
      <c r="G32" s="28">
        <v>25875</v>
      </c>
      <c r="H32" s="134">
        <v>18815</v>
      </c>
      <c r="I32" s="28">
        <v>1995</v>
      </c>
      <c r="J32" s="134">
        <v>33</v>
      </c>
      <c r="K32" s="28">
        <v>541</v>
      </c>
      <c r="L32" s="134">
        <v>691</v>
      </c>
      <c r="M32" s="28">
        <v>19562</v>
      </c>
      <c r="N32" s="134">
        <v>5163</v>
      </c>
      <c r="O32" s="28">
        <v>49772</v>
      </c>
      <c r="P32" s="134">
        <v>32110</v>
      </c>
      <c r="Q32" s="28">
        <v>1305</v>
      </c>
      <c r="R32" s="134">
        <v>50908</v>
      </c>
      <c r="S32" s="28">
        <v>573</v>
      </c>
      <c r="T32" s="134"/>
      <c r="U32" s="28"/>
      <c r="V32" s="134"/>
      <c r="W32" s="28"/>
      <c r="X32" s="134"/>
      <c r="Y32" s="28"/>
      <c r="Z32" s="134">
        <v>3135</v>
      </c>
      <c r="AA32" s="28">
        <v>25095</v>
      </c>
      <c r="AB32" s="134"/>
      <c r="AC32" s="28"/>
      <c r="AD32" s="122"/>
    </row>
    <row r="33" spans="1:30">
      <c r="A33" s="100">
        <v>15</v>
      </c>
      <c r="B33" s="4" t="s">
        <v>101</v>
      </c>
      <c r="C33" s="10"/>
      <c r="D33" s="162">
        <v>39247</v>
      </c>
      <c r="E33" s="28">
        <v>5701</v>
      </c>
      <c r="F33" s="134">
        <v>344625</v>
      </c>
      <c r="G33" s="28">
        <v>3265</v>
      </c>
      <c r="H33" s="134">
        <v>2440</v>
      </c>
      <c r="I33" s="28">
        <v>57</v>
      </c>
      <c r="J33" s="134">
        <v>2</v>
      </c>
      <c r="K33" s="28">
        <v>3268</v>
      </c>
      <c r="L33" s="134">
        <v>1008</v>
      </c>
      <c r="M33" s="28">
        <v>611</v>
      </c>
      <c r="N33" s="134">
        <v>16</v>
      </c>
      <c r="O33" s="28">
        <v>21556</v>
      </c>
      <c r="P33" s="134">
        <v>203</v>
      </c>
      <c r="Q33" s="28">
        <v>49</v>
      </c>
      <c r="R33" s="134">
        <v>400</v>
      </c>
      <c r="S33" s="28">
        <v>468</v>
      </c>
      <c r="T33" s="134"/>
      <c r="U33" s="28"/>
      <c r="V33" s="134">
        <v>1</v>
      </c>
      <c r="W33" s="28"/>
      <c r="X33" s="134"/>
      <c r="Y33" s="28"/>
      <c r="Z33" s="134"/>
      <c r="AA33" s="28">
        <v>26510</v>
      </c>
      <c r="AB33" s="134"/>
      <c r="AC33" s="28"/>
      <c r="AD33" s="122"/>
    </row>
    <row r="34" spans="1:30">
      <c r="A34" s="100">
        <v>16</v>
      </c>
      <c r="B34" s="4" t="s">
        <v>102</v>
      </c>
      <c r="C34" s="10"/>
      <c r="D34" s="162">
        <v>36302</v>
      </c>
      <c r="E34" s="28">
        <v>19540</v>
      </c>
      <c r="F34" s="134">
        <v>19897360</v>
      </c>
      <c r="G34" s="28">
        <v>7422</v>
      </c>
      <c r="H34" s="134">
        <v>250564</v>
      </c>
      <c r="I34" s="28">
        <v>783</v>
      </c>
      <c r="J34" s="134"/>
      <c r="K34" s="28">
        <v>1000</v>
      </c>
      <c r="L34" s="134">
        <v>4356</v>
      </c>
      <c r="M34" s="28">
        <v>30382</v>
      </c>
      <c r="N34" s="134">
        <v>5338</v>
      </c>
      <c r="O34" s="28">
        <v>56263</v>
      </c>
      <c r="P34" s="134">
        <v>9850</v>
      </c>
      <c r="Q34" s="28">
        <v>6334</v>
      </c>
      <c r="R34" s="134">
        <v>140</v>
      </c>
      <c r="S34" s="28">
        <v>98</v>
      </c>
      <c r="T34" s="134">
        <v>7</v>
      </c>
      <c r="U34" s="28"/>
      <c r="V34" s="134">
        <v>8</v>
      </c>
      <c r="W34" s="28"/>
      <c r="X34" s="134"/>
      <c r="Y34" s="28"/>
      <c r="Z34" s="134"/>
      <c r="AA34" s="28"/>
      <c r="AB34" s="134"/>
      <c r="AC34" s="28"/>
      <c r="AD34" s="122"/>
    </row>
    <row r="35" spans="1:30">
      <c r="A35" s="100">
        <v>17</v>
      </c>
      <c r="B35" s="4" t="s">
        <v>301</v>
      </c>
      <c r="C35" s="10"/>
      <c r="D35" s="162">
        <v>3594</v>
      </c>
      <c r="E35" s="28">
        <v>104</v>
      </c>
      <c r="F35" s="134">
        <v>20114</v>
      </c>
      <c r="G35" s="28">
        <v>140</v>
      </c>
      <c r="H35" s="134">
        <v>2875</v>
      </c>
      <c r="I35" s="28">
        <v>451</v>
      </c>
      <c r="J35" s="134"/>
      <c r="K35" s="28"/>
      <c r="L35" s="134"/>
      <c r="M35" s="28">
        <v>512</v>
      </c>
      <c r="N35" s="134">
        <v>8</v>
      </c>
      <c r="O35" s="28">
        <v>12952</v>
      </c>
      <c r="P35" s="134">
        <v>35</v>
      </c>
      <c r="Q35" s="28">
        <v>9</v>
      </c>
      <c r="R35" s="134"/>
      <c r="S35" s="28">
        <v>365</v>
      </c>
      <c r="T35" s="134"/>
      <c r="U35" s="28"/>
      <c r="V35" s="134"/>
      <c r="W35" s="28"/>
      <c r="X35" s="134"/>
      <c r="Y35" s="28"/>
      <c r="Z35" s="134"/>
      <c r="AA35" s="28"/>
      <c r="AB35" s="134"/>
      <c r="AC35" s="28"/>
      <c r="AD35" s="122"/>
    </row>
    <row r="36" spans="1:30">
      <c r="A36" s="100">
        <v>18</v>
      </c>
      <c r="B36" s="4" t="s">
        <v>302</v>
      </c>
      <c r="C36" s="10"/>
      <c r="D36" s="162">
        <v>17063</v>
      </c>
      <c r="E36" s="28">
        <v>4407</v>
      </c>
      <c r="F36" s="134">
        <v>3061234</v>
      </c>
      <c r="G36" s="28">
        <v>2840</v>
      </c>
      <c r="H36" s="134">
        <v>138590</v>
      </c>
      <c r="I36" s="28">
        <v>19962</v>
      </c>
      <c r="J36" s="134">
        <v>201</v>
      </c>
      <c r="K36" s="28">
        <v>584</v>
      </c>
      <c r="L36" s="134">
        <v>137</v>
      </c>
      <c r="M36" s="28">
        <v>31910</v>
      </c>
      <c r="N36" s="134"/>
      <c r="O36" s="28">
        <v>97945</v>
      </c>
      <c r="P36" s="134">
        <v>14</v>
      </c>
      <c r="Q36" s="28">
        <v>32915</v>
      </c>
      <c r="R36" s="134">
        <v>1300</v>
      </c>
      <c r="S36" s="28">
        <v>1044</v>
      </c>
      <c r="T36" s="134">
        <v>14</v>
      </c>
      <c r="U36" s="28"/>
      <c r="V36" s="134"/>
      <c r="W36" s="28"/>
      <c r="X36" s="134"/>
      <c r="Y36" s="28"/>
      <c r="Z36" s="134"/>
      <c r="AA36" s="28"/>
      <c r="AB36" s="134"/>
      <c r="AC36" s="28"/>
      <c r="AD36" s="122"/>
    </row>
    <row r="37" spans="1:30">
      <c r="A37" s="100">
        <v>19</v>
      </c>
      <c r="B37" s="4" t="s">
        <v>105</v>
      </c>
      <c r="C37" s="10"/>
      <c r="D37" s="162">
        <v>13967</v>
      </c>
      <c r="E37" s="28">
        <v>5600</v>
      </c>
      <c r="F37" s="134">
        <v>1310710</v>
      </c>
      <c r="G37" s="28">
        <v>4637</v>
      </c>
      <c r="H37" s="134">
        <v>16903</v>
      </c>
      <c r="I37" s="28">
        <v>662</v>
      </c>
      <c r="J37" s="134">
        <v>6</v>
      </c>
      <c r="K37" s="28">
        <v>3154</v>
      </c>
      <c r="L37" s="134">
        <v>187</v>
      </c>
      <c r="M37" s="28">
        <v>3089</v>
      </c>
      <c r="N37" s="134">
        <v>1366</v>
      </c>
      <c r="O37" s="28">
        <v>55655</v>
      </c>
      <c r="P37" s="134">
        <v>461</v>
      </c>
      <c r="Q37" s="28">
        <v>2</v>
      </c>
      <c r="R37" s="134">
        <v>46576</v>
      </c>
      <c r="S37" s="28">
        <v>12</v>
      </c>
      <c r="T37" s="134">
        <v>20</v>
      </c>
      <c r="U37" s="28"/>
      <c r="V37" s="134"/>
      <c r="W37" s="28"/>
      <c r="X37" s="134"/>
      <c r="Y37" s="28"/>
      <c r="Z37" s="134">
        <v>5060</v>
      </c>
      <c r="AA37" s="28">
        <v>260</v>
      </c>
      <c r="AB37" s="134"/>
      <c r="AC37" s="28"/>
      <c r="AD37" s="122"/>
    </row>
    <row r="38" spans="1:30">
      <c r="A38" s="100">
        <v>20</v>
      </c>
      <c r="B38" s="4" t="s">
        <v>106</v>
      </c>
      <c r="C38" s="10"/>
      <c r="D38" s="162">
        <v>10422</v>
      </c>
      <c r="E38" s="28">
        <v>7001</v>
      </c>
      <c r="F38" s="134">
        <v>656334</v>
      </c>
      <c r="G38" s="28">
        <v>2142</v>
      </c>
      <c r="H38" s="134">
        <v>6196</v>
      </c>
      <c r="I38" s="28">
        <v>2435</v>
      </c>
      <c r="J38" s="134"/>
      <c r="K38" s="28">
        <v>32930</v>
      </c>
      <c r="L38" s="134">
        <v>222</v>
      </c>
      <c r="M38" s="28">
        <v>649</v>
      </c>
      <c r="N38" s="134">
        <v>10348</v>
      </c>
      <c r="O38" s="28">
        <v>37545</v>
      </c>
      <c r="P38" s="134">
        <v>58</v>
      </c>
      <c r="Q38" s="28">
        <v>56</v>
      </c>
      <c r="R38" s="134">
        <v>77601</v>
      </c>
      <c r="S38" s="28">
        <v>353</v>
      </c>
      <c r="T38" s="134"/>
      <c r="U38" s="28"/>
      <c r="V38" s="134"/>
      <c r="W38" s="28"/>
      <c r="X38" s="134"/>
      <c r="Y38" s="28"/>
      <c r="Z38" s="134">
        <v>35294</v>
      </c>
      <c r="AA38" s="28">
        <v>60430</v>
      </c>
      <c r="AB38" s="134"/>
      <c r="AC38" s="28"/>
      <c r="AD38" s="122"/>
    </row>
    <row r="39" spans="1:30">
      <c r="A39" s="100">
        <v>21</v>
      </c>
      <c r="B39" s="4" t="s">
        <v>107</v>
      </c>
      <c r="C39" s="10"/>
      <c r="D39" s="162">
        <v>7309</v>
      </c>
      <c r="E39" s="28">
        <v>461</v>
      </c>
      <c r="F39" s="134">
        <v>986140</v>
      </c>
      <c r="G39" s="28">
        <v>830</v>
      </c>
      <c r="H39" s="134">
        <v>59800</v>
      </c>
      <c r="I39" s="28">
        <v>1826</v>
      </c>
      <c r="J39" s="134"/>
      <c r="K39" s="28"/>
      <c r="L39" s="29">
        <v>13</v>
      </c>
      <c r="M39" s="28">
        <v>4009</v>
      </c>
      <c r="N39" s="134"/>
      <c r="O39" s="28">
        <v>41212</v>
      </c>
      <c r="P39" s="134">
        <v>230</v>
      </c>
      <c r="Q39" s="28">
        <v>520</v>
      </c>
      <c r="R39" s="134">
        <v>200</v>
      </c>
      <c r="S39" s="28">
        <v>1788</v>
      </c>
      <c r="T39" s="134">
        <v>27</v>
      </c>
      <c r="U39" s="28"/>
      <c r="V39" s="134"/>
      <c r="W39" s="28"/>
      <c r="X39" s="134"/>
      <c r="Y39" s="28"/>
      <c r="Z39" s="134"/>
      <c r="AA39" s="28"/>
      <c r="AB39" s="134"/>
      <c r="AC39" s="28"/>
      <c r="AD39" s="122"/>
    </row>
    <row r="40" spans="1:30">
      <c r="A40" s="214">
        <v>22</v>
      </c>
      <c r="B40" s="96" t="s">
        <v>108</v>
      </c>
      <c r="C40" s="247"/>
      <c r="D40" s="162">
        <v>11676</v>
      </c>
      <c r="E40" s="28">
        <v>21393</v>
      </c>
      <c r="F40" s="134">
        <v>2956824</v>
      </c>
      <c r="G40" s="28">
        <v>10557</v>
      </c>
      <c r="H40" s="134">
        <v>208635</v>
      </c>
      <c r="I40" s="28">
        <v>4340</v>
      </c>
      <c r="J40" s="134">
        <v>50</v>
      </c>
      <c r="K40" s="28">
        <v>9</v>
      </c>
      <c r="L40" s="134">
        <v>119</v>
      </c>
      <c r="M40" s="28">
        <v>3067</v>
      </c>
      <c r="N40" s="134">
        <v>1</v>
      </c>
      <c r="O40" s="28">
        <v>104698</v>
      </c>
      <c r="P40" s="134">
        <v>289</v>
      </c>
      <c r="Q40" s="28">
        <v>270</v>
      </c>
      <c r="R40" s="134">
        <v>1900</v>
      </c>
      <c r="S40" s="28">
        <v>1612</v>
      </c>
      <c r="T40" s="134">
        <v>256</v>
      </c>
      <c r="U40" s="28"/>
      <c r="V40" s="134"/>
      <c r="W40" s="28"/>
      <c r="X40" s="134"/>
      <c r="Y40" s="28"/>
      <c r="Z40" s="134"/>
      <c r="AA40" s="28"/>
      <c r="AB40" s="134"/>
      <c r="AC40" s="28"/>
      <c r="AD40" s="122"/>
    </row>
    <row r="41" spans="1:30">
      <c r="A41" s="100">
        <v>23</v>
      </c>
      <c r="B41" s="4" t="s">
        <v>109</v>
      </c>
      <c r="C41" s="10"/>
      <c r="D41" s="162">
        <v>726</v>
      </c>
      <c r="E41" s="28">
        <v>21</v>
      </c>
      <c r="F41" s="134">
        <v>120760</v>
      </c>
      <c r="G41" s="28">
        <v>38</v>
      </c>
      <c r="H41" s="134">
        <v>8750</v>
      </c>
      <c r="I41" s="28">
        <v>126</v>
      </c>
      <c r="J41" s="134"/>
      <c r="K41" s="28"/>
      <c r="L41" s="134">
        <v>12</v>
      </c>
      <c r="M41" s="28">
        <v>581</v>
      </c>
      <c r="N41" s="134">
        <v>3</v>
      </c>
      <c r="O41" s="28">
        <v>7028</v>
      </c>
      <c r="P41" s="134">
        <v>48</v>
      </c>
      <c r="Q41" s="28">
        <v>45</v>
      </c>
      <c r="R41" s="134"/>
      <c r="S41" s="28">
        <v>1066</v>
      </c>
      <c r="T41" s="134">
        <v>44</v>
      </c>
      <c r="U41" s="28"/>
      <c r="V41" s="134"/>
      <c r="W41" s="28"/>
      <c r="X41" s="134"/>
      <c r="Y41" s="28"/>
      <c r="Z41" s="134"/>
      <c r="AA41" s="28"/>
      <c r="AB41" s="134"/>
      <c r="AC41" s="28"/>
      <c r="AD41" s="122"/>
    </row>
    <row r="42" spans="1:30">
      <c r="A42" s="100">
        <v>24</v>
      </c>
      <c r="B42" s="4" t="s">
        <v>110</v>
      </c>
      <c r="C42" s="10"/>
      <c r="D42" s="162">
        <v>1147</v>
      </c>
      <c r="E42" s="28">
        <v>285</v>
      </c>
      <c r="F42" s="134">
        <v>4109240</v>
      </c>
      <c r="G42" s="28">
        <v>1057</v>
      </c>
      <c r="H42" s="134">
        <v>30600</v>
      </c>
      <c r="I42" s="28">
        <v>55605</v>
      </c>
      <c r="J42" s="134">
        <v>3872</v>
      </c>
      <c r="K42" s="28">
        <v>1</v>
      </c>
      <c r="L42" s="134">
        <v>200</v>
      </c>
      <c r="M42" s="28">
        <v>6334</v>
      </c>
      <c r="N42" s="134">
        <v>4757</v>
      </c>
      <c r="O42" s="28">
        <v>128107</v>
      </c>
      <c r="P42" s="134">
        <v>240</v>
      </c>
      <c r="Q42" s="28">
        <v>2699</v>
      </c>
      <c r="R42" s="134">
        <v>5727</v>
      </c>
      <c r="S42" s="28">
        <v>43</v>
      </c>
      <c r="T42" s="134"/>
      <c r="U42" s="28"/>
      <c r="V42" s="134"/>
      <c r="W42" s="28"/>
      <c r="X42" s="134"/>
      <c r="Y42" s="28"/>
      <c r="Z42" s="134"/>
      <c r="AA42" s="28"/>
      <c r="AB42" s="134"/>
      <c r="AC42" s="28"/>
      <c r="AD42" s="122"/>
    </row>
    <row r="43" spans="1:30">
      <c r="A43" s="100">
        <v>25</v>
      </c>
      <c r="B43" s="4" t="s">
        <v>111</v>
      </c>
      <c r="C43" s="10"/>
      <c r="D43" s="162">
        <v>4663</v>
      </c>
      <c r="E43" s="28">
        <v>158</v>
      </c>
      <c r="F43" s="134">
        <v>2059504</v>
      </c>
      <c r="G43" s="28">
        <v>1071</v>
      </c>
      <c r="H43" s="134">
        <v>60500</v>
      </c>
      <c r="I43" s="28">
        <v>14807</v>
      </c>
      <c r="J43" s="134">
        <v>4097</v>
      </c>
      <c r="K43" s="28">
        <v>50</v>
      </c>
      <c r="L43" s="134">
        <v>447</v>
      </c>
      <c r="M43" s="28">
        <v>1378</v>
      </c>
      <c r="N43" s="134">
        <v>108</v>
      </c>
      <c r="O43" s="28">
        <v>103345</v>
      </c>
      <c r="P43" s="134">
        <v>9</v>
      </c>
      <c r="Q43" s="28">
        <v>260</v>
      </c>
      <c r="R43" s="134">
        <v>44075</v>
      </c>
      <c r="S43" s="28">
        <v>115</v>
      </c>
      <c r="T43" s="134"/>
      <c r="U43" s="28"/>
      <c r="V43" s="134"/>
      <c r="W43" s="28"/>
      <c r="X43" s="134"/>
      <c r="Y43" s="28"/>
      <c r="Z43" s="134"/>
      <c r="AA43" s="28"/>
      <c r="AB43" s="134"/>
      <c r="AC43" s="28"/>
      <c r="AD43" s="122"/>
    </row>
    <row r="44" spans="1:30">
      <c r="A44" s="100">
        <v>26</v>
      </c>
      <c r="B44" s="4" t="s">
        <v>112</v>
      </c>
      <c r="C44" s="10"/>
      <c r="D44" s="162">
        <v>5706</v>
      </c>
      <c r="E44" s="28">
        <v>998</v>
      </c>
      <c r="F44" s="134">
        <v>131101</v>
      </c>
      <c r="G44" s="28">
        <v>651</v>
      </c>
      <c r="H44" s="134">
        <v>3500</v>
      </c>
      <c r="I44" s="28">
        <v>650</v>
      </c>
      <c r="J44" s="134"/>
      <c r="K44" s="28">
        <v>78</v>
      </c>
      <c r="L44" s="134">
        <v>2</v>
      </c>
      <c r="M44" s="28">
        <v>625</v>
      </c>
      <c r="N44" s="134">
        <v>259</v>
      </c>
      <c r="O44" s="28">
        <v>13597</v>
      </c>
      <c r="P44" s="134">
        <v>29</v>
      </c>
      <c r="Q44" s="28">
        <v>18</v>
      </c>
      <c r="R44" s="134"/>
      <c r="S44" s="28">
        <v>845</v>
      </c>
      <c r="T44" s="134"/>
      <c r="U44" s="28"/>
      <c r="V44" s="134"/>
      <c r="W44" s="28"/>
      <c r="X44" s="134">
        <v>3000</v>
      </c>
      <c r="Y44" s="28"/>
      <c r="Z44" s="134"/>
      <c r="AA44" s="28"/>
      <c r="AB44" s="134"/>
      <c r="AC44" s="28"/>
      <c r="AD44" s="122"/>
    </row>
    <row r="45" spans="1:30">
      <c r="A45" s="100">
        <v>27</v>
      </c>
      <c r="B45" s="4" t="s">
        <v>113</v>
      </c>
      <c r="C45" s="10"/>
      <c r="D45" s="162">
        <v>16153</v>
      </c>
      <c r="E45" s="28">
        <v>1964</v>
      </c>
      <c r="F45" s="134">
        <v>5979532</v>
      </c>
      <c r="G45" s="28">
        <v>2759</v>
      </c>
      <c r="H45" s="134">
        <v>13919</v>
      </c>
      <c r="I45" s="28">
        <v>8231</v>
      </c>
      <c r="J45" s="134"/>
      <c r="K45" s="28">
        <v>367</v>
      </c>
      <c r="L45" s="134">
        <v>54</v>
      </c>
      <c r="M45" s="28">
        <v>6479</v>
      </c>
      <c r="N45" s="134">
        <v>12197</v>
      </c>
      <c r="O45" s="28">
        <v>87100</v>
      </c>
      <c r="P45" s="134">
        <v>430</v>
      </c>
      <c r="Q45" s="28">
        <v>8</v>
      </c>
      <c r="R45" s="134">
        <v>66700</v>
      </c>
      <c r="S45" s="28">
        <v>348</v>
      </c>
      <c r="T45" s="134"/>
      <c r="U45" s="28"/>
      <c r="V45" s="134"/>
      <c r="W45" s="28"/>
      <c r="X45" s="134"/>
      <c r="Y45" s="28"/>
      <c r="Z45" s="134"/>
      <c r="AA45" s="28">
        <v>2985</v>
      </c>
      <c r="AB45" s="134"/>
      <c r="AC45" s="28"/>
      <c r="AD45" s="122"/>
    </row>
    <row r="46" spans="1:30">
      <c r="A46" s="100">
        <v>28</v>
      </c>
      <c r="B46" s="4" t="s">
        <v>114</v>
      </c>
      <c r="C46" s="10"/>
      <c r="D46" s="162">
        <v>23346</v>
      </c>
      <c r="E46" s="28">
        <v>1797</v>
      </c>
      <c r="F46" s="134">
        <v>4025206</v>
      </c>
      <c r="G46" s="28">
        <v>978</v>
      </c>
      <c r="H46" s="134">
        <v>17770</v>
      </c>
      <c r="I46" s="28">
        <v>42033</v>
      </c>
      <c r="J46" s="134">
        <v>31804</v>
      </c>
      <c r="K46" s="28">
        <v>23</v>
      </c>
      <c r="L46" s="134">
        <v>2059</v>
      </c>
      <c r="M46" s="28">
        <v>1422</v>
      </c>
      <c r="N46" s="134">
        <v>1701</v>
      </c>
      <c r="O46" s="28">
        <v>254517</v>
      </c>
      <c r="P46" s="134"/>
      <c r="Q46" s="28"/>
      <c r="R46" s="134">
        <v>6437</v>
      </c>
      <c r="S46" s="28">
        <v>9</v>
      </c>
      <c r="T46" s="134"/>
      <c r="U46" s="28"/>
      <c r="V46" s="134"/>
      <c r="W46" s="28"/>
      <c r="X46" s="134"/>
      <c r="Y46" s="28"/>
      <c r="Z46" s="134"/>
      <c r="AA46" s="28"/>
      <c r="AB46" s="134"/>
      <c r="AC46" s="28"/>
      <c r="AD46" s="122"/>
    </row>
    <row r="47" spans="1:30">
      <c r="A47" s="100">
        <v>29</v>
      </c>
      <c r="B47" s="4" t="s">
        <v>115</v>
      </c>
      <c r="C47" s="10"/>
      <c r="D47" s="162">
        <v>9526</v>
      </c>
      <c r="E47" s="28">
        <v>2690</v>
      </c>
      <c r="F47" s="134">
        <v>2466121</v>
      </c>
      <c r="G47" s="28">
        <v>875</v>
      </c>
      <c r="H47" s="134">
        <v>67696</v>
      </c>
      <c r="I47" s="28">
        <v>4764</v>
      </c>
      <c r="J47" s="134"/>
      <c r="K47" s="28">
        <v>59</v>
      </c>
      <c r="L47" s="134">
        <v>64</v>
      </c>
      <c r="M47" s="28">
        <v>7480</v>
      </c>
      <c r="N47" s="134">
        <v>34</v>
      </c>
      <c r="O47" s="28">
        <v>57968</v>
      </c>
      <c r="P47" s="134">
        <v>82</v>
      </c>
      <c r="Q47" s="28">
        <v>25517</v>
      </c>
      <c r="R47" s="134">
        <v>200</v>
      </c>
      <c r="S47" s="28">
        <v>2585</v>
      </c>
      <c r="T47" s="134">
        <v>22</v>
      </c>
      <c r="U47" s="28"/>
      <c r="V47" s="134"/>
      <c r="W47" s="28"/>
      <c r="X47" s="134"/>
      <c r="Y47" s="28"/>
      <c r="Z47" s="134"/>
      <c r="AA47" s="28"/>
      <c r="AB47" s="134"/>
      <c r="AC47" s="28"/>
      <c r="AD47" s="122"/>
    </row>
    <row r="48" spans="1:30">
      <c r="A48" s="100">
        <v>30</v>
      </c>
      <c r="B48" s="4" t="s">
        <v>116</v>
      </c>
      <c r="C48" s="10"/>
      <c r="D48" s="162">
        <v>3538</v>
      </c>
      <c r="E48" s="28">
        <v>295</v>
      </c>
      <c r="F48" s="134">
        <v>244400</v>
      </c>
      <c r="G48" s="28">
        <v>515</v>
      </c>
      <c r="H48" s="134">
        <v>33400</v>
      </c>
      <c r="I48" s="28">
        <v>578</v>
      </c>
      <c r="J48" s="134"/>
      <c r="K48" s="28"/>
      <c r="L48" s="134">
        <v>6</v>
      </c>
      <c r="M48" s="28">
        <v>2501</v>
      </c>
      <c r="N48" s="134">
        <v>26</v>
      </c>
      <c r="O48" s="28">
        <v>27980</v>
      </c>
      <c r="P48" s="134">
        <v>33</v>
      </c>
      <c r="Q48" s="28">
        <v>3333</v>
      </c>
      <c r="R48" s="134">
        <v>40</v>
      </c>
      <c r="S48" s="28">
        <v>665</v>
      </c>
      <c r="T48" s="134">
        <v>2</v>
      </c>
      <c r="U48" s="28"/>
      <c r="V48" s="134"/>
      <c r="W48" s="28"/>
      <c r="X48" s="134"/>
      <c r="Y48" s="28"/>
      <c r="Z48" s="134"/>
      <c r="AA48" s="28"/>
      <c r="AB48" s="134"/>
      <c r="AC48" s="28"/>
      <c r="AD48" s="122"/>
    </row>
    <row r="49" spans="1:30">
      <c r="A49" s="100">
        <v>31</v>
      </c>
      <c r="B49" s="4" t="s">
        <v>117</v>
      </c>
      <c r="C49" s="10"/>
      <c r="D49" s="162">
        <v>360</v>
      </c>
      <c r="E49" s="28">
        <v>19</v>
      </c>
      <c r="F49" s="134">
        <v>155830</v>
      </c>
      <c r="G49" s="28"/>
      <c r="H49" s="134">
        <v>112</v>
      </c>
      <c r="I49" s="28">
        <v>796</v>
      </c>
      <c r="J49" s="134"/>
      <c r="K49" s="28">
        <v>9</v>
      </c>
      <c r="L49" s="134"/>
      <c r="M49" s="28">
        <v>393</v>
      </c>
      <c r="N49" s="134">
        <v>17</v>
      </c>
      <c r="O49" s="28">
        <v>6316</v>
      </c>
      <c r="P49" s="134">
        <v>9634</v>
      </c>
      <c r="Q49" s="28"/>
      <c r="R49" s="134">
        <v>1100</v>
      </c>
      <c r="S49" s="28">
        <v>10</v>
      </c>
      <c r="T49" s="134"/>
      <c r="U49" s="28"/>
      <c r="V49" s="134"/>
      <c r="W49" s="28"/>
      <c r="X49" s="134"/>
      <c r="Y49" s="28"/>
      <c r="Z49" s="134"/>
      <c r="AA49" s="28"/>
      <c r="AB49" s="134"/>
      <c r="AC49" s="28"/>
      <c r="AD49" s="122"/>
    </row>
    <row r="50" spans="1:30">
      <c r="A50" s="100">
        <v>32</v>
      </c>
      <c r="B50" s="4" t="s">
        <v>118</v>
      </c>
      <c r="C50" s="10"/>
      <c r="D50" s="162">
        <v>497</v>
      </c>
      <c r="E50" s="28">
        <v>18</v>
      </c>
      <c r="F50" s="134">
        <v>221735</v>
      </c>
      <c r="G50" s="28">
        <v>26</v>
      </c>
      <c r="H50" s="134">
        <v>168</v>
      </c>
      <c r="I50" s="28">
        <v>1326</v>
      </c>
      <c r="J50" s="134"/>
      <c r="K50" s="28"/>
      <c r="L50" s="134">
        <v>682</v>
      </c>
      <c r="M50" s="28">
        <v>430</v>
      </c>
      <c r="N50" s="134">
        <v>74</v>
      </c>
      <c r="O50" s="28">
        <v>10635</v>
      </c>
      <c r="P50" s="134">
        <v>28</v>
      </c>
      <c r="Q50" s="28"/>
      <c r="R50" s="134">
        <v>430</v>
      </c>
      <c r="S50" s="28">
        <v>169</v>
      </c>
      <c r="T50" s="134"/>
      <c r="U50" s="28"/>
      <c r="V50" s="134"/>
      <c r="W50" s="28"/>
      <c r="X50" s="134"/>
      <c r="Y50" s="28"/>
      <c r="Z50" s="134"/>
      <c r="AA50" s="28"/>
      <c r="AB50" s="134"/>
      <c r="AC50" s="28"/>
      <c r="AD50" s="122"/>
    </row>
    <row r="51" spans="1:30">
      <c r="A51" s="100">
        <v>33</v>
      </c>
      <c r="B51" s="4" t="s">
        <v>119</v>
      </c>
      <c r="C51" s="10"/>
      <c r="D51" s="162">
        <v>16490</v>
      </c>
      <c r="E51" s="28">
        <v>473</v>
      </c>
      <c r="F51" s="134">
        <v>625152</v>
      </c>
      <c r="G51" s="28">
        <v>422</v>
      </c>
      <c r="H51" s="134">
        <v>10500</v>
      </c>
      <c r="I51" s="28">
        <v>15717</v>
      </c>
      <c r="J51" s="134">
        <v>8155</v>
      </c>
      <c r="K51" s="28"/>
      <c r="L51" s="134">
        <v>328</v>
      </c>
      <c r="M51" s="28">
        <v>620</v>
      </c>
      <c r="N51" s="134">
        <v>188</v>
      </c>
      <c r="O51" s="28">
        <v>48720</v>
      </c>
      <c r="P51" s="134">
        <v>1</v>
      </c>
      <c r="Q51" s="28"/>
      <c r="R51" s="134">
        <v>23705</v>
      </c>
      <c r="S51" s="28"/>
      <c r="T51" s="134"/>
      <c r="U51" s="28">
        <v>1</v>
      </c>
      <c r="V51" s="134"/>
      <c r="W51" s="28"/>
      <c r="X51" s="134"/>
      <c r="Y51" s="28"/>
      <c r="Z51" s="134"/>
      <c r="AA51" s="28"/>
      <c r="AB51" s="134"/>
      <c r="AC51" s="28"/>
      <c r="AD51" s="122"/>
    </row>
    <row r="52" spans="1:30">
      <c r="A52" s="100">
        <v>34</v>
      </c>
      <c r="B52" s="4" t="s">
        <v>120</v>
      </c>
      <c r="C52" s="10"/>
      <c r="D52" s="162">
        <v>1400</v>
      </c>
      <c r="E52" s="28">
        <v>35</v>
      </c>
      <c r="F52" s="134">
        <v>117000</v>
      </c>
      <c r="G52" s="28">
        <v>9</v>
      </c>
      <c r="H52" s="134">
        <v>335</v>
      </c>
      <c r="I52" s="28">
        <v>445</v>
      </c>
      <c r="J52" s="134"/>
      <c r="K52" s="28"/>
      <c r="L52" s="134"/>
      <c r="M52" s="28">
        <v>487</v>
      </c>
      <c r="N52" s="134">
        <v>27</v>
      </c>
      <c r="O52" s="28">
        <v>4294</v>
      </c>
      <c r="P52" s="134">
        <v>19</v>
      </c>
      <c r="Q52" s="28">
        <v>1</v>
      </c>
      <c r="R52" s="134"/>
      <c r="S52" s="28">
        <v>41</v>
      </c>
      <c r="T52" s="134"/>
      <c r="U52" s="28"/>
      <c r="V52" s="134"/>
      <c r="W52" s="28"/>
      <c r="X52" s="134"/>
      <c r="Y52" s="28"/>
      <c r="Z52" s="134"/>
      <c r="AA52" s="28"/>
      <c r="AB52" s="134"/>
      <c r="AC52" s="28"/>
      <c r="AD52" s="122"/>
    </row>
    <row r="53" spans="1:30">
      <c r="A53" s="100">
        <v>35</v>
      </c>
      <c r="B53" s="4" t="s">
        <v>121</v>
      </c>
      <c r="C53" s="10"/>
      <c r="D53" s="162">
        <v>12331</v>
      </c>
      <c r="E53" s="28">
        <v>1230</v>
      </c>
      <c r="F53" s="134">
        <v>7839255</v>
      </c>
      <c r="G53" s="28">
        <v>1544</v>
      </c>
      <c r="H53" s="134">
        <v>16400</v>
      </c>
      <c r="I53" s="28">
        <v>18525</v>
      </c>
      <c r="J53" s="134">
        <v>374</v>
      </c>
      <c r="K53" s="28">
        <v>4</v>
      </c>
      <c r="L53" s="134">
        <v>56</v>
      </c>
      <c r="M53" s="28">
        <v>7814</v>
      </c>
      <c r="N53" s="134">
        <v>11044</v>
      </c>
      <c r="O53" s="28">
        <v>84673</v>
      </c>
      <c r="P53" s="134">
        <v>142</v>
      </c>
      <c r="Q53" s="28">
        <v>400</v>
      </c>
      <c r="R53" s="134">
        <v>45489</v>
      </c>
      <c r="S53" s="28">
        <v>1671</v>
      </c>
      <c r="T53" s="134">
        <v>2</v>
      </c>
      <c r="U53" s="28"/>
      <c r="V53" s="134"/>
      <c r="W53" s="28"/>
      <c r="X53" s="134"/>
      <c r="Y53" s="28"/>
      <c r="Z53" s="134"/>
      <c r="AA53" s="28">
        <v>26940</v>
      </c>
      <c r="AB53" s="134"/>
      <c r="AC53" s="28"/>
      <c r="AD53" s="122"/>
    </row>
    <row r="54" spans="1:30">
      <c r="A54" s="100">
        <v>36</v>
      </c>
      <c r="B54" s="4" t="s">
        <v>122</v>
      </c>
      <c r="C54" s="10"/>
      <c r="D54" s="162">
        <v>2163</v>
      </c>
      <c r="E54" s="28">
        <v>185</v>
      </c>
      <c r="F54" s="134">
        <v>2578200</v>
      </c>
      <c r="G54" s="28">
        <v>198</v>
      </c>
      <c r="H54" s="134">
        <v>21860</v>
      </c>
      <c r="I54" s="28">
        <v>5613</v>
      </c>
      <c r="J54" s="134"/>
      <c r="K54" s="28"/>
      <c r="L54" s="134">
        <v>11</v>
      </c>
      <c r="M54" s="28">
        <v>389</v>
      </c>
      <c r="N54" s="134"/>
      <c r="O54" s="28">
        <v>83056</v>
      </c>
      <c r="P54" s="134">
        <v>10</v>
      </c>
      <c r="Q54" s="28">
        <v>2</v>
      </c>
      <c r="R54" s="134">
        <v>1500</v>
      </c>
      <c r="S54" s="28">
        <v>1394</v>
      </c>
      <c r="T54" s="134"/>
      <c r="U54" s="28"/>
      <c r="V54" s="134"/>
      <c r="W54" s="28"/>
      <c r="X54" s="134"/>
      <c r="Y54" s="28"/>
      <c r="Z54" s="134"/>
      <c r="AA54" s="28"/>
      <c r="AB54" s="134"/>
      <c r="AC54" s="28"/>
      <c r="AD54" s="122"/>
    </row>
    <row r="55" spans="1:30">
      <c r="A55" s="100">
        <v>37</v>
      </c>
      <c r="B55" s="4" t="s">
        <v>123</v>
      </c>
      <c r="C55" s="10"/>
      <c r="D55" s="162">
        <v>9372</v>
      </c>
      <c r="E55" s="28">
        <v>20</v>
      </c>
      <c r="F55" s="134">
        <v>11400</v>
      </c>
      <c r="G55" s="28">
        <v>3</v>
      </c>
      <c r="H55" s="134"/>
      <c r="I55" s="28">
        <v>2491</v>
      </c>
      <c r="J55" s="134"/>
      <c r="K55" s="28">
        <v>2</v>
      </c>
      <c r="L55" s="134">
        <v>16</v>
      </c>
      <c r="M55" s="28">
        <v>155</v>
      </c>
      <c r="N55" s="134">
        <v>1263</v>
      </c>
      <c r="O55" s="28">
        <v>15607</v>
      </c>
      <c r="P55" s="134">
        <v>86</v>
      </c>
      <c r="Q55" s="28"/>
      <c r="R55" s="134">
        <v>102</v>
      </c>
      <c r="S55" s="28">
        <v>88</v>
      </c>
      <c r="T55" s="134"/>
      <c r="U55" s="28"/>
      <c r="V55" s="134"/>
      <c r="W55" s="28"/>
      <c r="X55" s="134"/>
      <c r="Y55" s="28"/>
      <c r="Z55" s="134"/>
      <c r="AA55" s="28"/>
      <c r="AB55" s="134"/>
      <c r="AC55" s="28"/>
      <c r="AD55" s="122"/>
    </row>
    <row r="56" spans="1:30">
      <c r="A56" s="100">
        <v>38</v>
      </c>
      <c r="B56" s="4" t="s">
        <v>124</v>
      </c>
      <c r="C56" s="10"/>
      <c r="D56" s="162">
        <v>56</v>
      </c>
      <c r="E56" s="28">
        <v>21</v>
      </c>
      <c r="F56" s="134">
        <v>48348</v>
      </c>
      <c r="G56" s="28">
        <v>300</v>
      </c>
      <c r="H56" s="134">
        <v>28010</v>
      </c>
      <c r="I56" s="28">
        <v>599</v>
      </c>
      <c r="J56" s="134"/>
      <c r="K56" s="28"/>
      <c r="L56" s="134">
        <v>17</v>
      </c>
      <c r="M56" s="28">
        <v>2856</v>
      </c>
      <c r="N56" s="134">
        <v>29</v>
      </c>
      <c r="O56" s="28">
        <v>6912</v>
      </c>
      <c r="P56" s="134">
        <v>496</v>
      </c>
      <c r="Q56" s="28">
        <v>135</v>
      </c>
      <c r="R56" s="134">
        <v>729</v>
      </c>
      <c r="S56" s="28">
        <v>843</v>
      </c>
      <c r="T56" s="134">
        <v>32</v>
      </c>
      <c r="U56" s="28"/>
      <c r="V56" s="134">
        <v>4</v>
      </c>
      <c r="W56" s="28"/>
      <c r="X56" s="134"/>
      <c r="Y56" s="28"/>
      <c r="Z56" s="134"/>
      <c r="AA56" s="28"/>
      <c r="AB56" s="134"/>
      <c r="AC56" s="28"/>
      <c r="AD56" s="122"/>
    </row>
    <row r="57" spans="1:30">
      <c r="A57" s="100">
        <v>39</v>
      </c>
      <c r="B57" s="4" t="s">
        <v>125</v>
      </c>
      <c r="C57" s="10"/>
      <c r="D57" s="162">
        <v>9420</v>
      </c>
      <c r="E57" s="28">
        <v>4213</v>
      </c>
      <c r="F57" s="134">
        <v>4698555</v>
      </c>
      <c r="G57" s="28">
        <v>2067</v>
      </c>
      <c r="H57" s="134">
        <v>221097</v>
      </c>
      <c r="I57" s="28">
        <v>142156</v>
      </c>
      <c r="J57" s="134">
        <v>34661</v>
      </c>
      <c r="K57" s="28">
        <v>24</v>
      </c>
      <c r="L57" s="134">
        <v>4011</v>
      </c>
      <c r="M57" s="28">
        <v>12144</v>
      </c>
      <c r="N57" s="134">
        <v>1223</v>
      </c>
      <c r="O57" s="28">
        <v>359152</v>
      </c>
      <c r="P57" s="134">
        <v>174</v>
      </c>
      <c r="Q57" s="28">
        <v>1410</v>
      </c>
      <c r="R57" s="134">
        <v>27854</v>
      </c>
      <c r="S57" s="28">
        <v>36</v>
      </c>
      <c r="T57" s="134">
        <v>2</v>
      </c>
      <c r="U57" s="28">
        <v>2</v>
      </c>
      <c r="V57" s="134"/>
      <c r="W57" s="28"/>
      <c r="X57" s="134"/>
      <c r="Y57" s="28">
        <v>2</v>
      </c>
      <c r="Z57" s="134"/>
      <c r="AA57" s="28"/>
      <c r="AB57" s="134"/>
      <c r="AC57" s="28"/>
      <c r="AD57" s="122"/>
    </row>
    <row r="58" spans="1:30">
      <c r="A58" s="100">
        <v>40</v>
      </c>
      <c r="B58" s="4" t="s">
        <v>126</v>
      </c>
      <c r="C58" s="10"/>
      <c r="D58" s="162">
        <v>2585</v>
      </c>
      <c r="E58" s="28">
        <v>2019</v>
      </c>
      <c r="F58" s="134">
        <v>2251778</v>
      </c>
      <c r="G58" s="28">
        <v>2185</v>
      </c>
      <c r="H58" s="134">
        <v>5355</v>
      </c>
      <c r="I58" s="28">
        <v>8419</v>
      </c>
      <c r="J58" s="134">
        <v>7</v>
      </c>
      <c r="K58" s="28">
        <v>492</v>
      </c>
      <c r="L58" s="134">
        <v>48</v>
      </c>
      <c r="M58" s="28">
        <v>2682</v>
      </c>
      <c r="N58" s="134">
        <v>18818</v>
      </c>
      <c r="O58" s="28">
        <v>55886</v>
      </c>
      <c r="P58" s="134">
        <v>84</v>
      </c>
      <c r="Q58" s="28">
        <v>1070</v>
      </c>
      <c r="R58" s="134">
        <v>11112</v>
      </c>
      <c r="S58" s="28">
        <v>623</v>
      </c>
      <c r="T58" s="134">
        <v>4</v>
      </c>
      <c r="U58" s="28"/>
      <c r="V58" s="134"/>
      <c r="W58" s="28"/>
      <c r="X58" s="134"/>
      <c r="Y58" s="28"/>
      <c r="Z58" s="134"/>
      <c r="AA58" s="28">
        <v>40</v>
      </c>
      <c r="AB58" s="134"/>
      <c r="AC58" s="28"/>
      <c r="AD58" s="122"/>
    </row>
    <row r="59" spans="1:30">
      <c r="A59" s="100">
        <v>41</v>
      </c>
      <c r="B59" s="4" t="s">
        <v>127</v>
      </c>
      <c r="C59" s="10"/>
      <c r="D59" s="162">
        <v>868</v>
      </c>
      <c r="E59" s="28">
        <v>262</v>
      </c>
      <c r="F59" s="134">
        <v>1110810</v>
      </c>
      <c r="G59" s="28">
        <v>514</v>
      </c>
      <c r="H59" s="134">
        <v>20906</v>
      </c>
      <c r="I59" s="28">
        <v>44528</v>
      </c>
      <c r="J59" s="134">
        <v>2165</v>
      </c>
      <c r="K59" s="28">
        <v>3</v>
      </c>
      <c r="L59" s="134">
        <v>553</v>
      </c>
      <c r="M59" s="28">
        <v>2870</v>
      </c>
      <c r="N59" s="134">
        <v>706</v>
      </c>
      <c r="O59" s="28">
        <v>103464</v>
      </c>
      <c r="P59" s="134">
        <v>52</v>
      </c>
      <c r="Q59" s="28">
        <v>140</v>
      </c>
      <c r="R59" s="134">
        <v>24732</v>
      </c>
      <c r="S59" s="167"/>
      <c r="T59" s="134">
        <v>10</v>
      </c>
      <c r="U59" s="28">
        <v>6</v>
      </c>
      <c r="V59" s="134"/>
      <c r="W59" s="28"/>
      <c r="X59" s="134"/>
      <c r="Y59" s="28">
        <v>6</v>
      </c>
      <c r="Z59" s="134"/>
      <c r="AA59" s="28"/>
      <c r="AB59" s="134"/>
      <c r="AC59" s="28"/>
      <c r="AD59" s="122"/>
    </row>
    <row r="60" spans="1:30">
      <c r="A60" s="100">
        <v>42</v>
      </c>
      <c r="B60" s="4" t="s">
        <v>303</v>
      </c>
      <c r="C60" s="10"/>
      <c r="D60" s="162">
        <v>2987</v>
      </c>
      <c r="E60" s="28">
        <v>2137</v>
      </c>
      <c r="F60" s="134">
        <v>1288425</v>
      </c>
      <c r="G60" s="28">
        <v>3870</v>
      </c>
      <c r="H60" s="134">
        <v>31370</v>
      </c>
      <c r="I60" s="28">
        <v>2479</v>
      </c>
      <c r="J60" s="134">
        <v>3</v>
      </c>
      <c r="K60" s="28">
        <v>996</v>
      </c>
      <c r="L60" s="134">
        <v>183</v>
      </c>
      <c r="M60" s="28">
        <v>3846</v>
      </c>
      <c r="N60" s="134">
        <v>10287</v>
      </c>
      <c r="O60" s="28">
        <v>55414</v>
      </c>
      <c r="P60" s="134">
        <v>69</v>
      </c>
      <c r="Q60" s="28"/>
      <c r="R60" s="134">
        <v>13910</v>
      </c>
      <c r="S60" s="28">
        <v>1078</v>
      </c>
      <c r="T60" s="134"/>
      <c r="U60" s="28"/>
      <c r="V60" s="134">
        <v>9</v>
      </c>
      <c r="W60" s="28"/>
      <c r="X60" s="134"/>
      <c r="Y60" s="28"/>
      <c r="Z60" s="134"/>
      <c r="AA60" s="28">
        <v>1323</v>
      </c>
      <c r="AB60" s="134"/>
      <c r="AC60" s="28"/>
      <c r="AD60" s="122"/>
    </row>
    <row r="61" spans="1:30">
      <c r="A61" s="175">
        <v>43</v>
      </c>
      <c r="B61" s="68" t="s">
        <v>129</v>
      </c>
      <c r="C61" s="111"/>
      <c r="D61" s="162">
        <v>4729</v>
      </c>
      <c r="E61" s="28">
        <v>371</v>
      </c>
      <c r="F61" s="134">
        <v>191213</v>
      </c>
      <c r="G61" s="28">
        <v>474</v>
      </c>
      <c r="H61" s="134">
        <v>2390</v>
      </c>
      <c r="I61" s="28">
        <v>171</v>
      </c>
      <c r="J61" s="134"/>
      <c r="K61" s="28">
        <v>719</v>
      </c>
      <c r="L61" s="134">
        <v>163</v>
      </c>
      <c r="M61" s="28">
        <v>4145</v>
      </c>
      <c r="N61" s="134">
        <v>684</v>
      </c>
      <c r="O61" s="28">
        <v>12045</v>
      </c>
      <c r="P61" s="134">
        <v>1796</v>
      </c>
      <c r="Q61" s="28"/>
      <c r="R61" s="134">
        <v>9300</v>
      </c>
      <c r="S61" s="28">
        <v>140</v>
      </c>
      <c r="T61" s="134"/>
      <c r="U61" s="28"/>
      <c r="V61" s="134"/>
      <c r="W61" s="28"/>
      <c r="X61" s="134"/>
      <c r="Y61" s="28"/>
      <c r="Z61" s="134"/>
      <c r="AA61" s="28">
        <v>585</v>
      </c>
      <c r="AB61" s="134"/>
      <c r="AC61" s="28"/>
      <c r="AD61" s="122"/>
    </row>
    <row r="62" spans="1:30">
      <c r="A62" s="175">
        <v>44</v>
      </c>
      <c r="B62" s="68" t="s">
        <v>130</v>
      </c>
      <c r="C62" s="111"/>
      <c r="D62" s="162">
        <v>271157</v>
      </c>
      <c r="E62" s="28">
        <v>335279</v>
      </c>
      <c r="F62" s="134">
        <v>56729720</v>
      </c>
      <c r="G62" s="28">
        <v>81495</v>
      </c>
      <c r="H62" s="134">
        <v>85289</v>
      </c>
      <c r="I62" s="28">
        <v>492</v>
      </c>
      <c r="J62" s="134"/>
      <c r="K62" s="28">
        <v>50877</v>
      </c>
      <c r="L62" s="134">
        <v>770</v>
      </c>
      <c r="M62" s="28">
        <v>635</v>
      </c>
      <c r="N62" s="134">
        <v>2547</v>
      </c>
      <c r="O62" s="28">
        <v>11042</v>
      </c>
      <c r="P62" s="134">
        <v>504</v>
      </c>
      <c r="Q62" s="28">
        <v>28769</v>
      </c>
      <c r="R62" s="134"/>
      <c r="S62" s="28">
        <v>261</v>
      </c>
      <c r="T62" s="134"/>
      <c r="U62" s="28"/>
      <c r="V62" s="134">
        <v>20</v>
      </c>
      <c r="W62" s="28"/>
      <c r="X62" s="134"/>
      <c r="Y62" s="28"/>
      <c r="Z62" s="134"/>
      <c r="AA62" s="28">
        <v>75</v>
      </c>
      <c r="AB62" s="134"/>
      <c r="AC62" s="28"/>
      <c r="AD62" s="122"/>
    </row>
    <row r="63" spans="1:30">
      <c r="A63" s="175">
        <v>45</v>
      </c>
      <c r="B63" s="68" t="s">
        <v>131</v>
      </c>
      <c r="C63" s="111"/>
      <c r="D63" s="162">
        <v>10673</v>
      </c>
      <c r="E63" s="28">
        <v>445</v>
      </c>
      <c r="F63" s="134">
        <v>730203</v>
      </c>
      <c r="G63" s="28">
        <v>1653</v>
      </c>
      <c r="H63" s="134">
        <v>149610</v>
      </c>
      <c r="I63" s="28">
        <v>2281</v>
      </c>
      <c r="J63" s="134">
        <v>7</v>
      </c>
      <c r="K63" s="28">
        <v>82</v>
      </c>
      <c r="L63" s="134">
        <v>48</v>
      </c>
      <c r="M63" s="28">
        <v>3889</v>
      </c>
      <c r="N63" s="134">
        <v>132</v>
      </c>
      <c r="O63" s="28">
        <v>114084</v>
      </c>
      <c r="P63" s="134">
        <v>143</v>
      </c>
      <c r="Q63" s="28">
        <v>537</v>
      </c>
      <c r="R63" s="134">
        <v>500</v>
      </c>
      <c r="S63" s="28">
        <v>3008</v>
      </c>
      <c r="T63" s="134">
        <v>1</v>
      </c>
      <c r="U63" s="28"/>
      <c r="V63" s="134"/>
      <c r="W63" s="28"/>
      <c r="X63" s="134"/>
      <c r="Y63" s="28"/>
      <c r="Z63" s="134"/>
      <c r="AA63" s="28"/>
      <c r="AB63" s="134"/>
      <c r="AC63" s="28"/>
      <c r="AD63" s="122"/>
    </row>
    <row r="64" spans="1:30">
      <c r="A64" s="175">
        <v>46</v>
      </c>
      <c r="B64" s="68" t="s">
        <v>132</v>
      </c>
      <c r="C64" s="111"/>
      <c r="D64" s="162">
        <v>13483</v>
      </c>
      <c r="E64" s="28">
        <v>350</v>
      </c>
      <c r="F64" s="134">
        <v>496260</v>
      </c>
      <c r="G64" s="28">
        <v>719</v>
      </c>
      <c r="H64" s="134">
        <v>254463</v>
      </c>
      <c r="I64" s="28">
        <v>1221</v>
      </c>
      <c r="J64" s="134"/>
      <c r="K64" s="28">
        <v>819</v>
      </c>
      <c r="L64" s="134">
        <v>7</v>
      </c>
      <c r="M64" s="28">
        <v>9467</v>
      </c>
      <c r="N64" s="134">
        <v>621</v>
      </c>
      <c r="O64" s="28">
        <v>17540</v>
      </c>
      <c r="P64" s="134">
        <v>150</v>
      </c>
      <c r="Q64" s="28">
        <v>210</v>
      </c>
      <c r="R64" s="134">
        <v>250</v>
      </c>
      <c r="S64" s="28">
        <v>453</v>
      </c>
      <c r="T64" s="134"/>
      <c r="U64" s="28"/>
      <c r="V64" s="134"/>
      <c r="W64" s="28"/>
      <c r="X64" s="134"/>
      <c r="Y64" s="28"/>
      <c r="Z64" s="134"/>
      <c r="AA64" s="28"/>
      <c r="AB64" s="134"/>
      <c r="AC64" s="28"/>
      <c r="AD64" s="122"/>
    </row>
    <row r="65" spans="1:30">
      <c r="A65" s="175">
        <v>47</v>
      </c>
      <c r="B65" s="68" t="s">
        <v>133</v>
      </c>
      <c r="C65" s="111"/>
      <c r="D65" s="162">
        <v>7281</v>
      </c>
      <c r="E65" s="28">
        <v>4959</v>
      </c>
      <c r="F65" s="134">
        <v>311800</v>
      </c>
      <c r="G65" s="28">
        <v>5582</v>
      </c>
      <c r="H65" s="134">
        <v>4046</v>
      </c>
      <c r="I65" s="28">
        <v>363</v>
      </c>
      <c r="J65" s="134">
        <v>50</v>
      </c>
      <c r="K65" s="28">
        <v>2105</v>
      </c>
      <c r="L65" s="134">
        <v>190</v>
      </c>
      <c r="M65" s="28">
        <v>13944</v>
      </c>
      <c r="N65" s="134">
        <v>2488</v>
      </c>
      <c r="O65" s="28">
        <v>20659</v>
      </c>
      <c r="P65" s="134">
        <v>65</v>
      </c>
      <c r="Q65" s="28">
        <v>2</v>
      </c>
      <c r="R65" s="134">
        <v>6590</v>
      </c>
      <c r="S65" s="28">
        <v>3785</v>
      </c>
      <c r="T65" s="134">
        <v>8</v>
      </c>
      <c r="U65" s="28"/>
      <c r="V65" s="134"/>
      <c r="W65" s="28"/>
      <c r="X65" s="134"/>
      <c r="Y65" s="28"/>
      <c r="Z65" s="134"/>
      <c r="AA65" s="28">
        <v>4600</v>
      </c>
      <c r="AB65" s="134"/>
      <c r="AC65" s="28"/>
      <c r="AD65" s="122"/>
    </row>
    <row r="66" spans="1:30">
      <c r="A66" s="175">
        <v>48</v>
      </c>
      <c r="B66" s="68" t="s">
        <v>134</v>
      </c>
      <c r="C66" s="111"/>
      <c r="D66" s="162">
        <v>4017</v>
      </c>
      <c r="E66" s="28">
        <v>2158</v>
      </c>
      <c r="F66" s="134">
        <v>3811511</v>
      </c>
      <c r="G66" s="28">
        <v>2070</v>
      </c>
      <c r="H66" s="134">
        <v>34111</v>
      </c>
      <c r="I66" s="28">
        <v>3746</v>
      </c>
      <c r="J66" s="134"/>
      <c r="K66" s="28">
        <v>30</v>
      </c>
      <c r="L66" s="134">
        <v>61</v>
      </c>
      <c r="M66" s="28">
        <v>1975</v>
      </c>
      <c r="N66" s="134">
        <v>10331</v>
      </c>
      <c r="O66" s="28">
        <v>32883</v>
      </c>
      <c r="P66" s="134">
        <v>61</v>
      </c>
      <c r="Q66" s="28">
        <v>15</v>
      </c>
      <c r="R66" s="134">
        <v>8095</v>
      </c>
      <c r="S66" s="28">
        <v>15</v>
      </c>
      <c r="T66" s="134"/>
      <c r="U66" s="28"/>
      <c r="V66" s="134"/>
      <c r="W66" s="28"/>
      <c r="X66" s="134"/>
      <c r="Y66" s="28"/>
      <c r="Z66" s="134"/>
      <c r="AA66" s="28">
        <v>350</v>
      </c>
      <c r="AB66" s="134"/>
      <c r="AC66" s="28"/>
      <c r="AD66" s="122"/>
    </row>
    <row r="67" spans="1:30">
      <c r="A67" s="175">
        <v>49</v>
      </c>
      <c r="B67" s="68" t="s">
        <v>135</v>
      </c>
      <c r="C67" s="111"/>
      <c r="D67" s="162">
        <v>4678</v>
      </c>
      <c r="E67" s="28">
        <v>560</v>
      </c>
      <c r="F67" s="134">
        <v>328950</v>
      </c>
      <c r="G67" s="28">
        <v>959</v>
      </c>
      <c r="H67" s="134">
        <v>30727</v>
      </c>
      <c r="I67" s="28">
        <v>1675</v>
      </c>
      <c r="J67" s="134">
        <v>10</v>
      </c>
      <c r="K67" s="28"/>
      <c r="L67" s="134">
        <v>28</v>
      </c>
      <c r="M67" s="28">
        <v>835</v>
      </c>
      <c r="N67" s="134">
        <v>12</v>
      </c>
      <c r="O67" s="28">
        <v>39855</v>
      </c>
      <c r="P67" s="134">
        <v>34</v>
      </c>
      <c r="Q67" s="28">
        <v>335</v>
      </c>
      <c r="R67" s="134"/>
      <c r="S67" s="28">
        <v>2422</v>
      </c>
      <c r="T67" s="134"/>
      <c r="U67" s="28"/>
      <c r="V67" s="134"/>
      <c r="W67" s="28"/>
      <c r="X67" s="134"/>
      <c r="Y67" s="28"/>
      <c r="Z67" s="134"/>
      <c r="AA67" s="28"/>
      <c r="AB67" s="134"/>
      <c r="AC67" s="28"/>
      <c r="AD67" s="122"/>
    </row>
    <row r="68" spans="1:30">
      <c r="A68" s="175">
        <v>50</v>
      </c>
      <c r="B68" s="68" t="s">
        <v>136</v>
      </c>
      <c r="C68" s="111"/>
      <c r="D68" s="162">
        <v>28472</v>
      </c>
      <c r="E68" s="28">
        <v>5497</v>
      </c>
      <c r="F68" s="134">
        <v>1243340</v>
      </c>
      <c r="G68" s="28">
        <v>3867</v>
      </c>
      <c r="H68" s="134">
        <v>24</v>
      </c>
      <c r="I68" s="28">
        <v>4</v>
      </c>
      <c r="J68" s="134">
        <v>3</v>
      </c>
      <c r="K68" s="28">
        <v>7118</v>
      </c>
      <c r="L68" s="134">
        <v>10</v>
      </c>
      <c r="M68" s="28">
        <v>204</v>
      </c>
      <c r="N68" s="134">
        <v>20</v>
      </c>
      <c r="O68" s="28">
        <v>3316</v>
      </c>
      <c r="P68" s="134">
        <v>325</v>
      </c>
      <c r="Q68" s="28">
        <v>5</v>
      </c>
      <c r="R68" s="134">
        <v>280</v>
      </c>
      <c r="S68" s="28">
        <v>3</v>
      </c>
      <c r="T68" s="134"/>
      <c r="U68" s="28"/>
      <c r="V68" s="134"/>
      <c r="W68" s="28"/>
      <c r="X68" s="134"/>
      <c r="Y68" s="28"/>
      <c r="Z68" s="134"/>
      <c r="AA68" s="28"/>
      <c r="AB68" s="134"/>
      <c r="AC68" s="28"/>
      <c r="AD68" s="122"/>
    </row>
    <row r="69" spans="1:30">
      <c r="A69" s="218">
        <v>51</v>
      </c>
      <c r="B69" s="111" t="s">
        <v>137</v>
      </c>
      <c r="C69" s="111"/>
      <c r="D69" s="21">
        <v>7284</v>
      </c>
      <c r="E69" s="28">
        <v>73979</v>
      </c>
      <c r="F69" s="27">
        <v>8095775</v>
      </c>
      <c r="G69" s="28">
        <v>3336</v>
      </c>
      <c r="H69" s="27">
        <v>43313</v>
      </c>
      <c r="I69" s="28">
        <v>4049</v>
      </c>
      <c r="J69" s="27">
        <v>9</v>
      </c>
      <c r="K69" s="28">
        <v>32</v>
      </c>
      <c r="L69" s="134">
        <v>528</v>
      </c>
      <c r="M69" s="28">
        <v>3221</v>
      </c>
      <c r="N69" s="27">
        <v>13067</v>
      </c>
      <c r="O69" s="28">
        <v>101205</v>
      </c>
      <c r="P69" s="27">
        <v>272</v>
      </c>
      <c r="Q69" s="28">
        <v>80</v>
      </c>
      <c r="R69" s="27">
        <v>1085928</v>
      </c>
      <c r="S69" s="28">
        <v>19199</v>
      </c>
      <c r="T69" s="27">
        <v>42</v>
      </c>
      <c r="U69" s="28">
        <v>16</v>
      </c>
      <c r="V69" s="27"/>
      <c r="W69" s="28"/>
      <c r="X69" s="27"/>
      <c r="Y69" s="28"/>
      <c r="Z69" s="27"/>
      <c r="AA69" s="28">
        <v>1140</v>
      </c>
      <c r="AB69" s="27"/>
      <c r="AC69" s="28"/>
      <c r="AD69" s="122"/>
    </row>
    <row r="70" spans="1:30">
      <c r="A70" s="218">
        <v>52</v>
      </c>
      <c r="B70" s="111" t="s">
        <v>138</v>
      </c>
      <c r="C70" s="111"/>
      <c r="D70" s="21">
        <v>38515</v>
      </c>
      <c r="E70" s="28">
        <v>50154</v>
      </c>
      <c r="F70" s="27">
        <v>14194270</v>
      </c>
      <c r="G70" s="28">
        <v>6554</v>
      </c>
      <c r="H70" s="27">
        <v>49881</v>
      </c>
      <c r="I70" s="28">
        <v>363</v>
      </c>
      <c r="J70" s="27"/>
      <c r="K70" s="28">
        <v>1683</v>
      </c>
      <c r="L70" s="27">
        <v>387</v>
      </c>
      <c r="M70" s="28">
        <v>2814</v>
      </c>
      <c r="N70" s="27">
        <v>21909</v>
      </c>
      <c r="O70" s="28">
        <v>29046</v>
      </c>
      <c r="P70" s="27">
        <v>6787</v>
      </c>
      <c r="Q70" s="28">
        <v>903</v>
      </c>
      <c r="R70" s="27">
        <v>20320</v>
      </c>
      <c r="S70" s="28">
        <v>178</v>
      </c>
      <c r="T70" s="27">
        <v>2</v>
      </c>
      <c r="U70" s="28"/>
      <c r="V70" s="27">
        <v>46</v>
      </c>
      <c r="W70" s="28"/>
      <c r="X70" s="27"/>
      <c r="Y70" s="28"/>
      <c r="Z70" s="27">
        <v>1227</v>
      </c>
      <c r="AA70" s="28">
        <v>1957</v>
      </c>
      <c r="AB70" s="27"/>
      <c r="AC70" s="28"/>
      <c r="AD70" s="122"/>
    </row>
    <row r="71" spans="1:30">
      <c r="A71" s="218">
        <v>53</v>
      </c>
      <c r="B71" s="111" t="s">
        <v>139</v>
      </c>
      <c r="C71" s="111"/>
      <c r="D71" s="21">
        <v>1684</v>
      </c>
      <c r="E71" s="28">
        <v>712</v>
      </c>
      <c r="F71" s="27">
        <v>981664</v>
      </c>
      <c r="G71" s="28">
        <v>2312</v>
      </c>
      <c r="H71" s="27">
        <v>16600</v>
      </c>
      <c r="I71" s="28">
        <v>35095</v>
      </c>
      <c r="J71" s="27">
        <v>10883</v>
      </c>
      <c r="K71" s="28">
        <v>3</v>
      </c>
      <c r="L71" s="27">
        <v>534</v>
      </c>
      <c r="M71" s="28">
        <v>752</v>
      </c>
      <c r="N71" s="27">
        <v>528</v>
      </c>
      <c r="O71" s="28">
        <v>55633</v>
      </c>
      <c r="P71" s="27">
        <v>3</v>
      </c>
      <c r="Q71" s="28">
        <v>80</v>
      </c>
      <c r="R71" s="27">
        <v>19124</v>
      </c>
      <c r="S71" s="28">
        <v>1</v>
      </c>
      <c r="T71" s="27"/>
      <c r="U71" s="28"/>
      <c r="V71" s="27"/>
      <c r="W71" s="28"/>
      <c r="X71" s="27"/>
      <c r="Y71" s="28"/>
      <c r="Z71" s="27"/>
      <c r="AA71" s="28">
        <v>20</v>
      </c>
      <c r="AB71" s="27"/>
      <c r="AC71" s="28"/>
      <c r="AD71" s="122"/>
    </row>
    <row r="72" spans="1:30">
      <c r="A72" s="218">
        <v>54</v>
      </c>
      <c r="B72" s="111" t="s">
        <v>140</v>
      </c>
      <c r="C72" s="111"/>
      <c r="D72" s="21">
        <v>1245</v>
      </c>
      <c r="E72" s="28">
        <v>223</v>
      </c>
      <c r="F72" s="27">
        <v>135200</v>
      </c>
      <c r="G72" s="28">
        <v>77</v>
      </c>
      <c r="H72" s="27">
        <v>8140</v>
      </c>
      <c r="I72" s="28">
        <v>606</v>
      </c>
      <c r="J72" s="27"/>
      <c r="K72" s="28"/>
      <c r="L72" s="27">
        <v>41</v>
      </c>
      <c r="M72" s="28">
        <v>594</v>
      </c>
      <c r="N72" s="27">
        <v>542</v>
      </c>
      <c r="O72" s="28">
        <v>21982</v>
      </c>
      <c r="P72" s="27">
        <v>38</v>
      </c>
      <c r="Q72" s="28">
        <v>8</v>
      </c>
      <c r="R72" s="27">
        <v>1280</v>
      </c>
      <c r="S72" s="28">
        <v>146</v>
      </c>
      <c r="T72" s="27"/>
      <c r="U72" s="28"/>
      <c r="V72" s="27"/>
      <c r="W72" s="28"/>
      <c r="X72" s="27"/>
      <c r="Y72" s="28"/>
      <c r="Z72" s="27"/>
      <c r="AA72" s="28"/>
      <c r="AB72" s="27"/>
      <c r="AC72" s="28"/>
      <c r="AD72" s="122"/>
    </row>
    <row r="73" spans="1:30">
      <c r="A73" s="218">
        <v>55</v>
      </c>
      <c r="B73" s="111" t="s">
        <v>141</v>
      </c>
      <c r="C73" s="111"/>
      <c r="D73" s="21">
        <v>94730</v>
      </c>
      <c r="E73" s="28">
        <v>166612</v>
      </c>
      <c r="F73" s="27">
        <v>1158000</v>
      </c>
      <c r="G73" s="28">
        <v>23616</v>
      </c>
      <c r="H73" s="27">
        <v>12665</v>
      </c>
      <c r="I73" s="28">
        <v>1130</v>
      </c>
      <c r="J73" s="27"/>
      <c r="K73" s="28">
        <v>36626</v>
      </c>
      <c r="L73" s="27">
        <v>412</v>
      </c>
      <c r="M73" s="28">
        <v>883</v>
      </c>
      <c r="N73" s="27">
        <v>8479</v>
      </c>
      <c r="O73" s="28">
        <v>42309</v>
      </c>
      <c r="P73" s="27">
        <v>186</v>
      </c>
      <c r="Q73" s="28">
        <v>520</v>
      </c>
      <c r="R73" s="27">
        <v>257401</v>
      </c>
      <c r="S73" s="28">
        <v>32</v>
      </c>
      <c r="T73" s="27">
        <v>5</v>
      </c>
      <c r="U73" s="28"/>
      <c r="V73" s="27"/>
      <c r="W73" s="28"/>
      <c r="X73" s="27"/>
      <c r="Y73" s="28"/>
      <c r="Z73" s="27">
        <v>16886</v>
      </c>
      <c r="AA73" s="28">
        <v>170</v>
      </c>
      <c r="AB73" s="27"/>
      <c r="AC73" s="28"/>
      <c r="AD73" s="122"/>
    </row>
    <row r="74" spans="1:30">
      <c r="A74" s="218">
        <v>56</v>
      </c>
      <c r="B74" s="111" t="s">
        <v>142</v>
      </c>
      <c r="C74" s="111"/>
      <c r="D74" s="21">
        <v>82</v>
      </c>
      <c r="E74" s="28">
        <v>160</v>
      </c>
      <c r="F74" s="27">
        <v>760414</v>
      </c>
      <c r="G74" s="28">
        <v>408</v>
      </c>
      <c r="H74" s="27">
        <v>20550</v>
      </c>
      <c r="I74" s="28">
        <v>495</v>
      </c>
      <c r="J74" s="27"/>
      <c r="K74" s="28"/>
      <c r="L74" s="27">
        <v>32</v>
      </c>
      <c r="M74" s="28">
        <v>465</v>
      </c>
      <c r="N74" s="27">
        <v>8</v>
      </c>
      <c r="O74" s="28">
        <v>22261</v>
      </c>
      <c r="P74" s="27">
        <v>17</v>
      </c>
      <c r="Q74" s="28">
        <v>30</v>
      </c>
      <c r="R74" s="27">
        <v>75</v>
      </c>
      <c r="S74" s="28">
        <v>22</v>
      </c>
      <c r="T74" s="27"/>
      <c r="U74" s="28"/>
      <c r="V74" s="27"/>
      <c r="W74" s="28"/>
      <c r="X74" s="27"/>
      <c r="Y74" s="28"/>
      <c r="Z74" s="27"/>
      <c r="AA74" s="28"/>
      <c r="AB74" s="27"/>
      <c r="AC74" s="28"/>
      <c r="AD74" s="122"/>
    </row>
    <row r="75" spans="1:30">
      <c r="A75" s="218">
        <v>57</v>
      </c>
      <c r="B75" s="111" t="s">
        <v>143</v>
      </c>
      <c r="C75" s="111"/>
      <c r="D75" s="21">
        <v>90</v>
      </c>
      <c r="E75" s="28"/>
      <c r="F75" s="27">
        <v>1228</v>
      </c>
      <c r="G75" s="28"/>
      <c r="H75" s="27"/>
      <c r="I75" s="28"/>
      <c r="J75" s="27"/>
      <c r="K75" s="28">
        <v>8</v>
      </c>
      <c r="L75" s="27"/>
      <c r="M75" s="28"/>
      <c r="N75" s="27"/>
      <c r="O75" s="28">
        <v>245</v>
      </c>
      <c r="P75" s="27">
        <v>10</v>
      </c>
      <c r="Q75" s="28"/>
      <c r="R75" s="27">
        <v>100</v>
      </c>
      <c r="S75" s="28"/>
      <c r="T75" s="27"/>
      <c r="U75" s="28"/>
      <c r="V75" s="27"/>
      <c r="W75" s="28"/>
      <c r="X75" s="27"/>
      <c r="Y75" s="28"/>
      <c r="Z75" s="27"/>
      <c r="AA75" s="28"/>
      <c r="AB75" s="27"/>
      <c r="AC75" s="28"/>
      <c r="AD75" s="122"/>
    </row>
    <row r="76" spans="1:30">
      <c r="A76" s="218">
        <v>58</v>
      </c>
      <c r="B76" s="111" t="s">
        <v>144</v>
      </c>
      <c r="C76" s="111"/>
      <c r="D76" s="21">
        <v>126</v>
      </c>
      <c r="E76" s="28">
        <v>20</v>
      </c>
      <c r="F76" s="27">
        <v>79900</v>
      </c>
      <c r="G76" s="28"/>
      <c r="H76" s="27">
        <v>1060</v>
      </c>
      <c r="I76" s="28">
        <v>43</v>
      </c>
      <c r="J76" s="27"/>
      <c r="K76" s="28"/>
      <c r="L76" s="27"/>
      <c r="M76" s="28">
        <v>33</v>
      </c>
      <c r="N76" s="27"/>
      <c r="O76" s="28">
        <v>1760</v>
      </c>
      <c r="P76" s="27">
        <v>83</v>
      </c>
      <c r="Q76" s="28"/>
      <c r="R76" s="27"/>
      <c r="S76" s="28">
        <v>73</v>
      </c>
      <c r="T76" s="27"/>
      <c r="U76" s="28"/>
      <c r="V76" s="27"/>
      <c r="W76" s="28"/>
      <c r="X76" s="27"/>
      <c r="Y76" s="28"/>
      <c r="Z76" s="27"/>
      <c r="AA76" s="28"/>
      <c r="AB76" s="27"/>
      <c r="AC76" s="28"/>
      <c r="AD76" s="122"/>
    </row>
    <row r="77" spans="1:30">
      <c r="A77" s="218">
        <v>59</v>
      </c>
      <c r="B77" s="111" t="s">
        <v>145</v>
      </c>
      <c r="C77" s="111"/>
      <c r="D77" s="21">
        <v>4220</v>
      </c>
      <c r="E77" s="28">
        <v>1690</v>
      </c>
      <c r="F77" s="27">
        <v>761014</v>
      </c>
      <c r="G77" s="28">
        <v>541</v>
      </c>
      <c r="H77" s="27">
        <v>7840</v>
      </c>
      <c r="I77" s="28">
        <v>607</v>
      </c>
      <c r="J77" s="27"/>
      <c r="K77" s="28">
        <v>68</v>
      </c>
      <c r="L77" s="27">
        <v>72</v>
      </c>
      <c r="M77" s="28">
        <v>150</v>
      </c>
      <c r="N77" s="27">
        <v>414</v>
      </c>
      <c r="O77" s="28">
        <v>5520</v>
      </c>
      <c r="P77" s="27">
        <v>6</v>
      </c>
      <c r="Q77" s="28"/>
      <c r="R77" s="27">
        <v>4150</v>
      </c>
      <c r="S77" s="28">
        <v>574</v>
      </c>
      <c r="T77" s="27"/>
      <c r="U77" s="28"/>
      <c r="V77" s="27"/>
      <c r="W77" s="28"/>
      <c r="X77" s="27"/>
      <c r="Y77" s="28"/>
      <c r="Z77" s="27"/>
      <c r="AA77" s="28">
        <v>215</v>
      </c>
      <c r="AB77" s="27"/>
      <c r="AC77" s="28"/>
      <c r="AD77" s="122"/>
    </row>
    <row r="78" spans="1:30">
      <c r="A78" s="218">
        <v>60</v>
      </c>
      <c r="B78" s="111" t="s">
        <v>146</v>
      </c>
      <c r="C78" s="111"/>
      <c r="D78" s="21">
        <v>13875</v>
      </c>
      <c r="E78" s="28">
        <v>6402</v>
      </c>
      <c r="F78" s="27">
        <v>5621839</v>
      </c>
      <c r="G78" s="28">
        <v>5130</v>
      </c>
      <c r="H78" s="27">
        <v>384957</v>
      </c>
      <c r="I78" s="28">
        <v>23780</v>
      </c>
      <c r="J78" s="27">
        <v>1067</v>
      </c>
      <c r="K78" s="28">
        <v>554</v>
      </c>
      <c r="L78" s="27">
        <v>228</v>
      </c>
      <c r="M78" s="28">
        <v>8666</v>
      </c>
      <c r="N78" s="27"/>
      <c r="O78" s="28">
        <v>258525</v>
      </c>
      <c r="P78" s="27">
        <v>522</v>
      </c>
      <c r="Q78" s="28">
        <v>520398</v>
      </c>
      <c r="R78" s="27">
        <v>33110</v>
      </c>
      <c r="S78" s="28">
        <v>2079</v>
      </c>
      <c r="T78" s="27">
        <v>22</v>
      </c>
      <c r="U78" s="28"/>
      <c r="V78" s="27"/>
      <c r="W78" s="28"/>
      <c r="X78" s="27"/>
      <c r="Y78" s="28"/>
      <c r="Z78" s="27"/>
      <c r="AA78" s="28"/>
      <c r="AB78" s="27"/>
      <c r="AC78" s="28"/>
      <c r="AD78" s="122"/>
    </row>
    <row r="79" spans="1:30">
      <c r="A79" s="218">
        <v>61</v>
      </c>
      <c r="B79" s="111" t="s">
        <v>147</v>
      </c>
      <c r="C79" s="111"/>
      <c r="D79" s="21">
        <v>5596</v>
      </c>
      <c r="E79" s="28">
        <v>595</v>
      </c>
      <c r="F79" s="27">
        <v>495790</v>
      </c>
      <c r="G79" s="28">
        <v>1492</v>
      </c>
      <c r="H79" s="27">
        <v>41470</v>
      </c>
      <c r="I79" s="28">
        <v>1190</v>
      </c>
      <c r="J79" s="27">
        <v>8</v>
      </c>
      <c r="K79" s="28"/>
      <c r="L79" s="27">
        <v>4</v>
      </c>
      <c r="M79" s="28">
        <v>1758</v>
      </c>
      <c r="N79" s="27">
        <v>60</v>
      </c>
      <c r="O79" s="28">
        <v>40234</v>
      </c>
      <c r="P79" s="27">
        <v>39</v>
      </c>
      <c r="Q79" s="28">
        <v>63</v>
      </c>
      <c r="R79" s="27"/>
      <c r="S79" s="28">
        <v>592</v>
      </c>
      <c r="T79" s="27"/>
      <c r="U79" s="28"/>
      <c r="V79" s="27"/>
      <c r="W79" s="28"/>
      <c r="X79" s="27"/>
      <c r="Y79" s="28"/>
      <c r="Z79" s="27"/>
      <c r="AA79" s="28"/>
      <c r="AB79" s="27"/>
      <c r="AC79" s="28"/>
      <c r="AD79" s="122"/>
    </row>
    <row r="80" spans="1:30">
      <c r="A80" s="218">
        <v>62</v>
      </c>
      <c r="B80" s="111" t="s">
        <v>148</v>
      </c>
      <c r="C80" s="111"/>
      <c r="D80" s="21">
        <v>4477</v>
      </c>
      <c r="E80" s="28">
        <v>10259</v>
      </c>
      <c r="F80" s="27">
        <v>5968820</v>
      </c>
      <c r="G80" s="28">
        <v>21213</v>
      </c>
      <c r="H80" s="27">
        <v>28008</v>
      </c>
      <c r="I80" s="28">
        <v>9118</v>
      </c>
      <c r="J80" s="27"/>
      <c r="K80" s="28">
        <v>156</v>
      </c>
      <c r="L80" s="27">
        <v>38</v>
      </c>
      <c r="M80" s="28">
        <v>1813</v>
      </c>
      <c r="N80" s="27">
        <v>18149</v>
      </c>
      <c r="O80" s="28">
        <v>50806</v>
      </c>
      <c r="P80" s="27">
        <v>91</v>
      </c>
      <c r="Q80" s="28">
        <v>5195</v>
      </c>
      <c r="R80" s="27">
        <v>35845</v>
      </c>
      <c r="S80" s="28">
        <v>556</v>
      </c>
      <c r="T80" s="27"/>
      <c r="U80" s="28"/>
      <c r="V80" s="27"/>
      <c r="W80" s="28"/>
      <c r="X80" s="27"/>
      <c r="Y80" s="28"/>
      <c r="Z80" s="27">
        <v>2733</v>
      </c>
      <c r="AA80" s="28">
        <v>6822</v>
      </c>
      <c r="AB80" s="27"/>
      <c r="AC80" s="28"/>
      <c r="AD80" s="122"/>
    </row>
    <row r="81" spans="1:30">
      <c r="A81" s="218">
        <v>63</v>
      </c>
      <c r="B81" s="111" t="s">
        <v>149</v>
      </c>
      <c r="C81" s="111"/>
      <c r="D81" s="21">
        <v>4234</v>
      </c>
      <c r="E81" s="28">
        <v>13347</v>
      </c>
      <c r="F81" s="27">
        <v>508130</v>
      </c>
      <c r="G81" s="28">
        <v>14303</v>
      </c>
      <c r="H81" s="27">
        <v>9561</v>
      </c>
      <c r="I81" s="28">
        <v>1846</v>
      </c>
      <c r="J81" s="27"/>
      <c r="K81" s="28">
        <v>641</v>
      </c>
      <c r="L81" s="27">
        <v>302</v>
      </c>
      <c r="M81" s="28">
        <v>14826</v>
      </c>
      <c r="N81" s="27">
        <v>8782</v>
      </c>
      <c r="O81" s="28">
        <v>24608</v>
      </c>
      <c r="P81" s="27">
        <v>299</v>
      </c>
      <c r="Q81" s="28">
        <v>41</v>
      </c>
      <c r="R81" s="27"/>
      <c r="S81" s="28">
        <v>2433</v>
      </c>
      <c r="T81" s="27"/>
      <c r="U81" s="28"/>
      <c r="V81" s="27"/>
      <c r="W81" s="28"/>
      <c r="X81" s="27"/>
      <c r="Y81" s="28"/>
      <c r="Z81" s="27">
        <v>20</v>
      </c>
      <c r="AA81" s="28">
        <v>530</v>
      </c>
      <c r="AB81" s="27"/>
      <c r="AC81" s="28"/>
      <c r="AD81" s="122"/>
    </row>
    <row r="82" spans="1:30">
      <c r="A82" s="218">
        <v>64</v>
      </c>
      <c r="B82" s="111" t="s">
        <v>150</v>
      </c>
      <c r="C82" s="111"/>
      <c r="D82" s="21"/>
      <c r="E82" s="28">
        <v>79</v>
      </c>
      <c r="F82" s="27">
        <v>185650</v>
      </c>
      <c r="G82" s="28">
        <v>2</v>
      </c>
      <c r="H82" s="27">
        <v>3200</v>
      </c>
      <c r="I82" s="28">
        <v>91</v>
      </c>
      <c r="J82" s="27"/>
      <c r="K82" s="28">
        <v>53</v>
      </c>
      <c r="L82" s="27">
        <v>417</v>
      </c>
      <c r="M82" s="28">
        <v>5495</v>
      </c>
      <c r="N82" s="27">
        <v>348</v>
      </c>
      <c r="O82" s="28">
        <v>6432</v>
      </c>
      <c r="P82" s="27">
        <v>1653</v>
      </c>
      <c r="Q82" s="28">
        <v>60</v>
      </c>
      <c r="R82" s="27"/>
      <c r="S82" s="28">
        <v>2</v>
      </c>
      <c r="T82" s="27"/>
      <c r="U82" s="28"/>
      <c r="V82" s="27"/>
      <c r="W82" s="28"/>
      <c r="X82" s="27"/>
      <c r="Y82" s="28"/>
      <c r="Z82" s="27"/>
      <c r="AA82" s="28"/>
      <c r="AB82" s="27"/>
      <c r="AC82" s="28"/>
      <c r="AD82" s="122"/>
    </row>
    <row r="83" spans="1:30">
      <c r="A83" s="218">
        <v>65</v>
      </c>
      <c r="B83" s="111" t="s">
        <v>151</v>
      </c>
      <c r="C83" s="111"/>
      <c r="D83" s="21">
        <v>8742</v>
      </c>
      <c r="E83" s="28">
        <v>677</v>
      </c>
      <c r="F83" s="27">
        <v>9076470</v>
      </c>
      <c r="G83" s="28">
        <v>1241</v>
      </c>
      <c r="H83" s="27">
        <v>100008</v>
      </c>
      <c r="I83" s="28">
        <v>7163</v>
      </c>
      <c r="J83" s="27">
        <v>50</v>
      </c>
      <c r="K83" s="28"/>
      <c r="L83" s="27">
        <v>21</v>
      </c>
      <c r="M83" s="28">
        <v>3999</v>
      </c>
      <c r="N83" s="27"/>
      <c r="O83" s="28">
        <v>133419</v>
      </c>
      <c r="P83" s="27">
        <v>53</v>
      </c>
      <c r="Q83" s="28">
        <v>220</v>
      </c>
      <c r="R83" s="27">
        <v>15</v>
      </c>
      <c r="S83" s="28">
        <v>3927</v>
      </c>
      <c r="T83" s="27">
        <v>40</v>
      </c>
      <c r="U83" s="28"/>
      <c r="V83" s="27"/>
      <c r="W83" s="28"/>
      <c r="X83" s="27"/>
      <c r="Y83" s="28"/>
      <c r="Z83" s="27"/>
      <c r="AA83" s="28"/>
      <c r="AB83" s="27"/>
      <c r="AC83" s="28"/>
      <c r="AD83" s="122"/>
    </row>
    <row r="84" spans="1:30">
      <c r="A84" s="218">
        <v>66</v>
      </c>
      <c r="B84" s="111" t="s">
        <v>152</v>
      </c>
      <c r="C84" s="111"/>
      <c r="D84" s="21">
        <v>3089</v>
      </c>
      <c r="E84" s="28">
        <v>24435</v>
      </c>
      <c r="F84" s="27">
        <v>5370775</v>
      </c>
      <c r="G84" s="28">
        <v>1312</v>
      </c>
      <c r="H84" s="27">
        <v>33695</v>
      </c>
      <c r="I84" s="28">
        <v>700</v>
      </c>
      <c r="J84" s="27"/>
      <c r="K84" s="28">
        <v>907</v>
      </c>
      <c r="L84" s="27">
        <v>1358</v>
      </c>
      <c r="M84" s="28">
        <v>24392</v>
      </c>
      <c r="N84" s="27">
        <v>14311</v>
      </c>
      <c r="O84" s="28">
        <v>60829</v>
      </c>
      <c r="P84" s="27">
        <v>14117</v>
      </c>
      <c r="Q84" s="28">
        <v>2889</v>
      </c>
      <c r="R84" s="27">
        <v>50527</v>
      </c>
      <c r="S84" s="28">
        <v>171</v>
      </c>
      <c r="T84" s="27">
        <v>6</v>
      </c>
      <c r="U84" s="28"/>
      <c r="V84" s="27">
        <v>45</v>
      </c>
      <c r="W84" s="28"/>
      <c r="X84" s="27"/>
      <c r="Y84" s="28"/>
      <c r="Z84" s="27"/>
      <c r="AA84" s="28">
        <v>10</v>
      </c>
      <c r="AB84" s="27"/>
      <c r="AC84" s="28"/>
      <c r="AD84" s="122"/>
    </row>
    <row r="85" spans="1:30">
      <c r="A85" s="218">
        <v>67</v>
      </c>
      <c r="B85" s="111" t="s">
        <v>153</v>
      </c>
      <c r="C85" s="111"/>
      <c r="D85" s="21">
        <v>4383</v>
      </c>
      <c r="E85" s="28">
        <v>131</v>
      </c>
      <c r="F85" s="27">
        <v>270940</v>
      </c>
      <c r="G85" s="28">
        <v>367</v>
      </c>
      <c r="H85" s="27">
        <v>134034</v>
      </c>
      <c r="I85" s="28">
        <v>1468</v>
      </c>
      <c r="J85" s="27"/>
      <c r="K85" s="28">
        <v>4</v>
      </c>
      <c r="L85" s="27">
        <v>39</v>
      </c>
      <c r="M85" s="28">
        <v>596</v>
      </c>
      <c r="N85" s="27"/>
      <c r="O85" s="28">
        <v>47686</v>
      </c>
      <c r="P85" s="27">
        <v>24</v>
      </c>
      <c r="Q85" s="28">
        <v>175</v>
      </c>
      <c r="R85" s="27">
        <v>160</v>
      </c>
      <c r="S85" s="28">
        <v>623</v>
      </c>
      <c r="T85" s="27">
        <v>2</v>
      </c>
      <c r="U85" s="28"/>
      <c r="V85" s="27"/>
      <c r="W85" s="28"/>
      <c r="X85" s="27"/>
      <c r="Y85" s="28"/>
      <c r="Z85" s="27"/>
      <c r="AA85" s="28"/>
      <c r="AB85" s="27"/>
      <c r="AC85" s="28"/>
      <c r="AD85" s="122"/>
    </row>
    <row r="86" spans="1:30">
      <c r="A86" s="218">
        <v>68</v>
      </c>
      <c r="B86" s="111" t="s">
        <v>154</v>
      </c>
      <c r="C86" s="111"/>
      <c r="D86" s="21">
        <v>328</v>
      </c>
      <c r="E86" s="28">
        <v>15</v>
      </c>
      <c r="F86" s="27">
        <v>1206070</v>
      </c>
      <c r="G86" s="28">
        <v>79</v>
      </c>
      <c r="H86" s="27">
        <v>45060</v>
      </c>
      <c r="I86" s="28">
        <v>4822</v>
      </c>
      <c r="J86" s="27"/>
      <c r="K86" s="28"/>
      <c r="L86" s="27">
        <v>6</v>
      </c>
      <c r="M86" s="28">
        <v>325</v>
      </c>
      <c r="N86" s="27">
        <v>132</v>
      </c>
      <c r="O86" s="28">
        <v>33908</v>
      </c>
      <c r="P86" s="27">
        <v>10</v>
      </c>
      <c r="Q86" s="28"/>
      <c r="R86" s="27">
        <v>2951</v>
      </c>
      <c r="S86" s="28">
        <v>874</v>
      </c>
      <c r="T86" s="27">
        <v>1</v>
      </c>
      <c r="U86" s="28"/>
      <c r="V86" s="27"/>
      <c r="W86" s="28"/>
      <c r="X86" s="27"/>
      <c r="Y86" s="28"/>
      <c r="Z86" s="27"/>
      <c r="AA86" s="28"/>
      <c r="AB86" s="27"/>
      <c r="AC86" s="28"/>
      <c r="AD86" s="122"/>
    </row>
    <row r="87" spans="1:30">
      <c r="A87" s="218">
        <v>69</v>
      </c>
      <c r="B87" s="111" t="s">
        <v>155</v>
      </c>
      <c r="C87" s="111"/>
      <c r="D87" s="21">
        <v>5172</v>
      </c>
      <c r="E87" s="28">
        <v>1187</v>
      </c>
      <c r="F87" s="27">
        <v>3255840</v>
      </c>
      <c r="G87" s="28">
        <v>2020</v>
      </c>
      <c r="H87" s="27">
        <v>22815</v>
      </c>
      <c r="I87" s="28">
        <v>11419</v>
      </c>
      <c r="J87" s="27">
        <v>133</v>
      </c>
      <c r="K87" s="28">
        <v>13</v>
      </c>
      <c r="L87" s="27">
        <v>177</v>
      </c>
      <c r="M87" s="28">
        <v>3355</v>
      </c>
      <c r="N87" s="27">
        <v>35</v>
      </c>
      <c r="O87" s="28">
        <v>82084</v>
      </c>
      <c r="P87" s="27">
        <v>1087</v>
      </c>
      <c r="Q87" s="28">
        <v>52</v>
      </c>
      <c r="R87" s="27">
        <v>442311</v>
      </c>
      <c r="S87" s="28">
        <v>123</v>
      </c>
      <c r="T87" s="27"/>
      <c r="U87" s="28"/>
      <c r="V87" s="27"/>
      <c r="W87" s="28"/>
      <c r="X87" s="27"/>
      <c r="Y87" s="28"/>
      <c r="Z87" s="27"/>
      <c r="AA87" s="28"/>
      <c r="AB87" s="27"/>
      <c r="AC87" s="28"/>
      <c r="AD87" s="122"/>
    </row>
    <row r="88" spans="1:30">
      <c r="A88" s="218">
        <v>70</v>
      </c>
      <c r="B88" s="111" t="s">
        <v>156</v>
      </c>
      <c r="C88" s="111"/>
      <c r="D88" s="21">
        <v>3823</v>
      </c>
      <c r="E88" s="28">
        <v>2170</v>
      </c>
      <c r="F88" s="27">
        <v>4460260</v>
      </c>
      <c r="G88" s="28">
        <v>839</v>
      </c>
      <c r="H88" s="27">
        <v>99063</v>
      </c>
      <c r="I88" s="28">
        <v>25237</v>
      </c>
      <c r="J88" s="27">
        <v>651</v>
      </c>
      <c r="K88" s="28">
        <v>8</v>
      </c>
      <c r="L88" s="27">
        <v>269</v>
      </c>
      <c r="M88" s="28">
        <v>5634</v>
      </c>
      <c r="N88" s="27">
        <v>314</v>
      </c>
      <c r="O88" s="28">
        <v>148000</v>
      </c>
      <c r="P88" s="27">
        <v>23</v>
      </c>
      <c r="Q88" s="28">
        <v>1508</v>
      </c>
      <c r="R88" s="27">
        <v>1855</v>
      </c>
      <c r="S88" s="28">
        <v>29</v>
      </c>
      <c r="T88" s="27">
        <v>1</v>
      </c>
      <c r="U88" s="28"/>
      <c r="V88" s="27"/>
      <c r="W88" s="28"/>
      <c r="X88" s="27"/>
      <c r="Y88" s="28"/>
      <c r="Z88" s="27"/>
      <c r="AA88" s="28"/>
      <c r="AB88" s="27"/>
      <c r="AC88" s="28"/>
      <c r="AD88" s="122"/>
    </row>
    <row r="89" spans="1:30">
      <c r="A89" s="218">
        <v>71</v>
      </c>
      <c r="B89" s="111" t="s">
        <v>157</v>
      </c>
      <c r="C89" s="111"/>
      <c r="D89" s="21">
        <v>8382</v>
      </c>
      <c r="E89" s="28">
        <v>339</v>
      </c>
      <c r="F89" s="27">
        <v>76280</v>
      </c>
      <c r="G89" s="28">
        <v>274</v>
      </c>
      <c r="H89" s="27">
        <v>1220</v>
      </c>
      <c r="I89" s="28">
        <v>8</v>
      </c>
      <c r="J89" s="27">
        <v>6</v>
      </c>
      <c r="K89" s="28">
        <v>490</v>
      </c>
      <c r="L89" s="27">
        <v>7</v>
      </c>
      <c r="M89" s="28">
        <v>367</v>
      </c>
      <c r="N89" s="27">
        <v>6</v>
      </c>
      <c r="O89" s="28">
        <v>4283</v>
      </c>
      <c r="P89" s="27">
        <v>18</v>
      </c>
      <c r="Q89" s="28">
        <v>10</v>
      </c>
      <c r="R89" s="27"/>
      <c r="S89" s="28">
        <v>181</v>
      </c>
      <c r="T89" s="27"/>
      <c r="U89" s="28"/>
      <c r="V89" s="27"/>
      <c r="W89" s="28"/>
      <c r="X89" s="27"/>
      <c r="Y89" s="28"/>
      <c r="Z89" s="27"/>
      <c r="AA89" s="167"/>
      <c r="AB89" s="27"/>
      <c r="AC89" s="28"/>
      <c r="AD89" s="122"/>
    </row>
    <row r="90" spans="1:30">
      <c r="A90" s="218">
        <v>72</v>
      </c>
      <c r="B90" s="111" t="s">
        <v>158</v>
      </c>
      <c r="C90" s="111"/>
      <c r="D90" s="21">
        <v>13231</v>
      </c>
      <c r="E90" s="28">
        <v>35640</v>
      </c>
      <c r="F90" s="27">
        <v>3501882</v>
      </c>
      <c r="G90" s="28">
        <v>10573</v>
      </c>
      <c r="H90" s="27">
        <v>21605</v>
      </c>
      <c r="I90" s="28">
        <v>8009</v>
      </c>
      <c r="J90" s="27">
        <v>50</v>
      </c>
      <c r="K90" s="28">
        <v>176</v>
      </c>
      <c r="L90" s="27">
        <v>413</v>
      </c>
      <c r="M90" s="28">
        <v>9554</v>
      </c>
      <c r="N90" s="27">
        <v>10349</v>
      </c>
      <c r="O90" s="28">
        <v>35249</v>
      </c>
      <c r="P90" s="27">
        <v>55</v>
      </c>
      <c r="Q90" s="28">
        <v>770</v>
      </c>
      <c r="R90" s="27">
        <v>62110</v>
      </c>
      <c r="S90" s="28">
        <v>380</v>
      </c>
      <c r="T90" s="27"/>
      <c r="U90" s="28"/>
      <c r="V90" s="27"/>
      <c r="W90" s="28"/>
      <c r="X90" s="27"/>
      <c r="Y90" s="28"/>
      <c r="Z90" s="27">
        <v>2300</v>
      </c>
      <c r="AA90" s="28">
        <v>150</v>
      </c>
      <c r="AB90" s="27"/>
      <c r="AC90" s="28"/>
      <c r="AD90" s="122"/>
    </row>
    <row r="91" spans="1:30">
      <c r="A91" s="218">
        <v>73</v>
      </c>
      <c r="B91" s="111" t="s">
        <v>159</v>
      </c>
      <c r="C91" s="111"/>
      <c r="D91" s="21">
        <v>8946</v>
      </c>
      <c r="E91" s="28">
        <v>669</v>
      </c>
      <c r="F91" s="27">
        <v>1244750</v>
      </c>
      <c r="G91" s="28">
        <v>1166</v>
      </c>
      <c r="H91" s="27">
        <v>246750</v>
      </c>
      <c r="I91" s="28">
        <v>2784</v>
      </c>
      <c r="J91" s="27">
        <v>60</v>
      </c>
      <c r="K91" s="28">
        <v>250</v>
      </c>
      <c r="L91" s="27">
        <v>9</v>
      </c>
      <c r="M91" s="28">
        <v>2557</v>
      </c>
      <c r="N91" s="27"/>
      <c r="O91" s="28">
        <v>106320</v>
      </c>
      <c r="P91" s="27">
        <v>91</v>
      </c>
      <c r="Q91" s="28">
        <v>227</v>
      </c>
      <c r="R91" s="27">
        <v>1965</v>
      </c>
      <c r="S91" s="28">
        <v>1446</v>
      </c>
      <c r="T91" s="27"/>
      <c r="U91" s="28"/>
      <c r="V91" s="27"/>
      <c r="W91" s="28"/>
      <c r="X91" s="27"/>
      <c r="Y91" s="28"/>
      <c r="Z91" s="27"/>
      <c r="AA91" s="167"/>
      <c r="AB91" s="27"/>
      <c r="AC91" s="28"/>
      <c r="AD91" s="122"/>
    </row>
    <row r="92" spans="1:30">
      <c r="A92" s="218">
        <v>74</v>
      </c>
      <c r="B92" s="111" t="s">
        <v>160</v>
      </c>
      <c r="C92" s="111"/>
      <c r="D92" s="21">
        <v>8659</v>
      </c>
      <c r="E92" s="28">
        <v>26388</v>
      </c>
      <c r="F92" s="27">
        <v>6456975</v>
      </c>
      <c r="G92" s="28">
        <v>3551</v>
      </c>
      <c r="H92" s="27">
        <v>7030</v>
      </c>
      <c r="I92" s="28">
        <v>1144</v>
      </c>
      <c r="J92" s="27"/>
      <c r="K92" s="28">
        <v>1177</v>
      </c>
      <c r="L92" s="27">
        <v>37</v>
      </c>
      <c r="M92" s="28">
        <v>841</v>
      </c>
      <c r="N92" s="27">
        <v>4189</v>
      </c>
      <c r="O92" s="28">
        <v>27913</v>
      </c>
      <c r="P92" s="27">
        <v>10798</v>
      </c>
      <c r="Q92" s="28">
        <v>152</v>
      </c>
      <c r="R92" s="27">
        <v>11992</v>
      </c>
      <c r="S92" s="28">
        <v>78</v>
      </c>
      <c r="T92" s="27"/>
      <c r="U92" s="28"/>
      <c r="V92" s="27"/>
      <c r="W92" s="28"/>
      <c r="X92" s="27"/>
      <c r="Y92" s="28"/>
      <c r="Z92" s="27">
        <v>16070</v>
      </c>
      <c r="AA92" s="28">
        <v>12</v>
      </c>
      <c r="AB92" s="27"/>
      <c r="AC92" s="28"/>
      <c r="AD92" s="122"/>
    </row>
    <row r="93" spans="1:30">
      <c r="A93" s="218">
        <v>75</v>
      </c>
      <c r="B93" s="111" t="s">
        <v>161</v>
      </c>
      <c r="C93" s="111"/>
      <c r="D93" s="21">
        <v>2400</v>
      </c>
      <c r="E93" s="28">
        <v>752</v>
      </c>
      <c r="F93" s="27">
        <v>6973806</v>
      </c>
      <c r="G93" s="28">
        <v>1897</v>
      </c>
      <c r="H93" s="27">
        <v>130254</v>
      </c>
      <c r="I93" s="28">
        <v>9610</v>
      </c>
      <c r="J93" s="27">
        <v>30</v>
      </c>
      <c r="K93" s="28">
        <v>8</v>
      </c>
      <c r="L93" s="27">
        <v>295</v>
      </c>
      <c r="M93" s="28">
        <v>15957</v>
      </c>
      <c r="N93" s="27">
        <v>552</v>
      </c>
      <c r="O93" s="28">
        <v>205136</v>
      </c>
      <c r="P93" s="27">
        <v>299</v>
      </c>
      <c r="Q93" s="28">
        <v>652</v>
      </c>
      <c r="R93" s="27">
        <v>2085</v>
      </c>
      <c r="S93" s="28">
        <v>2957</v>
      </c>
      <c r="T93" s="27"/>
      <c r="U93" s="28"/>
      <c r="V93" s="27"/>
      <c r="W93" s="28"/>
      <c r="X93" s="27"/>
      <c r="Y93" s="28"/>
      <c r="Z93" s="27"/>
      <c r="AA93" s="28">
        <v>150</v>
      </c>
      <c r="AB93" s="27"/>
      <c r="AC93" s="28"/>
      <c r="AD93" s="122"/>
    </row>
    <row r="94" spans="1:30">
      <c r="A94" s="218">
        <v>76</v>
      </c>
      <c r="B94" s="111" t="s">
        <v>162</v>
      </c>
      <c r="C94" s="111"/>
      <c r="D94" s="21">
        <v>19478</v>
      </c>
      <c r="E94" s="28">
        <v>3797</v>
      </c>
      <c r="F94" s="27">
        <v>2969435</v>
      </c>
      <c r="G94" s="28">
        <v>2467</v>
      </c>
      <c r="H94" s="27">
        <v>41470</v>
      </c>
      <c r="I94" s="28">
        <v>6084</v>
      </c>
      <c r="J94" s="27">
        <v>100</v>
      </c>
      <c r="K94" s="28">
        <v>57</v>
      </c>
      <c r="L94" s="27">
        <v>172</v>
      </c>
      <c r="M94" s="28">
        <v>5022</v>
      </c>
      <c r="N94" s="27">
        <v>2006</v>
      </c>
      <c r="O94" s="28">
        <v>237309</v>
      </c>
      <c r="P94" s="27">
        <v>88</v>
      </c>
      <c r="Q94" s="28">
        <v>70</v>
      </c>
      <c r="R94" s="27">
        <v>186122</v>
      </c>
      <c r="S94" s="28">
        <v>2721</v>
      </c>
      <c r="T94" s="27"/>
      <c r="U94" s="28"/>
      <c r="V94" s="27"/>
      <c r="W94" s="28"/>
      <c r="X94" s="27"/>
      <c r="Y94" s="28"/>
      <c r="Z94" s="27"/>
      <c r="AA94" s="28">
        <v>19145</v>
      </c>
      <c r="AB94" s="27"/>
      <c r="AC94" s="28"/>
      <c r="AD94" s="122"/>
    </row>
    <row r="95" spans="1:30">
      <c r="A95" s="218">
        <v>77</v>
      </c>
      <c r="B95" s="111" t="s">
        <v>163</v>
      </c>
      <c r="C95" s="111"/>
      <c r="D95" s="21">
        <v>9206</v>
      </c>
      <c r="E95" s="28">
        <v>2495</v>
      </c>
      <c r="F95" s="27">
        <v>781780</v>
      </c>
      <c r="G95" s="28">
        <v>5159</v>
      </c>
      <c r="H95" s="27">
        <v>1045</v>
      </c>
      <c r="I95" s="28">
        <v>164</v>
      </c>
      <c r="J95" s="27"/>
      <c r="K95" s="28">
        <v>7121</v>
      </c>
      <c r="L95" s="27">
        <v>12</v>
      </c>
      <c r="M95" s="28">
        <v>132</v>
      </c>
      <c r="N95" s="27">
        <v>1733</v>
      </c>
      <c r="O95" s="28">
        <v>19876</v>
      </c>
      <c r="P95" s="27">
        <v>10</v>
      </c>
      <c r="Q95" s="28"/>
      <c r="R95" s="27">
        <v>10510</v>
      </c>
      <c r="S95" s="28">
        <v>44</v>
      </c>
      <c r="T95" s="27"/>
      <c r="U95" s="28"/>
      <c r="V95" s="27"/>
      <c r="W95" s="28"/>
      <c r="X95" s="27"/>
      <c r="Y95" s="28"/>
      <c r="Z95" s="27"/>
      <c r="AA95" s="28">
        <v>2450</v>
      </c>
      <c r="AB95" s="27"/>
      <c r="AC95" s="28"/>
      <c r="AD95" s="122"/>
    </row>
    <row r="96" spans="1:30">
      <c r="A96" s="218">
        <v>78</v>
      </c>
      <c r="B96" s="111" t="s">
        <v>164</v>
      </c>
      <c r="C96" s="111"/>
      <c r="D96" s="21">
        <v>1611</v>
      </c>
      <c r="E96" s="28">
        <v>830</v>
      </c>
      <c r="F96" s="27">
        <v>1512499</v>
      </c>
      <c r="G96" s="28">
        <v>803</v>
      </c>
      <c r="H96" s="27">
        <v>117020</v>
      </c>
      <c r="I96" s="28">
        <v>20747</v>
      </c>
      <c r="J96" s="27">
        <v>3948</v>
      </c>
      <c r="K96" s="28">
        <v>3</v>
      </c>
      <c r="L96" s="27">
        <v>955</v>
      </c>
      <c r="M96" s="28">
        <v>1327</v>
      </c>
      <c r="N96" s="27">
        <v>192</v>
      </c>
      <c r="O96" s="28">
        <v>58892</v>
      </c>
      <c r="P96" s="27">
        <v>6</v>
      </c>
      <c r="Q96" s="28">
        <v>392</v>
      </c>
      <c r="R96" s="27">
        <v>29139</v>
      </c>
      <c r="S96" s="28">
        <v>50</v>
      </c>
      <c r="T96" s="27"/>
      <c r="U96" s="28"/>
      <c r="V96" s="27"/>
      <c r="W96" s="28"/>
      <c r="X96" s="27"/>
      <c r="Y96" s="28"/>
      <c r="Z96" s="27"/>
      <c r="AA96" s="28"/>
      <c r="AB96" s="27"/>
      <c r="AC96" s="28"/>
      <c r="AD96" s="122"/>
    </row>
    <row r="97" spans="1:30">
      <c r="A97" s="218">
        <v>79</v>
      </c>
      <c r="B97" s="111" t="s">
        <v>165</v>
      </c>
      <c r="C97" s="111"/>
      <c r="D97" s="21">
        <v>4245</v>
      </c>
      <c r="E97" s="28">
        <v>261</v>
      </c>
      <c r="F97" s="27">
        <v>381060</v>
      </c>
      <c r="G97" s="28">
        <v>864</v>
      </c>
      <c r="H97" s="27">
        <v>16126</v>
      </c>
      <c r="I97" s="28">
        <v>761</v>
      </c>
      <c r="J97" s="27"/>
      <c r="K97" s="28">
        <v>9</v>
      </c>
      <c r="L97" s="27">
        <v>6</v>
      </c>
      <c r="M97" s="28">
        <v>1315</v>
      </c>
      <c r="N97" s="27">
        <v>36</v>
      </c>
      <c r="O97" s="28">
        <v>36274</v>
      </c>
      <c r="P97" s="27">
        <v>105</v>
      </c>
      <c r="Q97" s="28">
        <v>165</v>
      </c>
      <c r="R97" s="27"/>
      <c r="S97" s="28">
        <v>322</v>
      </c>
      <c r="T97" s="27"/>
      <c r="U97" s="28"/>
      <c r="V97" s="27"/>
      <c r="W97" s="28"/>
      <c r="X97" s="27"/>
      <c r="Y97" s="28"/>
      <c r="Z97" s="27"/>
      <c r="AA97" s="28"/>
      <c r="AB97" s="27"/>
      <c r="AC97" s="28"/>
      <c r="AD97" s="122"/>
    </row>
    <row r="98" spans="1:30">
      <c r="A98" s="218">
        <v>80</v>
      </c>
      <c r="B98" s="111" t="s">
        <v>166</v>
      </c>
      <c r="C98" s="111"/>
      <c r="D98" s="21">
        <v>1473</v>
      </c>
      <c r="E98" s="28">
        <v>349</v>
      </c>
      <c r="F98" s="27">
        <v>1557100</v>
      </c>
      <c r="G98" s="28">
        <v>47</v>
      </c>
      <c r="H98" s="27">
        <v>24675</v>
      </c>
      <c r="I98" s="28">
        <v>4562</v>
      </c>
      <c r="J98" s="27"/>
      <c r="K98" s="28"/>
      <c r="L98" s="27">
        <v>15</v>
      </c>
      <c r="M98" s="28">
        <v>562</v>
      </c>
      <c r="N98" s="27">
        <v>161</v>
      </c>
      <c r="O98" s="28">
        <v>68085</v>
      </c>
      <c r="P98" s="27">
        <v>32</v>
      </c>
      <c r="Q98" s="28"/>
      <c r="R98" s="27"/>
      <c r="S98" s="28">
        <v>4495</v>
      </c>
      <c r="T98" s="27"/>
      <c r="U98" s="28"/>
      <c r="V98" s="27"/>
      <c r="W98" s="28"/>
      <c r="X98" s="27"/>
      <c r="Y98" s="28"/>
      <c r="Z98" s="27"/>
      <c r="AA98" s="28">
        <v>100</v>
      </c>
      <c r="AB98" s="27"/>
      <c r="AC98" s="28"/>
      <c r="AD98" s="122"/>
    </row>
    <row r="99" spans="1:30">
      <c r="A99" s="218">
        <v>81</v>
      </c>
      <c r="B99" s="111" t="s">
        <v>167</v>
      </c>
      <c r="C99" s="111"/>
      <c r="D99" s="21">
        <v>43777</v>
      </c>
      <c r="E99" s="28">
        <v>4102</v>
      </c>
      <c r="F99" s="27">
        <v>3979806</v>
      </c>
      <c r="G99" s="28">
        <v>3297</v>
      </c>
      <c r="H99" s="27">
        <v>298976</v>
      </c>
      <c r="I99" s="28">
        <v>14181</v>
      </c>
      <c r="J99" s="27">
        <v>2207</v>
      </c>
      <c r="K99" s="28">
        <v>4989</v>
      </c>
      <c r="L99" s="27">
        <v>190</v>
      </c>
      <c r="M99" s="28">
        <v>23834</v>
      </c>
      <c r="N99" s="27">
        <v>816</v>
      </c>
      <c r="O99" s="28">
        <v>83787</v>
      </c>
      <c r="P99" s="27">
        <v>8</v>
      </c>
      <c r="Q99" s="28">
        <v>302</v>
      </c>
      <c r="R99" s="27">
        <v>7535</v>
      </c>
      <c r="S99" s="28">
        <v>696</v>
      </c>
      <c r="T99" s="27">
        <v>4</v>
      </c>
      <c r="U99" s="28"/>
      <c r="V99" s="27"/>
      <c r="W99" s="28"/>
      <c r="X99" s="27"/>
      <c r="Y99" s="28"/>
      <c r="Z99" s="27"/>
      <c r="AA99" s="28"/>
      <c r="AB99" s="27"/>
      <c r="AC99" s="28"/>
      <c r="AD99" s="122"/>
    </row>
    <row r="100" spans="1:30">
      <c r="A100" s="218">
        <v>82</v>
      </c>
      <c r="B100" s="111" t="s">
        <v>168</v>
      </c>
      <c r="C100" s="111"/>
      <c r="D100" s="42">
        <v>6525</v>
      </c>
      <c r="E100" s="163">
        <v>12939</v>
      </c>
      <c r="F100" s="169">
        <v>5014078</v>
      </c>
      <c r="G100" s="163">
        <v>20848</v>
      </c>
      <c r="H100" s="169">
        <v>5840</v>
      </c>
      <c r="I100" s="163">
        <v>4344</v>
      </c>
      <c r="J100" s="169"/>
      <c r="K100" s="163">
        <v>2916</v>
      </c>
      <c r="L100" s="27">
        <v>558</v>
      </c>
      <c r="M100" s="163">
        <v>8310</v>
      </c>
      <c r="N100" s="169">
        <v>14667</v>
      </c>
      <c r="O100" s="163">
        <v>61290</v>
      </c>
      <c r="P100" s="169">
        <v>6278</v>
      </c>
      <c r="Q100" s="163">
        <v>130</v>
      </c>
      <c r="R100" s="169">
        <v>5030</v>
      </c>
      <c r="S100" s="28">
        <v>1051</v>
      </c>
      <c r="T100" s="169"/>
      <c r="U100" s="163"/>
      <c r="V100" s="169"/>
      <c r="W100" s="163"/>
      <c r="X100" s="169"/>
      <c r="Y100" s="163"/>
      <c r="Z100" s="169">
        <v>3740</v>
      </c>
      <c r="AA100" s="163">
        <v>2337</v>
      </c>
      <c r="AB100" s="169"/>
      <c r="AC100" s="163"/>
      <c r="AD100" s="296"/>
    </row>
    <row r="101" spans="1:30">
      <c r="A101" s="219"/>
      <c r="B101" s="240"/>
      <c r="C101" s="240"/>
      <c r="E101" s="37"/>
      <c r="G101" s="171"/>
      <c r="H101" s="25"/>
      <c r="I101" s="171"/>
      <c r="J101" s="25"/>
      <c r="K101" s="185"/>
      <c r="L101" s="185"/>
      <c r="M101" s="185"/>
      <c r="N101" s="26"/>
      <c r="O101" s="185"/>
      <c r="P101" s="26"/>
      <c r="Q101" s="185"/>
      <c r="R101" s="26"/>
      <c r="S101" s="185"/>
      <c r="T101" s="26"/>
      <c r="U101" s="185"/>
      <c r="V101" s="26"/>
      <c r="W101" s="185"/>
      <c r="X101" s="26"/>
      <c r="Y101" s="185"/>
      <c r="AA101" s="185"/>
      <c r="AC101" s="185"/>
      <c r="AD101" s="295"/>
    </row>
    <row r="102" spans="1:30" ht="15">
      <c r="A102" s="220" t="s">
        <v>86</v>
      </c>
      <c r="B102" s="232"/>
      <c r="C102" s="232"/>
      <c r="D102" s="21">
        <f>SUM(D19:D100)</f>
        <v>1172695</v>
      </c>
      <c r="E102" s="22">
        <f>SUM(E19:E100)</f>
        <v>1179251</v>
      </c>
      <c r="F102" s="27">
        <f t="shared" ref="F102:AA102" si="2">SUM(F19:F100)</f>
        <v>260374527</v>
      </c>
      <c r="G102" s="22">
        <f t="shared" si="2"/>
        <v>360994</v>
      </c>
      <c r="H102" s="21">
        <f t="shared" si="2"/>
        <v>4660402</v>
      </c>
      <c r="I102" s="22">
        <f t="shared" si="2"/>
        <v>749559</v>
      </c>
      <c r="J102" s="21">
        <f t="shared" si="2"/>
        <v>108103</v>
      </c>
      <c r="K102" s="28">
        <f t="shared" si="2"/>
        <v>168154</v>
      </c>
      <c r="L102" s="27">
        <f>SUM(L19:L100)</f>
        <v>25300</v>
      </c>
      <c r="M102" s="28">
        <f t="shared" si="2"/>
        <v>377248</v>
      </c>
      <c r="N102" s="27">
        <f t="shared" si="2"/>
        <v>230845</v>
      </c>
      <c r="O102" s="28">
        <f t="shared" si="2"/>
        <v>5207194</v>
      </c>
      <c r="P102" s="27">
        <f t="shared" si="2"/>
        <v>104694</v>
      </c>
      <c r="Q102" s="28">
        <f t="shared" si="2"/>
        <v>668716</v>
      </c>
      <c r="R102" s="27">
        <f t="shared" si="2"/>
        <v>2876777</v>
      </c>
      <c r="S102" s="28">
        <f>SUM(S19:S100)</f>
        <v>99800</v>
      </c>
      <c r="T102" s="27">
        <f t="shared" si="2"/>
        <v>5616</v>
      </c>
      <c r="U102" s="28">
        <f t="shared" si="2"/>
        <v>1627</v>
      </c>
      <c r="V102" s="27">
        <f t="shared" si="2"/>
        <v>138</v>
      </c>
      <c r="W102" s="28">
        <f t="shared" si="2"/>
        <v>0</v>
      </c>
      <c r="X102" s="27">
        <f t="shared" si="2"/>
        <v>3000</v>
      </c>
      <c r="Y102" s="28">
        <f t="shared" si="2"/>
        <v>8</v>
      </c>
      <c r="Z102" s="27">
        <f t="shared" si="2"/>
        <v>86465</v>
      </c>
      <c r="AA102" s="28">
        <f t="shared" si="2"/>
        <v>184401</v>
      </c>
      <c r="AB102" s="27">
        <v>0</v>
      </c>
      <c r="AC102" s="28">
        <v>0</v>
      </c>
      <c r="AD102" s="122">
        <v>0</v>
      </c>
    </row>
    <row r="103" spans="1:30" ht="16" thickBot="1">
      <c r="A103" s="221"/>
      <c r="B103" s="233"/>
      <c r="C103" s="233"/>
      <c r="D103" s="202"/>
      <c r="E103" s="186"/>
      <c r="F103" s="209"/>
      <c r="G103" s="186"/>
      <c r="H103" s="186"/>
      <c r="I103" s="186"/>
      <c r="J103" s="186"/>
      <c r="K103" s="186"/>
      <c r="L103" s="186"/>
      <c r="M103" s="186"/>
      <c r="N103" s="186"/>
      <c r="O103" s="186"/>
      <c r="P103" s="186"/>
      <c r="Q103" s="187"/>
      <c r="R103" s="189"/>
      <c r="S103" s="187"/>
      <c r="T103" s="187"/>
      <c r="U103" s="187"/>
      <c r="V103" s="190"/>
      <c r="W103" s="187"/>
      <c r="X103" s="187"/>
      <c r="Y103" s="190"/>
      <c r="Z103" s="190"/>
      <c r="AA103" s="190"/>
      <c r="AB103" s="190"/>
      <c r="AC103" s="190"/>
      <c r="AD103" s="297"/>
    </row>
    <row r="104" spans="1:30" ht="15" thickTop="1">
      <c r="A104" s="222" t="s">
        <v>21</v>
      </c>
      <c r="B104" s="97"/>
      <c r="C104" s="97"/>
      <c r="D104" s="21"/>
      <c r="E104" s="22"/>
      <c r="F104" s="28"/>
      <c r="G104" s="22"/>
      <c r="H104" s="22"/>
      <c r="I104" s="22"/>
      <c r="J104" s="22"/>
      <c r="K104" s="22"/>
      <c r="L104" s="22"/>
      <c r="M104" s="22"/>
      <c r="N104" s="22"/>
      <c r="O104" s="22"/>
      <c r="P104" s="22"/>
      <c r="Q104" s="13"/>
      <c r="R104" s="35"/>
      <c r="S104" s="13"/>
      <c r="T104" s="13"/>
      <c r="U104" s="13"/>
      <c r="V104" s="13"/>
      <c r="W104" s="13"/>
      <c r="X104" s="13"/>
      <c r="Y104" s="167"/>
      <c r="Z104" s="167"/>
      <c r="AA104" s="167"/>
      <c r="AB104" s="167"/>
      <c r="AC104" s="167"/>
      <c r="AD104" s="293"/>
    </row>
    <row r="105" spans="1:30">
      <c r="A105" s="145">
        <v>83</v>
      </c>
      <c r="B105" s="4" t="s">
        <v>169</v>
      </c>
      <c r="C105" s="4" t="s">
        <v>308</v>
      </c>
      <c r="D105" s="70">
        <v>13869</v>
      </c>
      <c r="E105" s="22">
        <v>12</v>
      </c>
      <c r="F105" s="28">
        <v>54600</v>
      </c>
      <c r="G105" s="22">
        <v>16</v>
      </c>
      <c r="H105" s="22">
        <v>80</v>
      </c>
      <c r="I105" s="22">
        <v>6526</v>
      </c>
      <c r="J105" s="22">
        <v>50</v>
      </c>
      <c r="K105" s="22">
        <v>5</v>
      </c>
      <c r="L105" s="22">
        <v>1074</v>
      </c>
      <c r="M105" s="22">
        <v>133</v>
      </c>
      <c r="N105" s="22">
        <v>1703</v>
      </c>
      <c r="O105" s="22">
        <v>23934</v>
      </c>
      <c r="P105" s="28">
        <v>817</v>
      </c>
      <c r="Q105" s="28">
        <v>1</v>
      </c>
      <c r="R105" s="28">
        <v>4905</v>
      </c>
      <c r="S105" s="28">
        <v>227</v>
      </c>
      <c r="T105" s="28"/>
      <c r="U105" s="28"/>
      <c r="V105" s="28"/>
      <c r="W105" s="28"/>
      <c r="X105" s="28"/>
      <c r="Y105" s="28"/>
      <c r="Z105" s="28"/>
      <c r="AA105" s="28"/>
      <c r="AB105" s="28"/>
      <c r="AC105" s="28"/>
      <c r="AD105" s="122"/>
    </row>
    <row r="106" spans="1:30">
      <c r="A106" s="145">
        <v>84</v>
      </c>
      <c r="B106" s="4" t="s">
        <v>170</v>
      </c>
      <c r="C106" s="4"/>
      <c r="D106" s="70">
        <v>639</v>
      </c>
      <c r="E106" s="22">
        <v>29</v>
      </c>
      <c r="F106" s="28">
        <v>74920</v>
      </c>
      <c r="G106" s="22">
        <v>17</v>
      </c>
      <c r="H106" s="22">
        <v>1720</v>
      </c>
      <c r="I106" s="22">
        <v>3681</v>
      </c>
      <c r="J106" s="22">
        <v>415</v>
      </c>
      <c r="K106" s="22"/>
      <c r="L106" s="22">
        <v>21</v>
      </c>
      <c r="M106" s="22">
        <v>342</v>
      </c>
      <c r="N106" s="22">
        <v>167</v>
      </c>
      <c r="O106" s="22">
        <v>15817</v>
      </c>
      <c r="P106" s="28">
        <v>33</v>
      </c>
      <c r="Q106" s="28">
        <v>10</v>
      </c>
      <c r="R106" s="28">
        <v>8681</v>
      </c>
      <c r="S106" s="28">
        <v>3</v>
      </c>
      <c r="T106" s="28"/>
      <c r="U106" s="28"/>
      <c r="V106" s="28"/>
      <c r="W106" s="28"/>
      <c r="X106" s="28"/>
      <c r="Y106" s="28"/>
      <c r="Z106" s="28"/>
      <c r="AA106" s="28"/>
      <c r="AB106" s="28"/>
      <c r="AC106" s="28"/>
      <c r="AD106" s="122"/>
    </row>
    <row r="107" spans="1:30">
      <c r="A107" s="145">
        <v>85</v>
      </c>
      <c r="B107" s="4" t="s">
        <v>171</v>
      </c>
      <c r="C107" s="4"/>
      <c r="D107" s="70">
        <v>336</v>
      </c>
      <c r="E107" s="22">
        <v>143</v>
      </c>
      <c r="F107" s="28">
        <v>131340</v>
      </c>
      <c r="G107" s="22">
        <v>18</v>
      </c>
      <c r="H107" s="22">
        <v>2650</v>
      </c>
      <c r="I107" s="22">
        <v>9930</v>
      </c>
      <c r="J107" s="22">
        <v>7616</v>
      </c>
      <c r="K107" s="22"/>
      <c r="L107" s="22">
        <v>288</v>
      </c>
      <c r="M107" s="22">
        <v>624</v>
      </c>
      <c r="N107" s="22">
        <v>142</v>
      </c>
      <c r="O107" s="22">
        <v>15374</v>
      </c>
      <c r="P107" s="28">
        <v>39</v>
      </c>
      <c r="Q107" s="28"/>
      <c r="R107" s="28">
        <v>5072</v>
      </c>
      <c r="S107" s="28">
        <v>15</v>
      </c>
      <c r="T107" s="28"/>
      <c r="U107" s="28">
        <v>10</v>
      </c>
      <c r="V107" s="28"/>
      <c r="W107" s="28"/>
      <c r="X107" s="28"/>
      <c r="Y107" s="28">
        <v>118</v>
      </c>
      <c r="Z107" s="28"/>
      <c r="AA107" s="28"/>
      <c r="AB107" s="28"/>
      <c r="AC107" s="28"/>
      <c r="AD107" s="122"/>
    </row>
    <row r="108" spans="1:30">
      <c r="A108" s="145">
        <v>86</v>
      </c>
      <c r="B108" s="4" t="s">
        <v>172</v>
      </c>
      <c r="C108" s="4"/>
      <c r="D108" s="70">
        <v>74</v>
      </c>
      <c r="E108" s="22">
        <v>13</v>
      </c>
      <c r="F108" s="28">
        <v>48800</v>
      </c>
      <c r="G108" s="22">
        <v>14</v>
      </c>
      <c r="H108" s="22"/>
      <c r="I108" s="22">
        <v>486</v>
      </c>
      <c r="J108" s="22">
        <v>473</v>
      </c>
      <c r="K108" s="22"/>
      <c r="L108" s="22">
        <v>220</v>
      </c>
      <c r="M108" s="22">
        <v>364</v>
      </c>
      <c r="N108" s="22"/>
      <c r="O108" s="22">
        <v>2420</v>
      </c>
      <c r="P108" s="28">
        <v>15</v>
      </c>
      <c r="Q108" s="28"/>
      <c r="R108" s="28">
        <v>5972</v>
      </c>
      <c r="S108" s="28"/>
      <c r="T108" s="28"/>
      <c r="U108" s="28"/>
      <c r="V108" s="28"/>
      <c r="W108" s="28"/>
      <c r="X108" s="28"/>
      <c r="Y108" s="28"/>
      <c r="Z108" s="28"/>
      <c r="AA108" s="28"/>
      <c r="AB108" s="28"/>
      <c r="AC108" s="28"/>
      <c r="AD108" s="122"/>
    </row>
    <row r="109" spans="1:30">
      <c r="A109" s="145">
        <v>87</v>
      </c>
      <c r="B109" s="4" t="s">
        <v>173</v>
      </c>
      <c r="C109" s="4"/>
      <c r="D109" s="70">
        <v>212</v>
      </c>
      <c r="E109" s="22">
        <v>3</v>
      </c>
      <c r="F109" s="28">
        <v>228330</v>
      </c>
      <c r="G109" s="22"/>
      <c r="H109" s="22">
        <v>7350</v>
      </c>
      <c r="I109" s="22">
        <v>9067</v>
      </c>
      <c r="J109" s="22">
        <v>5670</v>
      </c>
      <c r="K109" s="22">
        <v>4</v>
      </c>
      <c r="L109" s="22">
        <v>85175</v>
      </c>
      <c r="M109" s="22">
        <v>2815</v>
      </c>
      <c r="N109" s="22">
        <v>86</v>
      </c>
      <c r="O109" s="22">
        <v>23913</v>
      </c>
      <c r="P109" s="28">
        <v>36</v>
      </c>
      <c r="Q109" s="28"/>
      <c r="R109" s="28">
        <v>8744</v>
      </c>
      <c r="S109" s="28">
        <v>84</v>
      </c>
      <c r="T109" s="28"/>
      <c r="U109" s="28"/>
      <c r="V109" s="28">
        <v>261</v>
      </c>
      <c r="W109" s="28"/>
      <c r="X109" s="28"/>
      <c r="Y109" s="28">
        <v>1</v>
      </c>
      <c r="Z109" s="28"/>
      <c r="AA109" s="28"/>
      <c r="AB109" s="28"/>
      <c r="AC109" s="28"/>
      <c r="AD109" s="122"/>
    </row>
    <row r="110" spans="1:30">
      <c r="A110" s="215"/>
      <c r="B110" s="203"/>
      <c r="C110" s="203"/>
      <c r="D110" s="54"/>
      <c r="E110" s="37"/>
      <c r="F110" s="185"/>
      <c r="G110" s="37"/>
      <c r="H110" s="37"/>
      <c r="I110" s="37"/>
      <c r="J110" s="37"/>
      <c r="K110" s="37"/>
      <c r="L110" s="37"/>
      <c r="M110" s="37"/>
      <c r="N110" s="37"/>
      <c r="O110" s="37"/>
      <c r="P110" s="185"/>
      <c r="Q110" s="185"/>
      <c r="R110" s="185"/>
      <c r="S110" s="185"/>
      <c r="T110" s="185"/>
      <c r="U110" s="185"/>
      <c r="V110" s="185"/>
      <c r="W110" s="185"/>
      <c r="X110" s="185"/>
      <c r="Y110" s="185"/>
      <c r="Z110" s="185"/>
      <c r="AA110" s="185"/>
      <c r="AB110" s="185"/>
      <c r="AC110" s="185"/>
      <c r="AD110" s="295"/>
    </row>
    <row r="111" spans="1:30">
      <c r="A111" s="145" t="s">
        <v>293</v>
      </c>
      <c r="B111" s="4"/>
      <c r="C111" s="4"/>
      <c r="D111" s="70">
        <f>SUM(D105:D109)</f>
        <v>15130</v>
      </c>
      <c r="E111" s="22">
        <f t="shared" ref="E111:AD111" si="3">SUM(E105:E109)</f>
        <v>200</v>
      </c>
      <c r="F111" s="28">
        <f t="shared" si="3"/>
        <v>537990</v>
      </c>
      <c r="G111" s="22">
        <f t="shared" si="3"/>
        <v>65</v>
      </c>
      <c r="H111" s="22">
        <f t="shared" si="3"/>
        <v>11800</v>
      </c>
      <c r="I111" s="22">
        <f t="shared" si="3"/>
        <v>29690</v>
      </c>
      <c r="J111" s="22">
        <f t="shared" si="3"/>
        <v>14224</v>
      </c>
      <c r="K111" s="22">
        <f t="shared" si="3"/>
        <v>9</v>
      </c>
      <c r="L111" s="22">
        <f t="shared" si="3"/>
        <v>86778</v>
      </c>
      <c r="M111" s="22">
        <f t="shared" si="3"/>
        <v>4278</v>
      </c>
      <c r="N111" s="22">
        <f t="shared" si="3"/>
        <v>2098</v>
      </c>
      <c r="O111" s="22">
        <f t="shared" si="3"/>
        <v>81458</v>
      </c>
      <c r="P111" s="28">
        <f t="shared" si="3"/>
        <v>940</v>
      </c>
      <c r="Q111" s="28">
        <f t="shared" si="3"/>
        <v>11</v>
      </c>
      <c r="R111" s="28">
        <f t="shared" si="3"/>
        <v>33374</v>
      </c>
      <c r="S111" s="28">
        <f t="shared" si="3"/>
        <v>329</v>
      </c>
      <c r="T111" s="28">
        <f t="shared" si="3"/>
        <v>0</v>
      </c>
      <c r="U111" s="28">
        <f t="shared" si="3"/>
        <v>10</v>
      </c>
      <c r="V111" s="28">
        <f t="shared" si="3"/>
        <v>261</v>
      </c>
      <c r="W111" s="28">
        <f t="shared" si="3"/>
        <v>0</v>
      </c>
      <c r="X111" s="28">
        <f t="shared" si="3"/>
        <v>0</v>
      </c>
      <c r="Y111" s="28">
        <f t="shared" si="3"/>
        <v>119</v>
      </c>
      <c r="Z111" s="28">
        <f t="shared" si="3"/>
        <v>0</v>
      </c>
      <c r="AA111" s="28">
        <f t="shared" si="3"/>
        <v>0</v>
      </c>
      <c r="AB111" s="28">
        <f t="shared" si="3"/>
        <v>0</v>
      </c>
      <c r="AC111" s="28">
        <f t="shared" si="3"/>
        <v>0</v>
      </c>
      <c r="AD111" s="122">
        <f t="shared" si="3"/>
        <v>0</v>
      </c>
    </row>
    <row r="112" spans="1:30" ht="15" thickBot="1">
      <c r="A112" s="217"/>
      <c r="B112" s="104"/>
      <c r="C112" s="104"/>
      <c r="D112" s="202"/>
      <c r="E112" s="186"/>
      <c r="F112" s="208"/>
      <c r="G112" s="186"/>
      <c r="H112" s="202"/>
      <c r="I112" s="186"/>
      <c r="J112" s="186"/>
      <c r="K112" s="186"/>
      <c r="L112" s="186"/>
      <c r="M112" s="186"/>
      <c r="N112" s="186"/>
      <c r="O112" s="186"/>
      <c r="P112" s="186"/>
      <c r="Q112" s="190"/>
      <c r="R112" s="189"/>
      <c r="S112" s="190"/>
      <c r="T112" s="190"/>
      <c r="U112" s="190"/>
      <c r="V112" s="190"/>
      <c r="W112" s="190"/>
      <c r="X112" s="190"/>
      <c r="Y112" s="190"/>
      <c r="Z112" s="190"/>
      <c r="AA112" s="190"/>
      <c r="AB112" s="190"/>
      <c r="AC112" s="190"/>
      <c r="AD112" s="297"/>
    </row>
    <row r="113" spans="1:30" ht="15" thickTop="1">
      <c r="A113" s="223" t="s">
        <v>22</v>
      </c>
      <c r="B113" s="112"/>
      <c r="C113" s="112"/>
      <c r="D113" s="21"/>
      <c r="E113" s="22"/>
      <c r="F113" s="28"/>
      <c r="G113" s="22"/>
      <c r="H113" s="21"/>
      <c r="I113" s="22"/>
      <c r="J113" s="22"/>
      <c r="K113" s="22"/>
      <c r="L113" s="22"/>
      <c r="M113" s="22"/>
      <c r="N113" s="22"/>
      <c r="O113" s="22"/>
      <c r="P113" s="22"/>
      <c r="Q113" s="13"/>
      <c r="R113" s="35"/>
      <c r="S113" s="13"/>
      <c r="T113" s="13"/>
      <c r="U113" s="13"/>
      <c r="V113" s="13"/>
      <c r="W113" s="13"/>
      <c r="X113" s="13"/>
      <c r="Y113" s="167"/>
      <c r="Z113" s="167"/>
      <c r="AA113" s="167"/>
      <c r="AB113" s="167"/>
      <c r="AC113" s="167"/>
      <c r="AD113" s="293"/>
    </row>
    <row r="114" spans="1:30">
      <c r="A114" s="222" t="s">
        <v>23</v>
      </c>
      <c r="B114" s="97"/>
      <c r="C114" s="97"/>
      <c r="D114" s="21"/>
      <c r="E114" s="22"/>
      <c r="F114" s="28"/>
      <c r="G114" s="22"/>
      <c r="H114" s="22"/>
      <c r="I114" s="22"/>
      <c r="J114" s="22"/>
      <c r="K114" s="22"/>
      <c r="L114" s="22"/>
      <c r="M114" s="22"/>
      <c r="N114" s="22"/>
      <c r="O114" s="22"/>
      <c r="P114" s="22"/>
      <c r="Q114" s="13"/>
      <c r="R114" s="35"/>
      <c r="S114" s="13"/>
      <c r="T114" s="13"/>
      <c r="U114" s="13"/>
      <c r="V114" s="13"/>
      <c r="W114" s="13"/>
      <c r="X114" s="13"/>
      <c r="Y114" s="167"/>
      <c r="Z114" s="167"/>
      <c r="AA114" s="167"/>
      <c r="AB114" s="167"/>
      <c r="AC114" s="167"/>
      <c r="AD114" s="293"/>
    </row>
    <row r="115" spans="1:30">
      <c r="A115" s="145">
        <v>88</v>
      </c>
      <c r="B115" s="4" t="s">
        <v>174</v>
      </c>
      <c r="C115" s="4"/>
      <c r="D115" s="21">
        <v>12753</v>
      </c>
      <c r="E115" s="22">
        <v>3185</v>
      </c>
      <c r="F115" s="28">
        <v>1802415</v>
      </c>
      <c r="G115" s="22">
        <v>530</v>
      </c>
      <c r="H115" s="22">
        <v>10868</v>
      </c>
      <c r="I115" s="22">
        <v>7727</v>
      </c>
      <c r="J115" s="22">
        <v>452</v>
      </c>
      <c r="K115" s="22">
        <v>73</v>
      </c>
      <c r="L115" s="22">
        <v>236</v>
      </c>
      <c r="M115" s="22">
        <v>2890</v>
      </c>
      <c r="N115" s="22">
        <v>41</v>
      </c>
      <c r="O115" s="22">
        <v>35111</v>
      </c>
      <c r="P115" s="22"/>
      <c r="Q115" s="28">
        <v>11</v>
      </c>
      <c r="R115" s="123">
        <v>1170</v>
      </c>
      <c r="S115" s="28"/>
      <c r="T115" s="28">
        <v>100</v>
      </c>
      <c r="U115" s="28">
        <v>5</v>
      </c>
      <c r="V115" s="28"/>
      <c r="W115" s="13"/>
      <c r="X115" s="13"/>
      <c r="Y115" s="167"/>
      <c r="Z115" s="167"/>
      <c r="AA115" s="167"/>
      <c r="AB115" s="167"/>
      <c r="AC115" s="167"/>
      <c r="AD115" s="293"/>
    </row>
    <row r="116" spans="1:30">
      <c r="A116" s="145">
        <v>89</v>
      </c>
      <c r="B116" s="4" t="s">
        <v>175</v>
      </c>
      <c r="C116" s="4"/>
      <c r="D116" s="21">
        <v>25745</v>
      </c>
      <c r="E116" s="22">
        <v>9431</v>
      </c>
      <c r="F116" s="28">
        <v>4657128</v>
      </c>
      <c r="G116" s="22">
        <v>2187</v>
      </c>
      <c r="H116" s="22">
        <v>85500</v>
      </c>
      <c r="I116" s="22">
        <v>49088</v>
      </c>
      <c r="J116" s="22">
        <v>21088</v>
      </c>
      <c r="K116" s="22">
        <v>392</v>
      </c>
      <c r="L116" s="22">
        <v>1423</v>
      </c>
      <c r="M116" s="22">
        <v>2439</v>
      </c>
      <c r="N116" s="22">
        <v>251</v>
      </c>
      <c r="O116" s="22">
        <v>65635</v>
      </c>
      <c r="P116" s="22">
        <v>25</v>
      </c>
      <c r="Q116" s="28">
        <v>550</v>
      </c>
      <c r="R116" s="123">
        <v>7778</v>
      </c>
      <c r="S116" s="28">
        <v>36</v>
      </c>
      <c r="T116" s="28">
        <v>230</v>
      </c>
      <c r="U116" s="28">
        <v>41</v>
      </c>
      <c r="V116" s="28"/>
      <c r="W116" s="13"/>
      <c r="X116" s="13"/>
      <c r="Y116" s="167"/>
      <c r="Z116" s="167"/>
      <c r="AA116" s="167"/>
      <c r="AB116" s="167"/>
      <c r="AC116" s="167"/>
      <c r="AD116" s="293"/>
    </row>
    <row r="117" spans="1:30">
      <c r="A117" s="145">
        <v>90</v>
      </c>
      <c r="B117" s="4" t="s">
        <v>176</v>
      </c>
      <c r="C117" s="4"/>
      <c r="D117" s="21">
        <v>282</v>
      </c>
      <c r="E117" s="22">
        <v>813</v>
      </c>
      <c r="F117" s="28">
        <v>146800</v>
      </c>
      <c r="G117" s="22">
        <v>78</v>
      </c>
      <c r="H117" s="22">
        <v>8050</v>
      </c>
      <c r="I117" s="22">
        <v>12113</v>
      </c>
      <c r="J117" s="22">
        <v>5579</v>
      </c>
      <c r="K117" s="22"/>
      <c r="L117" s="22">
        <v>586</v>
      </c>
      <c r="M117" s="22">
        <v>181</v>
      </c>
      <c r="N117" s="22">
        <v>101</v>
      </c>
      <c r="O117" s="22">
        <v>34498</v>
      </c>
      <c r="P117" s="22"/>
      <c r="Q117" s="28"/>
      <c r="R117" s="123">
        <v>7993</v>
      </c>
      <c r="S117" s="28">
        <v>1</v>
      </c>
      <c r="T117" s="28"/>
      <c r="U117" s="28">
        <v>7</v>
      </c>
      <c r="V117" s="28"/>
      <c r="W117" s="13"/>
      <c r="X117" s="13"/>
      <c r="Y117" s="167"/>
      <c r="Z117" s="167"/>
      <c r="AA117" s="167"/>
      <c r="AB117" s="167"/>
      <c r="AC117" s="167"/>
      <c r="AD117" s="293"/>
    </row>
    <row r="118" spans="1:30">
      <c r="A118" s="145">
        <v>91</v>
      </c>
      <c r="B118" s="4" t="s">
        <v>177</v>
      </c>
      <c r="C118" s="4"/>
      <c r="D118" s="21">
        <v>20760</v>
      </c>
      <c r="E118" s="22">
        <v>10054</v>
      </c>
      <c r="F118" s="28">
        <v>10937600</v>
      </c>
      <c r="G118" s="22">
        <v>2066</v>
      </c>
      <c r="H118" s="22">
        <v>145058</v>
      </c>
      <c r="I118" s="22">
        <v>66939</v>
      </c>
      <c r="J118" s="22">
        <v>2698</v>
      </c>
      <c r="K118" s="22">
        <v>278</v>
      </c>
      <c r="L118" s="22">
        <v>226</v>
      </c>
      <c r="M118" s="22">
        <v>10255</v>
      </c>
      <c r="N118" s="22">
        <v>22</v>
      </c>
      <c r="O118" s="22">
        <v>274220</v>
      </c>
      <c r="P118" s="22">
        <v>13</v>
      </c>
      <c r="Q118" s="28"/>
      <c r="R118" s="123">
        <v>757</v>
      </c>
      <c r="S118" s="28">
        <v>55</v>
      </c>
      <c r="T118" s="28">
        <v>905</v>
      </c>
      <c r="U118" s="28"/>
      <c r="V118" s="28"/>
      <c r="W118" s="13"/>
      <c r="X118" s="13"/>
      <c r="Y118" s="167"/>
      <c r="Z118" s="167"/>
      <c r="AA118" s="167"/>
      <c r="AB118" s="167"/>
      <c r="AC118" s="167"/>
      <c r="AD118" s="293"/>
    </row>
    <row r="119" spans="1:30">
      <c r="A119" s="145">
        <v>92</v>
      </c>
      <c r="B119" s="4" t="s">
        <v>178</v>
      </c>
      <c r="C119" s="4"/>
      <c r="D119" s="21">
        <v>4772</v>
      </c>
      <c r="E119" s="22">
        <v>389</v>
      </c>
      <c r="F119" s="28">
        <v>367592</v>
      </c>
      <c r="G119" s="22">
        <v>164</v>
      </c>
      <c r="H119" s="22">
        <v>1225</v>
      </c>
      <c r="I119" s="22">
        <v>8587</v>
      </c>
      <c r="J119" s="22">
        <v>6150</v>
      </c>
      <c r="K119" s="22"/>
      <c r="L119" s="22">
        <v>365</v>
      </c>
      <c r="M119" s="22">
        <v>239</v>
      </c>
      <c r="N119" s="22">
        <v>12</v>
      </c>
      <c r="O119" s="22">
        <v>18619</v>
      </c>
      <c r="P119" s="22"/>
      <c r="Q119" s="28"/>
      <c r="R119" s="123">
        <v>10679</v>
      </c>
      <c r="S119" s="28"/>
      <c r="T119" s="28"/>
      <c r="U119" s="28">
        <v>39</v>
      </c>
      <c r="V119" s="28"/>
      <c r="W119" s="13"/>
      <c r="X119" s="13"/>
      <c r="Y119" s="167"/>
      <c r="Z119" s="167"/>
      <c r="AA119" s="167"/>
      <c r="AB119" s="167"/>
      <c r="AC119" s="167"/>
      <c r="AD119" s="293"/>
    </row>
    <row r="120" spans="1:30">
      <c r="A120" s="145">
        <v>93</v>
      </c>
      <c r="B120" s="4" t="s">
        <v>179</v>
      </c>
      <c r="C120" s="4"/>
      <c r="D120" s="21">
        <v>861</v>
      </c>
      <c r="E120" s="22">
        <v>146</v>
      </c>
      <c r="F120" s="28">
        <v>266960</v>
      </c>
      <c r="G120" s="22">
        <v>249</v>
      </c>
      <c r="H120" s="22">
        <v>2400</v>
      </c>
      <c r="I120" s="22">
        <v>48074</v>
      </c>
      <c r="J120" s="22">
        <v>21291</v>
      </c>
      <c r="K120" s="22"/>
      <c r="L120" s="22">
        <v>966</v>
      </c>
      <c r="M120" s="22">
        <v>191</v>
      </c>
      <c r="N120" s="22">
        <v>92</v>
      </c>
      <c r="O120" s="22">
        <v>35105</v>
      </c>
      <c r="P120" s="22"/>
      <c r="Q120" s="28"/>
      <c r="R120" s="123">
        <v>4644</v>
      </c>
      <c r="S120" s="28">
        <v>10</v>
      </c>
      <c r="T120" s="28"/>
      <c r="U120" s="28">
        <v>50</v>
      </c>
      <c r="V120" s="28"/>
      <c r="W120" s="13"/>
      <c r="X120" s="13"/>
      <c r="Y120" s="167"/>
      <c r="Z120" s="167"/>
      <c r="AA120" s="167"/>
      <c r="AB120" s="167"/>
      <c r="AC120" s="167"/>
      <c r="AD120" s="293"/>
    </row>
    <row r="121" spans="1:30">
      <c r="A121" s="145">
        <v>94</v>
      </c>
      <c r="B121" s="4" t="s">
        <v>180</v>
      </c>
      <c r="C121" s="4"/>
      <c r="D121" s="21">
        <v>1638</v>
      </c>
      <c r="E121" s="22">
        <v>517</v>
      </c>
      <c r="F121" s="28">
        <v>813420</v>
      </c>
      <c r="G121" s="22">
        <v>104</v>
      </c>
      <c r="H121" s="22">
        <v>2100</v>
      </c>
      <c r="I121" s="22">
        <v>20027</v>
      </c>
      <c r="J121" s="22">
        <v>2740</v>
      </c>
      <c r="K121" s="22"/>
      <c r="L121" s="22">
        <v>997</v>
      </c>
      <c r="M121" s="22">
        <v>495</v>
      </c>
      <c r="N121" s="22">
        <v>68</v>
      </c>
      <c r="O121" s="22">
        <v>23115</v>
      </c>
      <c r="P121" s="22">
        <v>6</v>
      </c>
      <c r="Q121" s="28"/>
      <c r="R121" s="123">
        <v>12105</v>
      </c>
      <c r="S121" s="28"/>
      <c r="T121" s="28"/>
      <c r="U121" s="28">
        <v>1</v>
      </c>
      <c r="V121" s="28"/>
      <c r="W121" s="13"/>
      <c r="X121" s="13"/>
      <c r="Y121" s="167"/>
      <c r="Z121" s="167"/>
      <c r="AA121" s="167"/>
      <c r="AB121" s="167"/>
      <c r="AC121" s="167"/>
      <c r="AD121" s="293"/>
    </row>
    <row r="122" spans="1:30">
      <c r="A122" s="145">
        <v>95</v>
      </c>
      <c r="B122" s="4" t="s">
        <v>181</v>
      </c>
      <c r="C122" s="4"/>
      <c r="D122" s="21">
        <v>1121</v>
      </c>
      <c r="E122" s="22">
        <v>183</v>
      </c>
      <c r="F122" s="28">
        <v>995252</v>
      </c>
      <c r="G122" s="22">
        <v>27</v>
      </c>
      <c r="H122" s="22">
        <v>3100</v>
      </c>
      <c r="I122" s="22">
        <v>26592</v>
      </c>
      <c r="J122" s="22">
        <v>1281</v>
      </c>
      <c r="K122" s="22"/>
      <c r="L122" s="22">
        <v>768</v>
      </c>
      <c r="M122" s="22">
        <v>324</v>
      </c>
      <c r="N122" s="22">
        <v>132</v>
      </c>
      <c r="O122" s="22">
        <v>27088</v>
      </c>
      <c r="P122" s="22"/>
      <c r="Q122" s="28"/>
      <c r="R122" s="123">
        <v>16418</v>
      </c>
      <c r="S122" s="28"/>
      <c r="T122" s="28"/>
      <c r="U122" s="28"/>
      <c r="V122" s="28"/>
      <c r="W122" s="13"/>
      <c r="X122" s="13"/>
      <c r="Y122" s="167"/>
      <c r="Z122" s="167"/>
      <c r="AA122" s="167"/>
      <c r="AB122" s="167"/>
      <c r="AC122" s="167"/>
      <c r="AD122" s="293"/>
    </row>
    <row r="123" spans="1:30">
      <c r="A123" s="145">
        <v>96</v>
      </c>
      <c r="B123" s="4" t="s">
        <v>182</v>
      </c>
      <c r="C123" s="4"/>
      <c r="D123" s="21">
        <v>480</v>
      </c>
      <c r="E123" s="22">
        <v>1191</v>
      </c>
      <c r="F123" s="28">
        <v>408148</v>
      </c>
      <c r="G123" s="22">
        <v>208</v>
      </c>
      <c r="H123" s="22">
        <v>11050</v>
      </c>
      <c r="I123" s="22">
        <v>39253</v>
      </c>
      <c r="J123" s="22">
        <v>9176</v>
      </c>
      <c r="K123" s="22">
        <v>46</v>
      </c>
      <c r="L123" s="22">
        <v>422</v>
      </c>
      <c r="M123" s="22">
        <v>1133</v>
      </c>
      <c r="N123" s="22">
        <v>389</v>
      </c>
      <c r="O123" s="22">
        <v>37256</v>
      </c>
      <c r="P123" s="22">
        <v>2</v>
      </c>
      <c r="Q123" s="28">
        <v>10</v>
      </c>
      <c r="R123" s="123">
        <v>9288</v>
      </c>
      <c r="S123" s="28"/>
      <c r="T123" s="28">
        <v>23</v>
      </c>
      <c r="U123" s="28"/>
      <c r="V123" s="28">
        <v>10</v>
      </c>
      <c r="W123" s="13"/>
      <c r="X123" s="13"/>
      <c r="Y123" s="167"/>
      <c r="Z123" s="167"/>
      <c r="AA123" s="167"/>
      <c r="AB123" s="167"/>
      <c r="AC123" s="167"/>
      <c r="AD123" s="293"/>
    </row>
    <row r="124" spans="1:30">
      <c r="A124" s="222" t="s">
        <v>24</v>
      </c>
      <c r="B124" s="97"/>
      <c r="C124" s="97"/>
      <c r="D124" s="21"/>
      <c r="E124" s="22"/>
      <c r="F124" s="28"/>
      <c r="G124" s="22"/>
      <c r="H124" s="22"/>
      <c r="I124" s="22"/>
      <c r="J124" s="22"/>
      <c r="K124" s="22"/>
      <c r="L124" s="22"/>
      <c r="M124" s="22"/>
      <c r="N124" s="22"/>
      <c r="O124" s="22"/>
      <c r="P124" s="22"/>
      <c r="Q124" s="28"/>
      <c r="R124" s="123"/>
      <c r="S124" s="28"/>
      <c r="T124" s="28"/>
      <c r="U124" s="28"/>
      <c r="V124" s="28"/>
      <c r="W124" s="13"/>
      <c r="X124" s="13"/>
      <c r="Y124" s="167"/>
      <c r="Z124" s="167"/>
      <c r="AA124" s="167"/>
      <c r="AB124" s="167"/>
      <c r="AC124" s="167"/>
      <c r="AD124" s="293"/>
    </row>
    <row r="125" spans="1:30">
      <c r="A125" s="224">
        <v>97</v>
      </c>
      <c r="B125" s="113" t="s">
        <v>183</v>
      </c>
      <c r="C125" s="113"/>
      <c r="D125" s="21">
        <v>21480</v>
      </c>
      <c r="E125" s="22">
        <v>5055</v>
      </c>
      <c r="F125" s="28">
        <v>3587716</v>
      </c>
      <c r="G125" s="22">
        <v>1491</v>
      </c>
      <c r="H125" s="22">
        <v>16280</v>
      </c>
      <c r="I125" s="22">
        <v>9702</v>
      </c>
      <c r="J125" s="22">
        <v>158</v>
      </c>
      <c r="K125" s="22">
        <v>330</v>
      </c>
      <c r="L125" s="22">
        <v>57</v>
      </c>
      <c r="M125" s="22">
        <v>6902</v>
      </c>
      <c r="N125" s="22">
        <v>41</v>
      </c>
      <c r="O125" s="22">
        <v>70984</v>
      </c>
      <c r="P125" s="22">
        <v>20</v>
      </c>
      <c r="Q125" s="205">
        <v>24</v>
      </c>
      <c r="R125" s="28">
        <v>8050</v>
      </c>
      <c r="S125" s="28">
        <v>1</v>
      </c>
      <c r="T125" s="28">
        <v>38</v>
      </c>
      <c r="U125" s="28"/>
      <c r="V125" s="28"/>
      <c r="W125" s="13"/>
      <c r="X125" s="13"/>
      <c r="Y125" s="167"/>
      <c r="Z125" s="167"/>
      <c r="AA125" s="167"/>
      <c r="AB125" s="167"/>
      <c r="AC125" s="167"/>
      <c r="AD125" s="293"/>
    </row>
    <row r="126" spans="1:30">
      <c r="A126" s="145">
        <v>98</v>
      </c>
      <c r="B126" s="4" t="s">
        <v>184</v>
      </c>
      <c r="C126" s="4"/>
      <c r="D126" s="21">
        <v>6</v>
      </c>
      <c r="E126" s="22">
        <v>4</v>
      </c>
      <c r="F126" s="28">
        <v>720</v>
      </c>
      <c r="G126" s="22">
        <v>57</v>
      </c>
      <c r="H126" s="22">
        <v>700</v>
      </c>
      <c r="I126" s="22">
        <v>21539</v>
      </c>
      <c r="J126" s="22">
        <v>1317</v>
      </c>
      <c r="K126" s="22"/>
      <c r="L126" s="22">
        <v>521</v>
      </c>
      <c r="M126" s="22">
        <v>67</v>
      </c>
      <c r="N126" s="22">
        <v>1412</v>
      </c>
      <c r="O126" s="22">
        <v>16163</v>
      </c>
      <c r="P126" s="22"/>
      <c r="Q126" s="26"/>
      <c r="R126" s="28">
        <v>85121</v>
      </c>
      <c r="S126" s="28"/>
      <c r="T126" s="28"/>
      <c r="U126" s="28">
        <v>1</v>
      </c>
      <c r="V126" s="28"/>
      <c r="W126" s="13"/>
      <c r="X126" s="13"/>
      <c r="Y126" s="167"/>
      <c r="Z126" s="167"/>
      <c r="AA126" s="167"/>
      <c r="AB126" s="167"/>
      <c r="AC126" s="167"/>
      <c r="AD126" s="293"/>
    </row>
    <row r="127" spans="1:30">
      <c r="A127" s="145">
        <v>99</v>
      </c>
      <c r="B127" s="4" t="s">
        <v>185</v>
      </c>
      <c r="C127" s="4"/>
      <c r="D127" s="21">
        <v>1080</v>
      </c>
      <c r="E127" s="22">
        <v>8917</v>
      </c>
      <c r="F127" s="28">
        <v>994190</v>
      </c>
      <c r="G127" s="22">
        <v>218</v>
      </c>
      <c r="H127" s="22">
        <v>9740</v>
      </c>
      <c r="I127" s="22">
        <v>42810</v>
      </c>
      <c r="J127" s="22">
        <v>4323</v>
      </c>
      <c r="K127" s="22"/>
      <c r="L127" s="22">
        <v>1378</v>
      </c>
      <c r="M127" s="22">
        <v>778</v>
      </c>
      <c r="N127" s="22">
        <v>127</v>
      </c>
      <c r="O127" s="22">
        <v>78800</v>
      </c>
      <c r="P127" s="22">
        <v>11</v>
      </c>
      <c r="Q127" s="26">
        <v>1</v>
      </c>
      <c r="R127" s="28">
        <v>19999</v>
      </c>
      <c r="S127" s="28"/>
      <c r="T127" s="28"/>
      <c r="U127" s="28"/>
      <c r="V127" s="28"/>
      <c r="W127" s="13"/>
      <c r="X127" s="13"/>
      <c r="Y127" s="167"/>
      <c r="Z127" s="167"/>
      <c r="AA127" s="167"/>
      <c r="AB127" s="167"/>
      <c r="AC127" s="167"/>
      <c r="AD127" s="293"/>
    </row>
    <row r="128" spans="1:30">
      <c r="A128" s="145">
        <v>100</v>
      </c>
      <c r="B128" s="4" t="s">
        <v>186</v>
      </c>
      <c r="C128" s="4"/>
      <c r="D128" s="21">
        <v>1484</v>
      </c>
      <c r="E128" s="22">
        <v>244</v>
      </c>
      <c r="F128" s="28">
        <v>211966</v>
      </c>
      <c r="G128" s="22">
        <v>46</v>
      </c>
      <c r="H128" s="22">
        <v>200</v>
      </c>
      <c r="I128" s="22">
        <v>40058</v>
      </c>
      <c r="J128" s="22">
        <v>2159</v>
      </c>
      <c r="K128" s="22"/>
      <c r="L128" s="22">
        <v>2451</v>
      </c>
      <c r="M128" s="22">
        <v>342</v>
      </c>
      <c r="N128" s="22">
        <v>1951</v>
      </c>
      <c r="O128" s="22">
        <v>64795</v>
      </c>
      <c r="P128" s="22"/>
      <c r="Q128" s="26"/>
      <c r="R128" s="28">
        <v>158564</v>
      </c>
      <c r="S128" s="28"/>
      <c r="T128" s="28"/>
      <c r="U128" s="28"/>
      <c r="V128" s="28"/>
      <c r="W128" s="13"/>
      <c r="X128" s="13"/>
      <c r="Y128" s="167"/>
      <c r="Z128" s="167"/>
      <c r="AA128" s="167"/>
      <c r="AB128" s="167"/>
      <c r="AC128" s="167"/>
      <c r="AD128" s="293"/>
    </row>
    <row r="129" spans="1:30">
      <c r="A129" s="145">
        <v>101</v>
      </c>
      <c r="B129" s="4" t="s">
        <v>304</v>
      </c>
      <c r="C129" s="4"/>
      <c r="D129" s="21">
        <v>2981</v>
      </c>
      <c r="E129" s="22">
        <v>399</v>
      </c>
      <c r="F129" s="28">
        <v>771534</v>
      </c>
      <c r="G129" s="22">
        <v>60</v>
      </c>
      <c r="H129" s="22">
        <v>1200</v>
      </c>
      <c r="I129" s="22">
        <v>23649</v>
      </c>
      <c r="J129" s="22">
        <v>8219</v>
      </c>
      <c r="K129" s="22"/>
      <c r="L129" s="22">
        <v>736</v>
      </c>
      <c r="M129" s="22">
        <v>301</v>
      </c>
      <c r="N129" s="22">
        <v>81</v>
      </c>
      <c r="O129" s="22">
        <v>57238</v>
      </c>
      <c r="P129" s="22"/>
      <c r="Q129" s="26"/>
      <c r="R129" s="28">
        <v>22327</v>
      </c>
      <c r="S129" s="28"/>
      <c r="T129" s="28"/>
      <c r="U129" s="28"/>
      <c r="V129" s="28"/>
      <c r="W129" s="13"/>
      <c r="X129" s="13"/>
      <c r="Y129" s="167"/>
      <c r="Z129" s="167"/>
      <c r="AA129" s="167"/>
      <c r="AB129" s="167"/>
      <c r="AC129" s="167"/>
      <c r="AD129" s="293"/>
    </row>
    <row r="130" spans="1:30">
      <c r="A130" s="145">
        <v>102</v>
      </c>
      <c r="B130" s="4" t="s">
        <v>187</v>
      </c>
      <c r="C130" s="4"/>
      <c r="D130" s="21">
        <v>2077</v>
      </c>
      <c r="E130" s="22">
        <v>6073</v>
      </c>
      <c r="F130" s="28">
        <v>3143776</v>
      </c>
      <c r="G130" s="22">
        <v>616</v>
      </c>
      <c r="H130" s="22">
        <v>44320</v>
      </c>
      <c r="I130" s="22">
        <v>45780</v>
      </c>
      <c r="J130" s="22">
        <v>2164</v>
      </c>
      <c r="K130" s="22"/>
      <c r="L130" s="22">
        <v>1895</v>
      </c>
      <c r="M130" s="22">
        <v>1470</v>
      </c>
      <c r="N130" s="22">
        <v>129</v>
      </c>
      <c r="O130" s="22">
        <v>146220</v>
      </c>
      <c r="P130" s="22">
        <v>74</v>
      </c>
      <c r="Q130" s="26">
        <v>6</v>
      </c>
      <c r="R130" s="28">
        <v>22024</v>
      </c>
      <c r="S130" s="28"/>
      <c r="T130" s="28"/>
      <c r="U130" s="28"/>
      <c r="V130" s="28"/>
      <c r="W130" s="13"/>
      <c r="X130" s="13"/>
      <c r="Y130" s="167"/>
      <c r="Z130" s="167"/>
      <c r="AA130" s="167"/>
      <c r="AB130" s="167"/>
      <c r="AC130" s="167"/>
      <c r="AD130" s="293"/>
    </row>
    <row r="131" spans="1:30">
      <c r="A131" s="145">
        <v>103</v>
      </c>
      <c r="B131" s="4" t="s">
        <v>188</v>
      </c>
      <c r="C131" s="4"/>
      <c r="D131" s="21">
        <v>15503</v>
      </c>
      <c r="E131" s="22">
        <v>823</v>
      </c>
      <c r="F131" s="28">
        <v>1220902</v>
      </c>
      <c r="G131" s="22">
        <v>477</v>
      </c>
      <c r="H131" s="22">
        <v>4060</v>
      </c>
      <c r="I131" s="22">
        <v>10385</v>
      </c>
      <c r="J131" s="22">
        <v>3227</v>
      </c>
      <c r="K131" s="22">
        <v>5</v>
      </c>
      <c r="L131" s="22">
        <v>2157</v>
      </c>
      <c r="M131" s="22">
        <v>848</v>
      </c>
      <c r="N131" s="22">
        <v>3</v>
      </c>
      <c r="O131" s="22">
        <v>86538</v>
      </c>
      <c r="P131" s="22">
        <v>160</v>
      </c>
      <c r="Q131" s="26"/>
      <c r="R131" s="28">
        <v>15502</v>
      </c>
      <c r="S131" s="28"/>
      <c r="T131" s="28"/>
      <c r="U131" s="28"/>
      <c r="V131" s="28"/>
      <c r="W131" s="13"/>
      <c r="X131" s="13"/>
      <c r="Y131" s="167"/>
      <c r="Z131" s="167"/>
      <c r="AA131" s="167"/>
      <c r="AB131" s="167"/>
      <c r="AC131" s="167"/>
      <c r="AD131" s="293"/>
    </row>
    <row r="132" spans="1:30">
      <c r="A132" s="222" t="s">
        <v>25</v>
      </c>
      <c r="B132" s="97"/>
      <c r="C132" s="97"/>
      <c r="D132" s="21"/>
      <c r="E132" s="22"/>
      <c r="F132" s="28"/>
      <c r="G132" s="22"/>
      <c r="H132" s="22"/>
      <c r="I132" s="22"/>
      <c r="J132" s="22"/>
      <c r="K132" s="22"/>
      <c r="L132" s="22"/>
      <c r="M132" s="22"/>
      <c r="N132" s="22"/>
      <c r="O132" s="22"/>
      <c r="P132" s="22"/>
      <c r="Q132" s="26"/>
      <c r="R132" s="28"/>
      <c r="S132" s="28"/>
      <c r="T132" s="28"/>
      <c r="U132" s="28"/>
      <c r="V132" s="28"/>
      <c r="W132" s="13"/>
      <c r="X132" s="13"/>
      <c r="Y132" s="167"/>
      <c r="Z132" s="167"/>
      <c r="AA132" s="167"/>
      <c r="AB132" s="167"/>
      <c r="AC132" s="167"/>
      <c r="AD132" s="293"/>
    </row>
    <row r="133" spans="1:30">
      <c r="A133" s="145">
        <v>104</v>
      </c>
      <c r="B133" s="4" t="s">
        <v>189</v>
      </c>
      <c r="C133" s="4"/>
      <c r="D133" s="21">
        <v>508</v>
      </c>
      <c r="E133" s="22">
        <v>203</v>
      </c>
      <c r="F133" s="28">
        <v>685348</v>
      </c>
      <c r="G133" s="22">
        <v>119</v>
      </c>
      <c r="H133" s="22">
        <v>16610</v>
      </c>
      <c r="I133" s="22">
        <v>13292</v>
      </c>
      <c r="J133" s="22">
        <v>1055</v>
      </c>
      <c r="K133" s="22"/>
      <c r="L133" s="22">
        <v>2389</v>
      </c>
      <c r="M133" s="22">
        <v>789</v>
      </c>
      <c r="N133" s="22">
        <v>215</v>
      </c>
      <c r="O133" s="22">
        <v>41655</v>
      </c>
      <c r="P133" s="22">
        <v>7</v>
      </c>
      <c r="Q133" s="26"/>
      <c r="R133" s="28">
        <v>29316</v>
      </c>
      <c r="S133" s="28">
        <v>1</v>
      </c>
      <c r="T133" s="28"/>
      <c r="U133" s="28"/>
      <c r="V133" s="28"/>
      <c r="W133" s="13"/>
      <c r="X133" s="13"/>
      <c r="Y133" s="167"/>
      <c r="Z133" s="167"/>
      <c r="AA133" s="167"/>
      <c r="AB133" s="167"/>
      <c r="AC133" s="167"/>
      <c r="AD133" s="293"/>
    </row>
    <row r="134" spans="1:30">
      <c r="A134" s="145">
        <v>105</v>
      </c>
      <c r="B134" s="4" t="s">
        <v>190</v>
      </c>
      <c r="C134" s="4"/>
      <c r="D134" s="21">
        <v>212</v>
      </c>
      <c r="E134" s="22">
        <v>100</v>
      </c>
      <c r="F134" s="28">
        <v>209590</v>
      </c>
      <c r="G134" s="22">
        <v>108</v>
      </c>
      <c r="H134" s="22">
        <v>2100</v>
      </c>
      <c r="I134" s="22">
        <v>22132</v>
      </c>
      <c r="J134" s="22">
        <v>3181</v>
      </c>
      <c r="K134" s="22"/>
      <c r="L134" s="22">
        <v>2049</v>
      </c>
      <c r="M134" s="22">
        <v>409</v>
      </c>
      <c r="N134" s="22">
        <v>296</v>
      </c>
      <c r="O134" s="22">
        <v>52261</v>
      </c>
      <c r="P134" s="22">
        <v>2</v>
      </c>
      <c r="Q134" s="26"/>
      <c r="R134" s="28">
        <v>35871</v>
      </c>
      <c r="S134" s="28"/>
      <c r="T134" s="28"/>
      <c r="U134" s="28">
        <v>1</v>
      </c>
      <c r="V134" s="28"/>
      <c r="W134" s="13"/>
      <c r="X134" s="13"/>
      <c r="Y134" s="167"/>
      <c r="Z134" s="167"/>
      <c r="AA134" s="167"/>
      <c r="AB134" s="167"/>
      <c r="AC134" s="167"/>
      <c r="AD134" s="293"/>
    </row>
    <row r="135" spans="1:30">
      <c r="A135" s="145">
        <v>106</v>
      </c>
      <c r="B135" s="4" t="s">
        <v>191</v>
      </c>
      <c r="C135" s="4"/>
      <c r="D135" s="21">
        <v>80</v>
      </c>
      <c r="E135" s="22">
        <v>813</v>
      </c>
      <c r="F135" s="28">
        <v>190720</v>
      </c>
      <c r="G135" s="22">
        <v>80</v>
      </c>
      <c r="H135" s="22">
        <v>1220</v>
      </c>
      <c r="I135" s="22">
        <v>19957</v>
      </c>
      <c r="J135" s="22">
        <v>1348</v>
      </c>
      <c r="K135" s="22"/>
      <c r="L135" s="22">
        <v>2208</v>
      </c>
      <c r="M135" s="22">
        <v>274</v>
      </c>
      <c r="N135" s="22">
        <v>476</v>
      </c>
      <c r="O135" s="22">
        <v>28347</v>
      </c>
      <c r="P135" s="22">
        <v>5</v>
      </c>
      <c r="Q135" s="26"/>
      <c r="R135" s="28">
        <v>54429</v>
      </c>
      <c r="S135" s="28"/>
      <c r="T135" s="28"/>
      <c r="U135" s="28">
        <v>3</v>
      </c>
      <c r="V135" s="28"/>
      <c r="W135" s="13"/>
      <c r="X135" s="13"/>
      <c r="Y135" s="167"/>
      <c r="Z135" s="167"/>
      <c r="AA135" s="167"/>
      <c r="AB135" s="167"/>
      <c r="AC135" s="167"/>
      <c r="AD135" s="293"/>
    </row>
    <row r="136" spans="1:30">
      <c r="A136" s="145">
        <v>107</v>
      </c>
      <c r="B136" s="4" t="s">
        <v>192</v>
      </c>
      <c r="C136" s="4"/>
      <c r="D136" s="21">
        <v>1853</v>
      </c>
      <c r="E136" s="22">
        <v>445</v>
      </c>
      <c r="F136" s="28">
        <v>1608540</v>
      </c>
      <c r="G136" s="22">
        <v>1256</v>
      </c>
      <c r="H136" s="22">
        <v>3950</v>
      </c>
      <c r="I136" s="22">
        <v>23571</v>
      </c>
      <c r="J136" s="22">
        <v>2548</v>
      </c>
      <c r="K136" s="22"/>
      <c r="L136" s="22">
        <v>2488</v>
      </c>
      <c r="M136" s="22">
        <v>1180</v>
      </c>
      <c r="N136" s="22">
        <v>955</v>
      </c>
      <c r="O136" s="22">
        <v>86109</v>
      </c>
      <c r="P136" s="22"/>
      <c r="Q136" s="26">
        <v>58</v>
      </c>
      <c r="R136" s="28">
        <v>40113</v>
      </c>
      <c r="S136" s="28"/>
      <c r="T136" s="28"/>
      <c r="U136" s="28"/>
      <c r="V136" s="28"/>
      <c r="W136" s="13"/>
      <c r="X136" s="13"/>
      <c r="Y136" s="167"/>
      <c r="Z136" s="167"/>
      <c r="AA136" s="167"/>
      <c r="AB136" s="167"/>
      <c r="AC136" s="167"/>
      <c r="AD136" s="293"/>
    </row>
    <row r="137" spans="1:30">
      <c r="A137" s="145">
        <v>108</v>
      </c>
      <c r="B137" s="4" t="s">
        <v>193</v>
      </c>
      <c r="C137" s="4"/>
      <c r="D137" s="21">
        <v>720</v>
      </c>
      <c r="E137" s="22">
        <v>167</v>
      </c>
      <c r="F137" s="28">
        <v>374500</v>
      </c>
      <c r="G137" s="22">
        <v>178</v>
      </c>
      <c r="H137" s="22">
        <v>450</v>
      </c>
      <c r="I137" s="22">
        <v>13121</v>
      </c>
      <c r="J137" s="22">
        <v>1294</v>
      </c>
      <c r="K137" s="22"/>
      <c r="L137" s="22">
        <v>670</v>
      </c>
      <c r="M137" s="22">
        <v>202</v>
      </c>
      <c r="N137" s="22">
        <v>13</v>
      </c>
      <c r="O137" s="22">
        <v>19653</v>
      </c>
      <c r="P137" s="22"/>
      <c r="Q137" s="26"/>
      <c r="R137" s="28">
        <v>7556</v>
      </c>
      <c r="S137" s="28"/>
      <c r="T137" s="28"/>
      <c r="U137" s="28">
        <v>1</v>
      </c>
      <c r="V137" s="28"/>
      <c r="W137" s="13"/>
      <c r="X137" s="13"/>
      <c r="Y137" s="167"/>
      <c r="Z137" s="167"/>
      <c r="AA137" s="167"/>
      <c r="AB137" s="167"/>
      <c r="AC137" s="167"/>
      <c r="AD137" s="293"/>
    </row>
    <row r="138" spans="1:30">
      <c r="A138" s="145">
        <v>109</v>
      </c>
      <c r="B138" s="4" t="s">
        <v>194</v>
      </c>
      <c r="C138" s="4"/>
      <c r="D138" s="21">
        <v>176</v>
      </c>
      <c r="E138" s="22">
        <v>66</v>
      </c>
      <c r="F138" s="28">
        <v>101960</v>
      </c>
      <c r="G138" s="22">
        <v>864</v>
      </c>
      <c r="H138" s="22">
        <v>3400</v>
      </c>
      <c r="I138" s="22">
        <v>32934</v>
      </c>
      <c r="J138" s="22">
        <v>1122</v>
      </c>
      <c r="K138" s="22"/>
      <c r="L138" s="22">
        <v>2421</v>
      </c>
      <c r="M138" s="22">
        <v>492</v>
      </c>
      <c r="N138" s="22">
        <v>278</v>
      </c>
      <c r="O138" s="22">
        <v>69344</v>
      </c>
      <c r="P138" s="22"/>
      <c r="Q138" s="26"/>
      <c r="R138" s="28">
        <v>93331</v>
      </c>
      <c r="S138" s="28"/>
      <c r="T138" s="28">
        <v>1</v>
      </c>
      <c r="U138" s="28">
        <v>1</v>
      </c>
      <c r="V138" s="28"/>
      <c r="W138" s="13"/>
      <c r="X138" s="13"/>
      <c r="Y138" s="167"/>
      <c r="Z138" s="167"/>
      <c r="AA138" s="167"/>
      <c r="AB138" s="167"/>
      <c r="AC138" s="167"/>
      <c r="AD138" s="293"/>
    </row>
    <row r="139" spans="1:30">
      <c r="A139" s="222" t="s">
        <v>26</v>
      </c>
      <c r="B139" s="97"/>
      <c r="C139" s="97"/>
      <c r="D139" s="21"/>
      <c r="E139" s="22"/>
      <c r="F139" s="28"/>
      <c r="G139" s="22"/>
      <c r="H139" s="22"/>
      <c r="I139" s="22"/>
      <c r="J139" s="22"/>
      <c r="K139" s="22"/>
      <c r="L139" s="22"/>
      <c r="M139" s="22"/>
      <c r="N139" s="22"/>
      <c r="O139" s="22"/>
      <c r="P139" s="22"/>
      <c r="Q139" s="26"/>
      <c r="R139" s="28"/>
      <c r="S139" s="28"/>
      <c r="T139" s="28"/>
      <c r="U139" s="28"/>
      <c r="V139" s="28"/>
      <c r="W139" s="13"/>
      <c r="X139" s="13"/>
      <c r="Y139" s="167"/>
      <c r="Z139" s="167"/>
      <c r="AA139" s="167"/>
      <c r="AB139" s="167"/>
      <c r="AC139" s="167"/>
      <c r="AD139" s="293"/>
    </row>
    <row r="140" spans="1:30">
      <c r="A140" s="145">
        <v>110</v>
      </c>
      <c r="B140" s="4" t="s">
        <v>195</v>
      </c>
      <c r="C140" s="4"/>
      <c r="D140" s="21">
        <v>12</v>
      </c>
      <c r="E140" s="22"/>
      <c r="F140" s="28"/>
      <c r="G140" s="22">
        <v>271</v>
      </c>
      <c r="H140" s="22"/>
      <c r="I140" s="22">
        <v>42111</v>
      </c>
      <c r="J140" s="22">
        <v>7278</v>
      </c>
      <c r="K140" s="22"/>
      <c r="L140" s="22">
        <v>647</v>
      </c>
      <c r="M140" s="22">
        <v>110</v>
      </c>
      <c r="N140" s="22">
        <v>5697</v>
      </c>
      <c r="O140" s="22">
        <v>17115</v>
      </c>
      <c r="P140" s="22"/>
      <c r="Q140" s="26"/>
      <c r="R140" s="28">
        <v>7342</v>
      </c>
      <c r="S140" s="28"/>
      <c r="T140" s="28"/>
      <c r="U140" s="28"/>
      <c r="V140" s="28"/>
      <c r="W140" s="13"/>
      <c r="X140" s="13"/>
      <c r="Y140" s="167"/>
      <c r="Z140" s="167"/>
      <c r="AA140" s="167"/>
      <c r="AB140" s="167"/>
      <c r="AC140" s="167"/>
      <c r="AD140" s="293"/>
    </row>
    <row r="141" spans="1:30">
      <c r="A141" s="145">
        <v>111</v>
      </c>
      <c r="B141" s="4" t="s">
        <v>196</v>
      </c>
      <c r="C141" s="4"/>
      <c r="D141" s="21">
        <v>5</v>
      </c>
      <c r="E141" s="22">
        <v>14</v>
      </c>
      <c r="F141" s="28">
        <v>103360</v>
      </c>
      <c r="G141" s="22">
        <v>12</v>
      </c>
      <c r="H141" s="22"/>
      <c r="I141" s="22">
        <v>40408</v>
      </c>
      <c r="J141" s="22">
        <v>10342</v>
      </c>
      <c r="K141" s="22"/>
      <c r="L141" s="22">
        <v>610</v>
      </c>
      <c r="M141" s="22">
        <v>89</v>
      </c>
      <c r="N141" s="22">
        <v>13</v>
      </c>
      <c r="O141" s="22">
        <v>21334</v>
      </c>
      <c r="P141" s="22"/>
      <c r="Q141" s="26"/>
      <c r="R141" s="28">
        <v>10975</v>
      </c>
      <c r="S141" s="28"/>
      <c r="T141" s="28"/>
      <c r="U141" s="28"/>
      <c r="V141" s="28"/>
      <c r="W141" s="13"/>
      <c r="X141" s="13"/>
      <c r="Y141" s="167"/>
      <c r="Z141" s="167"/>
      <c r="AA141" s="167"/>
      <c r="AB141" s="167"/>
      <c r="AC141" s="167"/>
      <c r="AD141" s="293"/>
    </row>
    <row r="142" spans="1:30">
      <c r="A142" s="145">
        <v>112</v>
      </c>
      <c r="B142" s="4" t="s">
        <v>197</v>
      </c>
      <c r="C142" s="4"/>
      <c r="D142" s="21">
        <v>87</v>
      </c>
      <c r="E142" s="22">
        <v>70</v>
      </c>
      <c r="F142" s="28">
        <v>30836</v>
      </c>
      <c r="G142" s="22">
        <v>47</v>
      </c>
      <c r="H142" s="22">
        <v>1150</v>
      </c>
      <c r="I142" s="22">
        <v>19108</v>
      </c>
      <c r="J142" s="22">
        <v>2154</v>
      </c>
      <c r="K142" s="22"/>
      <c r="L142" s="22">
        <v>226</v>
      </c>
      <c r="M142" s="22">
        <v>122</v>
      </c>
      <c r="N142" s="22">
        <v>89</v>
      </c>
      <c r="O142" s="22">
        <v>20506</v>
      </c>
      <c r="P142" s="22"/>
      <c r="Q142" s="26">
        <v>30</v>
      </c>
      <c r="R142" s="28">
        <v>17885</v>
      </c>
      <c r="S142" s="28"/>
      <c r="T142" s="28"/>
      <c r="U142" s="28"/>
      <c r="V142" s="28"/>
      <c r="W142" s="13"/>
      <c r="X142" s="13"/>
      <c r="Y142" s="167"/>
      <c r="Z142" s="167"/>
      <c r="AA142" s="167"/>
      <c r="AB142" s="167"/>
      <c r="AC142" s="167"/>
      <c r="AD142" s="293"/>
    </row>
    <row r="143" spans="1:30">
      <c r="A143" s="145">
        <v>113</v>
      </c>
      <c r="B143" s="4" t="s">
        <v>198</v>
      </c>
      <c r="C143" s="4"/>
      <c r="D143" s="21">
        <v>9</v>
      </c>
      <c r="E143" s="22">
        <v>1</v>
      </c>
      <c r="F143" s="28">
        <v>10000</v>
      </c>
      <c r="G143" s="22">
        <v>12</v>
      </c>
      <c r="H143" s="22"/>
      <c r="I143" s="22">
        <v>83628</v>
      </c>
      <c r="J143" s="22">
        <v>22007</v>
      </c>
      <c r="K143" s="22"/>
      <c r="L143" s="22">
        <v>629</v>
      </c>
      <c r="M143" s="22">
        <v>63</v>
      </c>
      <c r="N143" s="22">
        <v>1537</v>
      </c>
      <c r="O143" s="22">
        <v>77585</v>
      </c>
      <c r="P143" s="22"/>
      <c r="Q143" s="26"/>
      <c r="R143" s="28">
        <v>21701</v>
      </c>
      <c r="S143" s="28"/>
      <c r="T143" s="28"/>
      <c r="U143" s="28"/>
      <c r="V143" s="28"/>
      <c r="W143" s="13"/>
      <c r="X143" s="13"/>
      <c r="Y143" s="167"/>
      <c r="Z143" s="167"/>
      <c r="AA143" s="167"/>
      <c r="AB143" s="167"/>
      <c r="AC143" s="167"/>
      <c r="AD143" s="293"/>
    </row>
    <row r="144" spans="1:30">
      <c r="A144" s="145">
        <v>114</v>
      </c>
      <c r="B144" s="4" t="s">
        <v>199</v>
      </c>
      <c r="C144" s="4"/>
      <c r="D144" s="21">
        <v>30</v>
      </c>
      <c r="E144" s="22">
        <v>132</v>
      </c>
      <c r="F144" s="28">
        <v>54500</v>
      </c>
      <c r="G144" s="22">
        <v>26</v>
      </c>
      <c r="H144" s="22">
        <v>1150</v>
      </c>
      <c r="I144" s="22">
        <v>54635</v>
      </c>
      <c r="J144" s="22">
        <v>3768</v>
      </c>
      <c r="K144" s="22"/>
      <c r="L144" s="22">
        <v>802</v>
      </c>
      <c r="M144" s="22">
        <v>291</v>
      </c>
      <c r="N144" s="22">
        <v>1055</v>
      </c>
      <c r="O144" s="22">
        <v>37807</v>
      </c>
      <c r="P144" s="22">
        <v>4</v>
      </c>
      <c r="Q144" s="26"/>
      <c r="R144" s="28">
        <v>78158</v>
      </c>
      <c r="S144" s="28"/>
      <c r="T144" s="28"/>
      <c r="U144" s="28">
        <v>7</v>
      </c>
      <c r="V144" s="28"/>
      <c r="W144" s="13"/>
      <c r="X144" s="13"/>
      <c r="Y144" s="167"/>
      <c r="Z144" s="167"/>
      <c r="AA144" s="167"/>
      <c r="AB144" s="167"/>
      <c r="AC144" s="167"/>
      <c r="AD144" s="293"/>
    </row>
    <row r="145" spans="1:30">
      <c r="A145" s="145">
        <v>115</v>
      </c>
      <c r="B145" s="4" t="s">
        <v>305</v>
      </c>
      <c r="C145" s="4"/>
      <c r="D145" s="21"/>
      <c r="E145" s="22"/>
      <c r="F145" s="28"/>
      <c r="G145" s="22"/>
      <c r="H145" s="22"/>
      <c r="I145" s="22">
        <v>32956</v>
      </c>
      <c r="J145" s="22">
        <v>470</v>
      </c>
      <c r="K145" s="22"/>
      <c r="L145" s="22">
        <v>159</v>
      </c>
      <c r="M145" s="22">
        <v>160</v>
      </c>
      <c r="N145" s="22">
        <v>1135</v>
      </c>
      <c r="O145" s="22">
        <v>93688</v>
      </c>
      <c r="P145" s="22"/>
      <c r="Q145" s="26"/>
      <c r="R145" s="28">
        <v>32717</v>
      </c>
      <c r="S145" s="28"/>
      <c r="T145" s="28"/>
      <c r="U145" s="28"/>
      <c r="V145" s="28"/>
      <c r="W145" s="13"/>
      <c r="X145" s="13"/>
      <c r="Y145" s="167"/>
      <c r="Z145" s="167"/>
      <c r="AA145" s="167"/>
      <c r="AB145" s="167"/>
      <c r="AC145" s="167"/>
      <c r="AD145" s="293"/>
    </row>
    <row r="146" spans="1:30">
      <c r="A146" s="145">
        <v>116</v>
      </c>
      <c r="B146" s="4" t="s">
        <v>200</v>
      </c>
      <c r="C146" s="4"/>
      <c r="D146" s="21">
        <v>466</v>
      </c>
      <c r="E146" s="22">
        <v>41</v>
      </c>
      <c r="F146" s="28">
        <v>42500</v>
      </c>
      <c r="G146" s="22">
        <v>899</v>
      </c>
      <c r="H146" s="22">
        <v>1500</v>
      </c>
      <c r="I146" s="22">
        <v>78439</v>
      </c>
      <c r="J146" s="22">
        <v>28506</v>
      </c>
      <c r="K146" s="22"/>
      <c r="L146" s="22">
        <v>1572</v>
      </c>
      <c r="M146" s="22">
        <v>112</v>
      </c>
      <c r="N146" s="22">
        <v>308</v>
      </c>
      <c r="O146" s="22">
        <v>156852</v>
      </c>
      <c r="P146" s="22"/>
      <c r="Q146" s="26"/>
      <c r="R146" s="28">
        <v>25215</v>
      </c>
      <c r="S146" s="28"/>
      <c r="T146" s="28"/>
      <c r="U146" s="28"/>
      <c r="V146" s="28"/>
      <c r="W146" s="13"/>
      <c r="X146" s="13"/>
      <c r="Y146" s="167"/>
      <c r="Z146" s="167"/>
      <c r="AA146" s="167"/>
      <c r="AB146" s="167"/>
      <c r="AC146" s="167"/>
      <c r="AD146" s="293"/>
    </row>
    <row r="147" spans="1:30">
      <c r="A147" s="215"/>
      <c r="B147" s="203"/>
      <c r="C147" s="203"/>
      <c r="D147" s="54"/>
      <c r="E147" s="24"/>
      <c r="F147" s="206"/>
      <c r="G147" s="24"/>
      <c r="H147" s="24"/>
      <c r="I147" s="24"/>
      <c r="J147" s="24"/>
      <c r="K147" s="24"/>
      <c r="L147" s="24"/>
      <c r="M147" s="24"/>
      <c r="N147" s="24"/>
      <c r="O147" s="24"/>
      <c r="P147" s="24"/>
      <c r="Q147" s="37"/>
      <c r="R147" s="204"/>
      <c r="S147" s="24"/>
      <c r="T147" s="24"/>
      <c r="U147" s="24"/>
      <c r="V147" s="24"/>
      <c r="W147" s="37"/>
      <c r="X147" s="37"/>
      <c r="Y147" s="185"/>
      <c r="Z147" s="185"/>
      <c r="AA147" s="185"/>
      <c r="AB147" s="185"/>
      <c r="AC147" s="185"/>
      <c r="AD147" s="295"/>
    </row>
    <row r="148" spans="1:30">
      <c r="A148" s="145" t="s">
        <v>294</v>
      </c>
      <c r="B148" s="4"/>
      <c r="C148" s="4"/>
      <c r="D148" s="70">
        <f>SUM(D115:D146)</f>
        <v>117181</v>
      </c>
      <c r="E148" s="22">
        <f t="shared" ref="E148:P148" si="4">SUM(E115:E146)</f>
        <v>49476</v>
      </c>
      <c r="F148" s="28">
        <f t="shared" si="4"/>
        <v>33737973</v>
      </c>
      <c r="G148" s="22">
        <f t="shared" si="4"/>
        <v>12450</v>
      </c>
      <c r="H148" s="32">
        <f t="shared" si="4"/>
        <v>377381</v>
      </c>
      <c r="I148" s="22">
        <f t="shared" si="4"/>
        <v>948615</v>
      </c>
      <c r="J148" s="32">
        <f t="shared" si="4"/>
        <v>177095</v>
      </c>
      <c r="K148" s="22">
        <f t="shared" si="4"/>
        <v>1124</v>
      </c>
      <c r="L148" s="32">
        <f t="shared" si="4"/>
        <v>32054</v>
      </c>
      <c r="M148" s="22">
        <f t="shared" si="4"/>
        <v>33148</v>
      </c>
      <c r="N148" s="32">
        <f t="shared" si="4"/>
        <v>16919</v>
      </c>
      <c r="O148" s="22">
        <f t="shared" si="4"/>
        <v>1793641</v>
      </c>
      <c r="P148" s="32">
        <f t="shared" si="4"/>
        <v>329</v>
      </c>
      <c r="Q148" s="22">
        <f>SUM(Q115:Q146)</f>
        <v>690</v>
      </c>
      <c r="R148" s="22">
        <f>SUM(R115:R146)</f>
        <v>857028</v>
      </c>
      <c r="S148" s="22">
        <f t="shared" ref="S148:AD148" si="5">SUM(S115:S146)</f>
        <v>104</v>
      </c>
      <c r="T148" s="22">
        <f t="shared" si="5"/>
        <v>1297</v>
      </c>
      <c r="U148" s="22">
        <f t="shared" si="5"/>
        <v>157</v>
      </c>
      <c r="V148" s="22">
        <f t="shared" si="5"/>
        <v>10</v>
      </c>
      <c r="W148" s="22">
        <f t="shared" si="5"/>
        <v>0</v>
      </c>
      <c r="X148" s="22">
        <f t="shared" si="5"/>
        <v>0</v>
      </c>
      <c r="Y148" s="22">
        <f t="shared" si="5"/>
        <v>0</v>
      </c>
      <c r="Z148" s="22">
        <f t="shared" si="5"/>
        <v>0</v>
      </c>
      <c r="AA148" s="22">
        <f t="shared" si="5"/>
        <v>0</v>
      </c>
      <c r="AB148" s="22">
        <f t="shared" si="5"/>
        <v>0</v>
      </c>
      <c r="AC148" s="22">
        <f t="shared" si="5"/>
        <v>0</v>
      </c>
      <c r="AD148" s="49">
        <f t="shared" si="5"/>
        <v>0</v>
      </c>
    </row>
    <row r="149" spans="1:30" ht="15" thickBot="1">
      <c r="A149" s="217"/>
      <c r="B149" s="104"/>
      <c r="C149" s="104"/>
      <c r="D149" s="202"/>
      <c r="E149" s="186"/>
      <c r="F149" s="208"/>
      <c r="G149" s="186"/>
      <c r="H149" s="186"/>
      <c r="I149" s="186"/>
      <c r="J149" s="186"/>
      <c r="K149" s="186"/>
      <c r="L149" s="186"/>
      <c r="M149" s="186"/>
      <c r="N149" s="186"/>
      <c r="O149" s="186"/>
      <c r="P149" s="186"/>
      <c r="Q149" s="187"/>
      <c r="R149" s="188"/>
      <c r="S149" s="187"/>
      <c r="T149" s="187"/>
      <c r="U149" s="187"/>
      <c r="V149" s="187"/>
      <c r="W149" s="187"/>
      <c r="X149" s="187"/>
      <c r="Y149" s="190"/>
      <c r="Z149" s="190"/>
      <c r="AA149" s="190"/>
      <c r="AB149" s="190"/>
      <c r="AC149" s="190"/>
      <c r="AD149" s="297"/>
    </row>
    <row r="150" spans="1:30" ht="15" thickTop="1">
      <c r="A150" s="145"/>
      <c r="B150" s="4"/>
      <c r="C150" s="4"/>
      <c r="D150" s="32"/>
      <c r="E150" s="22"/>
      <c r="F150" s="28"/>
      <c r="G150" s="22"/>
      <c r="H150" s="22"/>
      <c r="I150" s="22"/>
      <c r="J150" s="22"/>
      <c r="K150" s="22"/>
      <c r="L150" s="22"/>
      <c r="M150" s="22"/>
      <c r="N150" s="22"/>
      <c r="O150" s="22"/>
      <c r="P150" s="22"/>
      <c r="Q150" s="13"/>
      <c r="R150" s="35"/>
      <c r="S150" s="13"/>
      <c r="T150" s="13"/>
      <c r="U150" s="13"/>
      <c r="V150" s="13"/>
      <c r="W150" s="13"/>
      <c r="X150" s="13"/>
      <c r="Y150" s="167"/>
      <c r="Z150" s="167"/>
      <c r="AA150" s="167"/>
      <c r="AB150" s="167"/>
      <c r="AC150" s="167"/>
      <c r="AD150" s="293"/>
    </row>
    <row r="151" spans="1:30">
      <c r="A151" s="218">
        <v>117</v>
      </c>
      <c r="B151" s="111" t="s">
        <v>201</v>
      </c>
      <c r="C151" s="111"/>
      <c r="D151" s="21"/>
      <c r="E151" s="22"/>
      <c r="F151" s="28"/>
      <c r="G151" s="22"/>
      <c r="H151" s="22"/>
      <c r="I151" s="22"/>
      <c r="J151" s="22"/>
      <c r="K151" s="22"/>
      <c r="L151" s="22"/>
      <c r="M151" s="22"/>
      <c r="N151" s="22"/>
      <c r="O151" s="22"/>
      <c r="P151" s="22"/>
      <c r="Q151" s="13"/>
      <c r="R151" s="35"/>
      <c r="S151" s="13"/>
      <c r="T151" s="13"/>
      <c r="U151" s="13"/>
      <c r="V151" s="13"/>
      <c r="W151" s="13"/>
      <c r="X151" s="13"/>
      <c r="Y151" s="167"/>
      <c r="Z151" s="167"/>
      <c r="AA151" s="167"/>
      <c r="AB151" s="167"/>
      <c r="AC151" s="167"/>
      <c r="AD151" s="293"/>
    </row>
    <row r="152" spans="1:30" ht="15" thickBot="1">
      <c r="A152" s="225"/>
      <c r="B152" s="234"/>
      <c r="C152" s="234"/>
      <c r="D152" s="202"/>
      <c r="E152" s="186"/>
      <c r="F152" s="208"/>
      <c r="G152" s="186"/>
      <c r="H152" s="186"/>
      <c r="I152" s="186"/>
      <c r="J152" s="186"/>
      <c r="K152" s="186"/>
      <c r="L152" s="186"/>
      <c r="M152" s="186"/>
      <c r="N152" s="186"/>
      <c r="O152" s="186"/>
      <c r="P152" s="186"/>
      <c r="Q152" s="187"/>
      <c r="R152" s="188"/>
      <c r="S152" s="187"/>
      <c r="T152" s="187"/>
      <c r="U152" s="187"/>
      <c r="V152" s="187"/>
      <c r="W152" s="187"/>
      <c r="X152" s="187"/>
      <c r="Y152" s="190"/>
      <c r="Z152" s="190"/>
      <c r="AA152" s="190"/>
      <c r="AB152" s="190"/>
      <c r="AC152" s="190"/>
      <c r="AD152" s="297"/>
    </row>
    <row r="153" spans="1:30" ht="15" thickTop="1">
      <c r="A153" s="218"/>
      <c r="B153" s="111"/>
      <c r="C153" s="111"/>
      <c r="D153" s="32"/>
      <c r="E153" s="22"/>
      <c r="F153" s="28"/>
      <c r="G153" s="22"/>
      <c r="H153" s="22"/>
      <c r="I153" s="22"/>
      <c r="J153" s="22"/>
      <c r="K153" s="22"/>
      <c r="L153" s="22"/>
      <c r="M153" s="22"/>
      <c r="N153" s="22"/>
      <c r="O153" s="22"/>
      <c r="P153" s="22"/>
      <c r="Q153" s="13"/>
      <c r="R153" s="35"/>
      <c r="S153" s="13"/>
      <c r="T153" s="13"/>
      <c r="U153" s="13"/>
      <c r="V153" s="13"/>
      <c r="W153" s="13"/>
      <c r="X153" s="13"/>
      <c r="Y153" s="167"/>
      <c r="Z153" s="167"/>
      <c r="AA153" s="167"/>
      <c r="AB153" s="167"/>
      <c r="AC153" s="167"/>
      <c r="AD153" s="293"/>
    </row>
    <row r="154" spans="1:30">
      <c r="A154" s="218" t="s">
        <v>86</v>
      </c>
      <c r="B154" s="111"/>
      <c r="C154" s="111"/>
      <c r="D154" s="32">
        <f>D148+D111+D102</f>
        <v>1305006</v>
      </c>
      <c r="E154" s="22">
        <f t="shared" ref="E154:AD154" si="6">E148+E111+E102</f>
        <v>1228927</v>
      </c>
      <c r="F154" s="134">
        <f t="shared" si="6"/>
        <v>294650490</v>
      </c>
      <c r="G154" s="22">
        <f t="shared" si="6"/>
        <v>373509</v>
      </c>
      <c r="H154" s="32">
        <f t="shared" si="6"/>
        <v>5049583</v>
      </c>
      <c r="I154" s="22">
        <f t="shared" si="6"/>
        <v>1727864</v>
      </c>
      <c r="J154" s="32">
        <f t="shared" si="6"/>
        <v>299422</v>
      </c>
      <c r="K154" s="22">
        <f t="shared" si="6"/>
        <v>169287</v>
      </c>
      <c r="L154" s="32">
        <f t="shared" si="6"/>
        <v>144132</v>
      </c>
      <c r="M154" s="22">
        <f t="shared" si="6"/>
        <v>414674</v>
      </c>
      <c r="N154" s="32">
        <f t="shared" si="6"/>
        <v>249862</v>
      </c>
      <c r="O154" s="22">
        <f t="shared" si="6"/>
        <v>7082293</v>
      </c>
      <c r="P154" s="32">
        <f t="shared" si="6"/>
        <v>105963</v>
      </c>
      <c r="Q154" s="22">
        <f t="shared" si="6"/>
        <v>669417</v>
      </c>
      <c r="R154" s="134">
        <f t="shared" si="6"/>
        <v>3767179</v>
      </c>
      <c r="S154" s="28">
        <f t="shared" si="6"/>
        <v>100233</v>
      </c>
      <c r="T154" s="134">
        <f t="shared" si="6"/>
        <v>6913</v>
      </c>
      <c r="U154" s="28">
        <f t="shared" si="6"/>
        <v>1794</v>
      </c>
      <c r="V154" s="134">
        <f t="shared" si="6"/>
        <v>409</v>
      </c>
      <c r="W154" s="28">
        <f t="shared" si="6"/>
        <v>0</v>
      </c>
      <c r="X154" s="134">
        <f t="shared" si="6"/>
        <v>3000</v>
      </c>
      <c r="Y154" s="28">
        <f t="shared" si="6"/>
        <v>127</v>
      </c>
      <c r="Z154" s="134">
        <f t="shared" si="6"/>
        <v>86465</v>
      </c>
      <c r="AA154" s="28">
        <f t="shared" si="6"/>
        <v>184401</v>
      </c>
      <c r="AB154" s="134">
        <f t="shared" si="6"/>
        <v>0</v>
      </c>
      <c r="AC154" s="28">
        <f t="shared" si="6"/>
        <v>0</v>
      </c>
      <c r="AD154" s="122">
        <f t="shared" si="6"/>
        <v>0</v>
      </c>
    </row>
    <row r="155" spans="1:30" ht="15" thickBot="1">
      <c r="A155" s="225"/>
      <c r="B155" s="234"/>
      <c r="C155" s="234"/>
      <c r="D155" s="202"/>
      <c r="E155" s="186"/>
      <c r="F155" s="208"/>
      <c r="G155" s="186"/>
      <c r="H155" s="186"/>
      <c r="I155" s="186"/>
      <c r="J155" s="186"/>
      <c r="K155" s="186"/>
      <c r="L155" s="186"/>
      <c r="M155" s="186"/>
      <c r="N155" s="186"/>
      <c r="O155" s="186"/>
      <c r="P155" s="186"/>
      <c r="Q155" s="187"/>
      <c r="R155" s="188"/>
      <c r="S155" s="187"/>
      <c r="T155" s="187"/>
      <c r="U155" s="187"/>
      <c r="V155" s="187"/>
      <c r="W155" s="187"/>
      <c r="X155" s="187"/>
      <c r="Y155" s="190"/>
      <c r="Z155" s="190"/>
      <c r="AA155" s="190"/>
      <c r="AB155" s="190"/>
      <c r="AC155" s="190"/>
      <c r="AD155" s="297"/>
    </row>
    <row r="156" spans="1:30" ht="17" thickTop="1" thickBot="1">
      <c r="A156" s="226" t="s">
        <v>27</v>
      </c>
      <c r="B156" s="94"/>
      <c r="C156" s="94"/>
      <c r="D156" s="21"/>
      <c r="E156" s="22"/>
      <c r="F156" s="28"/>
      <c r="G156" s="22"/>
      <c r="H156" s="22"/>
      <c r="I156" s="22"/>
      <c r="J156" s="22"/>
      <c r="K156" s="22"/>
      <c r="L156" s="22"/>
      <c r="M156" s="22"/>
      <c r="N156" s="22"/>
      <c r="O156" s="22"/>
      <c r="P156" s="22"/>
      <c r="Q156" s="13"/>
      <c r="R156" s="35"/>
      <c r="S156" s="13"/>
      <c r="T156" s="13"/>
      <c r="U156" s="13"/>
      <c r="V156" s="13"/>
      <c r="W156" s="167"/>
      <c r="X156" s="13"/>
      <c r="Y156" s="167"/>
      <c r="Z156" s="167"/>
      <c r="AA156" s="167"/>
      <c r="AB156" s="167"/>
      <c r="AC156" s="167"/>
      <c r="AD156" s="293"/>
    </row>
    <row r="157" spans="1:30">
      <c r="A157" s="227">
        <v>1</v>
      </c>
      <c r="B157" s="4" t="s">
        <v>203</v>
      </c>
      <c r="C157" s="4"/>
      <c r="D157" s="21">
        <v>1246</v>
      </c>
      <c r="E157" s="22" t="s">
        <v>62</v>
      </c>
      <c r="F157" s="28"/>
      <c r="G157" s="22">
        <v>63</v>
      </c>
      <c r="H157" s="22">
        <v>100</v>
      </c>
      <c r="I157" s="22">
        <v>72945</v>
      </c>
      <c r="J157" s="22">
        <v>9276</v>
      </c>
      <c r="K157" s="22"/>
      <c r="L157" s="22">
        <v>2872</v>
      </c>
      <c r="M157" s="22">
        <v>1962</v>
      </c>
      <c r="N157" s="22">
        <v>20271</v>
      </c>
      <c r="O157" s="22">
        <v>73542</v>
      </c>
      <c r="P157" s="22"/>
      <c r="Q157" s="28"/>
      <c r="R157" s="123">
        <v>204537</v>
      </c>
      <c r="S157" s="28">
        <v>2</v>
      </c>
      <c r="T157" s="28">
        <v>2</v>
      </c>
      <c r="U157" s="28">
        <v>1623</v>
      </c>
      <c r="V157" s="28">
        <v>105</v>
      </c>
      <c r="W157" s="28">
        <v>182041</v>
      </c>
      <c r="X157" s="28">
        <v>85000</v>
      </c>
      <c r="Y157" s="28"/>
      <c r="Z157" s="28"/>
      <c r="AA157" s="170"/>
      <c r="AB157" s="28">
        <v>12331</v>
      </c>
      <c r="AC157" s="28"/>
      <c r="AD157" s="122">
        <v>1500000</v>
      </c>
    </row>
    <row r="158" spans="1:30">
      <c r="A158" s="145">
        <v>2</v>
      </c>
      <c r="B158" s="4" t="s">
        <v>204</v>
      </c>
      <c r="C158" s="4"/>
      <c r="D158" s="21">
        <v>310</v>
      </c>
      <c r="E158" s="22">
        <v>139</v>
      </c>
      <c r="F158" s="28">
        <v>37200</v>
      </c>
      <c r="G158" s="22">
        <v>8</v>
      </c>
      <c r="H158" s="22">
        <v>700</v>
      </c>
      <c r="I158" s="22">
        <v>37996</v>
      </c>
      <c r="J158" s="22">
        <v>10581</v>
      </c>
      <c r="K158" s="22"/>
      <c r="L158" s="22">
        <v>1506</v>
      </c>
      <c r="M158" s="22">
        <v>1343</v>
      </c>
      <c r="N158" s="22">
        <v>6319</v>
      </c>
      <c r="O158" s="22">
        <v>81997</v>
      </c>
      <c r="P158" s="22">
        <v>701</v>
      </c>
      <c r="Q158" s="28"/>
      <c r="R158" s="123">
        <v>6391</v>
      </c>
      <c r="S158" s="28"/>
      <c r="T158" s="28">
        <v>2</v>
      </c>
      <c r="U158" s="28">
        <v>40</v>
      </c>
      <c r="V158" s="28">
        <v>71</v>
      </c>
      <c r="W158" s="28"/>
      <c r="X158" s="28"/>
      <c r="Y158" s="28"/>
      <c r="Z158" s="28"/>
      <c r="AA158" s="170"/>
      <c r="AB158" s="28"/>
      <c r="AC158" s="28"/>
      <c r="AD158" s="122"/>
    </row>
    <row r="159" spans="1:30">
      <c r="A159" s="145">
        <v>3</v>
      </c>
      <c r="B159" s="4" t="s">
        <v>205</v>
      </c>
      <c r="C159" s="4"/>
      <c r="D159" s="21">
        <v>216</v>
      </c>
      <c r="E159" s="22">
        <v>219</v>
      </c>
      <c r="F159" s="28">
        <v>158500</v>
      </c>
      <c r="G159" s="22">
        <v>68</v>
      </c>
      <c r="H159" s="22">
        <v>2300</v>
      </c>
      <c r="I159" s="22">
        <v>38269</v>
      </c>
      <c r="J159" s="22">
        <v>14506</v>
      </c>
      <c r="K159" s="22"/>
      <c r="L159" s="22">
        <v>276</v>
      </c>
      <c r="M159" s="22">
        <v>1680</v>
      </c>
      <c r="N159" s="22">
        <v>150</v>
      </c>
      <c r="O159" s="22">
        <v>76985</v>
      </c>
      <c r="P159" s="22">
        <v>34</v>
      </c>
      <c r="Q159" s="28">
        <v>450</v>
      </c>
      <c r="R159" s="123">
        <v>7550</v>
      </c>
      <c r="S159" s="28">
        <v>20</v>
      </c>
      <c r="T159" s="28">
        <v>40</v>
      </c>
      <c r="U159" s="28">
        <v>112</v>
      </c>
      <c r="V159" s="28"/>
      <c r="W159" s="28"/>
      <c r="X159" s="28"/>
      <c r="Y159" s="28"/>
      <c r="Z159" s="28"/>
      <c r="AA159" s="170"/>
      <c r="AB159" s="28"/>
      <c r="AC159" s="28"/>
      <c r="AD159" s="122"/>
    </row>
    <row r="160" spans="1:30">
      <c r="A160" s="145">
        <v>4</v>
      </c>
      <c r="B160" s="4" t="s">
        <v>206</v>
      </c>
      <c r="C160" s="4"/>
      <c r="D160" s="21">
        <v>30</v>
      </c>
      <c r="E160" s="22">
        <v>5</v>
      </c>
      <c r="F160" s="28">
        <v>23300</v>
      </c>
      <c r="G160" s="22">
        <v>47</v>
      </c>
      <c r="H160" s="52">
        <v>2500</v>
      </c>
      <c r="I160" s="22">
        <v>71466</v>
      </c>
      <c r="J160" s="22">
        <v>1030</v>
      </c>
      <c r="K160" s="22"/>
      <c r="L160" s="22">
        <v>2074</v>
      </c>
      <c r="M160" s="22">
        <v>12515</v>
      </c>
      <c r="N160" s="22">
        <v>3934</v>
      </c>
      <c r="O160" s="22">
        <v>109324</v>
      </c>
      <c r="P160" s="22">
        <v>10</v>
      </c>
      <c r="Q160" s="28"/>
      <c r="R160" s="123">
        <v>100</v>
      </c>
      <c r="S160" s="28">
        <v>3</v>
      </c>
      <c r="T160" s="28"/>
      <c r="U160" s="28">
        <v>10</v>
      </c>
      <c r="V160" s="28">
        <v>353</v>
      </c>
      <c r="W160" s="28"/>
      <c r="X160" s="28"/>
      <c r="Y160" s="28"/>
      <c r="Z160" s="28"/>
      <c r="AA160" s="170"/>
      <c r="AB160" s="28"/>
      <c r="AC160" s="28"/>
      <c r="AD160" s="122"/>
    </row>
    <row r="161" spans="1:30">
      <c r="A161" s="145">
        <v>5</v>
      </c>
      <c r="B161" s="4" t="s">
        <v>207</v>
      </c>
      <c r="C161" s="4"/>
      <c r="D161" s="21">
        <v>18</v>
      </c>
      <c r="E161" s="22">
        <v>123</v>
      </c>
      <c r="F161" s="28">
        <v>32000</v>
      </c>
      <c r="G161" s="22">
        <v>7</v>
      </c>
      <c r="H161" s="22">
        <v>13550</v>
      </c>
      <c r="I161" s="22">
        <v>1608</v>
      </c>
      <c r="J161" s="22">
        <v>9</v>
      </c>
      <c r="K161" s="22"/>
      <c r="L161" s="22">
        <v>85</v>
      </c>
      <c r="M161" s="22">
        <v>1833</v>
      </c>
      <c r="N161" s="22">
        <v>7</v>
      </c>
      <c r="O161" s="22">
        <v>810</v>
      </c>
      <c r="P161" s="22"/>
      <c r="Q161" s="28">
        <v>25</v>
      </c>
      <c r="R161" s="123">
        <v>250</v>
      </c>
      <c r="S161" s="28">
        <v>14</v>
      </c>
      <c r="T161" s="28"/>
      <c r="U161" s="28"/>
      <c r="V161" s="28"/>
      <c r="W161" s="28"/>
      <c r="X161" s="28"/>
      <c r="Y161" s="28"/>
      <c r="Z161" s="28"/>
      <c r="AA161" s="170"/>
      <c r="AB161" s="28"/>
      <c r="AC161" s="28"/>
      <c r="AD161" s="122"/>
    </row>
    <row r="162" spans="1:30">
      <c r="A162" s="145">
        <v>6</v>
      </c>
      <c r="B162" s="4" t="s">
        <v>208</v>
      </c>
      <c r="C162" s="4"/>
      <c r="D162" s="21">
        <v>267</v>
      </c>
      <c r="E162" s="22">
        <v>4210</v>
      </c>
      <c r="F162" s="28">
        <v>428660</v>
      </c>
      <c r="G162" s="22">
        <v>54</v>
      </c>
      <c r="H162" s="22">
        <v>42558</v>
      </c>
      <c r="I162" s="22">
        <v>49850</v>
      </c>
      <c r="J162" s="22">
        <v>13172</v>
      </c>
      <c r="K162" s="22">
        <v>1</v>
      </c>
      <c r="L162" s="22">
        <v>101</v>
      </c>
      <c r="M162" s="22">
        <v>8251</v>
      </c>
      <c r="N162" s="22">
        <v>1145</v>
      </c>
      <c r="O162" s="22">
        <v>49507</v>
      </c>
      <c r="P162" s="22">
        <v>71</v>
      </c>
      <c r="Q162" s="28">
        <v>66</v>
      </c>
      <c r="R162" s="123">
        <v>4345</v>
      </c>
      <c r="S162" s="28">
        <v>51</v>
      </c>
      <c r="T162" s="28"/>
      <c r="U162" s="28">
        <v>91</v>
      </c>
      <c r="V162" s="28">
        <v>8</v>
      </c>
      <c r="W162" s="28">
        <v>2</v>
      </c>
      <c r="X162" s="28">
        <v>150</v>
      </c>
      <c r="Y162" s="28">
        <v>4</v>
      </c>
      <c r="Z162" s="28"/>
      <c r="AA162" s="170"/>
      <c r="AB162" s="28"/>
      <c r="AC162" s="28"/>
      <c r="AD162" s="122"/>
    </row>
    <row r="163" spans="1:30">
      <c r="A163" s="145">
        <v>7</v>
      </c>
      <c r="B163" s="4" t="s">
        <v>209</v>
      </c>
      <c r="C163" s="4"/>
      <c r="D163" s="21"/>
      <c r="E163" s="22"/>
      <c r="F163" s="28"/>
      <c r="G163" s="22"/>
      <c r="I163" s="22">
        <v>336</v>
      </c>
      <c r="J163" s="22"/>
      <c r="K163" s="22"/>
      <c r="L163" s="22">
        <v>12</v>
      </c>
      <c r="M163" s="22">
        <v>54</v>
      </c>
      <c r="N163" s="22">
        <v>731</v>
      </c>
      <c r="O163" s="22">
        <v>1075</v>
      </c>
      <c r="P163" s="22">
        <v>1</v>
      </c>
      <c r="Q163" s="28"/>
      <c r="R163" s="123">
        <v>30</v>
      </c>
      <c r="S163" s="28">
        <v>60</v>
      </c>
      <c r="T163" s="28"/>
      <c r="U163" s="28"/>
      <c r="V163" s="28">
        <v>12</v>
      </c>
      <c r="W163" s="28"/>
      <c r="X163" s="28"/>
      <c r="Y163" s="28"/>
      <c r="Z163" s="28"/>
      <c r="AA163" s="170"/>
      <c r="AB163" s="28"/>
      <c r="AC163" s="28"/>
      <c r="AD163" s="122"/>
    </row>
    <row r="164" spans="1:30">
      <c r="A164" s="145">
        <v>8</v>
      </c>
      <c r="B164" s="4" t="s">
        <v>210</v>
      </c>
      <c r="C164" s="4"/>
      <c r="D164" s="21">
        <v>933</v>
      </c>
      <c r="E164" s="22">
        <v>4162</v>
      </c>
      <c r="F164" s="28">
        <v>1313310</v>
      </c>
      <c r="G164" s="22">
        <v>140</v>
      </c>
      <c r="H164" s="22">
        <v>42202</v>
      </c>
      <c r="I164" s="22">
        <v>143039</v>
      </c>
      <c r="J164" s="22">
        <v>71614</v>
      </c>
      <c r="K164" s="22">
        <v>39</v>
      </c>
      <c r="L164" s="22">
        <v>384</v>
      </c>
      <c r="M164" s="22">
        <v>33010</v>
      </c>
      <c r="N164" s="22">
        <v>70</v>
      </c>
      <c r="O164" s="22">
        <v>45173</v>
      </c>
      <c r="P164" s="22">
        <v>12</v>
      </c>
      <c r="Q164" s="28">
        <v>5682</v>
      </c>
      <c r="R164" s="123">
        <v>2480</v>
      </c>
      <c r="S164" s="28">
        <v>33</v>
      </c>
      <c r="T164" s="28">
        <v>230</v>
      </c>
      <c r="U164" s="28">
        <v>5</v>
      </c>
      <c r="V164" s="28">
        <v>14</v>
      </c>
      <c r="W164" s="28"/>
      <c r="X164" s="28"/>
      <c r="Y164" s="28">
        <v>24</v>
      </c>
      <c r="Z164" s="28"/>
      <c r="AA164" s="170"/>
      <c r="AB164" s="28"/>
      <c r="AC164" s="28"/>
      <c r="AD164" s="122"/>
    </row>
    <row r="165" spans="1:30">
      <c r="A165" s="145">
        <v>9</v>
      </c>
      <c r="B165" s="4" t="s">
        <v>211</v>
      </c>
      <c r="C165" s="4"/>
      <c r="D165" s="21">
        <v>42</v>
      </c>
      <c r="E165" s="22">
        <v>131</v>
      </c>
      <c r="F165" s="28">
        <v>183300</v>
      </c>
      <c r="G165" s="22">
        <v>10</v>
      </c>
      <c r="H165" s="22">
        <v>29849</v>
      </c>
      <c r="I165" s="22">
        <v>38118</v>
      </c>
      <c r="J165" s="22">
        <v>16121</v>
      </c>
      <c r="K165" s="22">
        <v>1</v>
      </c>
      <c r="L165" s="22">
        <v>263</v>
      </c>
      <c r="M165" s="22">
        <v>1137</v>
      </c>
      <c r="N165" s="22">
        <v>1023</v>
      </c>
      <c r="O165" s="22">
        <v>112547</v>
      </c>
      <c r="P165" s="22">
        <v>377</v>
      </c>
      <c r="Q165" s="28">
        <v>40</v>
      </c>
      <c r="R165" s="123">
        <v>4022</v>
      </c>
      <c r="S165" s="28">
        <v>20</v>
      </c>
      <c r="T165" s="28"/>
      <c r="U165" s="28">
        <v>128</v>
      </c>
      <c r="V165" s="28"/>
      <c r="W165" s="28"/>
      <c r="X165" s="28"/>
      <c r="Y165" s="28"/>
      <c r="Z165" s="28"/>
      <c r="AA165" s="170"/>
      <c r="AB165" s="28"/>
      <c r="AC165" s="28"/>
      <c r="AD165" s="122"/>
    </row>
    <row r="166" spans="1:30">
      <c r="A166" s="145">
        <v>10</v>
      </c>
      <c r="B166" s="4" t="s">
        <v>212</v>
      </c>
      <c r="C166" s="4"/>
      <c r="D166" s="21">
        <v>33</v>
      </c>
      <c r="E166" s="22">
        <v>162</v>
      </c>
      <c r="F166" s="28">
        <v>104960</v>
      </c>
      <c r="G166" s="22"/>
      <c r="H166" s="22">
        <v>1600</v>
      </c>
      <c r="I166" s="22">
        <v>28457</v>
      </c>
      <c r="J166" s="22">
        <v>7649</v>
      </c>
      <c r="K166" s="22">
        <v>6</v>
      </c>
      <c r="L166" s="22">
        <v>583</v>
      </c>
      <c r="M166" s="22">
        <v>9111</v>
      </c>
      <c r="N166" s="22">
        <v>30</v>
      </c>
      <c r="O166" s="22">
        <v>89850</v>
      </c>
      <c r="P166" s="22"/>
      <c r="Q166" s="28">
        <v>300</v>
      </c>
      <c r="R166" s="123">
        <v>500</v>
      </c>
      <c r="S166" s="28"/>
      <c r="T166" s="28">
        <v>71</v>
      </c>
      <c r="U166" s="28"/>
      <c r="V166" s="28">
        <v>6</v>
      </c>
      <c r="W166" s="28"/>
      <c r="X166" s="28"/>
      <c r="Y166" s="28"/>
      <c r="Z166" s="28"/>
      <c r="AA166" s="170"/>
      <c r="AB166" s="28"/>
      <c r="AC166" s="28"/>
      <c r="AD166" s="122"/>
    </row>
    <row r="167" spans="1:30">
      <c r="A167" s="145">
        <v>11</v>
      </c>
      <c r="B167" s="4" t="s">
        <v>213</v>
      </c>
      <c r="C167" s="4"/>
      <c r="E167" s="22"/>
      <c r="F167" s="28">
        <v>18500</v>
      </c>
      <c r="H167" s="22">
        <v>8000</v>
      </c>
      <c r="I167" s="22">
        <v>12627</v>
      </c>
      <c r="J167" s="22">
        <v>9210</v>
      </c>
      <c r="K167" s="22"/>
      <c r="L167" s="22">
        <v>1005</v>
      </c>
      <c r="M167" s="22">
        <v>125</v>
      </c>
      <c r="N167" s="22">
        <v>270</v>
      </c>
      <c r="O167" s="22">
        <v>29134</v>
      </c>
      <c r="P167" s="22">
        <v>113</v>
      </c>
      <c r="Q167" s="28"/>
      <c r="R167" s="123">
        <v>642</v>
      </c>
      <c r="S167" s="28">
        <v>26</v>
      </c>
      <c r="T167" s="28"/>
      <c r="U167" s="28">
        <v>61</v>
      </c>
      <c r="V167" s="28"/>
      <c r="W167" s="28"/>
      <c r="X167" s="28"/>
      <c r="Y167" s="28"/>
      <c r="Z167" s="28"/>
      <c r="AA167" s="170"/>
      <c r="AB167" s="28"/>
      <c r="AC167" s="28"/>
      <c r="AD167" s="122"/>
    </row>
    <row r="168" spans="1:30">
      <c r="A168" s="145">
        <v>12</v>
      </c>
      <c r="B168" s="4" t="s">
        <v>214</v>
      </c>
      <c r="C168" s="4"/>
      <c r="D168" s="21"/>
      <c r="E168" s="22"/>
      <c r="F168" s="28"/>
      <c r="G168" s="22">
        <v>70</v>
      </c>
      <c r="I168" s="22">
        <v>77036</v>
      </c>
      <c r="J168" s="22">
        <v>19817</v>
      </c>
      <c r="K168" s="22"/>
      <c r="L168" s="22">
        <v>4188</v>
      </c>
      <c r="M168" s="22">
        <v>1214</v>
      </c>
      <c r="N168" s="22">
        <v>9535</v>
      </c>
      <c r="O168" s="22">
        <v>11625</v>
      </c>
      <c r="P168" s="22"/>
      <c r="Q168" s="28"/>
      <c r="R168" s="123">
        <v>852606</v>
      </c>
      <c r="S168" s="28"/>
      <c r="T168" s="28"/>
      <c r="U168" s="28">
        <v>293</v>
      </c>
      <c r="V168" s="28">
        <v>26537</v>
      </c>
      <c r="W168" s="28">
        <v>446686</v>
      </c>
      <c r="X168" s="28">
        <v>9160</v>
      </c>
      <c r="Y168" s="28"/>
      <c r="Z168" s="28"/>
      <c r="AA168" s="170"/>
      <c r="AB168" s="28">
        <v>34877</v>
      </c>
      <c r="AC168" s="28">
        <v>46733</v>
      </c>
      <c r="AD168" s="122">
        <v>106000</v>
      </c>
    </row>
    <row r="169" spans="1:30">
      <c r="A169" s="145">
        <v>13</v>
      </c>
      <c r="B169" s="4" t="s">
        <v>215</v>
      </c>
      <c r="C169" s="4"/>
      <c r="D169" s="21">
        <v>1319</v>
      </c>
      <c r="E169" s="22">
        <v>3003</v>
      </c>
      <c r="F169" s="28">
        <v>322600</v>
      </c>
      <c r="G169" s="22">
        <v>92</v>
      </c>
      <c r="H169" s="22">
        <v>858</v>
      </c>
      <c r="I169" s="22">
        <v>34936</v>
      </c>
      <c r="J169" s="22">
        <v>698</v>
      </c>
      <c r="K169" s="22">
        <v>724</v>
      </c>
      <c r="L169" s="22">
        <v>254</v>
      </c>
      <c r="M169" s="22">
        <v>9353</v>
      </c>
      <c r="N169" s="22">
        <v>95</v>
      </c>
      <c r="O169" s="22">
        <v>53160</v>
      </c>
      <c r="P169" s="22">
        <v>5</v>
      </c>
      <c r="Q169" s="28">
        <v>115</v>
      </c>
      <c r="R169" s="123">
        <v>500</v>
      </c>
      <c r="S169" s="28">
        <v>2</v>
      </c>
      <c r="T169" s="28">
        <v>283</v>
      </c>
      <c r="U169" s="28"/>
      <c r="V169" s="28"/>
      <c r="W169" s="28"/>
      <c r="X169" s="28"/>
      <c r="Y169" s="28"/>
      <c r="Z169" s="28"/>
      <c r="AA169" s="170"/>
      <c r="AB169" s="28"/>
      <c r="AC169" s="28"/>
      <c r="AD169" s="122"/>
    </row>
    <row r="170" spans="1:30">
      <c r="A170" s="145">
        <v>14</v>
      </c>
      <c r="B170" s="4" t="s">
        <v>216</v>
      </c>
      <c r="C170" s="4"/>
      <c r="D170" s="21">
        <v>6</v>
      </c>
      <c r="E170" s="22">
        <v>628</v>
      </c>
      <c r="F170" s="28">
        <v>297106</v>
      </c>
      <c r="G170" s="22">
        <v>147</v>
      </c>
      <c r="H170" s="22">
        <v>4650</v>
      </c>
      <c r="I170" s="22">
        <v>84574</v>
      </c>
      <c r="J170" s="22">
        <v>9220</v>
      </c>
      <c r="K170" s="22"/>
      <c r="L170" s="22">
        <v>3346</v>
      </c>
      <c r="M170" s="22">
        <v>4287</v>
      </c>
      <c r="N170" s="22">
        <v>983</v>
      </c>
      <c r="O170" s="22">
        <v>411992</v>
      </c>
      <c r="P170" s="22"/>
      <c r="Q170" s="28">
        <v>100</v>
      </c>
      <c r="R170" s="123">
        <v>4620</v>
      </c>
      <c r="S170" s="28">
        <v>5</v>
      </c>
      <c r="T170" s="28">
        <v>94</v>
      </c>
      <c r="U170" s="28">
        <v>279</v>
      </c>
      <c r="V170" s="28">
        <v>248</v>
      </c>
      <c r="W170" s="28">
        <v>51</v>
      </c>
      <c r="X170" s="28"/>
      <c r="Y170" s="28"/>
      <c r="Z170" s="28"/>
      <c r="AA170" s="170"/>
      <c r="AB170" s="28"/>
      <c r="AC170" s="28"/>
      <c r="AD170" s="122"/>
    </row>
    <row r="171" spans="1:30">
      <c r="A171" s="145">
        <v>15</v>
      </c>
      <c r="B171" s="4" t="s">
        <v>217</v>
      </c>
      <c r="C171" s="4"/>
      <c r="D171" s="21">
        <v>221</v>
      </c>
      <c r="E171" s="22">
        <v>8102</v>
      </c>
      <c r="F171" s="28">
        <v>521278</v>
      </c>
      <c r="G171" s="22">
        <v>552</v>
      </c>
      <c r="H171" s="22">
        <v>24780</v>
      </c>
      <c r="I171" s="22">
        <v>71229</v>
      </c>
      <c r="J171" s="22">
        <v>16505</v>
      </c>
      <c r="K171" s="22"/>
      <c r="L171" s="22">
        <v>42</v>
      </c>
      <c r="M171" s="22">
        <v>8360</v>
      </c>
      <c r="N171" s="22">
        <v>192</v>
      </c>
      <c r="O171" s="22">
        <v>32331</v>
      </c>
      <c r="P171" s="22">
        <v>86</v>
      </c>
      <c r="Q171" s="28">
        <v>20</v>
      </c>
      <c r="R171" s="123">
        <v>5078</v>
      </c>
      <c r="S171" s="28">
        <v>37</v>
      </c>
      <c r="T171" s="28">
        <v>14</v>
      </c>
      <c r="U171" s="28">
        <v>113</v>
      </c>
      <c r="V171" s="28"/>
      <c r="W171" s="28"/>
      <c r="X171" s="28"/>
      <c r="Y171" s="28">
        <v>24</v>
      </c>
      <c r="Z171" s="28"/>
      <c r="AA171" s="170"/>
      <c r="AB171" s="28"/>
      <c r="AC171" s="28"/>
      <c r="AD171" s="122"/>
    </row>
    <row r="172" spans="1:30">
      <c r="A172" s="145">
        <v>16</v>
      </c>
      <c r="B172" s="4" t="s">
        <v>218</v>
      </c>
      <c r="C172" s="4"/>
      <c r="D172" s="21">
        <v>4</v>
      </c>
      <c r="E172" s="22">
        <v>74</v>
      </c>
      <c r="F172" s="28">
        <v>176400</v>
      </c>
      <c r="G172" s="22">
        <v>3</v>
      </c>
      <c r="H172" s="22">
        <v>600</v>
      </c>
      <c r="I172" s="22">
        <v>28847</v>
      </c>
      <c r="J172" s="22">
        <v>18018</v>
      </c>
      <c r="K172" s="22"/>
      <c r="L172" s="22">
        <v>1070</v>
      </c>
      <c r="M172" s="22">
        <v>241</v>
      </c>
      <c r="N172" s="22">
        <v>1162</v>
      </c>
      <c r="O172" s="22">
        <v>15300</v>
      </c>
      <c r="P172" s="22"/>
      <c r="Q172" s="28"/>
      <c r="R172" s="123">
        <v>3410</v>
      </c>
      <c r="S172" s="28">
        <v>20</v>
      </c>
      <c r="T172" s="28"/>
      <c r="U172" s="28">
        <v>9</v>
      </c>
      <c r="V172" s="28">
        <v>3</v>
      </c>
      <c r="W172" s="28"/>
      <c r="X172" s="28"/>
      <c r="Y172" s="28"/>
      <c r="Z172" s="28"/>
      <c r="AA172" s="170"/>
      <c r="AB172" s="28"/>
      <c r="AC172" s="28"/>
      <c r="AD172" s="122"/>
    </row>
    <row r="173" spans="1:30">
      <c r="A173" s="145">
        <v>17</v>
      </c>
      <c r="B173" s="4" t="s">
        <v>219</v>
      </c>
      <c r="C173" s="4"/>
      <c r="D173" s="21">
        <v>5</v>
      </c>
      <c r="E173" s="22">
        <v>503</v>
      </c>
      <c r="F173" s="28">
        <v>367915</v>
      </c>
      <c r="H173" s="22">
        <v>1010</v>
      </c>
      <c r="I173" s="22">
        <v>33599</v>
      </c>
      <c r="J173" s="22">
        <v>556</v>
      </c>
      <c r="K173" s="22"/>
      <c r="L173" s="22">
        <v>2938</v>
      </c>
      <c r="M173" s="22">
        <v>23554</v>
      </c>
      <c r="N173" s="22">
        <v>174</v>
      </c>
      <c r="O173" s="22">
        <v>41288</v>
      </c>
      <c r="P173" s="22">
        <v>1</v>
      </c>
      <c r="Q173" s="28">
        <v>2530</v>
      </c>
      <c r="R173" s="123">
        <v>3</v>
      </c>
      <c r="S173" s="28"/>
      <c r="T173" s="28">
        <v>776</v>
      </c>
      <c r="U173" s="28"/>
      <c r="V173" s="28">
        <v>4</v>
      </c>
      <c r="W173" s="28">
        <v>10</v>
      </c>
      <c r="X173" s="28"/>
      <c r="Y173" s="28"/>
      <c r="Z173" s="28"/>
      <c r="AA173" s="170"/>
      <c r="AB173" s="28"/>
      <c r="AC173" s="28"/>
      <c r="AD173" s="122"/>
    </row>
    <row r="174" spans="1:30">
      <c r="A174" s="145">
        <v>18</v>
      </c>
      <c r="B174" s="4" t="s">
        <v>220</v>
      </c>
      <c r="C174" s="4"/>
      <c r="E174" s="22"/>
      <c r="F174" s="28">
        <v>1000</v>
      </c>
      <c r="G174" s="22">
        <v>44</v>
      </c>
      <c r="H174" s="22"/>
      <c r="I174" s="22">
        <v>41254</v>
      </c>
      <c r="J174" s="22">
        <v>4036</v>
      </c>
      <c r="K174" s="22"/>
      <c r="L174" s="22">
        <v>2000</v>
      </c>
      <c r="M174" s="22">
        <v>473</v>
      </c>
      <c r="N174" s="22">
        <v>11337</v>
      </c>
      <c r="O174" s="22">
        <v>83961</v>
      </c>
      <c r="P174" s="22">
        <v>300</v>
      </c>
      <c r="Q174" s="28"/>
      <c r="R174" s="123">
        <v>814180</v>
      </c>
      <c r="S174" s="28">
        <v>16</v>
      </c>
      <c r="T174" s="28">
        <v>21</v>
      </c>
      <c r="U174" s="28">
        <v>373</v>
      </c>
      <c r="V174" s="28">
        <v>305</v>
      </c>
      <c r="W174" s="28">
        <v>182550</v>
      </c>
      <c r="X174" s="28">
        <v>4869781</v>
      </c>
      <c r="Y174" s="28"/>
      <c r="Z174" s="28"/>
      <c r="AA174" s="170"/>
      <c r="AB174" s="28">
        <v>10909</v>
      </c>
      <c r="AC174" s="28"/>
      <c r="AD174" s="122">
        <v>2852600</v>
      </c>
    </row>
    <row r="175" spans="1:30">
      <c r="A175" s="145">
        <v>19</v>
      </c>
      <c r="B175" s="4" t="s">
        <v>221</v>
      </c>
      <c r="C175" s="4"/>
      <c r="D175" s="21"/>
      <c r="E175" s="22"/>
      <c r="F175" s="28"/>
      <c r="G175" s="22">
        <v>8</v>
      </c>
      <c r="H175" s="22"/>
      <c r="I175" s="22">
        <v>43053</v>
      </c>
      <c r="J175" s="22">
        <v>31329</v>
      </c>
      <c r="K175" s="22"/>
      <c r="L175" s="22">
        <v>836</v>
      </c>
      <c r="M175" s="22">
        <v>2839</v>
      </c>
      <c r="N175" s="22">
        <v>4625</v>
      </c>
      <c r="O175" s="22">
        <v>118601</v>
      </c>
      <c r="P175" s="22">
        <v>10</v>
      </c>
      <c r="Q175" s="28"/>
      <c r="R175" s="123">
        <v>3400</v>
      </c>
      <c r="S175" s="28"/>
      <c r="T175" s="28">
        <v>1</v>
      </c>
      <c r="U175" s="28">
        <v>170</v>
      </c>
      <c r="V175" s="28">
        <v>206</v>
      </c>
      <c r="W175" s="28">
        <v>42585</v>
      </c>
      <c r="X175" s="28">
        <v>43000</v>
      </c>
      <c r="Y175" s="28"/>
      <c r="Z175" s="28">
        <v>144</v>
      </c>
      <c r="AA175" s="170"/>
      <c r="AB175" s="28">
        <v>3863</v>
      </c>
      <c r="AC175" s="28"/>
      <c r="AD175" s="122">
        <v>600000</v>
      </c>
    </row>
    <row r="176" spans="1:30">
      <c r="A176" s="145">
        <v>20</v>
      </c>
      <c r="B176" s="4" t="s">
        <v>222</v>
      </c>
      <c r="C176" s="4"/>
      <c r="D176" s="21"/>
      <c r="E176" s="22"/>
      <c r="F176" s="28"/>
      <c r="G176" s="22"/>
      <c r="I176" s="22">
        <v>25000</v>
      </c>
      <c r="J176" s="22">
        <v>10000</v>
      </c>
      <c r="K176" s="22"/>
      <c r="L176" s="22">
        <v>1000</v>
      </c>
      <c r="M176" s="22"/>
      <c r="N176" s="22">
        <v>10000</v>
      </c>
      <c r="O176" s="22">
        <v>90000</v>
      </c>
      <c r="P176" s="22"/>
      <c r="Q176" s="28"/>
      <c r="R176" s="123"/>
      <c r="S176" s="28"/>
      <c r="T176" s="28"/>
      <c r="U176" s="28"/>
      <c r="V176" s="28"/>
      <c r="W176" s="28"/>
      <c r="X176" s="28"/>
      <c r="Y176" s="28"/>
      <c r="Z176" s="28"/>
      <c r="AA176" s="170"/>
      <c r="AB176" s="28"/>
      <c r="AC176" s="28"/>
      <c r="AD176" s="122"/>
    </row>
    <row r="177" spans="1:30">
      <c r="A177" s="145">
        <v>21</v>
      </c>
      <c r="B177" s="4" t="s">
        <v>223</v>
      </c>
      <c r="C177" s="4"/>
      <c r="D177" s="21">
        <v>7</v>
      </c>
      <c r="E177" s="22">
        <v>197</v>
      </c>
      <c r="F177" s="28">
        <v>676600</v>
      </c>
      <c r="H177" s="22">
        <v>2325</v>
      </c>
      <c r="I177" s="22">
        <v>107568</v>
      </c>
      <c r="J177" s="22">
        <v>16344</v>
      </c>
      <c r="K177" s="22"/>
      <c r="L177" s="22">
        <v>1107</v>
      </c>
      <c r="M177" s="22">
        <v>5630</v>
      </c>
      <c r="N177" s="22">
        <v>45419</v>
      </c>
      <c r="O177" s="22">
        <v>49116</v>
      </c>
      <c r="P177" s="22">
        <v>3</v>
      </c>
      <c r="Q177" s="28"/>
      <c r="R177" s="123">
        <v>9060</v>
      </c>
      <c r="S177" s="26"/>
      <c r="T177" s="28">
        <v>87</v>
      </c>
      <c r="U177" s="28">
        <v>292</v>
      </c>
      <c r="V177" s="28">
        <v>1073</v>
      </c>
      <c r="W177" s="28">
        <v>12</v>
      </c>
      <c r="X177" s="28"/>
      <c r="Y177" s="28"/>
      <c r="Z177" s="28"/>
      <c r="AA177" s="170"/>
      <c r="AB177" s="28"/>
      <c r="AC177" s="28"/>
      <c r="AD177" s="122"/>
    </row>
    <row r="178" spans="1:30">
      <c r="A178" s="145">
        <v>22</v>
      </c>
      <c r="B178" s="4" t="s">
        <v>224</v>
      </c>
      <c r="C178" s="4"/>
      <c r="D178" s="21">
        <v>1047</v>
      </c>
      <c r="E178" s="22">
        <v>16935</v>
      </c>
      <c r="F178" s="28">
        <v>1146060</v>
      </c>
      <c r="G178" s="22">
        <v>73</v>
      </c>
      <c r="H178" s="22">
        <v>25960</v>
      </c>
      <c r="I178" s="22">
        <v>84044</v>
      </c>
      <c r="J178" s="22">
        <v>18635</v>
      </c>
      <c r="K178" s="22">
        <v>12</v>
      </c>
      <c r="L178" s="22">
        <v>2065</v>
      </c>
      <c r="M178" s="22">
        <v>40610</v>
      </c>
      <c r="N178" s="22">
        <v>181</v>
      </c>
      <c r="O178" s="22">
        <v>81499</v>
      </c>
      <c r="P178" s="22">
        <v>101</v>
      </c>
      <c r="Q178" s="28">
        <v>30</v>
      </c>
      <c r="R178" s="123">
        <v>3390</v>
      </c>
      <c r="S178" s="28">
        <v>2</v>
      </c>
      <c r="T178" s="28">
        <v>133</v>
      </c>
      <c r="U178" s="28">
        <v>295</v>
      </c>
      <c r="V178" s="28"/>
      <c r="W178" s="28"/>
      <c r="X178" s="28"/>
      <c r="Y178" s="28">
        <v>30</v>
      </c>
      <c r="Z178" s="28"/>
      <c r="AA178" s="170"/>
      <c r="AB178" s="28"/>
      <c r="AC178" s="28"/>
      <c r="AD178" s="122"/>
    </row>
    <row r="179" spans="1:30">
      <c r="A179" s="145">
        <v>23</v>
      </c>
      <c r="B179" s="4" t="s">
        <v>225</v>
      </c>
      <c r="C179" s="4"/>
      <c r="D179" s="21">
        <v>1</v>
      </c>
      <c r="E179" s="22">
        <v>35</v>
      </c>
      <c r="F179" s="28">
        <v>7000</v>
      </c>
      <c r="G179" s="22">
        <v>25</v>
      </c>
      <c r="H179" s="22">
        <v>4165</v>
      </c>
      <c r="I179" s="22">
        <v>27862</v>
      </c>
      <c r="J179" s="22">
        <v>12109</v>
      </c>
      <c r="K179" s="22"/>
      <c r="L179" s="22">
        <v>10</v>
      </c>
      <c r="M179" s="22">
        <v>472</v>
      </c>
      <c r="N179" s="22">
        <v>786</v>
      </c>
      <c r="O179" s="22">
        <v>82517</v>
      </c>
      <c r="P179" s="22">
        <v>13</v>
      </c>
      <c r="Q179" s="28"/>
      <c r="R179" s="123">
        <v>4790</v>
      </c>
      <c r="S179" s="28">
        <v>1</v>
      </c>
      <c r="T179" s="28"/>
      <c r="U179" s="28">
        <v>3</v>
      </c>
      <c r="V179" s="28"/>
      <c r="W179" s="28"/>
      <c r="X179" s="28"/>
      <c r="Y179" s="28"/>
      <c r="Z179" s="28"/>
      <c r="AA179" s="28">
        <v>10</v>
      </c>
      <c r="AB179" s="28"/>
      <c r="AC179" s="28"/>
      <c r="AD179" s="122"/>
    </row>
    <row r="180" spans="1:30">
      <c r="A180" s="145">
        <v>24</v>
      </c>
      <c r="B180" s="4" t="s">
        <v>226</v>
      </c>
      <c r="C180" s="4"/>
      <c r="D180" s="21">
        <v>51</v>
      </c>
      <c r="E180" s="22">
        <v>202</v>
      </c>
      <c r="F180" s="28">
        <v>91740</v>
      </c>
      <c r="G180" s="22">
        <v>73</v>
      </c>
      <c r="H180" s="22">
        <v>26100</v>
      </c>
      <c r="I180" s="22">
        <v>17582</v>
      </c>
      <c r="J180" s="22">
        <v>6154</v>
      </c>
      <c r="K180" s="22">
        <v>7</v>
      </c>
      <c r="L180" s="22">
        <v>45</v>
      </c>
      <c r="M180" s="22">
        <v>322</v>
      </c>
      <c r="N180" s="22">
        <v>2055</v>
      </c>
      <c r="O180" s="22">
        <v>5939</v>
      </c>
      <c r="P180" s="22">
        <v>5</v>
      </c>
      <c r="Q180" s="28"/>
      <c r="R180" s="123">
        <v>88955</v>
      </c>
      <c r="S180" s="28">
        <v>1</v>
      </c>
      <c r="T180" s="28"/>
      <c r="U180" s="28">
        <v>20</v>
      </c>
      <c r="V180" s="28">
        <v>6</v>
      </c>
      <c r="W180" s="28"/>
      <c r="X180" s="28"/>
      <c r="Y180" s="28"/>
      <c r="Z180" s="28"/>
      <c r="AA180" s="170"/>
      <c r="AB180" s="28"/>
      <c r="AC180" s="28"/>
      <c r="AD180" s="122"/>
    </row>
    <row r="181" spans="1:30">
      <c r="A181" s="145">
        <v>25</v>
      </c>
      <c r="B181" s="4" t="s">
        <v>147</v>
      </c>
      <c r="C181" s="4"/>
      <c r="E181" s="22">
        <v>269</v>
      </c>
      <c r="F181" s="28">
        <v>191100</v>
      </c>
      <c r="G181" s="22">
        <v>94</v>
      </c>
      <c r="H181" s="22">
        <v>33100</v>
      </c>
      <c r="I181" s="22">
        <v>91116</v>
      </c>
      <c r="J181" s="22">
        <v>15317</v>
      </c>
      <c r="K181" s="22"/>
      <c r="L181" s="22">
        <v>1206</v>
      </c>
      <c r="M181" s="22">
        <v>10694</v>
      </c>
      <c r="N181" s="22">
        <v>2065</v>
      </c>
      <c r="O181" s="22">
        <v>175380</v>
      </c>
      <c r="P181" s="22"/>
      <c r="Q181" s="28"/>
      <c r="R181" s="123">
        <v>29675</v>
      </c>
      <c r="S181" s="28">
        <v>47</v>
      </c>
      <c r="T181" s="28">
        <v>2217</v>
      </c>
      <c r="U181" s="28">
        <v>250</v>
      </c>
      <c r="V181" s="28">
        <v>684</v>
      </c>
      <c r="W181" s="28"/>
      <c r="X181" s="28"/>
      <c r="Y181" s="28"/>
      <c r="Z181" s="28"/>
      <c r="AA181" s="170"/>
      <c r="AB181" s="28"/>
      <c r="AC181" s="28"/>
      <c r="AD181" s="122"/>
    </row>
    <row r="182" spans="1:30">
      <c r="A182" s="145">
        <v>26</v>
      </c>
      <c r="B182" s="4" t="s">
        <v>227</v>
      </c>
      <c r="C182" s="4"/>
      <c r="D182" s="21"/>
      <c r="E182" s="22">
        <v>14</v>
      </c>
      <c r="F182" s="28">
        <v>645049</v>
      </c>
      <c r="G182" s="22">
        <v>21</v>
      </c>
      <c r="H182" s="22">
        <v>35925</v>
      </c>
      <c r="I182" s="22">
        <v>64081</v>
      </c>
      <c r="J182" s="22">
        <v>8687</v>
      </c>
      <c r="K182" s="22">
        <v>3</v>
      </c>
      <c r="L182" s="22">
        <v>1808</v>
      </c>
      <c r="M182" s="22">
        <v>6523</v>
      </c>
      <c r="N182" s="22">
        <v>2428</v>
      </c>
      <c r="O182" s="22">
        <v>113971</v>
      </c>
      <c r="P182" s="22">
        <v>25</v>
      </c>
      <c r="Q182" s="28">
        <v>8</v>
      </c>
      <c r="R182" s="123">
        <v>3210</v>
      </c>
      <c r="S182" s="28">
        <v>6</v>
      </c>
      <c r="T182" s="28">
        <v>340</v>
      </c>
      <c r="U182" s="28">
        <v>350</v>
      </c>
      <c r="V182" s="28">
        <v>382</v>
      </c>
      <c r="W182" s="28"/>
      <c r="X182" s="28"/>
      <c r="Y182" s="28"/>
      <c r="Z182" s="28"/>
      <c r="AA182" s="170"/>
      <c r="AB182" s="28"/>
      <c r="AC182" s="28"/>
      <c r="AD182" s="122"/>
    </row>
    <row r="183" spans="1:30">
      <c r="A183" s="145">
        <v>27</v>
      </c>
      <c r="B183" s="4" t="s">
        <v>228</v>
      </c>
      <c r="C183" s="4"/>
      <c r="D183" s="21"/>
      <c r="E183" s="22">
        <v>3</v>
      </c>
      <c r="F183" s="28">
        <v>135000</v>
      </c>
      <c r="G183" s="22">
        <v>1</v>
      </c>
      <c r="I183" s="22">
        <v>71730</v>
      </c>
      <c r="J183" s="22">
        <v>20035</v>
      </c>
      <c r="K183" s="22">
        <v>4</v>
      </c>
      <c r="L183" s="22">
        <v>8343</v>
      </c>
      <c r="M183" s="22">
        <v>5958</v>
      </c>
      <c r="N183" s="22">
        <v>34589</v>
      </c>
      <c r="O183" s="22">
        <v>24815</v>
      </c>
      <c r="P183" s="22">
        <v>2</v>
      </c>
      <c r="Q183" s="28">
        <v>30</v>
      </c>
      <c r="R183" s="123">
        <v>166404</v>
      </c>
      <c r="S183" s="28">
        <v>191</v>
      </c>
      <c r="T183" s="28">
        <v>39</v>
      </c>
      <c r="U183" s="28">
        <v>2493</v>
      </c>
      <c r="V183" s="28">
        <v>5472</v>
      </c>
      <c r="W183" s="28">
        <v>122610</v>
      </c>
      <c r="X183" s="28"/>
      <c r="Y183" s="28"/>
      <c r="Z183" s="28"/>
      <c r="AA183" s="170"/>
      <c r="AB183" s="28">
        <v>9153</v>
      </c>
      <c r="AC183" s="28"/>
      <c r="AD183" s="122">
        <v>20000</v>
      </c>
    </row>
    <row r="184" spans="1:30">
      <c r="A184" s="145">
        <v>28</v>
      </c>
      <c r="B184" s="4" t="s">
        <v>229</v>
      </c>
      <c r="C184" s="4"/>
      <c r="D184" s="21">
        <v>185</v>
      </c>
      <c r="E184" s="22">
        <v>902</v>
      </c>
      <c r="F184" s="28">
        <v>740142</v>
      </c>
      <c r="G184" s="22">
        <v>99</v>
      </c>
      <c r="H184" s="22">
        <v>25260</v>
      </c>
      <c r="I184" s="22">
        <v>63052</v>
      </c>
      <c r="J184" s="22">
        <v>10148</v>
      </c>
      <c r="K184" s="22"/>
      <c r="L184" s="22">
        <v>370</v>
      </c>
      <c r="M184" s="22">
        <v>1878</v>
      </c>
      <c r="N184" s="22">
        <v>1724</v>
      </c>
      <c r="O184" s="22">
        <v>22145</v>
      </c>
      <c r="P184" s="22">
        <v>705</v>
      </c>
      <c r="Q184" s="28">
        <v>160</v>
      </c>
      <c r="R184" s="123">
        <v>4150</v>
      </c>
      <c r="S184" s="28">
        <v>576</v>
      </c>
      <c r="T184" s="28">
        <v>4</v>
      </c>
      <c r="U184" s="28">
        <v>30</v>
      </c>
      <c r="V184" s="28">
        <v>126</v>
      </c>
      <c r="W184" s="28"/>
      <c r="X184" s="28"/>
      <c r="Y184" s="28"/>
      <c r="Z184" s="28"/>
      <c r="AA184" s="170"/>
      <c r="AB184" s="28"/>
      <c r="AC184" s="28"/>
      <c r="AD184" s="122"/>
    </row>
    <row r="185" spans="1:30">
      <c r="A185" s="145">
        <v>29</v>
      </c>
      <c r="B185" s="4" t="s">
        <v>230</v>
      </c>
      <c r="C185" s="4"/>
      <c r="D185" s="21">
        <v>1028</v>
      </c>
      <c r="E185" s="22">
        <v>1636</v>
      </c>
      <c r="F185" s="28">
        <v>1393900</v>
      </c>
      <c r="G185" s="22">
        <v>364</v>
      </c>
      <c r="H185" s="22">
        <v>26870</v>
      </c>
      <c r="I185" s="22">
        <v>40641</v>
      </c>
      <c r="J185" s="22">
        <v>17315</v>
      </c>
      <c r="K185" s="22">
        <v>18</v>
      </c>
      <c r="L185" s="22">
        <v>621</v>
      </c>
      <c r="M185" s="22">
        <v>896</v>
      </c>
      <c r="N185" s="22">
        <v>585</v>
      </c>
      <c r="O185" s="22">
        <v>38448</v>
      </c>
      <c r="P185" s="22">
        <v>10</v>
      </c>
      <c r="Q185" s="28"/>
      <c r="R185" s="123">
        <v>26529</v>
      </c>
      <c r="S185" s="28">
        <v>402</v>
      </c>
      <c r="T185" s="28">
        <v>8</v>
      </c>
      <c r="U185" s="28">
        <v>1</v>
      </c>
      <c r="V185" s="28"/>
      <c r="W185" s="28"/>
      <c r="X185" s="28"/>
      <c r="Y185" s="28"/>
      <c r="Z185" s="28"/>
      <c r="AA185" s="170"/>
      <c r="AB185" s="28"/>
      <c r="AC185" s="28"/>
      <c r="AD185" s="122"/>
    </row>
    <row r="186" spans="1:30">
      <c r="A186" s="145">
        <v>30</v>
      </c>
      <c r="B186" s="4" t="s">
        <v>231</v>
      </c>
      <c r="C186" s="4"/>
      <c r="D186" s="21">
        <v>50</v>
      </c>
      <c r="E186" s="22">
        <v>1505</v>
      </c>
      <c r="F186" s="28">
        <v>673906</v>
      </c>
      <c r="G186" s="22">
        <v>642</v>
      </c>
      <c r="H186" s="22">
        <v>52340</v>
      </c>
      <c r="I186" s="22">
        <v>93364</v>
      </c>
      <c r="J186" s="22">
        <v>20722</v>
      </c>
      <c r="K186" s="22">
        <v>11</v>
      </c>
      <c r="L186" s="22">
        <v>80</v>
      </c>
      <c r="M186" s="22">
        <v>2829</v>
      </c>
      <c r="N186" s="22">
        <v>2776</v>
      </c>
      <c r="O186" s="22">
        <v>104819</v>
      </c>
      <c r="P186" s="22">
        <v>185</v>
      </c>
      <c r="Q186" s="28"/>
      <c r="R186" s="123">
        <v>50871</v>
      </c>
      <c r="S186" s="28">
        <v>4</v>
      </c>
      <c r="T186" s="28"/>
      <c r="U186" s="28">
        <v>45</v>
      </c>
      <c r="V186" s="28"/>
      <c r="W186" s="28"/>
      <c r="X186" s="28"/>
      <c r="Y186" s="28">
        <v>28</v>
      </c>
      <c r="Z186" s="28"/>
      <c r="AA186" s="170"/>
      <c r="AB186" s="28"/>
      <c r="AC186" s="28"/>
      <c r="AD186" s="122"/>
    </row>
    <row r="187" spans="1:30">
      <c r="A187" s="145">
        <v>31</v>
      </c>
      <c r="B187" s="4" t="s">
        <v>232</v>
      </c>
      <c r="C187" s="4"/>
      <c r="D187" s="231">
        <v>208</v>
      </c>
      <c r="E187" s="22">
        <v>460</v>
      </c>
      <c r="F187" s="28">
        <v>86200</v>
      </c>
      <c r="G187" s="22">
        <v>76</v>
      </c>
      <c r="H187" s="22">
        <v>7968</v>
      </c>
      <c r="I187" s="22">
        <v>6315</v>
      </c>
      <c r="J187" s="22">
        <v>1167</v>
      </c>
      <c r="K187" s="22">
        <v>2</v>
      </c>
      <c r="L187" s="22">
        <v>478</v>
      </c>
      <c r="M187" s="22">
        <v>2388</v>
      </c>
      <c r="N187" s="22">
        <v>1138</v>
      </c>
      <c r="O187" s="22">
        <v>9152</v>
      </c>
      <c r="P187" s="22">
        <v>1697</v>
      </c>
      <c r="Q187" s="28"/>
      <c r="R187" s="123">
        <v>2071</v>
      </c>
      <c r="S187" s="28">
        <v>3166</v>
      </c>
      <c r="T187" s="28"/>
      <c r="U187" s="28">
        <v>12</v>
      </c>
      <c r="V187" s="28">
        <v>30</v>
      </c>
      <c r="W187" s="28"/>
      <c r="X187" s="28"/>
      <c r="Y187" s="28"/>
      <c r="Z187" s="28"/>
      <c r="AA187" s="170"/>
      <c r="AB187" s="28"/>
      <c r="AC187" s="28"/>
      <c r="AD187" s="122"/>
    </row>
    <row r="188" spans="1:30">
      <c r="A188" s="215"/>
      <c r="B188" s="203"/>
      <c r="C188" s="203"/>
      <c r="E188" s="24"/>
      <c r="F188" s="206"/>
      <c r="G188" s="24"/>
      <c r="H188" s="24"/>
      <c r="I188" s="24"/>
      <c r="J188" s="24"/>
      <c r="K188" s="24"/>
      <c r="L188" s="24"/>
      <c r="M188" s="24"/>
      <c r="N188" s="24"/>
      <c r="O188" s="24"/>
      <c r="P188" s="24"/>
      <c r="Q188" s="206"/>
      <c r="R188" s="210"/>
      <c r="S188" s="206"/>
      <c r="T188" s="206"/>
      <c r="U188" s="206"/>
      <c r="V188" s="206"/>
      <c r="W188" s="206"/>
      <c r="X188" s="206"/>
      <c r="Y188" s="206"/>
      <c r="Z188" s="206"/>
      <c r="AA188" s="201"/>
      <c r="AB188" s="206"/>
      <c r="AC188" s="206"/>
      <c r="AD188" s="298"/>
    </row>
    <row r="189" spans="1:30">
      <c r="A189" s="145" t="s">
        <v>297</v>
      </c>
      <c r="B189" s="4"/>
      <c r="C189" s="4"/>
      <c r="D189" s="21">
        <f>SUM(D157:D187)</f>
        <v>7227</v>
      </c>
      <c r="E189" s="22">
        <f t="shared" ref="E189:AD189" si="7">SUM(E157:E187)</f>
        <v>43619</v>
      </c>
      <c r="F189" s="27">
        <f t="shared" si="7"/>
        <v>9772726</v>
      </c>
      <c r="G189" s="22">
        <f>SUM(G157:G187)</f>
        <v>2781</v>
      </c>
      <c r="H189" s="21">
        <f>SUM(H157:H187)</f>
        <v>415270</v>
      </c>
      <c r="I189" s="22">
        <f t="shared" si="7"/>
        <v>1601594</v>
      </c>
      <c r="J189" s="21">
        <f t="shared" si="7"/>
        <v>409980</v>
      </c>
      <c r="K189" s="22">
        <f t="shared" si="7"/>
        <v>828</v>
      </c>
      <c r="L189" s="21">
        <f t="shared" si="7"/>
        <v>40968</v>
      </c>
      <c r="M189" s="22">
        <f t="shared" si="7"/>
        <v>199542</v>
      </c>
      <c r="N189" s="21">
        <f t="shared" si="7"/>
        <v>165799</v>
      </c>
      <c r="O189" s="22">
        <f t="shared" si="7"/>
        <v>2236003</v>
      </c>
      <c r="P189" s="21">
        <f t="shared" si="7"/>
        <v>4467</v>
      </c>
      <c r="Q189" s="28">
        <f t="shared" si="7"/>
        <v>9556</v>
      </c>
      <c r="R189" s="27">
        <f t="shared" si="7"/>
        <v>2303749</v>
      </c>
      <c r="S189" s="28">
        <f>SUM(S157:S187)</f>
        <v>4705</v>
      </c>
      <c r="T189" s="27">
        <f t="shared" si="7"/>
        <v>4362</v>
      </c>
      <c r="U189" s="28">
        <f t="shared" si="7"/>
        <v>7098</v>
      </c>
      <c r="V189" s="27">
        <f t="shared" si="7"/>
        <v>35645</v>
      </c>
      <c r="W189" s="28">
        <f t="shared" si="7"/>
        <v>976547</v>
      </c>
      <c r="X189" s="27">
        <f t="shared" si="7"/>
        <v>5007091</v>
      </c>
      <c r="Y189" s="28">
        <f t="shared" si="7"/>
        <v>110</v>
      </c>
      <c r="Z189" s="27">
        <f t="shared" si="7"/>
        <v>144</v>
      </c>
      <c r="AA189" s="28">
        <f t="shared" si="7"/>
        <v>10</v>
      </c>
      <c r="AB189" s="27">
        <f t="shared" si="7"/>
        <v>71133</v>
      </c>
      <c r="AC189" s="28">
        <f t="shared" si="7"/>
        <v>46733</v>
      </c>
      <c r="AD189" s="122">
        <f t="shared" si="7"/>
        <v>5078600</v>
      </c>
    </row>
    <row r="190" spans="1:30" ht="15" thickBot="1">
      <c r="A190" s="217"/>
      <c r="B190" s="104"/>
      <c r="C190" s="104"/>
      <c r="D190" s="202"/>
      <c r="E190" s="186"/>
      <c r="F190" s="208"/>
      <c r="G190" s="186"/>
      <c r="H190" s="186"/>
      <c r="I190" s="186"/>
      <c r="J190" s="186"/>
      <c r="K190" s="186"/>
      <c r="L190" s="186"/>
      <c r="M190" s="186"/>
      <c r="N190" s="186"/>
      <c r="O190" s="186"/>
      <c r="P190" s="186"/>
      <c r="Q190" s="186"/>
      <c r="R190" s="207"/>
      <c r="S190" s="186"/>
      <c r="T190" s="186"/>
      <c r="U190" s="186"/>
      <c r="V190" s="186"/>
      <c r="W190" s="186"/>
      <c r="X190" s="186"/>
      <c r="Y190" s="208"/>
      <c r="Z190" s="208"/>
      <c r="AA190" s="208"/>
      <c r="AB190" s="208"/>
      <c r="AC190" s="208"/>
      <c r="AD190" s="299"/>
    </row>
    <row r="191" spans="1:30" ht="15" thickTop="1">
      <c r="A191" s="222" t="s">
        <v>28</v>
      </c>
      <c r="B191" s="97"/>
      <c r="C191" s="97"/>
      <c r="D191" s="21"/>
      <c r="E191" s="22"/>
      <c r="F191" s="28"/>
      <c r="G191" s="22"/>
      <c r="H191" s="22"/>
      <c r="I191" s="22"/>
      <c r="J191" s="22"/>
      <c r="K191" s="22"/>
      <c r="L191" s="22"/>
      <c r="M191" s="22"/>
      <c r="N191" s="22"/>
      <c r="O191" s="22"/>
      <c r="P191" s="22"/>
      <c r="Q191" s="13"/>
      <c r="R191" s="35"/>
      <c r="S191" s="13"/>
      <c r="T191" s="13"/>
      <c r="U191" s="13"/>
      <c r="V191" s="13"/>
      <c r="W191" s="13"/>
      <c r="X191" s="13"/>
      <c r="Y191" s="167"/>
      <c r="Z191" s="167"/>
      <c r="AA191" s="167"/>
      <c r="AB191" s="167"/>
      <c r="AC191" s="167"/>
      <c r="AD191" s="293"/>
    </row>
    <row r="192" spans="1:30">
      <c r="A192" s="145">
        <v>32</v>
      </c>
      <c r="B192" s="235" t="s">
        <v>233</v>
      </c>
      <c r="C192" s="8" t="s">
        <v>309</v>
      </c>
      <c r="D192" s="21">
        <v>4</v>
      </c>
      <c r="E192" s="22"/>
      <c r="F192" s="28">
        <v>6000</v>
      </c>
      <c r="G192" s="22">
        <v>20</v>
      </c>
      <c r="H192" s="22"/>
      <c r="I192" s="22">
        <v>17881</v>
      </c>
      <c r="J192" s="22">
        <v>4018</v>
      </c>
      <c r="K192" s="22"/>
      <c r="L192" s="22">
        <v>803</v>
      </c>
      <c r="M192" s="22">
        <v>170</v>
      </c>
      <c r="N192" s="22">
        <v>9022</v>
      </c>
      <c r="O192" s="22">
        <v>51661</v>
      </c>
      <c r="P192" s="22">
        <v>10</v>
      </c>
      <c r="Q192" s="170"/>
      <c r="R192" s="123">
        <v>102510</v>
      </c>
      <c r="S192" s="28">
        <v>70</v>
      </c>
      <c r="T192" s="28"/>
      <c r="U192" s="28">
        <v>1037</v>
      </c>
      <c r="V192" s="28">
        <v>60</v>
      </c>
      <c r="W192" s="28"/>
      <c r="X192" s="28"/>
      <c r="Y192" s="28"/>
      <c r="Z192" s="28"/>
      <c r="AA192" s="28"/>
      <c r="AB192" s="28"/>
      <c r="AC192" s="28"/>
      <c r="AD192" s="122"/>
    </row>
    <row r="193" spans="1:30">
      <c r="A193" s="145">
        <v>33</v>
      </c>
      <c r="B193" s="4" t="s">
        <v>234</v>
      </c>
      <c r="C193" s="4"/>
      <c r="D193" s="21"/>
      <c r="E193" s="22"/>
      <c r="F193" s="28"/>
      <c r="G193" s="22"/>
      <c r="H193" s="22"/>
      <c r="I193" s="22">
        <v>44275</v>
      </c>
      <c r="J193" s="22">
        <v>40024</v>
      </c>
      <c r="K193" s="22"/>
      <c r="L193" s="22">
        <v>83</v>
      </c>
      <c r="M193" s="22">
        <v>721</v>
      </c>
      <c r="N193" s="22">
        <v>3523</v>
      </c>
      <c r="O193" s="22">
        <v>11649</v>
      </c>
      <c r="P193" s="22">
        <v>39</v>
      </c>
      <c r="Q193" s="28">
        <v>1</v>
      </c>
      <c r="R193" s="123">
        <v>880</v>
      </c>
      <c r="S193" s="28"/>
      <c r="T193" s="28"/>
      <c r="U193" s="28">
        <v>19</v>
      </c>
      <c r="V193" s="28">
        <v>249</v>
      </c>
      <c r="W193" s="28">
        <v>40</v>
      </c>
      <c r="X193" s="28"/>
      <c r="Y193" s="28"/>
      <c r="Z193" s="28"/>
      <c r="AA193" s="28"/>
      <c r="AB193" s="28"/>
      <c r="AC193" s="28"/>
      <c r="AD193" s="122"/>
    </row>
    <row r="194" spans="1:30">
      <c r="A194" s="145">
        <v>34</v>
      </c>
      <c r="B194" s="4" t="s">
        <v>235</v>
      </c>
      <c r="C194" s="4"/>
      <c r="D194" s="21"/>
      <c r="E194" s="22"/>
      <c r="F194" s="28"/>
      <c r="G194" s="22"/>
      <c r="H194" s="22"/>
      <c r="I194" s="22">
        <v>11162</v>
      </c>
      <c r="J194" s="22">
        <v>15026</v>
      </c>
      <c r="K194" s="22"/>
      <c r="L194" s="22">
        <v>2</v>
      </c>
      <c r="M194" s="22">
        <v>33</v>
      </c>
      <c r="N194" s="22">
        <v>7235</v>
      </c>
      <c r="O194" s="22">
        <v>22280</v>
      </c>
      <c r="P194" s="22"/>
      <c r="Q194" s="28"/>
      <c r="R194" s="123">
        <v>10000</v>
      </c>
      <c r="S194" s="28"/>
      <c r="T194" s="28"/>
      <c r="U194" s="28">
        <v>43</v>
      </c>
      <c r="V194" s="28"/>
      <c r="W194" s="28"/>
      <c r="X194" s="28"/>
      <c r="Y194" s="28"/>
      <c r="Z194" s="28"/>
      <c r="AA194" s="28"/>
      <c r="AB194" s="28"/>
      <c r="AC194" s="28"/>
      <c r="AD194" s="122"/>
    </row>
    <row r="195" spans="1:30">
      <c r="A195" s="145">
        <v>35</v>
      </c>
      <c r="B195" s="4" t="s">
        <v>236</v>
      </c>
      <c r="C195" s="4"/>
      <c r="D195" s="21"/>
      <c r="E195" s="22"/>
      <c r="F195" s="28"/>
      <c r="G195" s="22"/>
      <c r="H195" s="22"/>
      <c r="I195" s="22">
        <v>20750</v>
      </c>
      <c r="J195" s="22">
        <v>25000</v>
      </c>
      <c r="K195" s="22"/>
      <c r="L195" s="22"/>
      <c r="M195" s="22"/>
      <c r="N195" s="22">
        <v>10000</v>
      </c>
      <c r="O195" s="22">
        <v>50000</v>
      </c>
      <c r="P195" s="22"/>
      <c r="Q195" s="28"/>
      <c r="R195" s="123">
        <v>5000</v>
      </c>
      <c r="S195" s="28"/>
      <c r="T195" s="28"/>
      <c r="U195" s="28">
        <v>125</v>
      </c>
      <c r="V195" s="28"/>
      <c r="W195" s="28"/>
      <c r="X195" s="28"/>
      <c r="Y195" s="28"/>
      <c r="Z195" s="28"/>
      <c r="AA195" s="28"/>
      <c r="AB195" s="28"/>
      <c r="AC195" s="28"/>
      <c r="AD195" s="122"/>
    </row>
    <row r="196" spans="1:30">
      <c r="A196" s="145">
        <v>36</v>
      </c>
      <c r="B196" s="4" t="s">
        <v>237</v>
      </c>
      <c r="C196" s="4"/>
      <c r="D196" s="21"/>
      <c r="E196" s="22"/>
      <c r="F196" s="28"/>
      <c r="G196" s="22"/>
      <c r="H196" s="22"/>
      <c r="I196" s="22">
        <v>2783</v>
      </c>
      <c r="J196" s="22">
        <v>806</v>
      </c>
      <c r="K196" s="22"/>
      <c r="L196" s="22">
        <v>40</v>
      </c>
      <c r="M196" s="22">
        <v>40</v>
      </c>
      <c r="N196" s="22">
        <v>80</v>
      </c>
      <c r="O196" s="22">
        <v>5085</v>
      </c>
      <c r="P196" s="22"/>
      <c r="Q196" s="28"/>
      <c r="R196" s="123">
        <v>300</v>
      </c>
      <c r="S196" s="28"/>
      <c r="T196" s="28"/>
      <c r="U196" s="28">
        <v>3</v>
      </c>
      <c r="V196" s="28"/>
      <c r="W196" s="28"/>
      <c r="X196" s="28"/>
      <c r="Y196" s="28"/>
      <c r="Z196" s="28"/>
      <c r="AA196" s="28"/>
      <c r="AB196" s="28"/>
      <c r="AC196" s="28"/>
      <c r="AD196" s="122"/>
    </row>
    <row r="197" spans="1:30">
      <c r="A197" s="145">
        <v>37</v>
      </c>
      <c r="B197" s="4" t="s">
        <v>238</v>
      </c>
      <c r="C197" s="4"/>
      <c r="D197" s="21"/>
      <c r="E197" s="22"/>
      <c r="F197" s="28"/>
      <c r="G197" s="22"/>
      <c r="H197" s="22"/>
      <c r="I197" s="22">
        <v>34033</v>
      </c>
      <c r="J197" s="22">
        <v>60080</v>
      </c>
      <c r="K197" s="22"/>
      <c r="L197" s="22">
        <v>689</v>
      </c>
      <c r="M197" s="22">
        <v>1753</v>
      </c>
      <c r="N197" s="22">
        <v>31130</v>
      </c>
      <c r="O197" s="22">
        <v>49903</v>
      </c>
      <c r="P197" s="22">
        <v>20</v>
      </c>
      <c r="Q197" s="28"/>
      <c r="R197" s="123">
        <v>248400</v>
      </c>
      <c r="S197" s="28"/>
      <c r="T197" s="28"/>
      <c r="U197" s="28">
        <v>32</v>
      </c>
      <c r="V197" s="28">
        <v>504</v>
      </c>
      <c r="W197" s="28">
        <v>94954</v>
      </c>
      <c r="X197" s="28"/>
      <c r="Y197" s="28"/>
      <c r="Z197" s="28"/>
      <c r="AA197" s="28"/>
      <c r="AB197" s="28">
        <v>7000</v>
      </c>
      <c r="AC197" s="28"/>
      <c r="AD197" s="122"/>
    </row>
    <row r="198" spans="1:30">
      <c r="A198" s="145">
        <v>38</v>
      </c>
      <c r="B198" s="4" t="s">
        <v>239</v>
      </c>
      <c r="C198" s="4"/>
      <c r="D198" s="21"/>
      <c r="E198" s="22"/>
      <c r="F198" s="28"/>
      <c r="G198" s="22"/>
      <c r="H198" s="22"/>
      <c r="I198" s="22">
        <v>3260</v>
      </c>
      <c r="J198" s="22">
        <v>4000</v>
      </c>
      <c r="K198" s="22"/>
      <c r="L198" s="22">
        <v>11</v>
      </c>
      <c r="M198" s="22"/>
      <c r="N198" s="22">
        <v>270</v>
      </c>
      <c r="O198" s="22">
        <v>40000</v>
      </c>
      <c r="P198" s="22"/>
      <c r="Q198" s="28"/>
      <c r="R198" s="123">
        <v>200</v>
      </c>
      <c r="S198" s="28"/>
      <c r="T198" s="28"/>
      <c r="U198" s="28">
        <v>200</v>
      </c>
      <c r="V198" s="28"/>
      <c r="W198" s="28"/>
      <c r="X198" s="28"/>
      <c r="Y198" s="28"/>
      <c r="Z198" s="28"/>
      <c r="AA198" s="28"/>
      <c r="AB198" s="28"/>
      <c r="AC198" s="28"/>
      <c r="AD198" s="122"/>
    </row>
    <row r="199" spans="1:30">
      <c r="A199" s="145">
        <v>39</v>
      </c>
      <c r="B199" s="4" t="s">
        <v>240</v>
      </c>
      <c r="C199" s="4"/>
      <c r="D199" s="21"/>
      <c r="E199" s="22">
        <v>20</v>
      </c>
      <c r="F199" s="28">
        <v>6000</v>
      </c>
      <c r="G199" s="22"/>
      <c r="H199" s="22">
        <v>100</v>
      </c>
      <c r="I199" s="22">
        <v>24892</v>
      </c>
      <c r="J199" s="22">
        <v>11784</v>
      </c>
      <c r="K199" s="22"/>
      <c r="L199" s="22">
        <v>128</v>
      </c>
      <c r="M199" s="22">
        <v>87</v>
      </c>
      <c r="N199" s="22">
        <v>2487</v>
      </c>
      <c r="O199" s="22">
        <v>14605</v>
      </c>
      <c r="P199" s="22">
        <v>10</v>
      </c>
      <c r="Q199" s="28"/>
      <c r="R199" s="123">
        <v>250</v>
      </c>
      <c r="S199" s="28"/>
      <c r="T199" s="28">
        <v>1</v>
      </c>
      <c r="U199" s="28">
        <v>13</v>
      </c>
      <c r="V199" s="28"/>
      <c r="W199" s="28"/>
      <c r="X199" s="28"/>
      <c r="Y199" s="28"/>
      <c r="Z199" s="28"/>
      <c r="AA199" s="28"/>
      <c r="AB199" s="28"/>
      <c r="AC199" s="28"/>
      <c r="AD199" s="122"/>
    </row>
    <row r="200" spans="1:30">
      <c r="A200" s="145">
        <v>40</v>
      </c>
      <c r="B200" s="4" t="s">
        <v>241</v>
      </c>
      <c r="C200" s="4"/>
      <c r="D200" s="21"/>
      <c r="E200" s="22"/>
      <c r="F200" s="28"/>
      <c r="G200" s="22"/>
      <c r="H200" s="22">
        <v>4000</v>
      </c>
      <c r="I200" s="22">
        <v>22626</v>
      </c>
      <c r="J200" s="22">
        <v>2030</v>
      </c>
      <c r="K200" s="22"/>
      <c r="L200" s="22">
        <v>361</v>
      </c>
      <c r="M200" s="22">
        <v>214</v>
      </c>
      <c r="N200" s="22">
        <v>150</v>
      </c>
      <c r="O200" s="22">
        <v>49100</v>
      </c>
      <c r="P200" s="22"/>
      <c r="Q200" s="28">
        <v>50</v>
      </c>
      <c r="R200" s="123">
        <v>250</v>
      </c>
      <c r="S200" s="28"/>
      <c r="T200" s="28"/>
      <c r="U200" s="28">
        <v>31</v>
      </c>
      <c r="V200" s="28"/>
      <c r="W200" s="28"/>
      <c r="X200" s="28"/>
      <c r="Y200" s="28"/>
      <c r="Z200" s="28"/>
      <c r="AA200" s="28"/>
      <c r="AB200" s="28"/>
      <c r="AC200" s="28"/>
      <c r="AD200" s="122"/>
    </row>
    <row r="201" spans="1:30">
      <c r="A201" s="145">
        <v>41</v>
      </c>
      <c r="B201" s="4" t="s">
        <v>242</v>
      </c>
      <c r="C201" s="4"/>
      <c r="D201" s="21"/>
      <c r="E201" s="22"/>
      <c r="F201" s="28"/>
      <c r="G201" s="22"/>
      <c r="H201" s="22"/>
      <c r="I201" s="22">
        <v>10000</v>
      </c>
      <c r="J201" s="22">
        <v>15000</v>
      </c>
      <c r="K201" s="22"/>
      <c r="L201" s="22"/>
      <c r="M201" s="22"/>
      <c r="N201" s="22">
        <v>50000</v>
      </c>
      <c r="O201" s="22">
        <v>30000</v>
      </c>
      <c r="P201" s="22"/>
      <c r="Q201" s="28"/>
      <c r="R201" s="123">
        <v>10000</v>
      </c>
      <c r="S201" s="28"/>
      <c r="T201" s="28"/>
      <c r="U201" s="28">
        <v>125</v>
      </c>
      <c r="V201" s="28"/>
      <c r="W201" s="28"/>
      <c r="X201" s="28"/>
      <c r="Y201" s="28"/>
      <c r="Z201" s="28"/>
      <c r="AA201" s="28"/>
      <c r="AB201" s="28"/>
      <c r="AC201" s="28"/>
      <c r="AD201" s="122"/>
    </row>
    <row r="202" spans="1:30">
      <c r="A202" s="145">
        <v>42</v>
      </c>
      <c r="B202" s="4" t="s">
        <v>243</v>
      </c>
      <c r="C202" s="4"/>
      <c r="D202" s="21"/>
      <c r="E202" s="22"/>
      <c r="F202" s="28"/>
      <c r="G202" s="22">
        <v>6</v>
      </c>
      <c r="H202" s="22"/>
      <c r="I202" s="22">
        <v>12489</v>
      </c>
      <c r="J202" s="22">
        <v>6384</v>
      </c>
      <c r="K202" s="22"/>
      <c r="L202" s="22">
        <v>1002</v>
      </c>
      <c r="M202" s="22">
        <v>81</v>
      </c>
      <c r="N202" s="22">
        <v>6209</v>
      </c>
      <c r="O202" s="22">
        <v>123625</v>
      </c>
      <c r="P202" s="22"/>
      <c r="Q202" s="28"/>
      <c r="R202" s="123">
        <v>3498</v>
      </c>
      <c r="S202" s="28"/>
      <c r="T202" s="28"/>
      <c r="U202" s="28">
        <v>240</v>
      </c>
      <c r="V202" s="28"/>
      <c r="W202" s="28">
        <v>23493</v>
      </c>
      <c r="X202" s="28"/>
      <c r="Y202" s="28"/>
      <c r="Z202" s="28"/>
      <c r="AA202" s="28"/>
      <c r="AB202" s="28">
        <v>1500</v>
      </c>
      <c r="AC202" s="28"/>
      <c r="AD202" s="122"/>
    </row>
    <row r="203" spans="1:30">
      <c r="A203" s="215"/>
      <c r="B203" s="203"/>
      <c r="C203" s="203"/>
      <c r="D203" s="54"/>
      <c r="E203" s="24"/>
      <c r="F203" s="206"/>
      <c r="G203" s="24"/>
      <c r="H203" s="24"/>
      <c r="I203" s="24"/>
      <c r="J203" s="24"/>
      <c r="K203" s="24"/>
      <c r="L203" s="24"/>
      <c r="M203" s="24"/>
      <c r="N203" s="24"/>
      <c r="O203" s="24"/>
      <c r="P203" s="24"/>
      <c r="Q203" s="185"/>
      <c r="R203" s="198"/>
      <c r="S203" s="185"/>
      <c r="T203" s="185"/>
      <c r="U203" s="185"/>
      <c r="V203" s="185"/>
      <c r="W203" s="185"/>
      <c r="X203" s="185"/>
      <c r="Y203" s="185"/>
      <c r="Z203" s="185"/>
      <c r="AA203" s="185"/>
      <c r="AB203" s="185"/>
      <c r="AC203" s="185"/>
      <c r="AD203" s="295"/>
    </row>
    <row r="204" spans="1:30">
      <c r="A204" s="145" t="s">
        <v>298</v>
      </c>
      <c r="B204" s="4"/>
      <c r="C204" s="4"/>
      <c r="D204" s="70">
        <f>SUM(D192:D202)</f>
        <v>4</v>
      </c>
      <c r="E204" s="32">
        <f t="shared" ref="E204:AD204" si="8">SUM(E192:E202)</f>
        <v>20</v>
      </c>
      <c r="F204" s="28">
        <f t="shared" si="8"/>
        <v>12000</v>
      </c>
      <c r="G204" s="32">
        <f t="shared" si="8"/>
        <v>26</v>
      </c>
      <c r="H204" s="22">
        <f t="shared" si="8"/>
        <v>4100</v>
      </c>
      <c r="I204" s="32">
        <f t="shared" si="8"/>
        <v>204151</v>
      </c>
      <c r="J204" s="22">
        <f t="shared" si="8"/>
        <v>184152</v>
      </c>
      <c r="K204" s="32">
        <f t="shared" si="8"/>
        <v>0</v>
      </c>
      <c r="L204" s="22">
        <f t="shared" si="8"/>
        <v>3119</v>
      </c>
      <c r="M204" s="32">
        <f t="shared" si="8"/>
        <v>3099</v>
      </c>
      <c r="N204" s="22">
        <f t="shared" si="8"/>
        <v>120106</v>
      </c>
      <c r="O204" s="32">
        <f t="shared" si="8"/>
        <v>447908</v>
      </c>
      <c r="P204" s="22">
        <f t="shared" si="8"/>
        <v>79</v>
      </c>
      <c r="Q204" s="134">
        <f t="shared" si="8"/>
        <v>51</v>
      </c>
      <c r="R204" s="28">
        <f t="shared" si="8"/>
        <v>381288</v>
      </c>
      <c r="S204" s="134">
        <f t="shared" si="8"/>
        <v>70</v>
      </c>
      <c r="T204" s="28">
        <f t="shared" si="8"/>
        <v>1</v>
      </c>
      <c r="U204" s="134">
        <f t="shared" si="8"/>
        <v>1868</v>
      </c>
      <c r="V204" s="28">
        <f t="shared" si="8"/>
        <v>813</v>
      </c>
      <c r="W204" s="134">
        <f t="shared" si="8"/>
        <v>118487</v>
      </c>
      <c r="X204" s="28">
        <f t="shared" si="8"/>
        <v>0</v>
      </c>
      <c r="Y204" s="134">
        <f t="shared" si="8"/>
        <v>0</v>
      </c>
      <c r="Z204" s="28">
        <f t="shared" si="8"/>
        <v>0</v>
      </c>
      <c r="AA204" s="134">
        <f t="shared" si="8"/>
        <v>0</v>
      </c>
      <c r="AB204" s="28">
        <f t="shared" si="8"/>
        <v>8500</v>
      </c>
      <c r="AC204" s="134">
        <f t="shared" si="8"/>
        <v>0</v>
      </c>
      <c r="AD204" s="122">
        <f t="shared" si="8"/>
        <v>0</v>
      </c>
    </row>
    <row r="205" spans="1:30" ht="15" thickBot="1">
      <c r="A205" s="217"/>
      <c r="B205" s="104"/>
      <c r="C205" s="104"/>
      <c r="D205" s="202"/>
      <c r="E205" s="186"/>
      <c r="F205" s="208"/>
      <c r="G205" s="186"/>
      <c r="H205" s="186"/>
      <c r="I205" s="186"/>
      <c r="J205" s="186"/>
      <c r="K205" s="186"/>
      <c r="L205" s="186"/>
      <c r="M205" s="186"/>
      <c r="N205" s="186"/>
      <c r="O205" s="186"/>
      <c r="P205" s="186"/>
      <c r="Q205" s="190"/>
      <c r="R205" s="188"/>
      <c r="S205" s="190"/>
      <c r="T205" s="190"/>
      <c r="U205" s="190"/>
      <c r="V205" s="190"/>
      <c r="W205" s="190"/>
      <c r="X205" s="190"/>
      <c r="Y205" s="190"/>
      <c r="Z205" s="190"/>
      <c r="AA205" s="190"/>
      <c r="AB205" s="190"/>
      <c r="AC205" s="190"/>
      <c r="AD205" s="297"/>
    </row>
    <row r="206" spans="1:30" ht="15" thickTop="1">
      <c r="A206" s="145"/>
      <c r="B206" s="4"/>
      <c r="C206" s="4"/>
      <c r="D206" s="32"/>
      <c r="E206" s="22"/>
      <c r="F206" s="28"/>
      <c r="G206" s="22"/>
      <c r="H206" s="22"/>
      <c r="I206" s="22"/>
      <c r="J206" s="22"/>
      <c r="K206" s="22"/>
      <c r="L206" s="22"/>
      <c r="M206" s="22"/>
      <c r="N206" s="22"/>
      <c r="O206" s="22"/>
      <c r="P206" s="22"/>
      <c r="Q206" s="167"/>
      <c r="R206" s="35"/>
      <c r="S206" s="167"/>
      <c r="T206" s="167"/>
      <c r="U206" s="167"/>
      <c r="V206" s="167"/>
      <c r="W206" s="167"/>
      <c r="X206" s="13"/>
      <c r="Y206" s="167"/>
      <c r="Z206" s="167"/>
      <c r="AA206" s="167"/>
      <c r="AB206" s="167"/>
      <c r="AC206" s="167"/>
      <c r="AD206" s="293"/>
    </row>
    <row r="207" spans="1:30">
      <c r="A207" s="145" t="s">
        <v>299</v>
      </c>
      <c r="B207" s="4"/>
      <c r="C207" s="4"/>
      <c r="D207" s="32">
        <f>D204+D189</f>
        <v>7231</v>
      </c>
      <c r="E207" s="22">
        <f t="shared" ref="E207:AD207" si="9">E204+E189</f>
        <v>43639</v>
      </c>
      <c r="F207" s="32">
        <f t="shared" si="9"/>
        <v>9784726</v>
      </c>
      <c r="G207" s="22">
        <f t="shared" si="9"/>
        <v>2807</v>
      </c>
      <c r="H207" s="32">
        <f t="shared" si="9"/>
        <v>419370</v>
      </c>
      <c r="I207" s="22">
        <f t="shared" si="9"/>
        <v>1805745</v>
      </c>
      <c r="J207" s="32">
        <f t="shared" si="9"/>
        <v>594132</v>
      </c>
      <c r="K207" s="22">
        <f t="shared" si="9"/>
        <v>828</v>
      </c>
      <c r="L207" s="32">
        <f t="shared" si="9"/>
        <v>44087</v>
      </c>
      <c r="M207" s="22">
        <f t="shared" si="9"/>
        <v>202641</v>
      </c>
      <c r="N207" s="32">
        <f t="shared" si="9"/>
        <v>285905</v>
      </c>
      <c r="O207" s="22">
        <f t="shared" si="9"/>
        <v>2683911</v>
      </c>
      <c r="P207" s="32">
        <f t="shared" si="9"/>
        <v>4546</v>
      </c>
      <c r="Q207" s="28">
        <f t="shared" si="9"/>
        <v>9607</v>
      </c>
      <c r="R207" s="134">
        <f t="shared" si="9"/>
        <v>2685037</v>
      </c>
      <c r="S207" s="28">
        <f t="shared" si="9"/>
        <v>4775</v>
      </c>
      <c r="T207" s="134">
        <f t="shared" si="9"/>
        <v>4363</v>
      </c>
      <c r="U207" s="28">
        <f t="shared" si="9"/>
        <v>8966</v>
      </c>
      <c r="V207" s="134">
        <f t="shared" si="9"/>
        <v>36458</v>
      </c>
      <c r="W207" s="28">
        <f t="shared" si="9"/>
        <v>1095034</v>
      </c>
      <c r="X207" s="134">
        <f t="shared" si="9"/>
        <v>5007091</v>
      </c>
      <c r="Y207" s="28">
        <f t="shared" si="9"/>
        <v>110</v>
      </c>
      <c r="Z207" s="134">
        <f t="shared" si="9"/>
        <v>144</v>
      </c>
      <c r="AA207" s="28">
        <f t="shared" si="9"/>
        <v>10</v>
      </c>
      <c r="AB207" s="134">
        <f t="shared" si="9"/>
        <v>79633</v>
      </c>
      <c r="AC207" s="28">
        <f t="shared" si="9"/>
        <v>46733</v>
      </c>
      <c r="AD207" s="122">
        <f t="shared" si="9"/>
        <v>5078600</v>
      </c>
    </row>
    <row r="208" spans="1:30" ht="15" thickBot="1">
      <c r="A208" s="217"/>
      <c r="B208" s="104"/>
      <c r="C208" s="104"/>
      <c r="D208" s="202"/>
      <c r="E208" s="186"/>
      <c r="F208" s="208"/>
      <c r="G208" s="186"/>
      <c r="H208" s="186"/>
      <c r="I208" s="186"/>
      <c r="J208" s="186"/>
      <c r="K208" s="186"/>
      <c r="L208" s="186"/>
      <c r="M208" s="186"/>
      <c r="N208" s="186"/>
      <c r="O208" s="186"/>
      <c r="P208" s="186"/>
      <c r="Q208" s="187"/>
      <c r="R208" s="188"/>
      <c r="S208" s="187"/>
      <c r="T208" s="187"/>
      <c r="U208" s="187"/>
      <c r="V208" s="187"/>
      <c r="W208" s="187"/>
      <c r="X208" s="187"/>
      <c r="Y208" s="190"/>
      <c r="Z208" s="190"/>
      <c r="AA208" s="190"/>
      <c r="AB208" s="190"/>
      <c r="AC208" s="190"/>
      <c r="AD208" s="297"/>
    </row>
    <row r="209" spans="1:30" ht="17" thickTop="1" thickBot="1">
      <c r="A209" s="226" t="s">
        <v>38</v>
      </c>
      <c r="B209" s="94"/>
      <c r="C209" s="94"/>
      <c r="D209" s="21"/>
      <c r="E209" s="22"/>
      <c r="F209" s="28"/>
      <c r="G209" s="22"/>
      <c r="H209" s="22"/>
      <c r="I209" s="22"/>
      <c r="J209" s="22"/>
      <c r="K209" s="22"/>
      <c r="L209" s="22"/>
      <c r="M209" s="22"/>
      <c r="N209" s="22"/>
      <c r="O209" s="22"/>
      <c r="P209" s="22"/>
      <c r="Q209" s="13"/>
      <c r="R209" s="35"/>
      <c r="S209" s="13"/>
      <c r="T209" s="13"/>
      <c r="U209" s="13"/>
      <c r="V209" s="13"/>
      <c r="W209" s="13"/>
      <c r="X209" s="13"/>
      <c r="Y209" s="167"/>
      <c r="Z209" s="167"/>
      <c r="AA209" s="167"/>
      <c r="AB209" s="167"/>
      <c r="AC209" s="167"/>
      <c r="AD209" s="293"/>
    </row>
    <row r="210" spans="1:30">
      <c r="A210" s="145">
        <v>1</v>
      </c>
      <c r="B210" s="4" t="s">
        <v>244</v>
      </c>
      <c r="C210" s="4"/>
      <c r="D210" s="21">
        <v>59</v>
      </c>
      <c r="E210" s="22">
        <v>38</v>
      </c>
      <c r="F210" s="28">
        <v>381211</v>
      </c>
      <c r="G210" s="22">
        <v>26</v>
      </c>
      <c r="H210" s="22">
        <v>278</v>
      </c>
      <c r="I210" s="22">
        <v>33049</v>
      </c>
      <c r="J210" s="22">
        <v>7719</v>
      </c>
      <c r="K210" s="22"/>
      <c r="L210" s="22">
        <v>57635</v>
      </c>
      <c r="M210" s="22">
        <v>5065</v>
      </c>
      <c r="N210" s="22">
        <v>14192</v>
      </c>
      <c r="O210" s="22">
        <v>46466</v>
      </c>
      <c r="P210" s="22">
        <v>232</v>
      </c>
      <c r="Q210" s="28">
        <v>22</v>
      </c>
      <c r="R210" s="123">
        <v>49665</v>
      </c>
      <c r="S210" s="28">
        <v>19</v>
      </c>
      <c r="T210" s="28">
        <v>18</v>
      </c>
      <c r="U210" s="28">
        <v>1731</v>
      </c>
      <c r="V210" s="28"/>
      <c r="W210" s="28"/>
      <c r="X210" s="28"/>
      <c r="Y210" s="28"/>
      <c r="Z210" s="28"/>
      <c r="AA210" s="28"/>
      <c r="AB210" s="28"/>
      <c r="AC210" s="28"/>
      <c r="AD210" s="122"/>
    </row>
    <row r="211" spans="1:30">
      <c r="A211" s="145">
        <v>2</v>
      </c>
      <c r="B211" s="4" t="s">
        <v>245</v>
      </c>
      <c r="C211" s="4"/>
      <c r="D211" s="21">
        <v>8890</v>
      </c>
      <c r="E211" s="22">
        <v>13959</v>
      </c>
      <c r="F211" s="28">
        <v>3066665</v>
      </c>
      <c r="G211" s="22">
        <v>1717</v>
      </c>
      <c r="H211" s="22">
        <v>8495</v>
      </c>
      <c r="I211" s="22">
        <v>212335</v>
      </c>
      <c r="J211" s="22">
        <v>4022</v>
      </c>
      <c r="K211" s="22">
        <v>14</v>
      </c>
      <c r="L211" s="22">
        <v>252</v>
      </c>
      <c r="M211" s="22">
        <v>15666</v>
      </c>
      <c r="N211" s="22">
        <v>901</v>
      </c>
      <c r="O211" s="22">
        <v>184895</v>
      </c>
      <c r="P211" s="22">
        <v>203</v>
      </c>
      <c r="Q211" s="28">
        <v>287</v>
      </c>
      <c r="R211" s="123">
        <v>11681</v>
      </c>
      <c r="S211" s="28"/>
      <c r="T211" s="28">
        <v>198</v>
      </c>
      <c r="U211" s="28"/>
      <c r="V211" s="28">
        <v>170</v>
      </c>
      <c r="W211" s="28"/>
      <c r="X211" s="28"/>
      <c r="Y211" s="28">
        <v>1696</v>
      </c>
      <c r="Z211" s="28"/>
      <c r="AA211" s="28"/>
      <c r="AB211" s="28"/>
      <c r="AC211" s="28"/>
      <c r="AD211" s="122"/>
    </row>
    <row r="212" spans="1:30">
      <c r="A212" s="145">
        <v>3</v>
      </c>
      <c r="B212" s="4" t="s">
        <v>246</v>
      </c>
      <c r="C212" s="4"/>
      <c r="D212" s="21">
        <v>385</v>
      </c>
      <c r="E212" s="22">
        <v>308</v>
      </c>
      <c r="F212" s="28">
        <v>131080</v>
      </c>
      <c r="G212" s="22">
        <v>8</v>
      </c>
      <c r="H212" s="22">
        <v>3150</v>
      </c>
      <c r="I212" s="22">
        <v>18414</v>
      </c>
      <c r="J212" s="22">
        <v>4690</v>
      </c>
      <c r="K212" s="22">
        <v>6</v>
      </c>
      <c r="L212" s="22">
        <v>22</v>
      </c>
      <c r="M212" s="22">
        <v>1151</v>
      </c>
      <c r="N212" s="22">
        <v>25</v>
      </c>
      <c r="O212" s="22">
        <v>69700</v>
      </c>
      <c r="P212" s="22">
        <v>49</v>
      </c>
      <c r="Q212" s="28">
        <v>5</v>
      </c>
      <c r="R212" s="123">
        <v>13165</v>
      </c>
      <c r="S212" s="28">
        <v>30</v>
      </c>
      <c r="T212" s="28"/>
      <c r="U212" s="28">
        <v>7</v>
      </c>
      <c r="V212" s="28"/>
      <c r="W212" s="28"/>
      <c r="X212" s="28"/>
      <c r="Y212" s="28">
        <v>13</v>
      </c>
      <c r="Z212" s="28"/>
      <c r="AA212" s="28">
        <v>10</v>
      </c>
      <c r="AB212" s="28"/>
      <c r="AC212" s="28"/>
      <c r="AD212" s="122"/>
    </row>
    <row r="213" spans="1:30">
      <c r="A213" s="145">
        <v>4</v>
      </c>
      <c r="B213" s="4" t="s">
        <v>247</v>
      </c>
      <c r="C213" s="4"/>
      <c r="D213" s="21">
        <v>148</v>
      </c>
      <c r="E213" s="22">
        <v>663</v>
      </c>
      <c r="F213" s="28">
        <v>702500</v>
      </c>
      <c r="G213" s="22">
        <v>55</v>
      </c>
      <c r="H213" s="22">
        <v>31450</v>
      </c>
      <c r="I213" s="22">
        <v>28191</v>
      </c>
      <c r="J213" s="22">
        <v>3527</v>
      </c>
      <c r="K213" s="22"/>
      <c r="L213" s="22">
        <v>22</v>
      </c>
      <c r="M213" s="22">
        <v>6498</v>
      </c>
      <c r="N213" s="22"/>
      <c r="O213" s="22">
        <v>65997</v>
      </c>
      <c r="P213" s="22">
        <v>1750</v>
      </c>
      <c r="Q213" s="28">
        <v>3353</v>
      </c>
      <c r="R213" s="123">
        <v>220</v>
      </c>
      <c r="S213" s="28">
        <v>26</v>
      </c>
      <c r="T213" s="28">
        <v>190</v>
      </c>
      <c r="U213" s="28"/>
      <c r="V213" s="28"/>
      <c r="W213" s="28"/>
      <c r="X213" s="28"/>
      <c r="Y213" s="28">
        <v>1733</v>
      </c>
      <c r="Z213" s="28"/>
      <c r="AA213" s="28"/>
      <c r="AB213" s="28"/>
      <c r="AC213" s="28"/>
      <c r="AD213" s="122"/>
    </row>
    <row r="214" spans="1:30">
      <c r="A214" s="145">
        <v>5</v>
      </c>
      <c r="B214" s="4" t="s">
        <v>248</v>
      </c>
      <c r="C214" s="4"/>
      <c r="D214" s="21">
        <v>1761</v>
      </c>
      <c r="E214" s="22">
        <v>2966</v>
      </c>
      <c r="F214" s="28">
        <v>1051120</v>
      </c>
      <c r="G214" s="22">
        <v>234</v>
      </c>
      <c r="H214" s="22">
        <v>16590</v>
      </c>
      <c r="I214" s="22">
        <v>25911</v>
      </c>
      <c r="J214" s="22">
        <v>4531</v>
      </c>
      <c r="K214" s="22">
        <v>129</v>
      </c>
      <c r="L214" s="22">
        <v>85</v>
      </c>
      <c r="M214" s="22">
        <v>5040</v>
      </c>
      <c r="N214" s="22">
        <v>510</v>
      </c>
      <c r="O214" s="22">
        <v>39680</v>
      </c>
      <c r="P214" s="22">
        <v>95</v>
      </c>
      <c r="Q214" s="28">
        <v>3638</v>
      </c>
      <c r="R214" s="123">
        <v>26258</v>
      </c>
      <c r="S214" s="28">
        <v>1</v>
      </c>
      <c r="T214" s="28">
        <v>31</v>
      </c>
      <c r="U214" s="28">
        <v>52</v>
      </c>
      <c r="V214" s="28"/>
      <c r="W214" s="28"/>
      <c r="X214" s="28"/>
      <c r="Y214" s="28">
        <v>30</v>
      </c>
      <c r="Z214" s="28"/>
      <c r="AA214" s="28">
        <v>30</v>
      </c>
      <c r="AB214" s="28"/>
      <c r="AC214" s="28"/>
      <c r="AD214" s="122"/>
    </row>
    <row r="215" spans="1:30">
      <c r="A215" s="145">
        <v>6</v>
      </c>
      <c r="B215" s="4" t="s">
        <v>249</v>
      </c>
      <c r="C215" s="4"/>
      <c r="D215" s="21">
        <v>5379</v>
      </c>
      <c r="E215" s="22">
        <v>32970</v>
      </c>
      <c r="F215" s="28">
        <v>6511316</v>
      </c>
      <c r="G215" s="22">
        <v>325</v>
      </c>
      <c r="H215" s="22">
        <v>33800</v>
      </c>
      <c r="I215" s="22">
        <v>151385</v>
      </c>
      <c r="J215" s="22">
        <v>7591</v>
      </c>
      <c r="K215" s="22">
        <v>9</v>
      </c>
      <c r="L215" s="22">
        <v>192</v>
      </c>
      <c r="M215" s="22">
        <v>12944</v>
      </c>
      <c r="N215" s="22">
        <v>162</v>
      </c>
      <c r="O215" s="22">
        <v>119475</v>
      </c>
      <c r="P215" s="22">
        <v>61</v>
      </c>
      <c r="Q215" s="28">
        <v>1946</v>
      </c>
      <c r="R215" s="123">
        <v>13989</v>
      </c>
      <c r="S215" s="28">
        <v>2</v>
      </c>
      <c r="T215" s="28">
        <v>1813</v>
      </c>
      <c r="U215" s="28">
        <v>36</v>
      </c>
      <c r="V215" s="28"/>
      <c r="W215" s="28"/>
      <c r="X215" s="28"/>
      <c r="Y215" s="28">
        <v>197</v>
      </c>
      <c r="Z215" s="28"/>
      <c r="AA215" s="28"/>
      <c r="AB215" s="28"/>
      <c r="AC215" s="28"/>
      <c r="AD215" s="122"/>
    </row>
    <row r="216" spans="1:30">
      <c r="A216" s="145">
        <v>7</v>
      </c>
      <c r="B216" s="4" t="s">
        <v>250</v>
      </c>
      <c r="C216" s="4"/>
      <c r="D216" s="21">
        <v>33</v>
      </c>
      <c r="E216" s="22">
        <v>727</v>
      </c>
      <c r="F216" s="28">
        <v>1157248</v>
      </c>
      <c r="G216" s="22">
        <v>163</v>
      </c>
      <c r="H216" s="22">
        <v>133710</v>
      </c>
      <c r="I216" s="22">
        <v>5245</v>
      </c>
      <c r="J216" s="22">
        <v>547</v>
      </c>
      <c r="K216" s="22"/>
      <c r="L216" s="22">
        <v>8</v>
      </c>
      <c r="M216" s="22">
        <v>11216</v>
      </c>
      <c r="N216" s="22">
        <v>214</v>
      </c>
      <c r="O216" s="22">
        <v>63170</v>
      </c>
      <c r="P216" s="22">
        <v>6500</v>
      </c>
      <c r="Q216" s="28"/>
      <c r="R216" s="123">
        <v>200</v>
      </c>
      <c r="S216" s="28">
        <v>81</v>
      </c>
      <c r="T216" s="28">
        <v>449</v>
      </c>
      <c r="U216" s="28"/>
      <c r="V216" s="28"/>
      <c r="W216" s="28"/>
      <c r="X216" s="28"/>
      <c r="Y216" s="28">
        <v>2</v>
      </c>
      <c r="Z216" s="28"/>
      <c r="AA216" s="28"/>
      <c r="AB216" s="28"/>
      <c r="AC216" s="28"/>
      <c r="AD216" s="122"/>
    </row>
    <row r="217" spans="1:30">
      <c r="A217" s="224">
        <v>8</v>
      </c>
      <c r="B217" s="113" t="s">
        <v>251</v>
      </c>
      <c r="C217" s="113"/>
      <c r="D217" s="21">
        <v>13352</v>
      </c>
      <c r="E217" s="22">
        <v>10987</v>
      </c>
      <c r="F217" s="28">
        <v>9065950</v>
      </c>
      <c r="G217" s="22">
        <v>463</v>
      </c>
      <c r="H217" s="22">
        <v>129802</v>
      </c>
      <c r="I217" s="22">
        <v>381884</v>
      </c>
      <c r="J217" s="22">
        <v>31108</v>
      </c>
      <c r="K217" s="22">
        <v>86</v>
      </c>
      <c r="L217" s="22">
        <v>713</v>
      </c>
      <c r="M217" s="22">
        <v>22144</v>
      </c>
      <c r="N217" s="22">
        <v>113</v>
      </c>
      <c r="O217" s="22">
        <v>360536</v>
      </c>
      <c r="P217" s="22">
        <v>269</v>
      </c>
      <c r="Q217" s="28">
        <v>4958</v>
      </c>
      <c r="R217" s="123">
        <v>17814</v>
      </c>
      <c r="S217" s="28">
        <v>487</v>
      </c>
      <c r="T217" s="28">
        <v>947</v>
      </c>
      <c r="U217" s="28"/>
      <c r="V217" s="28"/>
      <c r="W217" s="28"/>
      <c r="X217" s="28"/>
      <c r="Y217" s="28">
        <v>2748</v>
      </c>
      <c r="Z217" s="28"/>
      <c r="AA217" s="28"/>
      <c r="AB217" s="28"/>
      <c r="AC217" s="28"/>
      <c r="AD217" s="122"/>
    </row>
    <row r="218" spans="1:30">
      <c r="A218" s="224">
        <v>9</v>
      </c>
      <c r="B218" s="113" t="s">
        <v>252</v>
      </c>
      <c r="C218" s="113"/>
      <c r="D218" s="21">
        <v>598</v>
      </c>
      <c r="E218" s="22">
        <v>1201</v>
      </c>
      <c r="F218" s="28">
        <v>1116420</v>
      </c>
      <c r="G218" s="22">
        <v>652</v>
      </c>
      <c r="H218" s="22">
        <v>686700</v>
      </c>
      <c r="I218" s="22">
        <v>8894</v>
      </c>
      <c r="J218" s="22">
        <v>80</v>
      </c>
      <c r="K218" s="22"/>
      <c r="L218" s="22">
        <v>6582</v>
      </c>
      <c r="M218" s="22">
        <v>20726</v>
      </c>
      <c r="N218" s="22">
        <v>433</v>
      </c>
      <c r="O218" s="22">
        <v>69264</v>
      </c>
      <c r="P218" s="22">
        <v>16591</v>
      </c>
      <c r="Q218" s="28">
        <v>79540</v>
      </c>
      <c r="R218" s="123">
        <v>2330</v>
      </c>
      <c r="S218" s="28">
        <v>285</v>
      </c>
      <c r="T218" s="28">
        <v>90</v>
      </c>
      <c r="U218" s="28">
        <v>42</v>
      </c>
      <c r="V218" s="28"/>
      <c r="W218" s="28"/>
      <c r="X218" s="28"/>
      <c r="Y218" s="28">
        <v>128</v>
      </c>
      <c r="Z218" s="28"/>
      <c r="AA218" s="28"/>
      <c r="AB218" s="28"/>
      <c r="AC218" s="28"/>
      <c r="AD218" s="122"/>
    </row>
    <row r="219" spans="1:30">
      <c r="A219" s="224">
        <v>10</v>
      </c>
      <c r="B219" s="113" t="s">
        <v>253</v>
      </c>
      <c r="C219" s="113"/>
      <c r="D219" s="21">
        <v>16808</v>
      </c>
      <c r="E219" s="22">
        <v>3891</v>
      </c>
      <c r="F219" s="28">
        <v>9522481</v>
      </c>
      <c r="G219" s="22">
        <v>737</v>
      </c>
      <c r="H219" s="22">
        <v>515270</v>
      </c>
      <c r="I219" s="22">
        <v>39900</v>
      </c>
      <c r="J219" s="22">
        <v>4778</v>
      </c>
      <c r="K219" s="22">
        <v>24</v>
      </c>
      <c r="L219" s="22">
        <v>551</v>
      </c>
      <c r="M219" s="22">
        <v>35932</v>
      </c>
      <c r="N219" s="22">
        <v>7584</v>
      </c>
      <c r="O219" s="22">
        <v>180408</v>
      </c>
      <c r="P219" s="22">
        <v>3471</v>
      </c>
      <c r="Q219" s="28">
        <v>8009</v>
      </c>
      <c r="R219" s="123">
        <v>1039505</v>
      </c>
      <c r="S219" s="28">
        <v>927</v>
      </c>
      <c r="T219" s="28">
        <v>97</v>
      </c>
      <c r="U219" s="28">
        <v>2</v>
      </c>
      <c r="V219" s="28"/>
      <c r="W219" s="28"/>
      <c r="X219" s="28"/>
      <c r="Y219" s="28">
        <v>214</v>
      </c>
      <c r="Z219" s="28"/>
      <c r="AA219" s="28"/>
      <c r="AB219" s="28"/>
      <c r="AC219" s="28"/>
      <c r="AD219" s="122"/>
    </row>
    <row r="220" spans="1:30">
      <c r="A220" s="228">
        <v>11</v>
      </c>
      <c r="B220" s="236" t="s">
        <v>254</v>
      </c>
      <c r="C220" s="236"/>
      <c r="D220" s="21">
        <v>5735</v>
      </c>
      <c r="E220" s="22">
        <v>437</v>
      </c>
      <c r="F220" s="28">
        <v>1284130</v>
      </c>
      <c r="G220" s="22">
        <v>206</v>
      </c>
      <c r="H220" s="22">
        <v>8750</v>
      </c>
      <c r="I220" s="22">
        <v>238532</v>
      </c>
      <c r="J220" s="22">
        <v>24772</v>
      </c>
      <c r="K220" s="22">
        <v>6</v>
      </c>
      <c r="L220" s="22">
        <v>3127</v>
      </c>
      <c r="M220" s="22">
        <v>12505</v>
      </c>
      <c r="N220" s="22">
        <v>1392</v>
      </c>
      <c r="O220" s="22">
        <v>190087</v>
      </c>
      <c r="P220" s="22">
        <v>362</v>
      </c>
      <c r="Q220" s="28">
        <v>7</v>
      </c>
      <c r="R220" s="123">
        <v>150126</v>
      </c>
      <c r="S220" s="28">
        <v>49</v>
      </c>
      <c r="T220" s="28">
        <v>43</v>
      </c>
      <c r="U220" s="28">
        <v>50</v>
      </c>
      <c r="V220" s="28">
        <v>11</v>
      </c>
      <c r="W220" s="28"/>
      <c r="X220" s="28"/>
      <c r="Y220" s="28">
        <v>63</v>
      </c>
      <c r="Z220" s="28"/>
      <c r="AA220" s="28"/>
      <c r="AB220" s="28"/>
      <c r="AC220" s="28"/>
      <c r="AD220" s="122"/>
    </row>
    <row r="221" spans="1:30">
      <c r="A221" s="228">
        <v>12</v>
      </c>
      <c r="B221" s="236" t="s">
        <v>255</v>
      </c>
      <c r="C221" s="236"/>
      <c r="D221" s="21">
        <v>15459</v>
      </c>
      <c r="E221" s="22">
        <v>6242</v>
      </c>
      <c r="F221" s="28">
        <v>3594649</v>
      </c>
      <c r="G221" s="22">
        <v>898</v>
      </c>
      <c r="H221" s="22">
        <v>51634</v>
      </c>
      <c r="I221" s="22">
        <v>117842</v>
      </c>
      <c r="J221" s="22">
        <v>39545</v>
      </c>
      <c r="K221" s="22">
        <v>10</v>
      </c>
      <c r="L221" s="22">
        <v>1334</v>
      </c>
      <c r="M221" s="22">
        <v>7957</v>
      </c>
      <c r="N221" s="22">
        <v>7691</v>
      </c>
      <c r="O221" s="22">
        <v>112160</v>
      </c>
      <c r="P221" s="22">
        <v>150</v>
      </c>
      <c r="Q221" s="28">
        <v>70</v>
      </c>
      <c r="R221" s="123">
        <v>94825</v>
      </c>
      <c r="S221" s="28">
        <v>127</v>
      </c>
      <c r="T221" s="28">
        <v>52</v>
      </c>
      <c r="U221" s="28">
        <v>5506</v>
      </c>
      <c r="V221" s="28">
        <v>7</v>
      </c>
      <c r="W221" s="28"/>
      <c r="X221" s="28"/>
      <c r="Y221" s="28">
        <v>9</v>
      </c>
      <c r="Z221" s="28"/>
      <c r="AA221" s="28"/>
      <c r="AB221" s="28"/>
      <c r="AC221" s="28"/>
      <c r="AD221" s="122"/>
    </row>
    <row r="222" spans="1:30">
      <c r="A222" s="228">
        <v>13</v>
      </c>
      <c r="B222" s="236" t="s">
        <v>256</v>
      </c>
      <c r="C222" s="236"/>
      <c r="D222" s="21">
        <v>23015</v>
      </c>
      <c r="E222" s="22">
        <v>1916</v>
      </c>
      <c r="F222" s="28">
        <v>3854478</v>
      </c>
      <c r="G222" s="22">
        <v>463</v>
      </c>
      <c r="H222" s="22">
        <v>12400</v>
      </c>
      <c r="I222" s="22">
        <v>31470</v>
      </c>
      <c r="J222" s="22">
        <v>25491</v>
      </c>
      <c r="K222" s="22">
        <v>12</v>
      </c>
      <c r="L222" s="22">
        <v>434</v>
      </c>
      <c r="M222" s="22">
        <v>6651</v>
      </c>
      <c r="N222" s="22">
        <v>1643</v>
      </c>
      <c r="O222" s="22">
        <v>45393</v>
      </c>
      <c r="P222" s="22">
        <v>19</v>
      </c>
      <c r="Q222" s="28">
        <v>71</v>
      </c>
      <c r="R222" s="123">
        <v>108843</v>
      </c>
      <c r="S222" s="28">
        <v>153</v>
      </c>
      <c r="T222" s="28"/>
      <c r="U222" s="28">
        <v>60</v>
      </c>
      <c r="V222" s="28"/>
      <c r="W222" s="28"/>
      <c r="X222" s="28"/>
      <c r="Y222" s="28">
        <v>10</v>
      </c>
      <c r="Z222" s="28"/>
      <c r="AA222" s="28"/>
      <c r="AB222" s="28"/>
      <c r="AC222" s="28"/>
      <c r="AD222" s="122"/>
    </row>
    <row r="223" spans="1:30">
      <c r="A223" s="228">
        <v>14</v>
      </c>
      <c r="B223" s="236" t="s">
        <v>257</v>
      </c>
      <c r="C223" s="236"/>
      <c r="D223" s="21">
        <v>13254</v>
      </c>
      <c r="E223" s="22">
        <v>10181</v>
      </c>
      <c r="F223" s="28">
        <v>4919454</v>
      </c>
      <c r="G223" s="22">
        <v>389</v>
      </c>
      <c r="H223" s="22">
        <v>30950</v>
      </c>
      <c r="I223" s="22">
        <v>293650</v>
      </c>
      <c r="J223" s="22">
        <v>15482</v>
      </c>
      <c r="K223" s="22">
        <v>251</v>
      </c>
      <c r="L223" s="22">
        <v>1315</v>
      </c>
      <c r="M223" s="22">
        <v>14723</v>
      </c>
      <c r="N223" s="22">
        <v>2214</v>
      </c>
      <c r="O223" s="22">
        <v>239398</v>
      </c>
      <c r="P223" s="22">
        <v>121</v>
      </c>
      <c r="Q223" s="28">
        <v>451</v>
      </c>
      <c r="R223" s="123">
        <v>106942</v>
      </c>
      <c r="S223" s="28">
        <v>15</v>
      </c>
      <c r="T223" s="28">
        <v>246</v>
      </c>
      <c r="U223" s="28">
        <v>151</v>
      </c>
      <c r="V223" s="28">
        <v>3</v>
      </c>
      <c r="W223" s="28"/>
      <c r="X223" s="28"/>
      <c r="Y223" s="28">
        <v>1056</v>
      </c>
      <c r="Z223" s="28"/>
      <c r="AA223" s="28"/>
      <c r="AB223" s="28"/>
      <c r="AC223" s="28"/>
      <c r="AD223" s="122"/>
    </row>
    <row r="224" spans="1:30">
      <c r="A224" s="228">
        <v>15</v>
      </c>
      <c r="B224" s="236" t="s">
        <v>258</v>
      </c>
      <c r="C224" s="236"/>
      <c r="D224" s="21">
        <v>286</v>
      </c>
      <c r="E224" s="22">
        <v>2209</v>
      </c>
      <c r="F224" s="28">
        <v>596100</v>
      </c>
      <c r="G224" s="22">
        <v>137</v>
      </c>
      <c r="H224" s="22">
        <v>29800</v>
      </c>
      <c r="I224" s="22">
        <v>35020</v>
      </c>
      <c r="J224" s="22">
        <v>7379</v>
      </c>
      <c r="K224" s="22"/>
      <c r="L224" s="22">
        <v>23</v>
      </c>
      <c r="M224" s="22">
        <v>961</v>
      </c>
      <c r="N224" s="22">
        <v>2315</v>
      </c>
      <c r="O224" s="22">
        <v>27873</v>
      </c>
      <c r="P224" s="22">
        <v>60</v>
      </c>
      <c r="Q224" s="28">
        <v>90</v>
      </c>
      <c r="R224" s="123">
        <v>299090</v>
      </c>
      <c r="S224" s="28">
        <v>2</v>
      </c>
      <c r="T224" s="28">
        <v>70</v>
      </c>
      <c r="U224" s="28">
        <v>650</v>
      </c>
      <c r="V224" s="28"/>
      <c r="W224" s="28"/>
      <c r="X224" s="28"/>
      <c r="Y224" s="28">
        <v>5</v>
      </c>
      <c r="Z224" s="28"/>
      <c r="AA224" s="28">
        <v>15</v>
      </c>
      <c r="AB224" s="28"/>
      <c r="AC224" s="28"/>
      <c r="AD224" s="122"/>
    </row>
    <row r="225" spans="1:30">
      <c r="A225" s="228">
        <v>16</v>
      </c>
      <c r="B225" s="236" t="s">
        <v>259</v>
      </c>
      <c r="C225" s="236"/>
      <c r="D225" s="21">
        <v>42179</v>
      </c>
      <c r="E225" s="22">
        <v>6628</v>
      </c>
      <c r="F225" s="28">
        <v>17990417</v>
      </c>
      <c r="G225" s="22">
        <v>1795</v>
      </c>
      <c r="H225" s="22">
        <v>90441</v>
      </c>
      <c r="I225" s="22">
        <v>433220</v>
      </c>
      <c r="J225" s="22">
        <v>34621</v>
      </c>
      <c r="K225" s="22">
        <v>329</v>
      </c>
      <c r="L225" s="22">
        <v>399</v>
      </c>
      <c r="M225" s="22">
        <v>44657</v>
      </c>
      <c r="N225" s="22">
        <v>1448</v>
      </c>
      <c r="O225" s="22">
        <v>682125</v>
      </c>
      <c r="P225" s="22">
        <v>1281</v>
      </c>
      <c r="Q225" s="28">
        <v>12675</v>
      </c>
      <c r="R225" s="123">
        <v>538615</v>
      </c>
      <c r="S225" s="28">
        <v>5905</v>
      </c>
      <c r="T225" s="28">
        <v>470</v>
      </c>
      <c r="U225" s="28">
        <v>122</v>
      </c>
      <c r="V225" s="28">
        <v>1066</v>
      </c>
      <c r="W225" s="28"/>
      <c r="X225" s="28"/>
      <c r="Y225" s="28">
        <v>1973</v>
      </c>
      <c r="Z225" s="28"/>
      <c r="AA225" s="28"/>
      <c r="AB225" s="28"/>
      <c r="AC225" s="28"/>
      <c r="AD225" s="122"/>
    </row>
    <row r="226" spans="1:30">
      <c r="A226" s="228">
        <v>17</v>
      </c>
      <c r="B226" s="236" t="s">
        <v>260</v>
      </c>
      <c r="C226" s="236"/>
      <c r="D226" s="21">
        <v>35690</v>
      </c>
      <c r="E226" s="22">
        <v>8531</v>
      </c>
      <c r="F226" s="28">
        <v>17069176</v>
      </c>
      <c r="G226" s="22">
        <v>1067</v>
      </c>
      <c r="H226" s="22">
        <v>269197</v>
      </c>
      <c r="I226" s="22">
        <v>273793</v>
      </c>
      <c r="J226" s="22">
        <v>37941</v>
      </c>
      <c r="K226" s="22">
        <v>59</v>
      </c>
      <c r="L226" s="22">
        <v>1765</v>
      </c>
      <c r="M226" s="22">
        <v>36905</v>
      </c>
      <c r="N226" s="22">
        <v>3779</v>
      </c>
      <c r="O226" s="22">
        <v>331517</v>
      </c>
      <c r="P226" s="22">
        <v>5528</v>
      </c>
      <c r="Q226" s="28">
        <v>2817</v>
      </c>
      <c r="R226" s="123">
        <v>558884</v>
      </c>
      <c r="S226" s="28">
        <v>1500</v>
      </c>
      <c r="T226" s="28">
        <v>1480</v>
      </c>
      <c r="U226" s="28">
        <v>1546</v>
      </c>
      <c r="V226" s="28">
        <v>2</v>
      </c>
      <c r="W226" s="28"/>
      <c r="X226" s="28"/>
      <c r="Y226" s="28">
        <v>210</v>
      </c>
      <c r="Z226" s="28">
        <v>500</v>
      </c>
      <c r="AA226" s="28"/>
      <c r="AB226" s="28"/>
      <c r="AC226" s="28"/>
      <c r="AD226" s="122"/>
    </row>
    <row r="227" spans="1:30">
      <c r="A227" s="228">
        <v>18</v>
      </c>
      <c r="B227" s="236" t="s">
        <v>261</v>
      </c>
      <c r="C227" s="236"/>
      <c r="D227" s="21">
        <v>49393</v>
      </c>
      <c r="E227" s="22">
        <v>6344</v>
      </c>
      <c r="F227" s="28">
        <v>4387142</v>
      </c>
      <c r="G227" s="22">
        <v>369</v>
      </c>
      <c r="H227" s="22">
        <v>55480</v>
      </c>
      <c r="I227" s="22">
        <v>101892</v>
      </c>
      <c r="J227" s="22">
        <v>42781</v>
      </c>
      <c r="K227" s="22">
        <v>88</v>
      </c>
      <c r="L227" s="22">
        <v>708</v>
      </c>
      <c r="M227" s="22">
        <v>10715</v>
      </c>
      <c r="N227" s="22">
        <v>11789</v>
      </c>
      <c r="O227" s="22">
        <v>125089</v>
      </c>
      <c r="P227" s="22">
        <v>513</v>
      </c>
      <c r="Q227" s="28">
        <v>201</v>
      </c>
      <c r="R227" s="123">
        <v>4241395</v>
      </c>
      <c r="S227" s="28">
        <v>39</v>
      </c>
      <c r="T227" s="28"/>
      <c r="U227" s="28">
        <v>115</v>
      </c>
      <c r="V227" s="28"/>
      <c r="W227" s="28"/>
      <c r="X227" s="28"/>
      <c r="Y227" s="28">
        <v>25</v>
      </c>
      <c r="Z227" s="28"/>
      <c r="AA227" s="28"/>
      <c r="AB227" s="28"/>
      <c r="AC227" s="28"/>
      <c r="AD227" s="122"/>
    </row>
    <row r="228" spans="1:30">
      <c r="A228" s="228">
        <v>19</v>
      </c>
      <c r="B228" s="236" t="s">
        <v>262</v>
      </c>
      <c r="C228" s="236"/>
      <c r="D228" s="21">
        <v>13156</v>
      </c>
      <c r="E228" s="22">
        <v>23599</v>
      </c>
      <c r="F228" s="28">
        <v>10617777</v>
      </c>
      <c r="G228" s="22">
        <v>710</v>
      </c>
      <c r="H228" s="22">
        <v>20675</v>
      </c>
      <c r="I228" s="22">
        <v>240131</v>
      </c>
      <c r="J228" s="22">
        <v>7331</v>
      </c>
      <c r="K228" s="22">
        <v>23</v>
      </c>
      <c r="L228" s="22">
        <v>742</v>
      </c>
      <c r="M228" s="22">
        <v>88330</v>
      </c>
      <c r="N228" s="22">
        <v>249</v>
      </c>
      <c r="O228" s="22">
        <v>403732</v>
      </c>
      <c r="P228" s="22">
        <v>147</v>
      </c>
      <c r="Q228" s="28">
        <v>2249</v>
      </c>
      <c r="R228" s="123">
        <v>16209</v>
      </c>
      <c r="S228" s="28">
        <v>12</v>
      </c>
      <c r="T228" s="28">
        <v>1691</v>
      </c>
      <c r="U228" s="28"/>
      <c r="V228" s="28">
        <v>3</v>
      </c>
      <c r="W228" s="28">
        <v>200</v>
      </c>
      <c r="X228" s="28"/>
      <c r="Y228" s="28">
        <v>1073</v>
      </c>
      <c r="Z228" s="28"/>
      <c r="AA228" s="28"/>
      <c r="AB228" s="28"/>
      <c r="AC228" s="28"/>
      <c r="AD228" s="122"/>
    </row>
    <row r="229" spans="1:30">
      <c r="A229" s="228">
        <v>20</v>
      </c>
      <c r="B229" s="236" t="s">
        <v>263</v>
      </c>
      <c r="C229" s="236"/>
      <c r="D229" s="21">
        <v>5929</v>
      </c>
      <c r="E229" s="22">
        <v>15543</v>
      </c>
      <c r="F229" s="28">
        <v>7417762</v>
      </c>
      <c r="G229" s="22">
        <v>953</v>
      </c>
      <c r="H229" s="22">
        <v>10586</v>
      </c>
      <c r="I229" s="22">
        <v>70683</v>
      </c>
      <c r="J229" s="22">
        <v>7806</v>
      </c>
      <c r="K229" s="22">
        <v>32</v>
      </c>
      <c r="L229" s="22">
        <v>642</v>
      </c>
      <c r="M229" s="22">
        <v>14364</v>
      </c>
      <c r="N229" s="22">
        <v>649</v>
      </c>
      <c r="O229" s="22">
        <v>156138</v>
      </c>
      <c r="P229" s="22">
        <v>283</v>
      </c>
      <c r="Q229" s="28">
        <v>546</v>
      </c>
      <c r="R229" s="123">
        <v>23362</v>
      </c>
      <c r="S229" s="28">
        <v>13</v>
      </c>
      <c r="T229" s="28">
        <v>26</v>
      </c>
      <c r="U229" s="28">
        <v>20</v>
      </c>
      <c r="V229" s="28">
        <v>3</v>
      </c>
      <c r="W229" s="28"/>
      <c r="X229" s="28"/>
      <c r="Y229" s="28">
        <v>68</v>
      </c>
      <c r="Z229" s="28"/>
      <c r="AA229" s="28"/>
      <c r="AB229" s="28"/>
      <c r="AC229" s="28"/>
      <c r="AD229" s="122"/>
    </row>
    <row r="230" spans="1:30">
      <c r="A230" s="228">
        <v>21</v>
      </c>
      <c r="B230" s="236" t="s">
        <v>264</v>
      </c>
      <c r="C230" s="236"/>
      <c r="D230" s="21">
        <v>7259</v>
      </c>
      <c r="E230" s="22">
        <v>3365</v>
      </c>
      <c r="F230" s="28">
        <v>1098112</v>
      </c>
      <c r="G230" s="22">
        <v>77</v>
      </c>
      <c r="H230" s="22">
        <v>10327</v>
      </c>
      <c r="I230" s="22">
        <v>142198</v>
      </c>
      <c r="J230" s="22">
        <v>27693</v>
      </c>
      <c r="K230" s="22">
        <v>150</v>
      </c>
      <c r="L230" s="22">
        <v>1900</v>
      </c>
      <c r="M230" s="22">
        <v>16033</v>
      </c>
      <c r="N230" s="22">
        <v>5302</v>
      </c>
      <c r="O230" s="22">
        <v>122308</v>
      </c>
      <c r="P230" s="22">
        <v>147</v>
      </c>
      <c r="Q230" s="28">
        <v>1417</v>
      </c>
      <c r="R230" s="123">
        <v>89240</v>
      </c>
      <c r="S230" s="28">
        <v>57</v>
      </c>
      <c r="T230" s="28">
        <v>7</v>
      </c>
      <c r="U230" s="28">
        <v>1718</v>
      </c>
      <c r="V230" s="28"/>
      <c r="W230" s="28"/>
      <c r="X230" s="28"/>
      <c r="Y230" s="28">
        <v>34</v>
      </c>
      <c r="Z230" s="28"/>
      <c r="AA230" s="28"/>
      <c r="AB230" s="28"/>
      <c r="AC230" s="28"/>
      <c r="AD230" s="122"/>
    </row>
    <row r="231" spans="1:30">
      <c r="A231" s="228">
        <v>22</v>
      </c>
      <c r="B231" s="236" t="s">
        <v>265</v>
      </c>
      <c r="C231" s="236"/>
      <c r="D231" s="21">
        <v>2019</v>
      </c>
      <c r="E231" s="22">
        <v>406</v>
      </c>
      <c r="F231" s="28">
        <v>83815</v>
      </c>
      <c r="G231" s="22">
        <v>127</v>
      </c>
      <c r="H231" s="22">
        <v>15225</v>
      </c>
      <c r="I231" s="22">
        <v>71622</v>
      </c>
      <c r="J231" s="22">
        <v>7784</v>
      </c>
      <c r="K231" s="22">
        <v>10</v>
      </c>
      <c r="L231" s="22">
        <v>54</v>
      </c>
      <c r="M231" s="22">
        <v>1259</v>
      </c>
      <c r="N231" s="22">
        <v>146</v>
      </c>
      <c r="O231" s="22">
        <v>107189</v>
      </c>
      <c r="P231" s="22">
        <v>19</v>
      </c>
      <c r="Q231" s="28">
        <v>235</v>
      </c>
      <c r="R231" s="123">
        <v>22792</v>
      </c>
      <c r="S231" s="28">
        <v>23</v>
      </c>
      <c r="T231" s="28">
        <v>123</v>
      </c>
      <c r="U231" s="28">
        <v>10</v>
      </c>
      <c r="V231" s="28">
        <v>4</v>
      </c>
      <c r="W231" s="28"/>
      <c r="X231" s="28"/>
      <c r="Y231" s="28"/>
      <c r="Z231" s="28"/>
      <c r="AA231" s="28"/>
      <c r="AB231" s="28"/>
      <c r="AC231" s="28"/>
      <c r="AD231" s="122"/>
    </row>
    <row r="232" spans="1:30">
      <c r="A232" s="228">
        <v>23</v>
      </c>
      <c r="B232" s="236" t="s">
        <v>266</v>
      </c>
      <c r="C232" s="236"/>
      <c r="D232" s="21">
        <v>4700</v>
      </c>
      <c r="E232" s="22">
        <v>1956</v>
      </c>
      <c r="F232" s="28">
        <v>2544899</v>
      </c>
      <c r="G232" s="22">
        <v>810</v>
      </c>
      <c r="H232" s="22">
        <v>71300</v>
      </c>
      <c r="I232" s="22">
        <v>355352</v>
      </c>
      <c r="J232" s="22">
        <v>115539</v>
      </c>
      <c r="K232" s="22">
        <v>32</v>
      </c>
      <c r="L232" s="22">
        <v>3189</v>
      </c>
      <c r="M232" s="22">
        <v>19708</v>
      </c>
      <c r="N232" s="22">
        <v>36053</v>
      </c>
      <c r="O232" s="22">
        <v>326099</v>
      </c>
      <c r="P232" s="22">
        <v>606</v>
      </c>
      <c r="Q232" s="28">
        <v>820</v>
      </c>
      <c r="R232" s="123">
        <v>276624</v>
      </c>
      <c r="S232" s="28">
        <v>70</v>
      </c>
      <c r="T232" s="28">
        <v>4</v>
      </c>
      <c r="U232" s="28">
        <v>20329</v>
      </c>
      <c r="V232" s="28">
        <v>23</v>
      </c>
      <c r="W232" s="28"/>
      <c r="X232" s="28"/>
      <c r="Y232" s="28">
        <v>599</v>
      </c>
      <c r="Z232" s="28"/>
      <c r="AA232" s="28"/>
      <c r="AB232" s="28"/>
      <c r="AC232" s="28"/>
      <c r="AD232" s="122"/>
    </row>
    <row r="233" spans="1:30">
      <c r="A233" s="229"/>
      <c r="B233" s="237"/>
      <c r="C233" s="237"/>
      <c r="D233" s="54"/>
      <c r="E233" s="24"/>
      <c r="F233" s="206"/>
      <c r="G233" s="24"/>
      <c r="H233" s="24"/>
      <c r="I233" s="24"/>
      <c r="J233" s="24"/>
      <c r="K233" s="24"/>
      <c r="L233" s="24"/>
      <c r="M233" s="24"/>
      <c r="N233" s="24"/>
      <c r="O233" s="24"/>
      <c r="P233" s="24"/>
      <c r="Q233" s="185"/>
      <c r="R233" s="198"/>
      <c r="S233" s="185"/>
      <c r="T233" s="185"/>
      <c r="U233" s="185"/>
      <c r="V233" s="185"/>
      <c r="W233" s="185"/>
      <c r="X233" s="185"/>
      <c r="Y233" s="185"/>
      <c r="Z233" s="185"/>
      <c r="AA233" s="185"/>
      <c r="AB233" s="185"/>
      <c r="AC233" s="185"/>
      <c r="AD233" s="295"/>
    </row>
    <row r="234" spans="1:30">
      <c r="A234" s="228" t="s">
        <v>296</v>
      </c>
      <c r="B234" s="236"/>
      <c r="C234" s="236"/>
      <c r="D234" s="32">
        <f>SUM(D210:D232)</f>
        <v>265487</v>
      </c>
      <c r="E234" s="22">
        <f t="shared" ref="E234:AD234" si="10">SUM(E210:E232)</f>
        <v>155067</v>
      </c>
      <c r="F234" s="32">
        <f t="shared" si="10"/>
        <v>108163902</v>
      </c>
      <c r="G234" s="22">
        <f t="shared" si="10"/>
        <v>12381</v>
      </c>
      <c r="H234" s="32">
        <f t="shared" si="10"/>
        <v>2236010</v>
      </c>
      <c r="I234" s="28">
        <f>SUM(I210:I232)</f>
        <v>3310613</v>
      </c>
      <c r="J234" s="32">
        <f t="shared" si="10"/>
        <v>462758</v>
      </c>
      <c r="K234" s="22">
        <f t="shared" si="10"/>
        <v>1270</v>
      </c>
      <c r="L234" s="32">
        <f t="shared" si="10"/>
        <v>81694</v>
      </c>
      <c r="M234" s="22">
        <f t="shared" si="10"/>
        <v>411150</v>
      </c>
      <c r="N234" s="32">
        <f t="shared" si="10"/>
        <v>98804</v>
      </c>
      <c r="O234" s="22">
        <f t="shared" si="10"/>
        <v>4068699</v>
      </c>
      <c r="P234" s="22">
        <f t="shared" si="10"/>
        <v>38457</v>
      </c>
      <c r="Q234" s="123">
        <f t="shared" si="10"/>
        <v>123407</v>
      </c>
      <c r="R234" s="134">
        <f t="shared" si="10"/>
        <v>7701774</v>
      </c>
      <c r="S234" s="28">
        <f t="shared" si="10"/>
        <v>9823</v>
      </c>
      <c r="T234" s="134">
        <f t="shared" si="10"/>
        <v>8045</v>
      </c>
      <c r="U234" s="28">
        <f t="shared" si="10"/>
        <v>32147</v>
      </c>
      <c r="V234" s="134">
        <f t="shared" si="10"/>
        <v>1292</v>
      </c>
      <c r="W234" s="28">
        <f t="shared" si="10"/>
        <v>200</v>
      </c>
      <c r="X234" s="134">
        <f t="shared" si="10"/>
        <v>0</v>
      </c>
      <c r="Y234" s="28">
        <f t="shared" si="10"/>
        <v>11886</v>
      </c>
      <c r="Z234" s="134">
        <f t="shared" si="10"/>
        <v>500</v>
      </c>
      <c r="AA234" s="45">
        <f t="shared" si="10"/>
        <v>55</v>
      </c>
      <c r="AB234" s="28">
        <f t="shared" si="10"/>
        <v>0</v>
      </c>
      <c r="AC234" s="134">
        <f t="shared" si="10"/>
        <v>0</v>
      </c>
      <c r="AD234" s="122">
        <f t="shared" si="10"/>
        <v>0</v>
      </c>
    </row>
    <row r="235" spans="1:30" ht="15" thickBot="1">
      <c r="A235" s="230"/>
      <c r="B235" s="238"/>
      <c r="C235" s="238"/>
      <c r="D235" s="202"/>
      <c r="E235" s="186"/>
      <c r="F235" s="208"/>
      <c r="G235" s="186"/>
      <c r="H235" s="186"/>
      <c r="I235" s="186"/>
      <c r="J235" s="186"/>
      <c r="K235" s="186"/>
      <c r="L235" s="186"/>
      <c r="M235" s="186"/>
      <c r="N235" s="186"/>
      <c r="O235" s="186"/>
      <c r="P235" s="186"/>
      <c r="Q235" s="211"/>
      <c r="R235" s="212"/>
      <c r="S235" s="211"/>
      <c r="T235" s="211"/>
      <c r="U235" s="211"/>
      <c r="V235" s="211"/>
      <c r="W235" s="211"/>
      <c r="X235" s="211"/>
      <c r="Y235" s="211"/>
      <c r="Z235" s="211"/>
      <c r="AA235" s="211"/>
      <c r="AB235" s="211"/>
      <c r="AC235" s="211"/>
      <c r="AD235" s="300"/>
    </row>
    <row r="236" spans="1:30" ht="17" thickTop="1" thickBot="1">
      <c r="A236" s="226" t="s">
        <v>40</v>
      </c>
      <c r="B236" s="94"/>
      <c r="C236" s="94"/>
      <c r="D236" s="21"/>
      <c r="E236" s="22"/>
      <c r="F236" s="28"/>
      <c r="G236" s="22"/>
      <c r="H236" s="22"/>
      <c r="I236" s="22"/>
      <c r="J236" s="22"/>
      <c r="K236" s="22"/>
      <c r="L236" s="22"/>
      <c r="M236" s="22"/>
      <c r="N236" s="22"/>
      <c r="O236" s="22"/>
      <c r="P236" s="22"/>
      <c r="Q236" s="13"/>
      <c r="R236" s="35"/>
      <c r="S236" s="13"/>
      <c r="T236" s="13"/>
      <c r="U236" s="13"/>
      <c r="V236" s="13"/>
      <c r="W236" s="13"/>
      <c r="X236" s="13"/>
      <c r="Y236" s="167"/>
      <c r="Z236" s="167"/>
      <c r="AA236" s="167"/>
      <c r="AB236" s="167"/>
      <c r="AC236" s="167"/>
      <c r="AD236" s="293"/>
    </row>
    <row r="237" spans="1:30">
      <c r="A237" s="228">
        <v>1</v>
      </c>
      <c r="B237" s="236" t="s">
        <v>267</v>
      </c>
      <c r="C237" s="236"/>
      <c r="D237" s="21">
        <v>40629</v>
      </c>
      <c r="E237" s="22">
        <v>70982</v>
      </c>
      <c r="F237" s="28">
        <v>25328442</v>
      </c>
      <c r="G237" s="22">
        <v>2315</v>
      </c>
      <c r="H237" s="22">
        <v>8338</v>
      </c>
      <c r="I237" s="22">
        <v>109142</v>
      </c>
      <c r="J237" s="22">
        <v>14655</v>
      </c>
      <c r="K237" s="22">
        <v>1520</v>
      </c>
      <c r="L237" s="22">
        <v>1303</v>
      </c>
      <c r="M237" s="22">
        <v>16918</v>
      </c>
      <c r="N237" s="22">
        <v>308</v>
      </c>
      <c r="O237" s="22">
        <v>100911</v>
      </c>
      <c r="P237" s="22">
        <v>527</v>
      </c>
      <c r="Q237" s="13">
        <v>1786</v>
      </c>
      <c r="R237" s="199">
        <v>14266</v>
      </c>
      <c r="S237" s="167">
        <v>94</v>
      </c>
      <c r="T237" s="167">
        <v>83</v>
      </c>
      <c r="U237" s="167"/>
      <c r="V237" s="167"/>
      <c r="W237" s="167"/>
      <c r="X237" s="167"/>
      <c r="Y237" s="167"/>
      <c r="Z237" s="167"/>
      <c r="AA237" s="167"/>
      <c r="AB237" s="167"/>
      <c r="AC237" s="167"/>
      <c r="AD237" s="293"/>
    </row>
    <row r="238" spans="1:30">
      <c r="A238" s="228">
        <v>2</v>
      </c>
      <c r="B238" s="236" t="s">
        <v>268</v>
      </c>
      <c r="C238" s="236"/>
      <c r="D238" s="21">
        <v>4704</v>
      </c>
      <c r="E238" s="22">
        <v>1427</v>
      </c>
      <c r="F238" s="28">
        <v>511956</v>
      </c>
      <c r="G238" s="22">
        <v>197</v>
      </c>
      <c r="H238" s="22">
        <v>50024</v>
      </c>
      <c r="I238" s="22">
        <v>2398</v>
      </c>
      <c r="J238" s="22"/>
      <c r="K238" s="22">
        <v>47</v>
      </c>
      <c r="L238" s="22">
        <v>14</v>
      </c>
      <c r="M238" s="22">
        <v>2424</v>
      </c>
      <c r="N238" s="22">
        <v>79</v>
      </c>
      <c r="O238" s="22">
        <v>47144</v>
      </c>
      <c r="P238" s="22">
        <v>35</v>
      </c>
      <c r="Q238" s="13">
        <v>101</v>
      </c>
      <c r="R238" s="199">
        <v>1380</v>
      </c>
      <c r="S238" s="167">
        <v>1752</v>
      </c>
      <c r="T238" s="167"/>
      <c r="U238" s="167"/>
      <c r="V238" s="167"/>
      <c r="W238" s="167"/>
      <c r="X238" s="167"/>
      <c r="Y238" s="167"/>
      <c r="Z238" s="167"/>
      <c r="AA238" s="167"/>
      <c r="AB238" s="167"/>
      <c r="AC238" s="167"/>
      <c r="AD238" s="293"/>
    </row>
    <row r="239" spans="1:30">
      <c r="A239" s="228">
        <v>3</v>
      </c>
      <c r="B239" s="236" t="s">
        <v>269</v>
      </c>
      <c r="C239" s="236"/>
      <c r="D239" s="21">
        <v>6725</v>
      </c>
      <c r="E239" s="22">
        <v>4178</v>
      </c>
      <c r="F239" s="28">
        <v>1148515</v>
      </c>
      <c r="G239" s="22">
        <v>766</v>
      </c>
      <c r="H239" s="22">
        <v>257740</v>
      </c>
      <c r="I239" s="22">
        <v>44892</v>
      </c>
      <c r="J239" s="22">
        <v>21599</v>
      </c>
      <c r="K239" s="22">
        <v>90</v>
      </c>
      <c r="L239" s="22">
        <v>50</v>
      </c>
      <c r="M239" s="22">
        <v>15576</v>
      </c>
      <c r="N239" s="22">
        <v>107</v>
      </c>
      <c r="O239" s="22">
        <v>272765</v>
      </c>
      <c r="P239" s="22">
        <v>2144</v>
      </c>
      <c r="Q239" s="13">
        <v>774</v>
      </c>
      <c r="R239" s="199">
        <v>3210</v>
      </c>
      <c r="S239" s="167">
        <v>380</v>
      </c>
      <c r="T239" s="167">
        <v>170</v>
      </c>
      <c r="U239" s="167"/>
      <c r="V239" s="167">
        <v>22</v>
      </c>
      <c r="W239" s="167"/>
      <c r="X239" s="167"/>
      <c r="Y239" s="167">
        <v>1</v>
      </c>
      <c r="Z239" s="167"/>
      <c r="AA239" s="167"/>
      <c r="AB239" s="167"/>
      <c r="AC239" s="167"/>
      <c r="AD239" s="293"/>
    </row>
    <row r="240" spans="1:30">
      <c r="A240" s="228">
        <v>4</v>
      </c>
      <c r="B240" s="236" t="s">
        <v>270</v>
      </c>
      <c r="C240" s="236"/>
      <c r="D240" s="21">
        <v>745</v>
      </c>
      <c r="E240" s="22">
        <v>111</v>
      </c>
      <c r="F240" s="28">
        <v>335108</v>
      </c>
      <c r="G240" s="22">
        <v>22</v>
      </c>
      <c r="H240" s="22">
        <v>3508</v>
      </c>
      <c r="I240" s="22">
        <v>9225</v>
      </c>
      <c r="J240" s="22">
        <v>8413</v>
      </c>
      <c r="K240" s="22">
        <v>101</v>
      </c>
      <c r="L240" s="22">
        <v>2</v>
      </c>
      <c r="M240" s="22">
        <v>5978</v>
      </c>
      <c r="N240" s="22">
        <v>33</v>
      </c>
      <c r="O240" s="22">
        <v>42322</v>
      </c>
      <c r="P240" s="22">
        <v>444</v>
      </c>
      <c r="Q240" s="13">
        <v>10</v>
      </c>
      <c r="R240" s="199">
        <v>10720</v>
      </c>
      <c r="S240" s="167">
        <v>83</v>
      </c>
      <c r="T240" s="167">
        <v>5</v>
      </c>
      <c r="U240" s="167"/>
      <c r="V240" s="167"/>
      <c r="W240" s="167"/>
      <c r="X240" s="167"/>
      <c r="Y240" s="167"/>
      <c r="Z240" s="167"/>
      <c r="AA240" s="167"/>
      <c r="AB240" s="167"/>
      <c r="AC240" s="167"/>
      <c r="AD240" s="293"/>
    </row>
    <row r="241" spans="1:30">
      <c r="A241" s="228">
        <v>5</v>
      </c>
      <c r="B241" s="236" t="s">
        <v>271</v>
      </c>
      <c r="C241" s="236"/>
      <c r="D241" s="21">
        <v>2480</v>
      </c>
      <c r="E241" s="22">
        <v>885</v>
      </c>
      <c r="F241" s="28">
        <v>432451</v>
      </c>
      <c r="G241" s="22">
        <v>133</v>
      </c>
      <c r="H241" s="22">
        <v>24164</v>
      </c>
      <c r="I241" s="22">
        <v>2994</v>
      </c>
      <c r="J241" s="22">
        <v>176</v>
      </c>
      <c r="K241" s="22"/>
      <c r="L241" s="22">
        <v>6</v>
      </c>
      <c r="M241" s="22">
        <v>1224</v>
      </c>
      <c r="N241" s="22">
        <v>18</v>
      </c>
      <c r="O241" s="22">
        <v>47490</v>
      </c>
      <c r="P241" s="22">
        <v>25</v>
      </c>
      <c r="Q241" s="13">
        <v>100</v>
      </c>
      <c r="R241" s="199">
        <v>1817</v>
      </c>
      <c r="S241" s="167">
        <v>198</v>
      </c>
      <c r="T241" s="167"/>
      <c r="U241" s="167"/>
      <c r="V241" s="167"/>
      <c r="W241" s="167"/>
      <c r="X241" s="167"/>
      <c r="Y241" s="167"/>
      <c r="Z241" s="167">
        <v>50</v>
      </c>
      <c r="AA241" s="167"/>
      <c r="AB241" s="167"/>
      <c r="AC241" s="167"/>
      <c r="AD241" s="293"/>
    </row>
    <row r="242" spans="1:30">
      <c r="A242" s="228">
        <v>6</v>
      </c>
      <c r="B242" s="236" t="s">
        <v>272</v>
      </c>
      <c r="C242" s="236"/>
      <c r="D242" s="21">
        <v>2125</v>
      </c>
      <c r="E242" s="22">
        <v>351</v>
      </c>
      <c r="F242" s="28">
        <v>664118</v>
      </c>
      <c r="G242" s="22">
        <v>50</v>
      </c>
      <c r="H242" s="22">
        <v>67120</v>
      </c>
      <c r="I242" s="22">
        <v>2572</v>
      </c>
      <c r="J242" s="22">
        <v>404</v>
      </c>
      <c r="K242" s="22"/>
      <c r="L242" s="22">
        <v>607</v>
      </c>
      <c r="M242" s="22">
        <v>8660</v>
      </c>
      <c r="N242" s="22">
        <v>9</v>
      </c>
      <c r="O242" s="22">
        <v>60566</v>
      </c>
      <c r="P242" s="22">
        <v>287</v>
      </c>
      <c r="Q242" s="13">
        <v>221</v>
      </c>
      <c r="R242" s="199">
        <v>1125</v>
      </c>
      <c r="S242" s="167">
        <v>277</v>
      </c>
      <c r="T242" s="26"/>
      <c r="U242" s="167"/>
      <c r="V242" s="167">
        <v>10</v>
      </c>
      <c r="W242" s="167"/>
      <c r="X242" s="167"/>
      <c r="Y242" s="167"/>
      <c r="Z242" s="167"/>
      <c r="AA242" s="167"/>
      <c r="AB242" s="167"/>
      <c r="AC242" s="167"/>
      <c r="AD242" s="293"/>
    </row>
    <row r="243" spans="1:30">
      <c r="A243" s="228">
        <v>7</v>
      </c>
      <c r="B243" s="236" t="s">
        <v>273</v>
      </c>
      <c r="C243" s="236"/>
      <c r="D243" s="21">
        <v>48170</v>
      </c>
      <c r="E243" s="22">
        <v>190523</v>
      </c>
      <c r="F243" s="28">
        <v>8225100</v>
      </c>
      <c r="G243" s="22">
        <v>289</v>
      </c>
      <c r="H243" s="22">
        <v>4138</v>
      </c>
      <c r="I243" s="22">
        <v>56234</v>
      </c>
      <c r="J243" s="22">
        <v>7521</v>
      </c>
      <c r="K243" s="22">
        <v>2621</v>
      </c>
      <c r="L243" s="22">
        <v>250</v>
      </c>
      <c r="M243" s="22">
        <v>12017</v>
      </c>
      <c r="N243" s="22"/>
      <c r="O243" s="22">
        <v>39906</v>
      </c>
      <c r="P243" s="22">
        <v>23</v>
      </c>
      <c r="Q243" s="13">
        <v>3146</v>
      </c>
      <c r="R243" s="199">
        <v>5928</v>
      </c>
      <c r="S243" s="167">
        <v>10</v>
      </c>
      <c r="T243" s="167">
        <v>6</v>
      </c>
      <c r="U243" s="167"/>
      <c r="V243" s="167"/>
      <c r="W243" s="167"/>
      <c r="X243" s="167"/>
      <c r="Y243" s="167">
        <v>8</v>
      </c>
      <c r="Z243" s="167"/>
      <c r="AA243" s="167"/>
      <c r="AB243" s="167"/>
      <c r="AC243" s="167"/>
      <c r="AD243" s="293"/>
    </row>
    <row r="244" spans="1:30">
      <c r="A244" s="228">
        <v>8</v>
      </c>
      <c r="B244" s="236" t="s">
        <v>274</v>
      </c>
      <c r="C244" s="236"/>
      <c r="D244" s="21">
        <v>2289</v>
      </c>
      <c r="E244" s="22">
        <v>4725</v>
      </c>
      <c r="F244" s="28">
        <v>3187101</v>
      </c>
      <c r="G244" s="22">
        <v>90</v>
      </c>
      <c r="H244" s="22">
        <v>3400</v>
      </c>
      <c r="I244" s="22">
        <v>202847</v>
      </c>
      <c r="J244" s="22">
        <v>6430</v>
      </c>
      <c r="K244" s="22">
        <v>138</v>
      </c>
      <c r="L244" s="22">
        <v>430</v>
      </c>
      <c r="M244" s="22">
        <v>5412</v>
      </c>
      <c r="N244" s="22">
        <v>92</v>
      </c>
      <c r="O244" s="22">
        <v>121815</v>
      </c>
      <c r="P244" s="22">
        <v>198</v>
      </c>
      <c r="Q244" s="13">
        <v>128</v>
      </c>
      <c r="R244" s="199">
        <v>2598</v>
      </c>
      <c r="S244" s="167">
        <v>1</v>
      </c>
      <c r="T244" s="167">
        <v>8</v>
      </c>
      <c r="U244" s="167"/>
      <c r="V244" s="167"/>
      <c r="W244" s="167"/>
      <c r="X244" s="167"/>
      <c r="Y244" s="167">
        <v>2499</v>
      </c>
      <c r="Z244" s="167"/>
      <c r="AA244" s="167"/>
      <c r="AB244" s="167"/>
      <c r="AC244" s="167"/>
      <c r="AD244" s="293"/>
    </row>
    <row r="245" spans="1:30">
      <c r="A245" s="228">
        <v>9</v>
      </c>
      <c r="B245" s="236" t="s">
        <v>275</v>
      </c>
      <c r="C245" s="236"/>
      <c r="D245" s="21">
        <v>14446</v>
      </c>
      <c r="E245" s="22">
        <v>229300</v>
      </c>
      <c r="F245" s="28">
        <v>14231784</v>
      </c>
      <c r="G245" s="22">
        <v>1819</v>
      </c>
      <c r="H245" s="22">
        <v>37603</v>
      </c>
      <c r="I245" s="22">
        <v>147779</v>
      </c>
      <c r="J245" s="22">
        <v>16364</v>
      </c>
      <c r="K245" s="22">
        <v>349</v>
      </c>
      <c r="L245" s="22">
        <v>2615</v>
      </c>
      <c r="M245" s="22">
        <v>22287</v>
      </c>
      <c r="N245" s="22">
        <v>74</v>
      </c>
      <c r="O245" s="22">
        <v>171855</v>
      </c>
      <c r="P245" s="22">
        <v>792</v>
      </c>
      <c r="Q245" s="13">
        <v>1213</v>
      </c>
      <c r="R245" s="199">
        <v>8790</v>
      </c>
      <c r="S245" s="167">
        <v>7</v>
      </c>
      <c r="T245" s="167">
        <v>283</v>
      </c>
      <c r="U245" s="167">
        <v>200</v>
      </c>
      <c r="V245" s="167">
        <v>33</v>
      </c>
      <c r="W245" s="167"/>
      <c r="X245" s="167"/>
      <c r="Y245" s="167"/>
      <c r="Z245" s="167">
        <v>960</v>
      </c>
      <c r="AA245" s="167">
        <v>50</v>
      </c>
      <c r="AB245" s="167"/>
      <c r="AC245" s="167"/>
      <c r="AD245" s="293"/>
    </row>
    <row r="246" spans="1:30">
      <c r="A246" s="228">
        <v>10</v>
      </c>
      <c r="B246" s="236" t="s">
        <v>276</v>
      </c>
      <c r="C246" s="236"/>
      <c r="D246" s="21">
        <v>3257</v>
      </c>
      <c r="E246" s="22">
        <v>19178</v>
      </c>
      <c r="F246" s="28">
        <v>1682385</v>
      </c>
      <c r="G246" s="22">
        <v>1975</v>
      </c>
      <c r="H246" s="22">
        <v>18930</v>
      </c>
      <c r="I246" s="22">
        <v>180919</v>
      </c>
      <c r="J246" s="22">
        <v>9287</v>
      </c>
      <c r="K246" s="22">
        <v>2069</v>
      </c>
      <c r="L246" s="22">
        <v>210</v>
      </c>
      <c r="M246" s="22">
        <v>4783</v>
      </c>
      <c r="N246" s="22">
        <v>26</v>
      </c>
      <c r="O246" s="22">
        <v>196786</v>
      </c>
      <c r="P246" s="22">
        <v>274</v>
      </c>
      <c r="Q246" s="13">
        <v>1765</v>
      </c>
      <c r="R246" s="199">
        <v>6569</v>
      </c>
      <c r="S246" s="167">
        <v>77</v>
      </c>
      <c r="T246" s="167">
        <v>200</v>
      </c>
      <c r="U246" s="167"/>
      <c r="V246" s="167">
        <v>5</v>
      </c>
      <c r="W246" s="167"/>
      <c r="X246" s="167"/>
      <c r="Y246" s="167">
        <v>943</v>
      </c>
      <c r="Z246" s="167"/>
      <c r="AA246" s="167">
        <v>80</v>
      </c>
      <c r="AB246" s="167"/>
      <c r="AC246" s="167"/>
      <c r="AD246" s="293"/>
    </row>
    <row r="247" spans="1:30">
      <c r="A247" s="228">
        <v>11</v>
      </c>
      <c r="B247" s="236" t="s">
        <v>277</v>
      </c>
      <c r="C247" s="236"/>
      <c r="D247" s="21">
        <v>671</v>
      </c>
      <c r="E247" s="22">
        <v>245</v>
      </c>
      <c r="F247" s="28">
        <v>184230</v>
      </c>
      <c r="G247" s="22">
        <v>84</v>
      </c>
      <c r="H247" s="22">
        <v>12688</v>
      </c>
      <c r="I247" s="22">
        <v>52081</v>
      </c>
      <c r="J247" s="22">
        <v>14286</v>
      </c>
      <c r="K247" s="22">
        <v>428</v>
      </c>
      <c r="L247" s="22">
        <v>113</v>
      </c>
      <c r="M247" s="22">
        <v>2037</v>
      </c>
      <c r="N247" s="22">
        <v>45</v>
      </c>
      <c r="O247" s="22">
        <v>80292</v>
      </c>
      <c r="P247" s="22">
        <v>71</v>
      </c>
      <c r="Q247" s="13">
        <v>22</v>
      </c>
      <c r="R247" s="199">
        <v>13139</v>
      </c>
      <c r="S247" s="167">
        <v>8</v>
      </c>
      <c r="T247" s="167">
        <v>1</v>
      </c>
      <c r="U247" s="167"/>
      <c r="V247" s="167">
        <v>14</v>
      </c>
      <c r="W247" s="167"/>
      <c r="X247" s="167"/>
      <c r="Y247" s="167">
        <v>2</v>
      </c>
      <c r="Z247" s="167"/>
      <c r="AA247" s="167"/>
      <c r="AB247" s="167"/>
      <c r="AC247" s="167"/>
      <c r="AD247" s="293"/>
    </row>
    <row r="248" spans="1:30">
      <c r="A248" s="228">
        <v>12</v>
      </c>
      <c r="B248" s="236" t="s">
        <v>278</v>
      </c>
      <c r="C248" s="236"/>
      <c r="D248" s="21">
        <v>146</v>
      </c>
      <c r="E248" s="22">
        <v>8</v>
      </c>
      <c r="F248" s="28">
        <v>49050</v>
      </c>
      <c r="G248" s="22">
        <v>1</v>
      </c>
      <c r="H248" s="22">
        <v>76200</v>
      </c>
      <c r="I248" s="22">
        <v>285</v>
      </c>
      <c r="J248" s="22">
        <v>1</v>
      </c>
      <c r="K248" s="22"/>
      <c r="L248" s="22">
        <v>1</v>
      </c>
      <c r="M248" s="22">
        <v>717</v>
      </c>
      <c r="N248" s="22">
        <v>25</v>
      </c>
      <c r="O248" s="22">
        <v>6993</v>
      </c>
      <c r="P248" s="22">
        <v>69</v>
      </c>
      <c r="Q248" s="13">
        <v>11</v>
      </c>
      <c r="R248" s="199"/>
      <c r="S248" s="167">
        <v>150</v>
      </c>
      <c r="T248" s="26"/>
      <c r="U248" s="167"/>
      <c r="V248" s="167"/>
      <c r="W248" s="167"/>
      <c r="X248" s="167"/>
      <c r="Y248" s="167"/>
      <c r="Z248" s="167"/>
      <c r="AA248" s="167"/>
      <c r="AB248" s="167"/>
      <c r="AC248" s="167"/>
      <c r="AD248" s="293"/>
    </row>
    <row r="249" spans="1:30">
      <c r="A249" s="228">
        <v>13</v>
      </c>
      <c r="B249" s="236" t="s">
        <v>279</v>
      </c>
      <c r="C249" s="236"/>
      <c r="D249" s="21">
        <v>2670</v>
      </c>
      <c r="E249" s="22">
        <v>3517</v>
      </c>
      <c r="F249" s="28">
        <v>1767508</v>
      </c>
      <c r="G249" s="22">
        <v>1059</v>
      </c>
      <c r="H249" s="22">
        <v>40766</v>
      </c>
      <c r="I249" s="22">
        <v>214343</v>
      </c>
      <c r="J249" s="22">
        <v>14691</v>
      </c>
      <c r="K249" s="22">
        <v>60</v>
      </c>
      <c r="L249" s="22">
        <v>662</v>
      </c>
      <c r="M249" s="22">
        <v>6512</v>
      </c>
      <c r="N249" s="22">
        <v>367</v>
      </c>
      <c r="O249" s="22">
        <v>311688</v>
      </c>
      <c r="P249" s="22">
        <v>168</v>
      </c>
      <c r="Q249" s="13">
        <v>884</v>
      </c>
      <c r="R249" s="199">
        <v>38346</v>
      </c>
      <c r="S249" s="167">
        <v>1067</v>
      </c>
      <c r="T249" s="167">
        <v>80</v>
      </c>
      <c r="U249" s="167">
        <v>21</v>
      </c>
      <c r="V249" s="167">
        <v>17</v>
      </c>
      <c r="W249" s="167"/>
      <c r="X249" s="167"/>
      <c r="Y249" s="167">
        <v>325</v>
      </c>
      <c r="Z249" s="167"/>
      <c r="AA249" s="167"/>
      <c r="AB249" s="167"/>
      <c r="AC249" s="167"/>
      <c r="AD249" s="293"/>
    </row>
    <row r="250" spans="1:30">
      <c r="A250" s="228">
        <v>14</v>
      </c>
      <c r="B250" s="236" t="s">
        <v>280</v>
      </c>
      <c r="C250" s="236"/>
      <c r="D250" s="21">
        <v>14888</v>
      </c>
      <c r="E250" s="22">
        <v>5039</v>
      </c>
      <c r="F250" s="28">
        <v>4441180</v>
      </c>
      <c r="G250" s="22">
        <v>338</v>
      </c>
      <c r="H250" s="22">
        <v>13590</v>
      </c>
      <c r="I250" s="22">
        <v>157495</v>
      </c>
      <c r="J250" s="22">
        <v>3278</v>
      </c>
      <c r="K250" s="22">
        <v>3130</v>
      </c>
      <c r="L250" s="22">
        <v>424</v>
      </c>
      <c r="M250" s="22">
        <v>12246</v>
      </c>
      <c r="N250" s="22">
        <v>323</v>
      </c>
      <c r="O250" s="22">
        <v>162985</v>
      </c>
      <c r="P250" s="22">
        <v>477</v>
      </c>
      <c r="Q250" s="13">
        <v>1109</v>
      </c>
      <c r="R250" s="199">
        <v>65972</v>
      </c>
      <c r="S250" s="167">
        <v>59</v>
      </c>
      <c r="T250" s="167">
        <v>51</v>
      </c>
      <c r="U250" s="167"/>
      <c r="V250" s="167">
        <v>20</v>
      </c>
      <c r="W250" s="167"/>
      <c r="X250" s="167"/>
      <c r="Y250" s="167">
        <v>300</v>
      </c>
      <c r="Z250" s="167"/>
      <c r="AA250" s="167"/>
      <c r="AB250" s="167"/>
      <c r="AC250" s="167"/>
      <c r="AD250" s="293"/>
    </row>
    <row r="251" spans="1:30">
      <c r="A251" s="228">
        <v>15</v>
      </c>
      <c r="B251" s="236" t="s">
        <v>281</v>
      </c>
      <c r="C251" s="236"/>
      <c r="D251" s="21">
        <v>5631</v>
      </c>
      <c r="E251" s="22">
        <v>15272</v>
      </c>
      <c r="F251" s="28">
        <v>5760010</v>
      </c>
      <c r="G251" s="22">
        <v>469</v>
      </c>
      <c r="H251" s="22">
        <v>6483</v>
      </c>
      <c r="I251" s="22">
        <v>52951</v>
      </c>
      <c r="J251" s="22">
        <v>3480</v>
      </c>
      <c r="K251" s="22">
        <v>613</v>
      </c>
      <c r="L251" s="22">
        <v>233</v>
      </c>
      <c r="M251" s="22">
        <v>11585</v>
      </c>
      <c r="N251" s="22">
        <v>160</v>
      </c>
      <c r="O251" s="22">
        <v>63455</v>
      </c>
      <c r="P251" s="22">
        <v>41</v>
      </c>
      <c r="Q251" s="13">
        <v>623</v>
      </c>
      <c r="R251" s="199">
        <v>2775</v>
      </c>
      <c r="S251" s="167">
        <v>22</v>
      </c>
      <c r="T251" s="167">
        <v>1</v>
      </c>
      <c r="U251" s="167"/>
      <c r="V251" s="167"/>
      <c r="W251" s="167"/>
      <c r="X251" s="167"/>
      <c r="Y251" s="167">
        <v>117</v>
      </c>
      <c r="Z251" s="167"/>
      <c r="AA251" s="167"/>
      <c r="AB251" s="167"/>
      <c r="AC251" s="167"/>
      <c r="AD251" s="293"/>
    </row>
    <row r="252" spans="1:30">
      <c r="A252" s="228">
        <v>16</v>
      </c>
      <c r="B252" s="236" t="s">
        <v>282</v>
      </c>
      <c r="C252" s="236"/>
      <c r="D252" s="21">
        <v>4909</v>
      </c>
      <c r="E252" s="22">
        <v>469</v>
      </c>
      <c r="F252" s="28">
        <v>529660</v>
      </c>
      <c r="G252" s="22">
        <v>1406</v>
      </c>
      <c r="H252" s="22">
        <v>12516</v>
      </c>
      <c r="I252" s="22">
        <v>1298</v>
      </c>
      <c r="J252" s="22"/>
      <c r="K252" s="22">
        <v>52</v>
      </c>
      <c r="L252" s="22">
        <v>3</v>
      </c>
      <c r="M252" s="22">
        <v>1467</v>
      </c>
      <c r="N252" s="22">
        <v>114</v>
      </c>
      <c r="O252" s="22">
        <v>34036</v>
      </c>
      <c r="P252" s="22">
        <v>51</v>
      </c>
      <c r="Q252" s="13">
        <v>9</v>
      </c>
      <c r="R252" s="199">
        <v>596</v>
      </c>
      <c r="S252" s="167">
        <v>1209</v>
      </c>
      <c r="T252" s="167">
        <v>2</v>
      </c>
      <c r="U252" s="167"/>
      <c r="V252" s="167"/>
      <c r="W252" s="167"/>
      <c r="X252" s="167"/>
      <c r="Y252" s="167"/>
      <c r="Z252" s="167"/>
      <c r="AA252" s="167"/>
      <c r="AB252" s="167"/>
      <c r="AC252" s="167"/>
      <c r="AD252" s="293"/>
    </row>
    <row r="253" spans="1:30">
      <c r="A253" s="228">
        <v>17</v>
      </c>
      <c r="B253" s="236" t="s">
        <v>283</v>
      </c>
      <c r="C253" s="236"/>
      <c r="D253" s="21">
        <v>10060</v>
      </c>
      <c r="E253" s="22">
        <v>19430</v>
      </c>
      <c r="F253" s="28">
        <v>1754756</v>
      </c>
      <c r="G253" s="22">
        <v>499</v>
      </c>
      <c r="H253" s="22">
        <v>159031</v>
      </c>
      <c r="I253" s="22">
        <v>25551</v>
      </c>
      <c r="J253" s="22">
        <v>2723</v>
      </c>
      <c r="K253" s="22">
        <v>1164</v>
      </c>
      <c r="L253" s="22">
        <v>55</v>
      </c>
      <c r="M253" s="22">
        <v>1217</v>
      </c>
      <c r="N253" s="22"/>
      <c r="O253" s="22">
        <v>94501</v>
      </c>
      <c r="P253" s="22">
        <v>23</v>
      </c>
      <c r="Q253" s="13">
        <v>684</v>
      </c>
      <c r="R253" s="199">
        <v>5740</v>
      </c>
      <c r="S253" s="167">
        <v>246</v>
      </c>
      <c r="T253" s="26"/>
      <c r="U253" s="167"/>
      <c r="V253" s="167"/>
      <c r="W253" s="167"/>
      <c r="X253" s="167"/>
      <c r="Y253" s="167"/>
      <c r="Z253" s="167"/>
      <c r="AA253" s="167"/>
      <c r="AB253" s="167"/>
      <c r="AC253" s="167"/>
      <c r="AD253" s="293"/>
    </row>
    <row r="254" spans="1:30">
      <c r="A254" s="228">
        <v>18</v>
      </c>
      <c r="B254" s="236" t="s">
        <v>284</v>
      </c>
      <c r="C254" s="236"/>
      <c r="D254" s="21">
        <v>24166</v>
      </c>
      <c r="E254" s="22">
        <v>16531</v>
      </c>
      <c r="F254" s="28">
        <v>8755258</v>
      </c>
      <c r="G254" s="22">
        <v>483</v>
      </c>
      <c r="H254" s="22">
        <v>6786</v>
      </c>
      <c r="I254" s="22">
        <v>79610</v>
      </c>
      <c r="J254" s="22">
        <v>8497</v>
      </c>
      <c r="K254" s="22">
        <v>1961</v>
      </c>
      <c r="L254" s="22">
        <v>245</v>
      </c>
      <c r="M254" s="22">
        <v>2203</v>
      </c>
      <c r="N254" s="22">
        <v>7</v>
      </c>
      <c r="O254" s="22">
        <v>90333</v>
      </c>
      <c r="P254" s="22">
        <v>252</v>
      </c>
      <c r="Q254" s="13">
        <v>170</v>
      </c>
      <c r="R254" s="199">
        <v>5988</v>
      </c>
      <c r="S254" s="167">
        <v>267</v>
      </c>
      <c r="T254" s="167">
        <v>32</v>
      </c>
      <c r="U254" s="167"/>
      <c r="V254" s="167"/>
      <c r="W254" s="167"/>
      <c r="X254" s="167"/>
      <c r="Y254" s="167">
        <v>142</v>
      </c>
      <c r="Z254" s="167"/>
      <c r="AA254" s="167"/>
      <c r="AB254" s="167"/>
      <c r="AC254" s="167"/>
      <c r="AD254" s="293"/>
    </row>
    <row r="255" spans="1:30">
      <c r="A255" s="228">
        <v>19</v>
      </c>
      <c r="B255" s="236" t="s">
        <v>285</v>
      </c>
      <c r="C255" s="236"/>
      <c r="D255" s="21">
        <v>3885</v>
      </c>
      <c r="E255" s="22">
        <v>1249</v>
      </c>
      <c r="F255" s="28">
        <v>434373</v>
      </c>
      <c r="G255" s="22">
        <v>613</v>
      </c>
      <c r="H255" s="22">
        <v>118652</v>
      </c>
      <c r="I255" s="22">
        <v>6426</v>
      </c>
      <c r="J255" s="22">
        <v>255</v>
      </c>
      <c r="K255" s="22">
        <v>5832</v>
      </c>
      <c r="L255" s="22">
        <v>15</v>
      </c>
      <c r="M255" s="22">
        <v>938</v>
      </c>
      <c r="N255" s="22">
        <v>35</v>
      </c>
      <c r="O255" s="22">
        <v>72229</v>
      </c>
      <c r="P255" s="22">
        <v>86</v>
      </c>
      <c r="Q255" s="13">
        <v>49</v>
      </c>
      <c r="R255" s="199">
        <v>5040</v>
      </c>
      <c r="S255" s="167">
        <v>519</v>
      </c>
      <c r="T255" s="26"/>
      <c r="U255" s="167"/>
      <c r="V255" s="167"/>
      <c r="W255" s="167"/>
      <c r="X255" s="167"/>
      <c r="Y255" s="167"/>
      <c r="Z255" s="167"/>
      <c r="AA255" s="167"/>
      <c r="AB255" s="167"/>
      <c r="AC255" s="167"/>
      <c r="AD255" s="293"/>
    </row>
    <row r="256" spans="1:30">
      <c r="A256" s="228">
        <v>20</v>
      </c>
      <c r="B256" s="236" t="s">
        <v>286</v>
      </c>
      <c r="C256" s="236"/>
      <c r="D256" s="21">
        <v>23258</v>
      </c>
      <c r="E256" s="22">
        <v>6895</v>
      </c>
      <c r="F256" s="28">
        <v>2095819</v>
      </c>
      <c r="G256" s="22">
        <v>2303</v>
      </c>
      <c r="H256" s="22">
        <v>44450</v>
      </c>
      <c r="I256" s="22">
        <v>45689</v>
      </c>
      <c r="J256" s="22">
        <v>14948</v>
      </c>
      <c r="K256" s="22">
        <v>1204</v>
      </c>
      <c r="L256" s="22">
        <v>822</v>
      </c>
      <c r="M256" s="22">
        <v>37287</v>
      </c>
      <c r="N256" s="22">
        <v>18</v>
      </c>
      <c r="O256" s="22">
        <v>195150</v>
      </c>
      <c r="P256" s="22">
        <v>147</v>
      </c>
      <c r="Q256" s="13">
        <v>1836</v>
      </c>
      <c r="R256" s="199">
        <v>14162</v>
      </c>
      <c r="S256" s="167">
        <v>92</v>
      </c>
      <c r="T256" s="167">
        <v>114</v>
      </c>
      <c r="U256" s="167"/>
      <c r="V256" s="167"/>
      <c r="W256" s="167"/>
      <c r="X256" s="167"/>
      <c r="Y256" s="167">
        <v>7</v>
      </c>
      <c r="Z256" s="167"/>
      <c r="AA256" s="167"/>
      <c r="AB256" s="167"/>
      <c r="AC256" s="167"/>
      <c r="AD256" s="293"/>
    </row>
    <row r="257" spans="1:30">
      <c r="A257" s="228">
        <v>21</v>
      </c>
      <c r="B257" s="236" t="s">
        <v>287</v>
      </c>
      <c r="C257" s="236"/>
      <c r="D257" s="21">
        <v>4614</v>
      </c>
      <c r="E257" s="22">
        <v>31947</v>
      </c>
      <c r="F257" s="28">
        <v>7346321</v>
      </c>
      <c r="G257" s="22">
        <v>1191</v>
      </c>
      <c r="H257" s="22">
        <v>45510</v>
      </c>
      <c r="I257" s="22">
        <v>94512</v>
      </c>
      <c r="J257" s="22">
        <v>11299</v>
      </c>
      <c r="K257" s="22">
        <v>164</v>
      </c>
      <c r="L257" s="22">
        <v>865</v>
      </c>
      <c r="M257" s="22">
        <v>18287</v>
      </c>
      <c r="N257" s="22">
        <v>194</v>
      </c>
      <c r="O257" s="22">
        <v>130700</v>
      </c>
      <c r="P257" s="22">
        <v>540</v>
      </c>
      <c r="Q257" s="13">
        <v>786</v>
      </c>
      <c r="R257" s="199">
        <v>5068</v>
      </c>
      <c r="S257" s="167">
        <v>3</v>
      </c>
      <c r="T257" s="167">
        <v>176</v>
      </c>
      <c r="U257" s="167"/>
      <c r="V257" s="167">
        <v>39</v>
      </c>
      <c r="W257" s="167"/>
      <c r="X257" s="167"/>
      <c r="Y257" s="167">
        <v>488</v>
      </c>
      <c r="Z257" s="167">
        <v>300</v>
      </c>
      <c r="AA257" s="167"/>
      <c r="AB257" s="167"/>
      <c r="AC257" s="167"/>
      <c r="AD257" s="293"/>
    </row>
    <row r="258" spans="1:30">
      <c r="A258" s="228">
        <v>22</v>
      </c>
      <c r="B258" s="236" t="s">
        <v>288</v>
      </c>
      <c r="C258" s="236"/>
      <c r="D258" s="21">
        <v>1570</v>
      </c>
      <c r="E258" s="22">
        <v>388</v>
      </c>
      <c r="F258" s="28">
        <v>1618671</v>
      </c>
      <c r="G258" s="22">
        <v>55</v>
      </c>
      <c r="H258" s="22">
        <v>20649</v>
      </c>
      <c r="I258" s="22">
        <v>160982</v>
      </c>
      <c r="J258" s="22">
        <v>13174</v>
      </c>
      <c r="K258" s="22">
        <v>28</v>
      </c>
      <c r="L258" s="22">
        <v>48</v>
      </c>
      <c r="M258" s="22">
        <v>3481</v>
      </c>
      <c r="N258" s="22">
        <v>503</v>
      </c>
      <c r="O258" s="22">
        <v>237766</v>
      </c>
      <c r="P258" s="22">
        <v>230</v>
      </c>
      <c r="Q258" s="13">
        <v>360</v>
      </c>
      <c r="R258" s="199">
        <v>577150</v>
      </c>
      <c r="S258" s="167">
        <v>773</v>
      </c>
      <c r="T258" s="167">
        <v>89</v>
      </c>
      <c r="U258" s="167">
        <v>1</v>
      </c>
      <c r="V258" s="167"/>
      <c r="W258" s="167"/>
      <c r="X258" s="167"/>
      <c r="Y258" s="167">
        <v>176</v>
      </c>
      <c r="Z258" s="167"/>
      <c r="AA258" s="167"/>
      <c r="AB258" s="167"/>
      <c r="AC258" s="167"/>
      <c r="AD258" s="293"/>
    </row>
    <row r="259" spans="1:30">
      <c r="A259" s="228">
        <v>23</v>
      </c>
      <c r="B259" s="236" t="s">
        <v>289</v>
      </c>
      <c r="C259" s="236"/>
      <c r="D259" s="21">
        <v>3459</v>
      </c>
      <c r="E259" s="22">
        <v>508</v>
      </c>
      <c r="F259" s="28">
        <v>487300</v>
      </c>
      <c r="G259" s="22">
        <v>811</v>
      </c>
      <c r="H259" s="22">
        <v>53352</v>
      </c>
      <c r="I259" s="22">
        <v>12169</v>
      </c>
      <c r="J259" s="22">
        <v>2500</v>
      </c>
      <c r="K259" s="22">
        <v>156</v>
      </c>
      <c r="L259" s="22">
        <v>223</v>
      </c>
      <c r="M259" s="22">
        <v>1295</v>
      </c>
      <c r="N259" s="22">
        <v>5</v>
      </c>
      <c r="O259" s="22">
        <v>100322</v>
      </c>
      <c r="P259" s="22">
        <v>42</v>
      </c>
      <c r="Q259" s="13">
        <v>218</v>
      </c>
      <c r="R259" s="199">
        <v>4540</v>
      </c>
      <c r="S259" s="167">
        <v>230</v>
      </c>
      <c r="T259" s="167">
        <v>2</v>
      </c>
      <c r="U259" s="167"/>
      <c r="V259" s="167"/>
      <c r="W259" s="167"/>
      <c r="X259" s="167"/>
      <c r="Y259" s="167"/>
      <c r="Z259" s="167"/>
      <c r="AA259" s="167"/>
      <c r="AB259" s="167"/>
      <c r="AC259" s="167"/>
      <c r="AD259" s="293"/>
    </row>
    <row r="260" spans="1:30">
      <c r="A260" s="228">
        <v>24</v>
      </c>
      <c r="B260" s="236" t="s">
        <v>290</v>
      </c>
      <c r="C260" s="236"/>
      <c r="D260" s="21">
        <v>7094</v>
      </c>
      <c r="E260" s="22">
        <v>10131</v>
      </c>
      <c r="F260" s="28">
        <v>2632435</v>
      </c>
      <c r="G260" s="22">
        <v>1971</v>
      </c>
      <c r="H260" s="22">
        <v>37296</v>
      </c>
      <c r="I260" s="22">
        <v>125900</v>
      </c>
      <c r="J260" s="22">
        <v>17433</v>
      </c>
      <c r="K260" s="22">
        <v>9591</v>
      </c>
      <c r="L260" s="22">
        <v>386</v>
      </c>
      <c r="M260" s="22">
        <v>5240</v>
      </c>
      <c r="N260" s="22">
        <v>82</v>
      </c>
      <c r="O260" s="22">
        <v>210198</v>
      </c>
      <c r="P260" s="22">
        <v>1241</v>
      </c>
      <c r="Q260" s="13">
        <v>69</v>
      </c>
      <c r="R260" s="199">
        <v>12290</v>
      </c>
      <c r="S260" s="167">
        <v>564</v>
      </c>
      <c r="T260" s="167">
        <v>15</v>
      </c>
      <c r="U260" s="167"/>
      <c r="V260" s="167"/>
      <c r="W260" s="167"/>
      <c r="X260" s="167"/>
      <c r="Y260" s="167">
        <v>70</v>
      </c>
      <c r="Z260" s="167"/>
      <c r="AA260" s="167"/>
      <c r="AB260" s="167"/>
      <c r="AC260" s="167"/>
      <c r="AD260" s="293"/>
    </row>
    <row r="261" spans="1:30" s="31" customFormat="1">
      <c r="A261" s="215"/>
      <c r="B261" s="203"/>
      <c r="C261" s="203"/>
      <c r="D261" s="54"/>
      <c r="E261" s="24"/>
      <c r="F261" s="206"/>
      <c r="G261" s="24"/>
      <c r="H261" s="24"/>
      <c r="I261" s="24"/>
      <c r="J261" s="24"/>
      <c r="K261" s="24"/>
      <c r="L261" s="24"/>
      <c r="M261" s="24"/>
      <c r="N261" s="24"/>
      <c r="O261" s="24"/>
      <c r="P261" s="24"/>
      <c r="Q261" s="24"/>
      <c r="R261" s="206"/>
      <c r="S261" s="206"/>
      <c r="T261" s="206"/>
      <c r="U261" s="206"/>
      <c r="V261" s="206"/>
      <c r="W261" s="206"/>
      <c r="X261" s="206"/>
      <c r="Y261" s="206"/>
      <c r="Z261" s="206"/>
      <c r="AA261" s="206"/>
      <c r="AB261" s="206"/>
      <c r="AC261" s="206"/>
      <c r="AD261" s="298"/>
    </row>
    <row r="262" spans="1:30" ht="15">
      <c r="A262" s="216" t="s">
        <v>295</v>
      </c>
      <c r="B262" s="239"/>
      <c r="C262" s="239"/>
      <c r="D262" s="32">
        <f>SUM(D237:D260)</f>
        <v>232591</v>
      </c>
      <c r="E262" s="22">
        <f t="shared" ref="E262:AD262" si="11">SUM(E237:E260)</f>
        <v>633289</v>
      </c>
      <c r="F262" s="32">
        <f t="shared" si="11"/>
        <v>93603531</v>
      </c>
      <c r="G262" s="22">
        <f t="shared" si="11"/>
        <v>18939</v>
      </c>
      <c r="H262" s="32">
        <f t="shared" si="11"/>
        <v>1122934</v>
      </c>
      <c r="I262" s="22">
        <f t="shared" si="11"/>
        <v>1788294</v>
      </c>
      <c r="J262" s="22">
        <f t="shared" si="11"/>
        <v>191414</v>
      </c>
      <c r="K262" s="22">
        <f t="shared" si="11"/>
        <v>31318</v>
      </c>
      <c r="L262" s="22">
        <f t="shared" si="11"/>
        <v>9582</v>
      </c>
      <c r="M262" s="22">
        <f t="shared" si="11"/>
        <v>199791</v>
      </c>
      <c r="N262" s="22">
        <f t="shared" si="11"/>
        <v>2624</v>
      </c>
      <c r="O262" s="22">
        <f t="shared" si="11"/>
        <v>2892208</v>
      </c>
      <c r="P262" s="22">
        <f t="shared" si="11"/>
        <v>8187</v>
      </c>
      <c r="Q262" s="22">
        <f t="shared" si="11"/>
        <v>16074</v>
      </c>
      <c r="R262" s="28">
        <f t="shared" si="11"/>
        <v>807209</v>
      </c>
      <c r="S262" s="28">
        <f t="shared" si="11"/>
        <v>8088</v>
      </c>
      <c r="T262" s="28">
        <f>SUM(T237:T260)</f>
        <v>1318</v>
      </c>
      <c r="U262" s="28">
        <f t="shared" si="11"/>
        <v>222</v>
      </c>
      <c r="V262" s="28">
        <f t="shared" si="11"/>
        <v>160</v>
      </c>
      <c r="W262" s="28">
        <f t="shared" si="11"/>
        <v>0</v>
      </c>
      <c r="X262" s="28">
        <f t="shared" si="11"/>
        <v>0</v>
      </c>
      <c r="Y262" s="28">
        <f t="shared" si="11"/>
        <v>5078</v>
      </c>
      <c r="Z262" s="28">
        <f t="shared" si="11"/>
        <v>1310</v>
      </c>
      <c r="AA262" s="28">
        <f t="shared" si="11"/>
        <v>130</v>
      </c>
      <c r="AB262" s="28">
        <f t="shared" si="11"/>
        <v>0</v>
      </c>
      <c r="AC262" s="28">
        <f t="shared" si="11"/>
        <v>0</v>
      </c>
      <c r="AD262" s="122">
        <f t="shared" si="11"/>
        <v>0</v>
      </c>
    </row>
    <row r="263" spans="1:30" ht="15" thickBot="1">
      <c r="A263" s="217"/>
      <c r="B263" s="104"/>
      <c r="C263" s="104"/>
      <c r="D263" s="207"/>
      <c r="E263" s="186"/>
      <c r="F263" s="208"/>
      <c r="G263" s="186"/>
      <c r="H263" s="186"/>
      <c r="I263" s="186"/>
      <c r="J263" s="186"/>
      <c r="K263" s="186"/>
      <c r="L263" s="186"/>
      <c r="M263" s="186"/>
      <c r="N263" s="186"/>
      <c r="O263" s="186"/>
      <c r="P263" s="186"/>
      <c r="Q263" s="186"/>
      <c r="R263" s="213"/>
      <c r="S263" s="213"/>
      <c r="T263" s="213"/>
      <c r="U263" s="213"/>
      <c r="V263" s="213"/>
      <c r="W263" s="213"/>
      <c r="X263" s="213"/>
      <c r="Y263" s="213"/>
      <c r="Z263" s="213"/>
      <c r="AA263" s="213"/>
      <c r="AB263" s="213"/>
      <c r="AC263" s="213"/>
      <c r="AD263" s="301"/>
    </row>
    <row r="264" spans="1:30" ht="15" thickTop="1"/>
  </sheetData>
  <mergeCells count="1">
    <mergeCell ref="C5:C8"/>
  </mergeCells>
  <pageMargins left="0.75" right="0.75" top="1" bottom="1" header="0.5" footer="0.5"/>
  <pageSetup paperSize="9"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1"/>
  </sheetPr>
  <dimension ref="A2:AD270"/>
  <sheetViews>
    <sheetView topLeftCell="B252" workbookViewId="0">
      <selection activeCell="D300" sqref="D300"/>
    </sheetView>
  </sheetViews>
  <sheetFormatPr baseColWidth="10" defaultColWidth="8.83203125" defaultRowHeight="14" x14ac:dyDescent="0"/>
  <cols>
    <col min="1" max="1" width="31.5" customWidth="1"/>
    <col min="2" max="2" width="21.5" customWidth="1"/>
    <col min="3" max="3" width="10.1640625" customWidth="1"/>
    <col min="4" max="4" width="11.1640625" customWidth="1"/>
    <col min="5" max="5" width="10.33203125" customWidth="1"/>
    <col min="6" max="6" width="11" customWidth="1"/>
    <col min="7" max="7" width="10.5" customWidth="1"/>
    <col min="8" max="8" width="10.83203125" customWidth="1"/>
    <col min="9" max="9" width="10.1640625" customWidth="1"/>
    <col min="10" max="10" width="11.83203125" customWidth="1"/>
    <col min="11" max="11" width="11" customWidth="1"/>
    <col min="12" max="12" width="15" customWidth="1"/>
    <col min="13" max="13" width="12" customWidth="1"/>
    <col min="14" max="14" width="14.6640625" customWidth="1"/>
    <col min="15" max="15" width="10.5" customWidth="1"/>
    <col min="16" max="16" width="11.5" customWidth="1"/>
    <col min="17" max="17" width="12" customWidth="1"/>
    <col min="18" max="18" width="13.5" customWidth="1"/>
    <col min="20" max="20" width="20.83203125" customWidth="1"/>
    <col min="21" max="21" width="14.1640625" customWidth="1"/>
    <col min="22" max="22" width="15" customWidth="1"/>
    <col min="23" max="23" width="12.83203125" customWidth="1"/>
    <col min="28" max="28" width="12.33203125" customWidth="1"/>
    <col min="29" max="29" width="12.5" customWidth="1"/>
    <col min="30" max="30" width="13.5" customWidth="1"/>
  </cols>
  <sheetData>
    <row r="2" spans="1:30" ht="18">
      <c r="A2" s="1" t="s">
        <v>310</v>
      </c>
      <c r="B2" s="262" t="s">
        <v>322</v>
      </c>
    </row>
    <row r="3" spans="1:30" ht="15" thickBot="1"/>
    <row r="4" spans="1:30" ht="15" thickTop="1">
      <c r="A4" s="327"/>
      <c r="B4" s="328"/>
      <c r="C4" s="710" t="s">
        <v>306</v>
      </c>
      <c r="D4" s="65"/>
      <c r="E4" s="142"/>
      <c r="F4" s="713" t="s">
        <v>402</v>
      </c>
      <c r="G4" s="714"/>
      <c r="H4" s="717" t="s">
        <v>401</v>
      </c>
      <c r="I4" s="718"/>
      <c r="J4" s="142"/>
      <c r="K4" s="159" t="s">
        <v>325</v>
      </c>
      <c r="L4" s="142"/>
      <c r="M4" s="142"/>
      <c r="N4" s="142"/>
      <c r="O4" s="142"/>
      <c r="P4" s="159" t="s">
        <v>331</v>
      </c>
      <c r="Q4" s="142"/>
      <c r="R4" s="66"/>
      <c r="S4" s="31"/>
      <c r="T4" s="114"/>
      <c r="U4" s="31"/>
      <c r="V4" s="114"/>
      <c r="W4" s="114"/>
      <c r="X4" s="31"/>
      <c r="Y4" s="250"/>
      <c r="Z4" s="250"/>
      <c r="AA4" s="250"/>
      <c r="AB4" s="250"/>
      <c r="AC4" s="250"/>
      <c r="AD4" s="268"/>
    </row>
    <row r="5" spans="1:30">
      <c r="A5" s="114" t="s">
        <v>42</v>
      </c>
      <c r="B5" s="329"/>
      <c r="C5" s="711"/>
      <c r="D5" s="115" t="s">
        <v>311</v>
      </c>
      <c r="E5" s="143" t="s">
        <v>312</v>
      </c>
      <c r="F5" s="715"/>
      <c r="G5" s="716"/>
      <c r="H5" s="719"/>
      <c r="I5" s="720"/>
      <c r="J5" s="143" t="s">
        <v>315</v>
      </c>
      <c r="K5" s="267" t="s">
        <v>326</v>
      </c>
      <c r="L5" s="143" t="s">
        <v>327</v>
      </c>
      <c r="M5" s="143" t="s">
        <v>328</v>
      </c>
      <c r="N5" s="143" t="s">
        <v>329</v>
      </c>
      <c r="O5" s="143" t="s">
        <v>330</v>
      </c>
      <c r="P5" s="143" t="s">
        <v>332</v>
      </c>
      <c r="Q5" s="143" t="s">
        <v>333</v>
      </c>
      <c r="R5" s="302" t="s">
        <v>334</v>
      </c>
      <c r="S5" s="160"/>
      <c r="T5" s="160"/>
      <c r="U5" s="160"/>
      <c r="V5" s="160"/>
      <c r="W5" s="160"/>
      <c r="X5" s="160"/>
      <c r="Y5" s="192"/>
      <c r="Z5" s="192"/>
      <c r="AA5" s="192"/>
      <c r="AB5" s="192"/>
      <c r="AC5" s="192"/>
      <c r="AD5" s="192"/>
    </row>
    <row r="6" spans="1:30">
      <c r="A6" s="141">
        <v>4145</v>
      </c>
      <c r="B6" s="241"/>
      <c r="C6" s="711"/>
      <c r="D6" s="56" t="s">
        <v>59</v>
      </c>
      <c r="E6" s="18" t="s">
        <v>59</v>
      </c>
      <c r="F6" s="254" t="s">
        <v>313</v>
      </c>
      <c r="G6" s="15" t="s">
        <v>314</v>
      </c>
      <c r="H6" s="18" t="s">
        <v>317</v>
      </c>
      <c r="I6" s="255" t="s">
        <v>318</v>
      </c>
      <c r="J6" s="18" t="s">
        <v>316</v>
      </c>
      <c r="K6" s="18" t="s">
        <v>59</v>
      </c>
      <c r="L6" s="18" t="s">
        <v>85</v>
      </c>
      <c r="M6" s="18" t="s">
        <v>59</v>
      </c>
      <c r="N6" s="18" t="s">
        <v>59</v>
      </c>
      <c r="O6" s="18" t="s">
        <v>59</v>
      </c>
      <c r="P6" s="18" t="s">
        <v>59</v>
      </c>
      <c r="Q6" s="18" t="s">
        <v>59</v>
      </c>
      <c r="R6" s="61" t="s">
        <v>59</v>
      </c>
      <c r="S6" s="47"/>
      <c r="T6" s="47"/>
      <c r="U6" s="47"/>
      <c r="V6" s="47"/>
      <c r="W6" s="47"/>
      <c r="X6" s="47"/>
      <c r="Y6" s="60"/>
      <c r="Z6" s="60"/>
      <c r="AA6" s="60"/>
      <c r="AB6" s="60"/>
      <c r="AC6" s="269"/>
      <c r="AD6" s="60"/>
    </row>
    <row r="7" spans="1:30">
      <c r="A7" s="19"/>
      <c r="B7" s="46"/>
      <c r="C7" s="712"/>
      <c r="D7" s="40"/>
      <c r="E7" s="14"/>
      <c r="F7" s="166"/>
      <c r="G7" s="14"/>
      <c r="H7" s="14"/>
      <c r="I7" s="14"/>
      <c r="J7" s="14"/>
      <c r="K7" s="14"/>
      <c r="L7" s="14"/>
      <c r="M7" s="14"/>
      <c r="N7" s="14"/>
      <c r="O7" s="14"/>
      <c r="P7" s="14"/>
      <c r="Q7" s="14"/>
      <c r="R7" s="41"/>
      <c r="S7" s="31"/>
      <c r="T7" s="31"/>
      <c r="U7" s="31"/>
      <c r="V7" s="31"/>
      <c r="W7" s="31"/>
      <c r="X7" s="31"/>
      <c r="Y7" s="250"/>
      <c r="Z7" s="250"/>
      <c r="AA7" s="250"/>
      <c r="AB7" s="250"/>
      <c r="AC7" s="250"/>
      <c r="AD7" s="250"/>
    </row>
    <row r="8" spans="1:30">
      <c r="A8" s="31"/>
      <c r="B8" s="4"/>
      <c r="C8" s="10"/>
      <c r="D8" s="20"/>
      <c r="E8" s="13"/>
      <c r="F8" s="167"/>
      <c r="G8" s="13"/>
      <c r="H8" s="13"/>
      <c r="I8" s="13"/>
      <c r="J8" s="13"/>
      <c r="K8" s="13"/>
      <c r="L8" s="13"/>
      <c r="M8" s="13"/>
      <c r="N8" s="13"/>
      <c r="O8" s="13"/>
      <c r="P8" s="13"/>
      <c r="Q8" s="13"/>
      <c r="R8" s="50"/>
      <c r="S8" s="31"/>
      <c r="T8" s="31"/>
      <c r="U8" s="31"/>
      <c r="V8" s="31"/>
      <c r="W8" s="31"/>
      <c r="X8" s="31"/>
      <c r="Y8" s="250"/>
      <c r="Z8" s="250"/>
      <c r="AA8" s="250"/>
      <c r="AB8" s="250"/>
      <c r="AC8" s="250"/>
      <c r="AD8" s="250"/>
    </row>
    <row r="9" spans="1:30">
      <c r="A9" s="145" t="s">
        <v>61</v>
      </c>
      <c r="B9" s="235"/>
      <c r="C9" s="244"/>
      <c r="D9" s="699">
        <f t="shared" ref="D9:R9" si="0">D12+D13+D14+D15</f>
        <v>104653897</v>
      </c>
      <c r="E9" s="151">
        <f t="shared" si="0"/>
        <v>13983858</v>
      </c>
      <c r="F9" s="152">
        <f t="shared" si="0"/>
        <v>351992</v>
      </c>
      <c r="G9" s="152">
        <f t="shared" si="0"/>
        <v>10714</v>
      </c>
      <c r="H9" s="152">
        <f t="shared" si="0"/>
        <v>3349946</v>
      </c>
      <c r="I9" s="152">
        <f t="shared" si="0"/>
        <v>1122488</v>
      </c>
      <c r="J9" s="152">
        <f t="shared" si="0"/>
        <v>273404</v>
      </c>
      <c r="K9" s="153">
        <f t="shared" si="0"/>
        <v>564957</v>
      </c>
      <c r="L9" s="152">
        <f t="shared" si="0"/>
        <v>5232848</v>
      </c>
      <c r="M9" s="153">
        <f t="shared" si="0"/>
        <v>11349293</v>
      </c>
      <c r="N9" s="152">
        <f t="shared" si="0"/>
        <v>10085138</v>
      </c>
      <c r="O9" s="153">
        <f t="shared" si="0"/>
        <v>545290</v>
      </c>
      <c r="P9" s="152">
        <f t="shared" si="0"/>
        <v>679934</v>
      </c>
      <c r="Q9" s="152">
        <f t="shared" si="0"/>
        <v>1289925</v>
      </c>
      <c r="R9" s="308">
        <f t="shared" si="0"/>
        <v>108487</v>
      </c>
      <c r="S9" s="153"/>
      <c r="T9" s="153"/>
      <c r="U9" s="153"/>
      <c r="V9" s="153"/>
      <c r="W9" s="153"/>
      <c r="X9" s="153"/>
      <c r="Y9" s="153"/>
      <c r="Z9" s="153"/>
      <c r="AA9" s="153"/>
      <c r="AB9" s="153"/>
      <c r="AC9" s="153"/>
      <c r="AD9" s="153"/>
    </row>
    <row r="10" spans="1:30" ht="15" thickBot="1">
      <c r="A10" s="47" t="s">
        <v>62</v>
      </c>
      <c r="B10" s="8"/>
      <c r="C10" s="17"/>
      <c r="D10" s="147"/>
      <c r="E10" s="148"/>
      <c r="F10" s="168"/>
      <c r="G10" s="148"/>
      <c r="H10" s="148"/>
      <c r="I10" s="148"/>
      <c r="J10" s="148"/>
      <c r="K10" s="149"/>
      <c r="L10" s="148"/>
      <c r="M10" s="149"/>
      <c r="N10" s="148"/>
      <c r="O10" s="149"/>
      <c r="P10" s="148"/>
      <c r="Q10" s="168"/>
      <c r="R10" s="294"/>
      <c r="S10" s="134"/>
      <c r="T10" s="134"/>
      <c r="U10" s="134"/>
      <c r="V10" s="134"/>
      <c r="W10" s="134"/>
      <c r="X10" s="134"/>
      <c r="Y10" s="134"/>
      <c r="Z10" s="134"/>
      <c r="AA10" s="134"/>
      <c r="AB10" s="134"/>
      <c r="AC10" s="134"/>
      <c r="AD10" s="134"/>
    </row>
    <row r="11" spans="1:30">
      <c r="A11" s="47"/>
      <c r="B11" s="8"/>
      <c r="C11" s="17"/>
      <c r="D11" s="63"/>
      <c r="E11" s="22"/>
      <c r="F11" s="28"/>
      <c r="G11" s="22"/>
      <c r="H11" s="22"/>
      <c r="I11" s="22"/>
      <c r="J11" s="22"/>
      <c r="K11" s="32"/>
      <c r="L11" s="22"/>
      <c r="M11" s="32"/>
      <c r="N11" s="22"/>
      <c r="O11" s="32"/>
      <c r="P11" s="22"/>
      <c r="Q11" s="28"/>
      <c r="R11" s="122"/>
      <c r="S11" s="134"/>
      <c r="T11" s="134"/>
      <c r="U11" s="134"/>
      <c r="V11" s="134"/>
      <c r="W11" s="134"/>
      <c r="X11" s="134"/>
      <c r="Y11" s="134"/>
      <c r="Z11" s="134"/>
      <c r="AA11" s="134"/>
      <c r="AB11" s="134"/>
      <c r="AC11" s="134"/>
      <c r="AD11" s="134"/>
    </row>
    <row r="12" spans="1:30">
      <c r="A12" s="31" t="s">
        <v>4</v>
      </c>
      <c r="B12" s="4"/>
      <c r="C12" s="10"/>
      <c r="D12" s="120">
        <v>55799997</v>
      </c>
      <c r="E12" s="22">
        <v>12224262</v>
      </c>
      <c r="F12" s="28">
        <v>156087</v>
      </c>
      <c r="G12" s="22">
        <v>3974</v>
      </c>
      <c r="H12" s="22">
        <v>1957990</v>
      </c>
      <c r="I12" s="22">
        <v>937557</v>
      </c>
      <c r="J12" s="22">
        <v>92858</v>
      </c>
      <c r="K12" s="32">
        <v>556677</v>
      </c>
      <c r="L12" s="22">
        <v>2489864</v>
      </c>
      <c r="M12" s="32">
        <v>4954476</v>
      </c>
      <c r="N12" s="22">
        <v>2190313</v>
      </c>
      <c r="O12" s="32">
        <v>414301</v>
      </c>
      <c r="P12" s="22">
        <v>511099</v>
      </c>
      <c r="Q12" s="28">
        <v>627607</v>
      </c>
      <c r="R12" s="122">
        <v>100693</v>
      </c>
      <c r="S12" s="134"/>
      <c r="T12" s="134"/>
      <c r="U12" s="134"/>
      <c r="V12" s="134"/>
      <c r="W12" s="134"/>
      <c r="X12" s="134"/>
      <c r="Y12" s="134"/>
      <c r="Z12" s="134"/>
      <c r="AA12" s="134"/>
      <c r="AB12" s="134"/>
      <c r="AC12" s="134"/>
      <c r="AD12" s="134"/>
    </row>
    <row r="13" spans="1:30">
      <c r="A13" s="68" t="s">
        <v>1</v>
      </c>
      <c r="B13" s="111"/>
      <c r="C13" s="245"/>
      <c r="D13" s="63">
        <v>4811315</v>
      </c>
      <c r="E13" s="22">
        <v>186178</v>
      </c>
      <c r="F13" s="28">
        <v>138356</v>
      </c>
      <c r="G13" s="22">
        <v>1798</v>
      </c>
      <c r="H13" s="22">
        <v>76733</v>
      </c>
      <c r="I13" s="22">
        <v>39460</v>
      </c>
      <c r="J13" s="22">
        <v>173673</v>
      </c>
      <c r="K13" s="32">
        <v>2573</v>
      </c>
      <c r="L13" s="22">
        <v>955413</v>
      </c>
      <c r="M13" s="32">
        <v>1548593</v>
      </c>
      <c r="N13" s="22">
        <v>1068456</v>
      </c>
      <c r="O13" s="32">
        <v>15746</v>
      </c>
      <c r="P13" s="22">
        <v>15581</v>
      </c>
      <c r="Q13" s="28">
        <v>24793</v>
      </c>
      <c r="R13" s="122">
        <v>2149</v>
      </c>
      <c r="S13" s="134"/>
      <c r="T13" s="134"/>
      <c r="U13" s="134"/>
      <c r="V13" s="134"/>
      <c r="W13" s="134"/>
      <c r="X13" s="134"/>
      <c r="Y13" s="134"/>
      <c r="Z13" s="134"/>
      <c r="AA13" s="134"/>
      <c r="AB13" s="134"/>
      <c r="AC13" s="134"/>
      <c r="AD13" s="134"/>
    </row>
    <row r="14" spans="1:30">
      <c r="A14" s="68" t="s">
        <v>2</v>
      </c>
      <c r="B14" s="111"/>
      <c r="C14" s="245"/>
      <c r="D14" s="63">
        <v>9754215</v>
      </c>
      <c r="E14" s="22">
        <v>439154</v>
      </c>
      <c r="F14" s="28">
        <v>19134</v>
      </c>
      <c r="G14" s="22">
        <v>747</v>
      </c>
      <c r="H14" s="22">
        <v>189525</v>
      </c>
      <c r="I14" s="28">
        <v>59982</v>
      </c>
      <c r="J14" s="22">
        <v>3071</v>
      </c>
      <c r="K14" s="32">
        <v>1834</v>
      </c>
      <c r="L14" s="22">
        <v>1111187</v>
      </c>
      <c r="M14" s="32">
        <v>1019247</v>
      </c>
      <c r="N14" s="22">
        <v>720423</v>
      </c>
      <c r="O14" s="32">
        <v>14332</v>
      </c>
      <c r="P14" s="22">
        <v>72021</v>
      </c>
      <c r="Q14" s="28">
        <v>205299</v>
      </c>
      <c r="R14" s="122">
        <v>3383</v>
      </c>
      <c r="S14" s="134"/>
      <c r="T14" s="134"/>
      <c r="U14" s="134"/>
      <c r="V14" s="134"/>
      <c r="W14" s="134"/>
      <c r="X14" s="134"/>
      <c r="Y14" s="134"/>
      <c r="Z14" s="134"/>
      <c r="AA14" s="134"/>
      <c r="AB14" s="134"/>
      <c r="AC14" s="134"/>
      <c r="AD14" s="134"/>
    </row>
    <row r="15" spans="1:30">
      <c r="A15" s="68" t="s">
        <v>3</v>
      </c>
      <c r="B15" s="111"/>
      <c r="C15" s="245"/>
      <c r="D15" s="63">
        <v>34288370</v>
      </c>
      <c r="E15" s="22">
        <v>1134264</v>
      </c>
      <c r="F15" s="28">
        <v>38415</v>
      </c>
      <c r="G15" s="22">
        <v>4195</v>
      </c>
      <c r="H15" s="22">
        <v>1125698</v>
      </c>
      <c r="I15" s="22">
        <v>85489</v>
      </c>
      <c r="J15" s="22">
        <v>3802</v>
      </c>
      <c r="K15" s="32">
        <v>3873</v>
      </c>
      <c r="L15" s="22">
        <v>676384</v>
      </c>
      <c r="M15" s="32">
        <v>3826977</v>
      </c>
      <c r="N15" s="22">
        <v>6105946</v>
      </c>
      <c r="O15" s="32">
        <v>100911</v>
      </c>
      <c r="P15" s="22">
        <v>81233</v>
      </c>
      <c r="Q15" s="28">
        <v>432226</v>
      </c>
      <c r="R15" s="122">
        <v>2262</v>
      </c>
      <c r="S15" s="134"/>
      <c r="T15" s="134"/>
      <c r="U15" s="134"/>
      <c r="V15" s="134"/>
      <c r="W15" s="134"/>
      <c r="X15" s="134"/>
      <c r="Y15" s="134"/>
      <c r="Z15" s="134"/>
      <c r="AA15" s="134"/>
      <c r="AB15" s="134"/>
      <c r="AC15" s="134"/>
      <c r="AD15" s="134"/>
    </row>
    <row r="16" spans="1:30">
      <c r="A16" s="68"/>
      <c r="B16" s="111"/>
      <c r="C16" s="245"/>
      <c r="D16" s="266"/>
      <c r="E16" s="43"/>
      <c r="F16" s="163"/>
      <c r="G16" s="43"/>
      <c r="H16" s="43"/>
      <c r="I16" s="43"/>
      <c r="J16" s="43"/>
      <c r="K16" s="32"/>
      <c r="L16" s="43"/>
      <c r="M16" s="32"/>
      <c r="N16" s="43"/>
      <c r="O16" s="32"/>
      <c r="P16" s="43"/>
      <c r="Q16" s="22"/>
      <c r="R16" s="49"/>
      <c r="S16" s="32"/>
      <c r="T16" s="32"/>
      <c r="U16" s="32"/>
      <c r="V16" s="32"/>
      <c r="W16" s="32"/>
      <c r="X16" s="32"/>
      <c r="Y16" s="134"/>
      <c r="Z16" s="134"/>
      <c r="AA16" s="134"/>
      <c r="AB16" s="134"/>
      <c r="AC16" s="134"/>
      <c r="AD16" s="134"/>
    </row>
    <row r="17" spans="1:30" ht="16" thickBot="1">
      <c r="A17" s="144" t="s">
        <v>5</v>
      </c>
      <c r="B17" s="242"/>
      <c r="C17" s="246"/>
      <c r="D17" s="38"/>
      <c r="E17" s="37"/>
      <c r="F17" s="185"/>
      <c r="G17" s="37"/>
      <c r="H17" s="37"/>
      <c r="I17" s="37"/>
      <c r="J17" s="37"/>
      <c r="K17" s="37"/>
      <c r="L17" s="200"/>
      <c r="M17" s="37"/>
      <c r="N17" s="54"/>
      <c r="O17" s="37"/>
      <c r="P17" s="37"/>
      <c r="Q17" s="37"/>
      <c r="R17" s="303"/>
      <c r="S17" s="31"/>
      <c r="T17" s="31"/>
      <c r="U17" s="31"/>
      <c r="V17" s="31"/>
      <c r="W17" s="31"/>
      <c r="X17" s="31"/>
      <c r="Y17" s="250"/>
      <c r="Z17" s="250"/>
      <c r="AA17" s="250"/>
      <c r="AB17" s="250"/>
      <c r="AC17" s="250"/>
      <c r="AD17" s="250"/>
    </row>
    <row r="18" spans="1:30">
      <c r="A18" s="100">
        <v>1</v>
      </c>
      <c r="B18" s="4" t="s">
        <v>300</v>
      </c>
      <c r="C18" s="17" t="s">
        <v>319</v>
      </c>
      <c r="D18" s="162">
        <v>119041</v>
      </c>
      <c r="E18" s="28">
        <v>1128220</v>
      </c>
      <c r="F18" s="134">
        <v>49</v>
      </c>
      <c r="G18" s="28">
        <v>17</v>
      </c>
      <c r="H18" s="134">
        <v>11381</v>
      </c>
      <c r="I18" s="28">
        <v>26558</v>
      </c>
      <c r="J18" s="134">
        <v>4</v>
      </c>
      <c r="K18" s="28">
        <v>7496</v>
      </c>
      <c r="L18" s="134">
        <v>431</v>
      </c>
      <c r="M18" s="28">
        <v>14174</v>
      </c>
      <c r="N18" s="134">
        <v>2000</v>
      </c>
      <c r="O18" s="28">
        <v>157</v>
      </c>
      <c r="P18" s="134">
        <v>8768</v>
      </c>
      <c r="Q18" s="28">
        <v>4766</v>
      </c>
      <c r="R18" s="122">
        <v>729</v>
      </c>
      <c r="S18" s="134"/>
      <c r="T18" s="134"/>
      <c r="U18" s="134"/>
      <c r="V18" s="134"/>
      <c r="W18" s="134"/>
      <c r="X18" s="134"/>
      <c r="Y18" s="134"/>
      <c r="Z18" s="134"/>
      <c r="AA18" s="134"/>
      <c r="AB18" s="134"/>
      <c r="AC18" s="134"/>
      <c r="AD18" s="134"/>
    </row>
    <row r="19" spans="1:30">
      <c r="A19" s="100">
        <v>2</v>
      </c>
      <c r="B19" s="4" t="s">
        <v>88</v>
      </c>
      <c r="C19" s="10"/>
      <c r="D19" s="162">
        <v>526295</v>
      </c>
      <c r="E19" s="28">
        <v>132199</v>
      </c>
      <c r="F19" s="134">
        <v>641</v>
      </c>
      <c r="G19" s="28">
        <v>19</v>
      </c>
      <c r="H19" s="134">
        <v>11982</v>
      </c>
      <c r="I19" s="28">
        <v>4188</v>
      </c>
      <c r="J19" s="134">
        <v>718</v>
      </c>
      <c r="K19" s="28">
        <v>2880</v>
      </c>
      <c r="L19" s="134">
        <v>7963</v>
      </c>
      <c r="M19" s="28">
        <v>199712</v>
      </c>
      <c r="N19" s="134">
        <v>202577</v>
      </c>
      <c r="O19" s="28">
        <v>10</v>
      </c>
      <c r="P19" s="134">
        <v>5565</v>
      </c>
      <c r="Q19" s="28"/>
      <c r="R19" s="122">
        <v>1374</v>
      </c>
      <c r="S19" s="134"/>
      <c r="T19" s="134"/>
      <c r="U19" s="134"/>
      <c r="V19" s="134"/>
      <c r="W19" s="134"/>
      <c r="X19" s="134"/>
      <c r="Y19" s="134"/>
      <c r="Z19" s="134"/>
      <c r="AA19" s="134"/>
      <c r="AB19" s="134"/>
      <c r="AC19" s="134"/>
      <c r="AD19" s="134"/>
    </row>
    <row r="20" spans="1:30">
      <c r="A20" s="100">
        <v>3</v>
      </c>
      <c r="B20" s="4" t="s">
        <v>89</v>
      </c>
      <c r="C20" s="10"/>
      <c r="D20" s="162">
        <v>347192</v>
      </c>
      <c r="E20" s="28">
        <v>1283</v>
      </c>
      <c r="F20" s="134">
        <v>1801</v>
      </c>
      <c r="G20" s="28">
        <v>3</v>
      </c>
      <c r="H20" s="134">
        <v>15417</v>
      </c>
      <c r="I20" s="28">
        <v>7694</v>
      </c>
      <c r="J20" s="134">
        <v>406</v>
      </c>
      <c r="K20" s="28">
        <v>22988</v>
      </c>
      <c r="L20" s="134">
        <v>30619</v>
      </c>
      <c r="M20" s="28">
        <v>172746</v>
      </c>
      <c r="N20" s="134">
        <v>706</v>
      </c>
      <c r="O20" s="28"/>
      <c r="P20" s="134">
        <v>1440</v>
      </c>
      <c r="Q20" s="28">
        <v>3573</v>
      </c>
      <c r="R20" s="122">
        <v>3935</v>
      </c>
      <c r="S20" s="134"/>
      <c r="T20" s="134"/>
      <c r="U20" s="134"/>
      <c r="V20" s="134"/>
      <c r="W20" s="134"/>
      <c r="X20" s="134"/>
      <c r="Y20" s="134"/>
      <c r="Z20" s="134"/>
      <c r="AA20" s="134"/>
      <c r="AB20" s="134"/>
      <c r="AC20" s="134"/>
      <c r="AD20" s="134"/>
    </row>
    <row r="21" spans="1:30">
      <c r="A21" s="100">
        <v>4</v>
      </c>
      <c r="B21" s="4" t="s">
        <v>90</v>
      </c>
      <c r="C21" s="10"/>
      <c r="D21" s="162">
        <v>2461576</v>
      </c>
      <c r="E21" s="28">
        <v>42059</v>
      </c>
      <c r="F21" s="134">
        <v>506</v>
      </c>
      <c r="G21" s="28">
        <v>52</v>
      </c>
      <c r="H21" s="134">
        <v>73591</v>
      </c>
      <c r="I21" s="28">
        <v>1908</v>
      </c>
      <c r="J21" s="134">
        <v>116</v>
      </c>
      <c r="K21" s="28">
        <v>2488</v>
      </c>
      <c r="L21" s="134">
        <v>42240</v>
      </c>
      <c r="M21" s="28">
        <v>242576</v>
      </c>
      <c r="N21" s="134">
        <v>132464</v>
      </c>
      <c r="O21" s="28">
        <v>62601</v>
      </c>
      <c r="P21" s="134">
        <v>25005</v>
      </c>
      <c r="Q21" s="28">
        <v>46117</v>
      </c>
      <c r="R21" s="122">
        <v>300</v>
      </c>
      <c r="S21" s="134"/>
      <c r="T21" s="134"/>
      <c r="U21" s="134"/>
      <c r="V21" s="134"/>
      <c r="W21" s="134"/>
      <c r="X21" s="134"/>
      <c r="Y21" s="134"/>
      <c r="Z21" s="134"/>
      <c r="AA21" s="134"/>
      <c r="AB21" s="134"/>
      <c r="AC21" s="134"/>
      <c r="AD21" s="134"/>
    </row>
    <row r="22" spans="1:30">
      <c r="A22" s="100">
        <v>5</v>
      </c>
      <c r="B22" s="4" t="s">
        <v>91</v>
      </c>
      <c r="C22" s="10"/>
      <c r="D22" s="162">
        <v>19441</v>
      </c>
      <c r="E22" s="28"/>
      <c r="F22" s="134">
        <v>760</v>
      </c>
      <c r="G22" s="28">
        <v>39</v>
      </c>
      <c r="H22" s="134">
        <v>3496</v>
      </c>
      <c r="I22" s="28">
        <v>1132</v>
      </c>
      <c r="J22" s="134">
        <v>72</v>
      </c>
      <c r="K22" s="28">
        <v>12626</v>
      </c>
      <c r="L22" s="134">
        <v>4275</v>
      </c>
      <c r="M22" s="28">
        <v>101342</v>
      </c>
      <c r="N22" s="134">
        <v>300</v>
      </c>
      <c r="O22" s="28">
        <v>140</v>
      </c>
      <c r="P22" s="134"/>
      <c r="Q22" s="28">
        <v>300</v>
      </c>
      <c r="R22" s="122"/>
      <c r="S22" s="134"/>
      <c r="T22" s="134"/>
      <c r="U22" s="134"/>
      <c r="V22" s="134"/>
      <c r="W22" s="134"/>
      <c r="X22" s="134"/>
      <c r="Y22" s="134"/>
      <c r="Z22" s="134"/>
      <c r="AA22" s="134"/>
      <c r="AB22" s="134"/>
      <c r="AC22" s="134"/>
      <c r="AD22" s="134"/>
    </row>
    <row r="23" spans="1:30" ht="15">
      <c r="A23" s="100">
        <v>6</v>
      </c>
      <c r="B23" s="4" t="s">
        <v>92</v>
      </c>
      <c r="C23" s="248"/>
      <c r="D23" s="63">
        <v>1857028</v>
      </c>
      <c r="E23" s="22">
        <v>35469</v>
      </c>
      <c r="F23" s="28">
        <v>815</v>
      </c>
      <c r="G23" s="22">
        <v>49</v>
      </c>
      <c r="H23" s="28">
        <v>65824</v>
      </c>
      <c r="I23" s="28">
        <v>1760</v>
      </c>
      <c r="J23" s="22">
        <v>64</v>
      </c>
      <c r="K23" s="28">
        <v>594</v>
      </c>
      <c r="L23" s="45">
        <v>48687</v>
      </c>
      <c r="M23" s="28">
        <v>107353</v>
      </c>
      <c r="N23" s="70">
        <v>82083</v>
      </c>
      <c r="O23" s="28">
        <v>13200</v>
      </c>
      <c r="P23" s="22">
        <v>21871</v>
      </c>
      <c r="Q23" s="22">
        <v>27966</v>
      </c>
      <c r="R23" s="122"/>
      <c r="S23" s="32"/>
      <c r="T23" s="32"/>
      <c r="U23" s="32"/>
      <c r="V23" s="32"/>
      <c r="W23" s="32"/>
      <c r="X23" s="32"/>
      <c r="Y23" s="134"/>
      <c r="Z23" s="134"/>
      <c r="AA23" s="134"/>
      <c r="AB23" s="134"/>
      <c r="AC23" s="134"/>
      <c r="AD23" s="134"/>
    </row>
    <row r="24" spans="1:30">
      <c r="A24" s="100">
        <v>7</v>
      </c>
      <c r="B24" s="4" t="s">
        <v>93</v>
      </c>
      <c r="C24" s="17"/>
      <c r="D24" s="162">
        <v>4065357</v>
      </c>
      <c r="E24" s="28">
        <v>11504</v>
      </c>
      <c r="F24" s="134">
        <v>504</v>
      </c>
      <c r="G24" s="28">
        <v>17</v>
      </c>
      <c r="H24" s="134">
        <v>54718</v>
      </c>
      <c r="I24" s="28">
        <v>546</v>
      </c>
      <c r="J24" s="134">
        <v>6</v>
      </c>
      <c r="K24" s="28"/>
      <c r="L24" s="134">
        <v>45081</v>
      </c>
      <c r="M24" s="28">
        <v>126645</v>
      </c>
      <c r="N24" s="134">
        <v>108298</v>
      </c>
      <c r="O24" s="28">
        <v>88048</v>
      </c>
      <c r="P24" s="134">
        <v>16093</v>
      </c>
      <c r="Q24" s="28">
        <v>23947</v>
      </c>
      <c r="R24" s="122"/>
      <c r="S24" s="134"/>
      <c r="T24" s="134"/>
      <c r="U24" s="134"/>
      <c r="V24" s="134"/>
      <c r="W24" s="134"/>
      <c r="X24" s="134"/>
      <c r="Y24" s="134"/>
      <c r="Z24" s="134"/>
      <c r="AA24" s="134"/>
      <c r="AB24" s="134"/>
      <c r="AC24" s="134"/>
      <c r="AD24" s="134"/>
    </row>
    <row r="25" spans="1:30">
      <c r="A25" s="100">
        <v>8</v>
      </c>
      <c r="B25" s="4" t="s">
        <v>94</v>
      </c>
      <c r="C25" s="10"/>
      <c r="D25" s="162">
        <v>282846</v>
      </c>
      <c r="E25" s="28">
        <v>30744</v>
      </c>
      <c r="F25" s="134">
        <v>553</v>
      </c>
      <c r="G25" s="28">
        <v>3</v>
      </c>
      <c r="H25" s="134">
        <v>21611</v>
      </c>
      <c r="I25" s="28">
        <v>9336</v>
      </c>
      <c r="J25" s="134">
        <v>120</v>
      </c>
      <c r="K25" s="28">
        <v>173</v>
      </c>
      <c r="L25" s="134">
        <v>25904</v>
      </c>
      <c r="M25" s="28">
        <v>51123</v>
      </c>
      <c r="N25" s="134">
        <v>1600</v>
      </c>
      <c r="O25" s="28">
        <v>4000</v>
      </c>
      <c r="P25" s="134">
        <v>3787</v>
      </c>
      <c r="Q25" s="28">
        <v>2423</v>
      </c>
      <c r="R25" s="122"/>
      <c r="S25" s="134"/>
      <c r="T25" s="134"/>
      <c r="U25" s="134"/>
      <c r="V25" s="134"/>
      <c r="W25" s="134"/>
      <c r="X25" s="134"/>
      <c r="Y25" s="134"/>
      <c r="Z25" s="134"/>
      <c r="AA25" s="134"/>
      <c r="AB25" s="134"/>
      <c r="AC25" s="134"/>
      <c r="AD25" s="134"/>
    </row>
    <row r="26" spans="1:30">
      <c r="A26" s="100">
        <v>9</v>
      </c>
      <c r="B26" s="4" t="s">
        <v>95</v>
      </c>
      <c r="C26" s="10"/>
      <c r="D26" s="162">
        <v>1980</v>
      </c>
      <c r="E26" s="28"/>
      <c r="F26" s="134">
        <v>559</v>
      </c>
      <c r="G26" s="28">
        <v>9</v>
      </c>
      <c r="H26" s="134">
        <v>982</v>
      </c>
      <c r="I26" s="28">
        <v>663</v>
      </c>
      <c r="J26" s="134">
        <v>249</v>
      </c>
      <c r="K26" s="28">
        <v>10962</v>
      </c>
      <c r="L26" s="134">
        <v>4791</v>
      </c>
      <c r="M26" s="28">
        <v>16327</v>
      </c>
      <c r="N26" s="134">
        <v>480</v>
      </c>
      <c r="O26" s="28"/>
      <c r="P26" s="134"/>
      <c r="Q26" s="28"/>
      <c r="R26" s="122"/>
      <c r="S26" s="134"/>
      <c r="T26" s="134"/>
      <c r="U26" s="134"/>
      <c r="V26" s="134"/>
      <c r="W26" s="134"/>
      <c r="X26" s="134"/>
      <c r="Y26" s="134"/>
      <c r="Z26" s="134"/>
      <c r="AA26" s="134"/>
      <c r="AB26" s="134"/>
      <c r="AC26" s="134"/>
      <c r="AD26" s="134"/>
    </row>
    <row r="27" spans="1:30">
      <c r="A27" s="100">
        <v>10</v>
      </c>
      <c r="B27" s="4" t="s">
        <v>96</v>
      </c>
      <c r="C27" s="10"/>
      <c r="D27" s="162">
        <v>951484</v>
      </c>
      <c r="E27" s="28">
        <v>532342</v>
      </c>
      <c r="F27" s="134">
        <v>103</v>
      </c>
      <c r="G27" s="28">
        <v>39</v>
      </c>
      <c r="H27" s="134">
        <v>37763</v>
      </c>
      <c r="I27" s="28">
        <v>22312</v>
      </c>
      <c r="J27" s="134"/>
      <c r="K27" s="28">
        <v>5516</v>
      </c>
      <c r="L27" s="134">
        <v>9904</v>
      </c>
      <c r="M27" s="28">
        <v>2815</v>
      </c>
      <c r="N27" s="134"/>
      <c r="O27" s="28"/>
      <c r="P27" s="134">
        <v>5823</v>
      </c>
      <c r="Q27" s="28">
        <v>10582</v>
      </c>
      <c r="R27" s="122"/>
      <c r="S27" s="134"/>
      <c r="T27" s="134"/>
      <c r="U27" s="134"/>
      <c r="V27" s="134"/>
      <c r="W27" s="134"/>
      <c r="X27" s="134"/>
      <c r="Y27" s="134"/>
      <c r="Z27" s="134"/>
      <c r="AA27" s="134"/>
      <c r="AB27" s="134"/>
      <c r="AC27" s="134"/>
      <c r="AD27" s="134"/>
    </row>
    <row r="28" spans="1:30">
      <c r="A28" s="100">
        <v>11</v>
      </c>
      <c r="B28" s="4" t="s">
        <v>97</v>
      </c>
      <c r="C28" s="10"/>
      <c r="D28" s="162">
        <v>791079</v>
      </c>
      <c r="E28" s="28">
        <v>339128</v>
      </c>
      <c r="F28" s="134">
        <v>1041</v>
      </c>
      <c r="G28" s="28">
        <v>26</v>
      </c>
      <c r="H28" s="134">
        <v>11771</v>
      </c>
      <c r="I28" s="28">
        <v>7684</v>
      </c>
      <c r="J28" s="134">
        <v>31</v>
      </c>
      <c r="K28" s="28">
        <v>7500</v>
      </c>
      <c r="L28" s="134">
        <v>9497</v>
      </c>
      <c r="M28" s="28">
        <v>251441</v>
      </c>
      <c r="N28" s="134">
        <v>126097</v>
      </c>
      <c r="O28" s="28"/>
      <c r="P28" s="134">
        <v>565</v>
      </c>
      <c r="Q28" s="28">
        <v>3507</v>
      </c>
      <c r="R28" s="122"/>
      <c r="S28" s="134"/>
      <c r="T28" s="134"/>
      <c r="U28" s="134"/>
      <c r="V28" s="134"/>
      <c r="W28" s="134"/>
      <c r="X28" s="134"/>
      <c r="Y28" s="134"/>
      <c r="Z28" s="134"/>
      <c r="AA28" s="134"/>
      <c r="AB28" s="134"/>
      <c r="AC28" s="134"/>
      <c r="AD28" s="134"/>
    </row>
    <row r="29" spans="1:30" ht="15">
      <c r="A29" s="100">
        <v>12</v>
      </c>
      <c r="B29" s="4" t="s">
        <v>98</v>
      </c>
      <c r="C29" s="248"/>
      <c r="D29" s="63">
        <v>807152</v>
      </c>
      <c r="E29" s="22">
        <v>9536</v>
      </c>
      <c r="F29" s="28">
        <v>246</v>
      </c>
      <c r="G29" s="22">
        <v>63</v>
      </c>
      <c r="H29" s="28">
        <v>18792</v>
      </c>
      <c r="I29" s="28">
        <v>2184</v>
      </c>
      <c r="J29" s="22">
        <v>8</v>
      </c>
      <c r="K29" s="28">
        <v>6868</v>
      </c>
      <c r="L29" s="45">
        <v>546</v>
      </c>
      <c r="M29" s="28">
        <v>2525</v>
      </c>
      <c r="N29" s="70"/>
      <c r="O29" s="28"/>
      <c r="P29" s="22">
        <v>4960</v>
      </c>
      <c r="Q29" s="22">
        <v>5920</v>
      </c>
      <c r="R29" s="122">
        <v>789</v>
      </c>
      <c r="S29" s="32"/>
      <c r="T29" s="32"/>
      <c r="U29" s="32"/>
      <c r="V29" s="32"/>
      <c r="W29" s="32"/>
      <c r="X29" s="32"/>
      <c r="Y29" s="134"/>
      <c r="Z29" s="134"/>
      <c r="AA29" s="134"/>
      <c r="AB29" s="134"/>
      <c r="AC29" s="134"/>
      <c r="AD29" s="134"/>
    </row>
    <row r="30" spans="1:30">
      <c r="A30" s="100">
        <v>13</v>
      </c>
      <c r="B30" s="4" t="s">
        <v>99</v>
      </c>
      <c r="C30" s="17"/>
      <c r="D30" s="162">
        <v>497039</v>
      </c>
      <c r="E30" s="28">
        <v>122837</v>
      </c>
      <c r="F30" s="134">
        <v>75</v>
      </c>
      <c r="G30" s="28">
        <v>4</v>
      </c>
      <c r="H30" s="134">
        <v>39485</v>
      </c>
      <c r="I30" s="28">
        <v>8585</v>
      </c>
      <c r="J30" s="134"/>
      <c r="K30" s="28">
        <v>1595</v>
      </c>
      <c r="L30" s="134">
        <v>600</v>
      </c>
      <c r="M30" s="28">
        <v>4827</v>
      </c>
      <c r="N30" s="134"/>
      <c r="O30" s="28">
        <v>68</v>
      </c>
      <c r="P30" s="134">
        <v>1850</v>
      </c>
      <c r="Q30" s="28">
        <v>2916</v>
      </c>
      <c r="R30" s="122"/>
      <c r="S30" s="134"/>
      <c r="T30" s="134"/>
      <c r="U30" s="134"/>
      <c r="V30" s="134"/>
      <c r="W30" s="134"/>
      <c r="X30" s="134"/>
      <c r="Y30" s="134"/>
      <c r="Z30" s="134"/>
      <c r="AA30" s="134"/>
      <c r="AB30" s="134"/>
      <c r="AC30" s="134"/>
      <c r="AD30" s="134"/>
    </row>
    <row r="31" spans="1:30">
      <c r="A31" s="100">
        <v>14</v>
      </c>
      <c r="B31" s="4" t="s">
        <v>100</v>
      </c>
      <c r="C31" s="10"/>
      <c r="D31" s="162">
        <v>869417</v>
      </c>
      <c r="E31" s="28"/>
      <c r="F31" s="134">
        <v>291</v>
      </c>
      <c r="G31" s="28">
        <v>19</v>
      </c>
      <c r="H31" s="134">
        <v>26612</v>
      </c>
      <c r="I31" s="28">
        <v>1081</v>
      </c>
      <c r="J31" s="134">
        <v>48</v>
      </c>
      <c r="K31" s="28">
        <v>817</v>
      </c>
      <c r="L31" s="134">
        <v>3056</v>
      </c>
      <c r="M31" s="28">
        <v>5879</v>
      </c>
      <c r="N31" s="134"/>
      <c r="O31" s="28">
        <v>20</v>
      </c>
      <c r="P31" s="134">
        <v>10977</v>
      </c>
      <c r="Q31" s="28">
        <v>9807</v>
      </c>
      <c r="R31" s="122">
        <v>2585</v>
      </c>
      <c r="S31" s="134"/>
      <c r="T31" s="134"/>
      <c r="U31" s="134"/>
      <c r="V31" s="134"/>
      <c r="W31" s="134"/>
      <c r="X31" s="134"/>
      <c r="Y31" s="134"/>
      <c r="Z31" s="134"/>
      <c r="AA31" s="134"/>
      <c r="AB31" s="134"/>
      <c r="AC31" s="134"/>
      <c r="AD31" s="134"/>
    </row>
    <row r="32" spans="1:30">
      <c r="A32" s="100">
        <v>15</v>
      </c>
      <c r="B32" s="4" t="s">
        <v>101</v>
      </c>
      <c r="C32" s="10"/>
      <c r="D32" s="162">
        <v>563558</v>
      </c>
      <c r="E32" s="28">
        <v>3882</v>
      </c>
      <c r="F32" s="134">
        <v>230</v>
      </c>
      <c r="G32" s="28">
        <v>100</v>
      </c>
      <c r="H32" s="134">
        <v>48178</v>
      </c>
      <c r="I32" s="28">
        <v>21255</v>
      </c>
      <c r="J32" s="134">
        <v>80</v>
      </c>
      <c r="K32" s="28">
        <v>6779</v>
      </c>
      <c r="L32" s="134">
        <v>2916</v>
      </c>
      <c r="M32" s="28">
        <v>3963</v>
      </c>
      <c r="N32" s="134">
        <v>200</v>
      </c>
      <c r="O32" s="28"/>
      <c r="P32" s="134">
        <v>4072</v>
      </c>
      <c r="Q32" s="28">
        <v>18091</v>
      </c>
      <c r="R32" s="122"/>
      <c r="S32" s="134"/>
      <c r="T32" s="134"/>
      <c r="U32" s="134"/>
      <c r="V32" s="134"/>
      <c r="W32" s="134"/>
      <c r="X32" s="134"/>
      <c r="Y32" s="134"/>
      <c r="Z32" s="134"/>
      <c r="AA32" s="134"/>
      <c r="AB32" s="134"/>
      <c r="AC32" s="134"/>
      <c r="AD32" s="134"/>
    </row>
    <row r="33" spans="1:30">
      <c r="A33" s="100">
        <v>16</v>
      </c>
      <c r="B33" s="4" t="s">
        <v>102</v>
      </c>
      <c r="C33" s="10"/>
      <c r="D33" s="162">
        <v>91002</v>
      </c>
      <c r="E33" s="28"/>
      <c r="F33" s="134">
        <v>237</v>
      </c>
      <c r="G33" s="28">
        <v>21</v>
      </c>
      <c r="H33" s="134">
        <v>4782</v>
      </c>
      <c r="I33" s="28">
        <v>2554</v>
      </c>
      <c r="J33" s="134"/>
      <c r="K33" s="28">
        <v>43</v>
      </c>
      <c r="L33" s="134">
        <v>694982</v>
      </c>
      <c r="M33" s="28">
        <v>97700</v>
      </c>
      <c r="N33" s="134">
        <v>63402</v>
      </c>
      <c r="O33" s="28">
        <v>1300</v>
      </c>
      <c r="P33" s="134"/>
      <c r="Q33" s="28"/>
      <c r="R33" s="122">
        <v>558</v>
      </c>
      <c r="S33" s="134"/>
      <c r="T33" s="134"/>
      <c r="U33" s="134"/>
      <c r="V33" s="134"/>
      <c r="W33" s="134"/>
      <c r="X33" s="134"/>
      <c r="Y33" s="134"/>
      <c r="Z33" s="134"/>
      <c r="AA33" s="134"/>
      <c r="AB33" s="134"/>
      <c r="AC33" s="134"/>
      <c r="AD33" s="134"/>
    </row>
    <row r="34" spans="1:30">
      <c r="A34" s="100">
        <v>17</v>
      </c>
      <c r="B34" s="4" t="s">
        <v>301</v>
      </c>
      <c r="C34" s="10"/>
      <c r="D34" s="162">
        <v>314818</v>
      </c>
      <c r="E34" s="28">
        <v>51481</v>
      </c>
      <c r="F34" s="134">
        <v>64</v>
      </c>
      <c r="G34" s="28">
        <v>7</v>
      </c>
      <c r="H34" s="134">
        <v>32532</v>
      </c>
      <c r="I34" s="28">
        <v>13833</v>
      </c>
      <c r="J34" s="134"/>
      <c r="K34" s="28">
        <v>434</v>
      </c>
      <c r="L34" s="134">
        <v>18</v>
      </c>
      <c r="M34" s="28">
        <v>3385</v>
      </c>
      <c r="N34" s="134">
        <v>300</v>
      </c>
      <c r="O34" s="28"/>
      <c r="P34" s="134">
        <v>6570</v>
      </c>
      <c r="Q34" s="28">
        <v>16494</v>
      </c>
      <c r="R34" s="122"/>
      <c r="S34" s="134"/>
      <c r="T34" s="134"/>
      <c r="U34" s="134"/>
      <c r="V34" s="134"/>
      <c r="W34" s="134"/>
      <c r="X34" s="134"/>
      <c r="Y34" s="134"/>
      <c r="Z34" s="134"/>
      <c r="AA34" s="134"/>
      <c r="AB34" s="134"/>
      <c r="AC34" s="134"/>
      <c r="AD34" s="134"/>
    </row>
    <row r="35" spans="1:30" ht="15">
      <c r="A35" s="100">
        <v>18</v>
      </c>
      <c r="B35" s="4" t="s">
        <v>302</v>
      </c>
      <c r="C35" s="248"/>
      <c r="D35" s="63">
        <v>1908177</v>
      </c>
      <c r="E35" s="22">
        <v>60725</v>
      </c>
      <c r="F35" s="28">
        <v>1364</v>
      </c>
      <c r="G35" s="22">
        <v>22</v>
      </c>
      <c r="H35" s="28">
        <v>23180</v>
      </c>
      <c r="I35" s="28">
        <v>1959</v>
      </c>
      <c r="J35" s="22">
        <v>483</v>
      </c>
      <c r="K35" s="28">
        <v>19</v>
      </c>
      <c r="L35" s="45">
        <v>21519</v>
      </c>
      <c r="M35" s="28">
        <v>186970</v>
      </c>
      <c r="N35" s="70">
        <v>18170</v>
      </c>
      <c r="O35" s="28"/>
      <c r="P35" s="22">
        <v>30</v>
      </c>
      <c r="Q35" s="22">
        <v>277</v>
      </c>
      <c r="R35" s="122">
        <v>705</v>
      </c>
      <c r="S35" s="32"/>
      <c r="T35" s="32"/>
      <c r="U35" s="32"/>
      <c r="V35" s="32"/>
      <c r="W35" s="32"/>
      <c r="X35" s="32"/>
      <c r="Y35" s="134"/>
      <c r="Z35" s="134"/>
      <c r="AA35" s="134"/>
      <c r="AB35" s="134"/>
      <c r="AC35" s="134"/>
      <c r="AD35" s="134"/>
    </row>
    <row r="36" spans="1:30">
      <c r="A36" s="100">
        <v>19</v>
      </c>
      <c r="B36" s="4" t="s">
        <v>105</v>
      </c>
      <c r="C36" s="17"/>
      <c r="D36" s="162">
        <v>387985</v>
      </c>
      <c r="E36" s="28"/>
      <c r="F36" s="134">
        <v>197</v>
      </c>
      <c r="G36" s="28">
        <v>34</v>
      </c>
      <c r="H36" s="134">
        <v>19632</v>
      </c>
      <c r="I36" s="28">
        <v>5998</v>
      </c>
      <c r="J36" s="134">
        <v>50</v>
      </c>
      <c r="K36" s="28">
        <v>503</v>
      </c>
      <c r="L36" s="134">
        <v>426</v>
      </c>
      <c r="M36" s="28">
        <v>3300</v>
      </c>
      <c r="N36" s="134"/>
      <c r="O36" s="28"/>
      <c r="P36" s="134">
        <v>11227</v>
      </c>
      <c r="Q36" s="28">
        <v>2835</v>
      </c>
      <c r="R36" s="122">
        <v>75</v>
      </c>
      <c r="S36" s="134"/>
      <c r="T36" s="134"/>
      <c r="U36" s="134"/>
      <c r="V36" s="134"/>
      <c r="W36" s="134"/>
      <c r="X36" s="134"/>
      <c r="Y36" s="134"/>
      <c r="Z36" s="134"/>
      <c r="AA36" s="134"/>
      <c r="AB36" s="134"/>
      <c r="AC36" s="134"/>
      <c r="AD36" s="134"/>
    </row>
    <row r="37" spans="1:30">
      <c r="A37" s="100">
        <v>20</v>
      </c>
      <c r="B37" s="4" t="s">
        <v>106</v>
      </c>
      <c r="C37" s="10"/>
      <c r="D37" s="162">
        <v>118482</v>
      </c>
      <c r="E37" s="28">
        <v>1342</v>
      </c>
      <c r="F37" s="134">
        <v>344</v>
      </c>
      <c r="G37" s="28">
        <v>25</v>
      </c>
      <c r="H37" s="134">
        <v>7104</v>
      </c>
      <c r="I37" s="28">
        <v>12889</v>
      </c>
      <c r="J37" s="134">
        <v>12</v>
      </c>
      <c r="K37" s="28">
        <v>1465</v>
      </c>
      <c r="L37" s="134">
        <v>4317</v>
      </c>
      <c r="M37" s="28">
        <v>12881</v>
      </c>
      <c r="N37" s="134"/>
      <c r="O37" s="28"/>
      <c r="P37" s="134">
        <v>8415</v>
      </c>
      <c r="Q37" s="28">
        <v>11654</v>
      </c>
      <c r="R37" s="122">
        <v>195</v>
      </c>
      <c r="S37" s="134"/>
      <c r="T37" s="134"/>
      <c r="U37" s="134"/>
      <c r="V37" s="134"/>
      <c r="W37" s="134"/>
      <c r="X37" s="134"/>
      <c r="Y37" s="134"/>
      <c r="Z37" s="134"/>
      <c r="AA37" s="134"/>
      <c r="AB37" s="134"/>
      <c r="AC37" s="134"/>
      <c r="AD37" s="134"/>
    </row>
    <row r="38" spans="1:30">
      <c r="A38" s="100">
        <v>21</v>
      </c>
      <c r="B38" s="4" t="s">
        <v>107</v>
      </c>
      <c r="C38" s="10"/>
      <c r="D38" s="162">
        <v>1592843</v>
      </c>
      <c r="E38" s="28">
        <v>114780</v>
      </c>
      <c r="F38" s="134">
        <v>229</v>
      </c>
      <c r="G38" s="28">
        <v>29</v>
      </c>
      <c r="H38" s="134">
        <v>30867</v>
      </c>
      <c r="I38" s="28">
        <v>3910</v>
      </c>
      <c r="J38" s="134">
        <v>15</v>
      </c>
      <c r="K38" s="28">
        <v>3390</v>
      </c>
      <c r="L38" s="134">
        <v>476</v>
      </c>
      <c r="M38" s="28">
        <v>45771</v>
      </c>
      <c r="N38" s="134">
        <v>58368</v>
      </c>
      <c r="O38" s="28">
        <v>48</v>
      </c>
      <c r="P38" s="134">
        <v>6991</v>
      </c>
      <c r="Q38" s="28">
        <v>13197</v>
      </c>
      <c r="R38" s="122">
        <v>66</v>
      </c>
      <c r="S38" s="134"/>
      <c r="T38" s="134"/>
      <c r="U38" s="134"/>
      <c r="V38" s="134"/>
      <c r="W38" s="134"/>
      <c r="X38" s="134"/>
      <c r="Y38" s="134"/>
      <c r="Z38" s="134"/>
      <c r="AA38" s="134"/>
      <c r="AB38" s="134"/>
      <c r="AC38" s="134"/>
      <c r="AD38" s="134"/>
    </row>
    <row r="39" spans="1:30">
      <c r="A39" s="214">
        <v>22</v>
      </c>
      <c r="B39" s="96" t="s">
        <v>108</v>
      </c>
      <c r="C39" s="10"/>
      <c r="D39" s="162">
        <v>966972</v>
      </c>
      <c r="E39" s="28">
        <v>1107977</v>
      </c>
      <c r="F39" s="134">
        <v>303</v>
      </c>
      <c r="G39" s="28">
        <v>34</v>
      </c>
      <c r="H39" s="134">
        <v>47486</v>
      </c>
      <c r="I39" s="28">
        <v>18543</v>
      </c>
      <c r="J39" s="134">
        <v>220</v>
      </c>
      <c r="K39" s="28">
        <v>10313</v>
      </c>
      <c r="L39" s="134">
        <v>66615</v>
      </c>
      <c r="M39" s="28">
        <v>103638</v>
      </c>
      <c r="N39" s="134">
        <v>12030</v>
      </c>
      <c r="O39" s="28">
        <v>200</v>
      </c>
      <c r="P39" s="134">
        <v>25900</v>
      </c>
      <c r="Q39" s="28">
        <v>25072</v>
      </c>
      <c r="R39" s="122"/>
      <c r="S39" s="134"/>
      <c r="T39" s="134"/>
      <c r="U39" s="134"/>
      <c r="V39" s="134"/>
      <c r="W39" s="134"/>
      <c r="X39" s="134"/>
      <c r="Y39" s="134"/>
      <c r="Z39" s="134"/>
      <c r="AA39" s="134"/>
      <c r="AB39" s="134"/>
      <c r="AC39" s="134"/>
      <c r="AD39" s="134"/>
    </row>
    <row r="40" spans="1:30">
      <c r="A40" s="100">
        <v>23</v>
      </c>
      <c r="B40" s="4" t="s">
        <v>109</v>
      </c>
      <c r="C40" s="10"/>
      <c r="D40" s="162">
        <v>310844</v>
      </c>
      <c r="E40" s="28">
        <v>57799</v>
      </c>
      <c r="F40" s="134">
        <v>99</v>
      </c>
      <c r="G40" s="28">
        <v>17</v>
      </c>
      <c r="H40" s="134">
        <v>9047</v>
      </c>
      <c r="I40" s="28">
        <v>1536</v>
      </c>
      <c r="J40" s="134">
        <v>34</v>
      </c>
      <c r="K40" s="28">
        <v>292</v>
      </c>
      <c r="L40" s="134">
        <v>8728</v>
      </c>
      <c r="M40" s="28">
        <v>10036</v>
      </c>
      <c r="N40" s="134">
        <v>28779</v>
      </c>
      <c r="O40" s="28"/>
      <c r="P40" s="134">
        <v>350</v>
      </c>
      <c r="Q40" s="28">
        <v>2473</v>
      </c>
      <c r="R40" s="122"/>
      <c r="S40" s="134"/>
      <c r="T40" s="134"/>
      <c r="U40" s="134"/>
      <c r="V40" s="134"/>
      <c r="W40" s="134"/>
      <c r="X40" s="134"/>
      <c r="Y40" s="134"/>
      <c r="Z40" s="134"/>
      <c r="AA40" s="134"/>
      <c r="AB40" s="134"/>
      <c r="AC40" s="134"/>
      <c r="AD40" s="134"/>
    </row>
    <row r="41" spans="1:30">
      <c r="A41" s="100">
        <v>24</v>
      </c>
      <c r="B41" s="4" t="s">
        <v>110</v>
      </c>
      <c r="C41" s="10"/>
      <c r="D41" s="63">
        <v>10389</v>
      </c>
      <c r="E41" s="205">
        <v>4</v>
      </c>
      <c r="F41" s="22">
        <v>1524</v>
      </c>
      <c r="G41" s="205">
        <v>2</v>
      </c>
      <c r="H41" s="28">
        <v>1245</v>
      </c>
      <c r="I41" s="134">
        <v>3544</v>
      </c>
      <c r="J41" s="22">
        <v>859</v>
      </c>
      <c r="K41" s="134">
        <v>1228</v>
      </c>
      <c r="L41" s="28">
        <v>36614</v>
      </c>
      <c r="M41" s="134">
        <v>214671</v>
      </c>
      <c r="N41" s="22"/>
      <c r="O41" s="134"/>
      <c r="P41" s="22">
        <v>120</v>
      </c>
      <c r="Q41" s="32">
        <v>40</v>
      </c>
      <c r="R41" s="122">
        <v>350</v>
      </c>
      <c r="S41" s="32"/>
      <c r="T41" s="32"/>
      <c r="U41" s="32"/>
      <c r="V41" s="32"/>
      <c r="W41" s="32"/>
      <c r="X41" s="32"/>
      <c r="Y41" s="32"/>
      <c r="Z41" s="32"/>
      <c r="AA41" s="32"/>
      <c r="AB41" s="32"/>
      <c r="AC41" s="32"/>
      <c r="AD41" s="32"/>
    </row>
    <row r="42" spans="1:30" ht="15">
      <c r="A42" s="100">
        <v>25</v>
      </c>
      <c r="B42" s="4" t="s">
        <v>111</v>
      </c>
      <c r="C42" s="248"/>
      <c r="D42" s="63">
        <v>420410</v>
      </c>
      <c r="E42" s="22">
        <v>9132</v>
      </c>
      <c r="F42" s="28">
        <v>1214</v>
      </c>
      <c r="G42" s="22">
        <v>54</v>
      </c>
      <c r="H42" s="28">
        <v>7493</v>
      </c>
      <c r="I42" s="28">
        <v>5983</v>
      </c>
      <c r="J42" s="22">
        <v>325</v>
      </c>
      <c r="K42" s="28">
        <v>2421</v>
      </c>
      <c r="L42" s="45">
        <v>11539</v>
      </c>
      <c r="M42" s="28">
        <v>102675</v>
      </c>
      <c r="N42" s="70">
        <v>117659</v>
      </c>
      <c r="O42" s="28">
        <v>50</v>
      </c>
      <c r="P42" s="22">
        <v>300</v>
      </c>
      <c r="Q42" s="205">
        <v>280</v>
      </c>
      <c r="R42" s="122"/>
      <c r="S42" s="32"/>
      <c r="T42" s="32"/>
      <c r="U42" s="32"/>
      <c r="V42" s="32"/>
      <c r="W42" s="32"/>
      <c r="X42" s="32"/>
      <c r="Y42" s="134"/>
      <c r="Z42" s="134"/>
      <c r="AA42" s="134"/>
      <c r="AB42" s="134"/>
      <c r="AC42" s="134"/>
      <c r="AD42" s="134"/>
    </row>
    <row r="43" spans="1:30">
      <c r="A43" s="100">
        <v>26</v>
      </c>
      <c r="B43" s="4" t="s">
        <v>112</v>
      </c>
      <c r="C43" s="17"/>
      <c r="D43" s="162">
        <v>310640</v>
      </c>
      <c r="E43" s="28">
        <v>29347</v>
      </c>
      <c r="F43" s="134">
        <v>40</v>
      </c>
      <c r="G43" s="28">
        <v>2</v>
      </c>
      <c r="H43" s="134">
        <v>32466</v>
      </c>
      <c r="I43" s="28">
        <v>23064</v>
      </c>
      <c r="J43" s="134">
        <v>1430</v>
      </c>
      <c r="K43" s="28">
        <v>812</v>
      </c>
      <c r="L43" s="134">
        <v>1020</v>
      </c>
      <c r="M43" s="28">
        <v>1112</v>
      </c>
      <c r="N43" s="134"/>
      <c r="O43" s="28"/>
      <c r="P43" s="134">
        <v>5808</v>
      </c>
      <c r="Q43" s="22">
        <v>17166</v>
      </c>
      <c r="R43" s="122"/>
      <c r="S43" s="134"/>
      <c r="T43" s="134"/>
      <c r="U43" s="134"/>
      <c r="V43" s="134"/>
      <c r="W43" s="134"/>
      <c r="X43" s="134"/>
      <c r="Y43" s="134"/>
      <c r="Z43" s="134"/>
      <c r="AA43" s="134"/>
      <c r="AB43" s="134"/>
      <c r="AC43" s="134"/>
      <c r="AD43" s="134"/>
    </row>
    <row r="44" spans="1:30">
      <c r="A44" s="100">
        <v>27</v>
      </c>
      <c r="B44" s="4" t="s">
        <v>113</v>
      </c>
      <c r="C44" s="10"/>
      <c r="D44" s="162">
        <v>156457</v>
      </c>
      <c r="E44" s="28">
        <v>1300</v>
      </c>
      <c r="F44" s="134">
        <v>648</v>
      </c>
      <c r="G44" s="28">
        <v>39</v>
      </c>
      <c r="H44" s="134">
        <v>4912</v>
      </c>
      <c r="I44" s="28">
        <v>2532</v>
      </c>
      <c r="J44" s="134">
        <v>30</v>
      </c>
      <c r="K44" s="28">
        <v>11315</v>
      </c>
      <c r="L44" s="134">
        <v>3267</v>
      </c>
      <c r="M44" s="28">
        <v>12269</v>
      </c>
      <c r="N44" s="134"/>
      <c r="O44" s="28"/>
      <c r="P44" s="134">
        <v>535</v>
      </c>
      <c r="Q44" s="28">
        <v>120</v>
      </c>
      <c r="R44" s="122"/>
      <c r="S44" s="134"/>
      <c r="T44" s="134"/>
      <c r="U44" s="134"/>
      <c r="V44" s="134"/>
      <c r="W44" s="134"/>
      <c r="X44" s="134"/>
      <c r="Y44" s="134"/>
      <c r="Z44" s="134"/>
      <c r="AA44" s="134"/>
      <c r="AB44" s="134"/>
      <c r="AC44" s="134"/>
      <c r="AD44" s="134"/>
    </row>
    <row r="45" spans="1:30">
      <c r="A45" s="100">
        <v>28</v>
      </c>
      <c r="B45" s="4" t="s">
        <v>114</v>
      </c>
      <c r="C45" s="10"/>
      <c r="D45" s="162">
        <v>639005</v>
      </c>
      <c r="E45" s="28">
        <v>65108</v>
      </c>
      <c r="F45" s="134">
        <v>5472</v>
      </c>
      <c r="G45" s="28">
        <v>8</v>
      </c>
      <c r="H45" s="134">
        <v>25865</v>
      </c>
      <c r="I45" s="28">
        <v>14033</v>
      </c>
      <c r="J45" s="134">
        <v>7168</v>
      </c>
      <c r="K45" s="28"/>
      <c r="L45" s="134"/>
      <c r="M45" s="28">
        <v>1464</v>
      </c>
      <c r="N45" s="134"/>
      <c r="O45" s="28"/>
      <c r="P45" s="134"/>
      <c r="Q45" s="13"/>
      <c r="R45" s="122"/>
      <c r="S45" s="134"/>
      <c r="T45" s="134"/>
      <c r="U45" s="134"/>
      <c r="V45" s="134"/>
      <c r="W45" s="134"/>
      <c r="X45" s="134"/>
      <c r="Y45" s="134"/>
      <c r="Z45" s="134"/>
      <c r="AA45" s="134"/>
      <c r="AB45" s="134"/>
      <c r="AC45" s="134"/>
      <c r="AD45" s="134"/>
    </row>
    <row r="46" spans="1:30">
      <c r="A46" s="100">
        <v>29</v>
      </c>
      <c r="B46" s="4" t="s">
        <v>115</v>
      </c>
      <c r="C46" s="10"/>
      <c r="D46" s="162">
        <v>835124</v>
      </c>
      <c r="E46" s="28">
        <v>752234</v>
      </c>
      <c r="F46" s="134">
        <v>487</v>
      </c>
      <c r="G46" s="28">
        <v>11</v>
      </c>
      <c r="H46" s="134">
        <v>22441</v>
      </c>
      <c r="I46" s="28">
        <v>17723</v>
      </c>
      <c r="J46" s="134">
        <v>56</v>
      </c>
      <c r="K46" s="28">
        <v>16151</v>
      </c>
      <c r="L46" s="134">
        <v>13266</v>
      </c>
      <c r="M46" s="28">
        <v>71115</v>
      </c>
      <c r="N46" s="134"/>
      <c r="O46" s="28">
        <v>190</v>
      </c>
      <c r="P46" s="134">
        <v>11709</v>
      </c>
      <c r="Q46" s="28">
        <v>8650</v>
      </c>
      <c r="R46" s="122">
        <v>7796</v>
      </c>
      <c r="S46" s="134"/>
      <c r="T46" s="134"/>
      <c r="U46" s="134"/>
      <c r="V46" s="134"/>
      <c r="W46" s="134"/>
      <c r="X46" s="134"/>
      <c r="Y46" s="134"/>
      <c r="Z46" s="134"/>
      <c r="AA46" s="134"/>
      <c r="AB46" s="134"/>
      <c r="AC46" s="134"/>
      <c r="AD46" s="134"/>
    </row>
    <row r="47" spans="1:30">
      <c r="A47" s="100">
        <v>30</v>
      </c>
      <c r="B47" s="4" t="s">
        <v>116</v>
      </c>
      <c r="C47" s="10"/>
      <c r="D47" s="162">
        <v>682608</v>
      </c>
      <c r="E47" s="28">
        <v>149863</v>
      </c>
      <c r="F47" s="134">
        <v>101</v>
      </c>
      <c r="G47" s="28">
        <v>50</v>
      </c>
      <c r="H47" s="134">
        <v>16892</v>
      </c>
      <c r="I47" s="28">
        <v>4232</v>
      </c>
      <c r="J47" s="134">
        <v>13</v>
      </c>
      <c r="K47" s="28">
        <v>1649</v>
      </c>
      <c r="L47" s="134">
        <v>12044</v>
      </c>
      <c r="M47" s="28">
        <v>8192</v>
      </c>
      <c r="N47" s="134">
        <v>290</v>
      </c>
      <c r="O47" s="28">
        <v>6176</v>
      </c>
      <c r="P47" s="134">
        <v>9974</v>
      </c>
      <c r="Q47" s="28">
        <v>2778</v>
      </c>
      <c r="R47" s="122"/>
      <c r="S47" s="134"/>
      <c r="T47" s="134"/>
      <c r="U47" s="134"/>
      <c r="V47" s="134"/>
      <c r="W47" s="134"/>
      <c r="X47" s="134"/>
      <c r="Y47" s="134"/>
      <c r="Z47" s="134"/>
      <c r="AA47" s="134"/>
      <c r="AB47" s="134"/>
      <c r="AC47" s="134"/>
      <c r="AD47" s="134"/>
    </row>
    <row r="48" spans="1:30" ht="15">
      <c r="A48" s="100">
        <v>31</v>
      </c>
      <c r="B48" s="4" t="s">
        <v>117</v>
      </c>
      <c r="C48" s="248"/>
      <c r="D48" s="162">
        <v>359700</v>
      </c>
      <c r="E48" s="22">
        <v>76634</v>
      </c>
      <c r="F48" s="28">
        <v>286</v>
      </c>
      <c r="G48" s="22">
        <v>21</v>
      </c>
      <c r="H48" s="28">
        <v>39851</v>
      </c>
      <c r="I48" s="28">
        <v>39307</v>
      </c>
      <c r="J48" s="22">
        <v>65</v>
      </c>
      <c r="K48" s="28">
        <v>135</v>
      </c>
      <c r="L48" s="45">
        <v>430</v>
      </c>
      <c r="M48" s="28">
        <v>39126</v>
      </c>
      <c r="N48" s="70"/>
      <c r="O48" s="28"/>
      <c r="P48" s="22">
        <v>2680</v>
      </c>
      <c r="Q48" s="28">
        <v>11432</v>
      </c>
      <c r="R48" s="122">
        <v>86</v>
      </c>
      <c r="S48" s="32"/>
      <c r="T48" s="32"/>
      <c r="U48" s="32"/>
      <c r="V48" s="32"/>
      <c r="W48" s="32"/>
      <c r="X48" s="32"/>
      <c r="Y48" s="134"/>
      <c r="Z48" s="134"/>
      <c r="AA48" s="134"/>
      <c r="AB48" s="134"/>
      <c r="AC48" s="134"/>
      <c r="AD48" s="134"/>
    </row>
    <row r="49" spans="1:30">
      <c r="A49" s="100">
        <v>32</v>
      </c>
      <c r="B49" s="4" t="s">
        <v>118</v>
      </c>
      <c r="C49" s="17"/>
      <c r="D49" s="162">
        <v>190185</v>
      </c>
      <c r="E49" s="28">
        <v>33032</v>
      </c>
      <c r="F49" s="134">
        <v>680</v>
      </c>
      <c r="G49" s="28">
        <v>8</v>
      </c>
      <c r="H49" s="134">
        <v>36221</v>
      </c>
      <c r="I49" s="28">
        <v>10936</v>
      </c>
      <c r="J49" s="134"/>
      <c r="K49" s="28">
        <v>1576</v>
      </c>
      <c r="L49" s="134">
        <v>46038</v>
      </c>
      <c r="M49" s="28">
        <v>19245</v>
      </c>
      <c r="N49" s="134">
        <v>4232</v>
      </c>
      <c r="O49" s="28">
        <v>1188</v>
      </c>
      <c r="P49" s="134">
        <v>4719</v>
      </c>
      <c r="Q49" s="22">
        <v>2760</v>
      </c>
      <c r="R49" s="122"/>
      <c r="S49" s="134"/>
      <c r="T49" s="134"/>
      <c r="U49" s="134"/>
      <c r="V49" s="134"/>
      <c r="W49" s="134"/>
      <c r="X49" s="134"/>
      <c r="Y49" s="134"/>
      <c r="Z49" s="134"/>
      <c r="AA49" s="134"/>
      <c r="AB49" s="134"/>
      <c r="AC49" s="134"/>
      <c r="AD49" s="134"/>
    </row>
    <row r="50" spans="1:30">
      <c r="A50" s="100">
        <v>33</v>
      </c>
      <c r="B50" s="4" t="s">
        <v>119</v>
      </c>
      <c r="C50" s="10"/>
      <c r="D50" s="162">
        <v>528252</v>
      </c>
      <c r="E50" s="28">
        <v>158258</v>
      </c>
      <c r="F50" s="134">
        <v>2663</v>
      </c>
      <c r="G50" s="28">
        <v>10</v>
      </c>
      <c r="H50" s="134">
        <v>22182</v>
      </c>
      <c r="I50" s="28">
        <v>9217</v>
      </c>
      <c r="J50" s="134">
        <v>1066</v>
      </c>
      <c r="K50" s="28"/>
      <c r="L50" s="271"/>
      <c r="M50" s="28"/>
      <c r="N50" s="134"/>
      <c r="O50" s="28"/>
      <c r="P50" s="134"/>
      <c r="Q50" s="13"/>
      <c r="R50" s="122"/>
      <c r="S50" s="134"/>
      <c r="T50" s="134"/>
      <c r="U50" s="134"/>
      <c r="V50" s="134"/>
      <c r="W50" s="134"/>
      <c r="X50" s="134"/>
      <c r="Y50" s="134"/>
      <c r="Z50" s="134"/>
      <c r="AA50" s="134"/>
      <c r="AB50" s="134"/>
      <c r="AC50" s="134"/>
      <c r="AD50" s="134"/>
    </row>
    <row r="51" spans="1:30">
      <c r="A51" s="100">
        <v>34</v>
      </c>
      <c r="B51" s="4" t="s">
        <v>120</v>
      </c>
      <c r="C51" s="10"/>
      <c r="D51" s="162">
        <v>439150</v>
      </c>
      <c r="E51" s="28">
        <v>44588</v>
      </c>
      <c r="F51" s="134">
        <v>130</v>
      </c>
      <c r="G51" s="28">
        <v>15</v>
      </c>
      <c r="H51" s="134">
        <v>48025</v>
      </c>
      <c r="I51" s="28">
        <v>5048</v>
      </c>
      <c r="J51" s="134">
        <v>68</v>
      </c>
      <c r="K51" s="28">
        <v>2953</v>
      </c>
      <c r="L51" s="134">
        <v>60</v>
      </c>
      <c r="M51" s="28">
        <v>10351</v>
      </c>
      <c r="N51" s="134">
        <v>2612</v>
      </c>
      <c r="O51" s="28">
        <v>6</v>
      </c>
      <c r="P51" s="134">
        <v>2430</v>
      </c>
      <c r="Q51" s="28">
        <v>8211</v>
      </c>
      <c r="R51" s="122"/>
      <c r="S51" s="134"/>
      <c r="T51" s="134"/>
      <c r="U51" s="134"/>
      <c r="V51" s="134"/>
      <c r="W51" s="134"/>
      <c r="X51" s="134"/>
      <c r="Y51" s="134"/>
      <c r="Z51" s="134"/>
      <c r="AA51" s="134"/>
      <c r="AB51" s="134"/>
      <c r="AC51" s="134"/>
      <c r="AD51" s="134"/>
    </row>
    <row r="52" spans="1:30">
      <c r="A52" s="100">
        <v>35</v>
      </c>
      <c r="B52" s="4" t="s">
        <v>121</v>
      </c>
      <c r="C52" s="10"/>
      <c r="D52" s="63">
        <v>388466</v>
      </c>
      <c r="E52" s="28">
        <v>2135</v>
      </c>
      <c r="F52" s="134">
        <v>1261</v>
      </c>
      <c r="G52" s="28">
        <v>26</v>
      </c>
      <c r="H52" s="134">
        <v>14503</v>
      </c>
      <c r="I52" s="28">
        <v>3982</v>
      </c>
      <c r="J52" s="134">
        <v>742</v>
      </c>
      <c r="K52" s="28">
        <v>13207</v>
      </c>
      <c r="L52" s="134">
        <v>1094</v>
      </c>
      <c r="M52" s="28">
        <v>12452</v>
      </c>
      <c r="N52" s="134"/>
      <c r="O52" s="28">
        <v>14</v>
      </c>
      <c r="P52" s="134">
        <v>4656</v>
      </c>
      <c r="Q52" s="28">
        <v>1565</v>
      </c>
      <c r="R52" s="122">
        <v>2605</v>
      </c>
      <c r="S52" s="134"/>
      <c r="T52" s="134"/>
      <c r="U52" s="134"/>
      <c r="V52" s="134"/>
      <c r="W52" s="134"/>
      <c r="X52" s="134"/>
      <c r="Y52" s="134"/>
      <c r="Z52" s="134"/>
      <c r="AA52" s="134"/>
      <c r="AB52" s="134"/>
      <c r="AC52" s="134"/>
      <c r="AD52" s="134"/>
    </row>
    <row r="53" spans="1:30">
      <c r="A53" s="100">
        <v>36</v>
      </c>
      <c r="B53" s="4" t="s">
        <v>122</v>
      </c>
      <c r="C53" s="10"/>
      <c r="D53" s="162">
        <v>29775</v>
      </c>
      <c r="E53" s="28">
        <v>1274028</v>
      </c>
      <c r="F53" s="134">
        <v>317</v>
      </c>
      <c r="G53" s="28">
        <v>35</v>
      </c>
      <c r="H53" s="134">
        <v>3996</v>
      </c>
      <c r="I53" s="28">
        <v>28270</v>
      </c>
      <c r="J53" s="134">
        <v>6</v>
      </c>
      <c r="K53" s="28">
        <v>6398</v>
      </c>
      <c r="L53" s="134">
        <v>1100</v>
      </c>
      <c r="M53" s="28">
        <v>7802</v>
      </c>
      <c r="N53" s="134"/>
      <c r="O53" s="28">
        <v>40</v>
      </c>
      <c r="P53" s="134">
        <v>5301</v>
      </c>
      <c r="Q53" s="28">
        <v>5925</v>
      </c>
      <c r="R53" s="122">
        <v>628</v>
      </c>
      <c r="S53" s="134"/>
      <c r="T53" s="134"/>
      <c r="U53" s="134"/>
      <c r="V53" s="134"/>
      <c r="W53" s="134"/>
      <c r="X53" s="134"/>
      <c r="Y53" s="134"/>
      <c r="Z53" s="134"/>
      <c r="AA53" s="134"/>
      <c r="AB53" s="134"/>
      <c r="AC53" s="134"/>
      <c r="AD53" s="134"/>
    </row>
    <row r="54" spans="1:30" ht="15">
      <c r="A54" s="100">
        <v>37</v>
      </c>
      <c r="B54" s="4" t="s">
        <v>123</v>
      </c>
      <c r="C54" s="248"/>
      <c r="D54" s="63">
        <v>65876</v>
      </c>
      <c r="E54" s="22">
        <v>25662</v>
      </c>
      <c r="F54" s="28">
        <v>452</v>
      </c>
      <c r="G54" s="22">
        <v>500</v>
      </c>
      <c r="H54" s="28">
        <v>42468</v>
      </c>
      <c r="I54" s="28">
        <v>38404</v>
      </c>
      <c r="J54" s="22"/>
      <c r="K54" s="28">
        <v>253</v>
      </c>
      <c r="L54" s="45">
        <v>365</v>
      </c>
      <c r="M54" s="28">
        <v>6056</v>
      </c>
      <c r="N54" s="70"/>
      <c r="O54" s="28"/>
      <c r="P54" s="22">
        <v>8753</v>
      </c>
      <c r="Q54" s="28">
        <v>19078</v>
      </c>
      <c r="R54" s="122"/>
      <c r="S54" s="32"/>
      <c r="T54" s="32"/>
      <c r="U54" s="32"/>
      <c r="V54" s="32"/>
      <c r="W54" s="32"/>
      <c r="X54" s="32"/>
      <c r="Y54" s="134"/>
      <c r="Z54" s="134"/>
      <c r="AA54" s="134"/>
      <c r="AB54" s="134"/>
      <c r="AC54" s="134"/>
      <c r="AD54" s="134"/>
    </row>
    <row r="55" spans="1:30">
      <c r="A55" s="100">
        <v>38</v>
      </c>
      <c r="B55" s="4" t="s">
        <v>124</v>
      </c>
      <c r="C55" s="17"/>
      <c r="D55" s="162">
        <v>149025</v>
      </c>
      <c r="E55" s="28">
        <v>12835</v>
      </c>
      <c r="F55" s="134">
        <v>624</v>
      </c>
      <c r="G55" s="28">
        <v>17</v>
      </c>
      <c r="H55" s="134">
        <v>10446</v>
      </c>
      <c r="I55" s="28">
        <v>3725</v>
      </c>
      <c r="J55" s="134">
        <v>48</v>
      </c>
      <c r="K55" s="28">
        <v>441</v>
      </c>
      <c r="L55" s="134">
        <v>303458</v>
      </c>
      <c r="M55" s="28">
        <v>306299</v>
      </c>
      <c r="N55" s="134">
        <v>21768</v>
      </c>
      <c r="O55" s="28"/>
      <c r="P55" s="134">
        <v>2121</v>
      </c>
      <c r="Q55" s="22">
        <v>3339</v>
      </c>
      <c r="R55" s="122">
        <v>520</v>
      </c>
      <c r="S55" s="134"/>
      <c r="T55" s="134"/>
      <c r="U55" s="134"/>
      <c r="V55" s="134"/>
      <c r="W55" s="134"/>
      <c r="X55" s="134"/>
      <c r="Y55" s="134"/>
      <c r="Z55" s="134"/>
      <c r="AA55" s="134"/>
      <c r="AB55" s="134"/>
      <c r="AC55" s="134"/>
      <c r="AD55" s="134"/>
    </row>
    <row r="56" spans="1:30">
      <c r="A56" s="100">
        <v>39</v>
      </c>
      <c r="B56" s="4" t="s">
        <v>125</v>
      </c>
      <c r="C56" s="10"/>
      <c r="D56" s="162">
        <v>917877</v>
      </c>
      <c r="E56" s="28">
        <v>792</v>
      </c>
      <c r="F56" s="134">
        <v>7434</v>
      </c>
      <c r="G56" s="28">
        <v>568</v>
      </c>
      <c r="H56" s="134">
        <v>26651</v>
      </c>
      <c r="I56" s="28">
        <v>28400</v>
      </c>
      <c r="J56" s="134">
        <v>5355</v>
      </c>
      <c r="K56" s="28">
        <v>540</v>
      </c>
      <c r="L56" s="134">
        <v>93949</v>
      </c>
      <c r="M56" s="28">
        <v>51095</v>
      </c>
      <c r="N56" s="134">
        <v>2354</v>
      </c>
      <c r="O56" s="28"/>
      <c r="P56" s="134">
        <v>1233</v>
      </c>
      <c r="Q56" s="13"/>
      <c r="R56" s="122">
        <v>909</v>
      </c>
      <c r="S56" s="134"/>
      <c r="T56" s="134"/>
      <c r="U56" s="134"/>
      <c r="V56" s="134"/>
      <c r="W56" s="134"/>
      <c r="X56" s="134"/>
      <c r="Y56" s="134"/>
      <c r="Z56" s="134"/>
      <c r="AA56" s="134"/>
      <c r="AB56" s="134"/>
      <c r="AC56" s="134"/>
      <c r="AD56" s="134"/>
    </row>
    <row r="57" spans="1:30">
      <c r="A57" s="100">
        <v>40</v>
      </c>
      <c r="B57" s="4" t="s">
        <v>126</v>
      </c>
      <c r="C57" s="10"/>
      <c r="D57" s="162">
        <v>49421</v>
      </c>
      <c r="E57" s="28">
        <v>460</v>
      </c>
      <c r="F57" s="134">
        <v>175</v>
      </c>
      <c r="G57" s="28">
        <v>1</v>
      </c>
      <c r="H57" s="134">
        <v>2374</v>
      </c>
      <c r="I57" s="28">
        <v>212</v>
      </c>
      <c r="J57" s="134"/>
      <c r="K57" s="28">
        <v>2307</v>
      </c>
      <c r="L57" s="134">
        <v>3457</v>
      </c>
      <c r="M57" s="28">
        <v>7501</v>
      </c>
      <c r="N57" s="134">
        <v>10</v>
      </c>
      <c r="O57" s="28"/>
      <c r="P57" s="134"/>
      <c r="Q57" s="28">
        <v>135</v>
      </c>
      <c r="R57" s="122">
        <v>591</v>
      </c>
      <c r="S57" s="134"/>
      <c r="T57" s="134"/>
      <c r="U57" s="134"/>
      <c r="V57" s="134"/>
      <c r="W57" s="134"/>
      <c r="X57" s="134"/>
      <c r="Y57" s="134"/>
      <c r="Z57" s="134"/>
      <c r="AA57" s="134"/>
      <c r="AB57" s="134"/>
      <c r="AC57" s="134"/>
      <c r="AD57" s="134"/>
    </row>
    <row r="58" spans="1:30">
      <c r="A58" s="100">
        <v>41</v>
      </c>
      <c r="B58" s="4" t="s">
        <v>127</v>
      </c>
      <c r="C58" s="10"/>
      <c r="D58" s="162">
        <v>190078</v>
      </c>
      <c r="E58" s="28">
        <v>3</v>
      </c>
      <c r="F58" s="134">
        <v>1774</v>
      </c>
      <c r="G58" s="28">
        <v>4</v>
      </c>
      <c r="H58" s="134">
        <v>4658</v>
      </c>
      <c r="I58" s="28">
        <v>4860</v>
      </c>
      <c r="J58" s="134">
        <v>755</v>
      </c>
      <c r="K58" s="28">
        <v>123</v>
      </c>
      <c r="L58" s="134">
        <v>90</v>
      </c>
      <c r="M58" s="28">
        <v>50189</v>
      </c>
      <c r="N58" s="134">
        <v>12471</v>
      </c>
      <c r="O58" s="28"/>
      <c r="P58" s="134">
        <v>50</v>
      </c>
      <c r="Q58" s="13"/>
      <c r="R58" s="122"/>
      <c r="S58" s="134"/>
      <c r="T58" s="134"/>
      <c r="U58" s="134"/>
      <c r="V58" s="134"/>
      <c r="W58" s="134"/>
      <c r="X58" s="134"/>
      <c r="Y58" s="134"/>
      <c r="Z58" s="134"/>
      <c r="AA58" s="134"/>
      <c r="AB58" s="134"/>
      <c r="AC58" s="134"/>
      <c r="AD58" s="134"/>
    </row>
    <row r="59" spans="1:30">
      <c r="A59" s="100">
        <v>42</v>
      </c>
      <c r="B59" s="4" t="s">
        <v>303</v>
      </c>
      <c r="C59" s="10"/>
      <c r="D59" s="162"/>
      <c r="E59" s="28"/>
      <c r="F59" s="134">
        <v>210</v>
      </c>
      <c r="G59" s="28">
        <v>12</v>
      </c>
      <c r="H59" s="134">
        <v>3290</v>
      </c>
      <c r="I59" s="28">
        <v>13652</v>
      </c>
      <c r="J59" s="134">
        <v>2</v>
      </c>
      <c r="K59" s="28">
        <v>37394</v>
      </c>
      <c r="L59" s="134">
        <v>8144</v>
      </c>
      <c r="M59" s="28">
        <v>6086</v>
      </c>
      <c r="N59" s="134"/>
      <c r="O59" s="28">
        <v>12</v>
      </c>
      <c r="P59" s="134">
        <v>6531</v>
      </c>
      <c r="Q59" s="28">
        <v>3946</v>
      </c>
      <c r="R59" s="122"/>
      <c r="S59" s="134"/>
      <c r="T59" s="134"/>
      <c r="U59" s="134"/>
      <c r="V59" s="134"/>
      <c r="W59" s="134"/>
      <c r="X59" s="134"/>
      <c r="Y59" s="134"/>
      <c r="Z59" s="134"/>
      <c r="AA59" s="134"/>
      <c r="AB59" s="134"/>
      <c r="AC59" s="134"/>
      <c r="AD59" s="134"/>
    </row>
    <row r="60" spans="1:30" ht="15">
      <c r="A60" s="175">
        <v>43</v>
      </c>
      <c r="B60" s="111" t="s">
        <v>129</v>
      </c>
      <c r="C60" s="248"/>
      <c r="D60" s="63">
        <v>118448</v>
      </c>
      <c r="E60" s="22">
        <v>2465</v>
      </c>
      <c r="F60" s="28">
        <v>64</v>
      </c>
      <c r="G60" s="22">
        <v>41</v>
      </c>
      <c r="H60" s="28">
        <v>9284</v>
      </c>
      <c r="I60" s="28">
        <v>8071</v>
      </c>
      <c r="J60" s="22">
        <v>16</v>
      </c>
      <c r="K60" s="28">
        <v>2879</v>
      </c>
      <c r="L60" s="45">
        <v>175</v>
      </c>
      <c r="M60" s="28">
        <v>698</v>
      </c>
      <c r="N60" s="70">
        <v>20</v>
      </c>
      <c r="O60" s="26"/>
      <c r="P60" s="22">
        <v>1060</v>
      </c>
      <c r="Q60" s="28">
        <v>3556</v>
      </c>
      <c r="R60" s="122"/>
      <c r="S60" s="32"/>
      <c r="T60" s="32"/>
      <c r="U60" s="32"/>
      <c r="V60" s="32"/>
      <c r="W60" s="32"/>
      <c r="X60" s="32"/>
      <c r="Y60" s="134"/>
      <c r="Z60" s="134"/>
      <c r="AA60" s="134"/>
      <c r="AB60" s="134"/>
      <c r="AC60" s="134"/>
      <c r="AD60" s="134"/>
    </row>
    <row r="61" spans="1:30">
      <c r="A61" s="175">
        <v>44</v>
      </c>
      <c r="B61" s="111" t="s">
        <v>130</v>
      </c>
      <c r="C61" s="17"/>
      <c r="D61" s="162">
        <v>963472</v>
      </c>
      <c r="E61" s="28"/>
      <c r="F61" s="134">
        <v>622</v>
      </c>
      <c r="G61" s="28">
        <v>49</v>
      </c>
      <c r="H61" s="134">
        <v>35842</v>
      </c>
      <c r="I61" s="28">
        <v>12442</v>
      </c>
      <c r="J61" s="134">
        <v>47</v>
      </c>
      <c r="K61" s="28">
        <v>58</v>
      </c>
      <c r="L61" s="134">
        <v>22504</v>
      </c>
      <c r="M61" s="28">
        <v>368547</v>
      </c>
      <c r="N61" s="134">
        <v>335335</v>
      </c>
      <c r="O61" s="28">
        <v>10</v>
      </c>
      <c r="P61" s="134">
        <v>59083</v>
      </c>
      <c r="Q61" s="22">
        <v>20870</v>
      </c>
      <c r="R61" s="122">
        <v>15235</v>
      </c>
      <c r="S61" s="134"/>
      <c r="T61" s="134"/>
      <c r="U61" s="134"/>
      <c r="V61" s="134"/>
      <c r="W61" s="134"/>
      <c r="X61" s="134"/>
      <c r="Y61" s="134"/>
      <c r="Z61" s="134"/>
      <c r="AA61" s="134"/>
      <c r="AB61" s="134"/>
      <c r="AC61" s="134"/>
      <c r="AD61" s="134"/>
    </row>
    <row r="62" spans="1:30">
      <c r="A62" s="175">
        <v>45</v>
      </c>
      <c r="B62" s="111" t="s">
        <v>131</v>
      </c>
      <c r="C62" s="10"/>
      <c r="D62" s="162">
        <v>731544</v>
      </c>
      <c r="E62" s="28">
        <v>170861</v>
      </c>
      <c r="F62" s="134">
        <v>471</v>
      </c>
      <c r="G62" s="28">
        <v>34</v>
      </c>
      <c r="H62" s="134">
        <v>26980</v>
      </c>
      <c r="I62" s="28">
        <v>8106</v>
      </c>
      <c r="J62" s="134">
        <v>25</v>
      </c>
      <c r="K62" s="28">
        <v>8159</v>
      </c>
      <c r="L62" s="134">
        <v>40067</v>
      </c>
      <c r="M62" s="28">
        <v>71047</v>
      </c>
      <c r="N62" s="134">
        <v>19469</v>
      </c>
      <c r="O62" s="28">
        <v>108</v>
      </c>
      <c r="P62" s="134">
        <v>11246</v>
      </c>
      <c r="Q62" s="28">
        <v>17345</v>
      </c>
      <c r="R62" s="122">
        <v>402</v>
      </c>
      <c r="S62" s="134"/>
      <c r="T62" s="134"/>
      <c r="U62" s="134"/>
      <c r="V62" s="134"/>
      <c r="W62" s="134"/>
      <c r="X62" s="134"/>
      <c r="Y62" s="134"/>
      <c r="Z62" s="134"/>
      <c r="AA62" s="134"/>
      <c r="AB62" s="134"/>
      <c r="AC62" s="134"/>
      <c r="AD62" s="134"/>
    </row>
    <row r="63" spans="1:30">
      <c r="A63" s="175">
        <v>46</v>
      </c>
      <c r="B63" s="111" t="s">
        <v>132</v>
      </c>
      <c r="C63" s="10"/>
      <c r="D63" s="162">
        <v>998397</v>
      </c>
      <c r="E63" s="28">
        <v>16930</v>
      </c>
      <c r="F63" s="134">
        <v>248</v>
      </c>
      <c r="G63" s="28">
        <v>13</v>
      </c>
      <c r="H63" s="134">
        <v>21813</v>
      </c>
      <c r="I63" s="28">
        <v>636</v>
      </c>
      <c r="J63" s="134">
        <v>18</v>
      </c>
      <c r="K63" s="28">
        <v>75</v>
      </c>
      <c r="L63" s="134">
        <v>2311</v>
      </c>
      <c r="M63" s="28">
        <v>164885</v>
      </c>
      <c r="N63" s="134"/>
      <c r="O63" s="28"/>
      <c r="P63" s="134">
        <v>270</v>
      </c>
      <c r="Q63" s="28">
        <v>6523</v>
      </c>
      <c r="R63" s="122"/>
      <c r="S63" s="134"/>
      <c r="T63" s="134"/>
      <c r="U63" s="134"/>
      <c r="V63" s="134"/>
      <c r="W63" s="134"/>
      <c r="X63" s="134"/>
      <c r="Y63" s="134"/>
      <c r="Z63" s="134"/>
      <c r="AA63" s="134"/>
      <c r="AB63" s="134"/>
      <c r="AC63" s="134"/>
      <c r="AD63" s="134"/>
    </row>
    <row r="64" spans="1:30">
      <c r="A64" s="175">
        <v>47</v>
      </c>
      <c r="B64" s="111" t="s">
        <v>133</v>
      </c>
      <c r="C64" s="10"/>
      <c r="D64" s="162">
        <v>3300</v>
      </c>
      <c r="E64" s="28"/>
      <c r="F64" s="134">
        <v>24</v>
      </c>
      <c r="G64" s="28">
        <v>4</v>
      </c>
      <c r="H64" s="134">
        <v>1492</v>
      </c>
      <c r="I64" s="28">
        <v>5087</v>
      </c>
      <c r="J64" s="134"/>
      <c r="K64" s="28">
        <v>12531</v>
      </c>
      <c r="L64" s="134">
        <v>1505</v>
      </c>
      <c r="M64" s="28">
        <v>4754</v>
      </c>
      <c r="N64" s="134"/>
      <c r="O64" s="28">
        <v>200</v>
      </c>
      <c r="P64" s="134">
        <v>1444</v>
      </c>
      <c r="Q64" s="28">
        <v>411</v>
      </c>
      <c r="R64" s="122">
        <v>613</v>
      </c>
      <c r="S64" s="134"/>
      <c r="T64" s="134"/>
      <c r="U64" s="134"/>
      <c r="V64" s="134"/>
      <c r="W64" s="134"/>
      <c r="X64" s="134"/>
      <c r="Y64" s="134"/>
      <c r="Z64" s="134"/>
      <c r="AA64" s="134"/>
      <c r="AB64" s="134"/>
      <c r="AC64" s="134"/>
      <c r="AD64" s="134"/>
    </row>
    <row r="65" spans="1:30">
      <c r="A65" s="175">
        <v>48</v>
      </c>
      <c r="B65" s="111" t="s">
        <v>134</v>
      </c>
      <c r="C65" s="10"/>
      <c r="D65" s="162">
        <v>379380</v>
      </c>
      <c r="E65" s="28"/>
      <c r="F65" s="134">
        <v>429</v>
      </c>
      <c r="G65" s="28">
        <v>22</v>
      </c>
      <c r="H65" s="134">
        <v>8409</v>
      </c>
      <c r="I65" s="28">
        <v>3146</v>
      </c>
      <c r="J65" s="134"/>
      <c r="K65" s="28">
        <v>7912</v>
      </c>
      <c r="L65" s="134">
        <v>125</v>
      </c>
      <c r="M65" s="28">
        <v>6727</v>
      </c>
      <c r="N65" s="134"/>
      <c r="O65" s="28">
        <v>30</v>
      </c>
      <c r="P65" s="134">
        <v>2198</v>
      </c>
      <c r="Q65" s="28">
        <v>473</v>
      </c>
      <c r="R65" s="122"/>
      <c r="S65" s="134"/>
      <c r="T65" s="134"/>
      <c r="U65" s="134"/>
      <c r="V65" s="134"/>
      <c r="W65" s="134"/>
      <c r="X65" s="134"/>
      <c r="Y65" s="134"/>
      <c r="Z65" s="134"/>
      <c r="AA65" s="134"/>
      <c r="AB65" s="134"/>
      <c r="AC65" s="134"/>
      <c r="AD65" s="134"/>
    </row>
    <row r="66" spans="1:30" ht="15">
      <c r="A66" s="175">
        <v>49</v>
      </c>
      <c r="B66" s="111" t="s">
        <v>135</v>
      </c>
      <c r="C66" s="248"/>
      <c r="D66" s="63">
        <v>275701</v>
      </c>
      <c r="E66" s="22">
        <v>611290</v>
      </c>
      <c r="F66" s="28">
        <v>80</v>
      </c>
      <c r="G66" s="22">
        <v>16</v>
      </c>
      <c r="H66" s="28">
        <v>7480</v>
      </c>
      <c r="I66" s="28">
        <v>15837</v>
      </c>
      <c r="J66" s="22">
        <v>10</v>
      </c>
      <c r="K66" s="28">
        <v>4519</v>
      </c>
      <c r="L66" s="45">
        <v>1470</v>
      </c>
      <c r="M66" s="28">
        <v>11999</v>
      </c>
      <c r="N66" s="70">
        <v>6303</v>
      </c>
      <c r="O66" s="28"/>
      <c r="P66" s="22">
        <v>9283</v>
      </c>
      <c r="Q66" s="28">
        <v>10392</v>
      </c>
      <c r="R66" s="122"/>
      <c r="S66" s="32"/>
      <c r="T66" s="32"/>
      <c r="U66" s="32"/>
      <c r="V66" s="32"/>
      <c r="W66" s="32"/>
      <c r="X66" s="32"/>
      <c r="Y66" s="134"/>
      <c r="Z66" s="134"/>
      <c r="AA66" s="134"/>
      <c r="AB66" s="134"/>
      <c r="AC66" s="134"/>
      <c r="AD66" s="134"/>
    </row>
    <row r="67" spans="1:30">
      <c r="A67" s="175">
        <v>50</v>
      </c>
      <c r="B67" s="111" t="s">
        <v>136</v>
      </c>
      <c r="C67" s="17"/>
      <c r="D67" s="162">
        <v>22779</v>
      </c>
      <c r="E67" s="28">
        <v>351</v>
      </c>
      <c r="F67" s="134">
        <v>172</v>
      </c>
      <c r="G67" s="28">
        <v>22</v>
      </c>
      <c r="H67" s="134">
        <v>15208</v>
      </c>
      <c r="I67" s="28">
        <v>17799</v>
      </c>
      <c r="J67" s="134">
        <v>7</v>
      </c>
      <c r="K67" s="28">
        <v>57</v>
      </c>
      <c r="L67" s="134">
        <v>2565</v>
      </c>
      <c r="M67" s="28">
        <v>4043</v>
      </c>
      <c r="N67" s="134"/>
      <c r="O67" s="28"/>
      <c r="P67" s="134">
        <v>8326</v>
      </c>
      <c r="Q67" s="22">
        <v>16109</v>
      </c>
      <c r="R67" s="122"/>
      <c r="S67" s="134"/>
      <c r="T67" s="134"/>
      <c r="U67" s="134"/>
      <c r="V67" s="134"/>
      <c r="W67" s="134"/>
      <c r="X67" s="134"/>
      <c r="Y67" s="134"/>
      <c r="Z67" s="134"/>
      <c r="AA67" s="134"/>
      <c r="AB67" s="134"/>
      <c r="AC67" s="134"/>
      <c r="AD67" s="134"/>
    </row>
    <row r="68" spans="1:30">
      <c r="A68" s="218">
        <v>51</v>
      </c>
      <c r="B68" s="111" t="s">
        <v>137</v>
      </c>
      <c r="C68" s="10"/>
      <c r="D68" s="162">
        <v>1350</v>
      </c>
      <c r="E68" s="28">
        <v>203</v>
      </c>
      <c r="F68" s="134">
        <v>918</v>
      </c>
      <c r="G68" s="28">
        <v>148</v>
      </c>
      <c r="H68" s="134">
        <v>17735</v>
      </c>
      <c r="I68" s="28">
        <v>7948</v>
      </c>
      <c r="J68" s="134">
        <v>330</v>
      </c>
      <c r="K68" s="28">
        <v>125521</v>
      </c>
      <c r="L68" s="134">
        <v>18447</v>
      </c>
      <c r="M68" s="28">
        <v>14264</v>
      </c>
      <c r="N68" s="134"/>
      <c r="O68" s="28">
        <v>50</v>
      </c>
      <c r="P68" s="134">
        <v>5685</v>
      </c>
      <c r="Q68" s="28">
        <v>6408</v>
      </c>
      <c r="R68" s="122">
        <v>2235</v>
      </c>
      <c r="S68" s="134"/>
      <c r="T68" s="134"/>
      <c r="U68" s="134"/>
      <c r="V68" s="134"/>
      <c r="W68" s="134"/>
      <c r="X68" s="134"/>
      <c r="Y68" s="134"/>
      <c r="Z68" s="134"/>
      <c r="AA68" s="134"/>
      <c r="AB68" s="134"/>
      <c r="AC68" s="134"/>
      <c r="AD68" s="134"/>
    </row>
    <row r="69" spans="1:30">
      <c r="A69" s="218">
        <v>52</v>
      </c>
      <c r="B69" s="111" t="s">
        <v>138</v>
      </c>
      <c r="C69" s="10"/>
      <c r="D69" s="162">
        <v>96952</v>
      </c>
      <c r="E69" s="28">
        <v>12</v>
      </c>
      <c r="F69" s="134">
        <v>469</v>
      </c>
      <c r="G69" s="28">
        <v>217</v>
      </c>
      <c r="H69" s="134">
        <v>5458</v>
      </c>
      <c r="I69" s="28">
        <v>3599</v>
      </c>
      <c r="J69" s="134">
        <v>16</v>
      </c>
      <c r="K69" s="28"/>
      <c r="L69" s="134">
        <v>28907</v>
      </c>
      <c r="M69" s="28">
        <v>61895</v>
      </c>
      <c r="N69" s="134">
        <v>6160</v>
      </c>
      <c r="O69" s="28"/>
      <c r="P69" s="134">
        <v>1280</v>
      </c>
      <c r="Q69" s="28">
        <v>330</v>
      </c>
      <c r="R69" s="122">
        <v>5659</v>
      </c>
      <c r="S69" s="134"/>
      <c r="T69" s="134"/>
      <c r="U69" s="134"/>
      <c r="V69" s="134"/>
      <c r="W69" s="134"/>
      <c r="X69" s="134"/>
      <c r="Y69" s="134"/>
      <c r="Z69" s="134"/>
      <c r="AA69" s="134"/>
      <c r="AB69" s="134"/>
      <c r="AC69" s="134"/>
      <c r="AD69" s="134"/>
    </row>
    <row r="70" spans="1:30">
      <c r="A70" s="218">
        <v>53</v>
      </c>
      <c r="B70" s="111" t="s">
        <v>139</v>
      </c>
      <c r="C70" s="10"/>
      <c r="D70" s="162">
        <v>80745</v>
      </c>
      <c r="E70" s="28"/>
      <c r="F70" s="134">
        <v>2410</v>
      </c>
      <c r="G70" s="28">
        <v>7</v>
      </c>
      <c r="H70" s="134">
        <v>5715</v>
      </c>
      <c r="I70" s="28">
        <v>11012</v>
      </c>
      <c r="J70" s="134">
        <v>1419</v>
      </c>
      <c r="K70" s="28">
        <v>4903</v>
      </c>
      <c r="L70" s="134">
        <v>4825</v>
      </c>
      <c r="M70" s="28">
        <v>19672</v>
      </c>
      <c r="N70" s="134">
        <v>23900</v>
      </c>
      <c r="O70" s="28">
        <v>62</v>
      </c>
      <c r="P70" s="134">
        <v>50</v>
      </c>
      <c r="Q70" s="28">
        <v>102</v>
      </c>
      <c r="R70" s="122">
        <v>350</v>
      </c>
      <c r="S70" s="134"/>
      <c r="T70" s="134"/>
      <c r="U70" s="134"/>
      <c r="V70" s="134"/>
      <c r="W70" s="134"/>
      <c r="X70" s="134"/>
      <c r="Y70" s="134"/>
      <c r="Z70" s="134"/>
      <c r="AA70" s="134"/>
      <c r="AB70" s="134"/>
      <c r="AC70" s="134"/>
      <c r="AD70" s="134"/>
    </row>
    <row r="71" spans="1:30">
      <c r="A71" s="218">
        <v>54</v>
      </c>
      <c r="B71" s="111" t="s">
        <v>140</v>
      </c>
      <c r="C71" s="10"/>
      <c r="D71" s="162">
        <v>853933</v>
      </c>
      <c r="E71" s="28">
        <v>67622</v>
      </c>
      <c r="F71" s="134">
        <v>214</v>
      </c>
      <c r="G71" s="28">
        <v>25</v>
      </c>
      <c r="H71" s="134">
        <v>22822</v>
      </c>
      <c r="I71" s="28">
        <v>3953</v>
      </c>
      <c r="J71" s="134">
        <v>36</v>
      </c>
      <c r="K71" s="28">
        <v>616</v>
      </c>
      <c r="L71" s="134">
        <v>5931</v>
      </c>
      <c r="M71" s="28">
        <v>24168</v>
      </c>
      <c r="N71" s="134">
        <v>1940</v>
      </c>
      <c r="O71" s="28">
        <v>10</v>
      </c>
      <c r="P71" s="134">
        <v>10898</v>
      </c>
      <c r="Q71" s="28">
        <v>14294</v>
      </c>
      <c r="R71" s="122">
        <v>140</v>
      </c>
      <c r="S71" s="134"/>
      <c r="T71" s="134"/>
      <c r="U71" s="134"/>
      <c r="V71" s="134"/>
      <c r="W71" s="134"/>
      <c r="X71" s="134"/>
      <c r="Y71" s="134"/>
      <c r="Z71" s="134"/>
      <c r="AA71" s="134"/>
      <c r="AB71" s="134"/>
      <c r="AC71" s="134"/>
      <c r="AD71" s="134"/>
    </row>
    <row r="72" spans="1:30">
      <c r="A72" s="218">
        <v>55</v>
      </c>
      <c r="B72" s="111" t="s">
        <v>141</v>
      </c>
      <c r="C72" s="10"/>
      <c r="D72" s="63">
        <v>489715</v>
      </c>
      <c r="E72" s="205">
        <v>500</v>
      </c>
      <c r="F72" s="22">
        <v>223</v>
      </c>
      <c r="G72" s="205">
        <v>48</v>
      </c>
      <c r="H72" s="28">
        <v>18093</v>
      </c>
      <c r="I72" s="134">
        <v>11554</v>
      </c>
      <c r="J72" s="22">
        <v>66</v>
      </c>
      <c r="K72" s="134">
        <v>38</v>
      </c>
      <c r="L72" s="28">
        <v>620</v>
      </c>
      <c r="M72" s="134">
        <v>32914</v>
      </c>
      <c r="N72" s="22">
        <v>9850</v>
      </c>
      <c r="O72" s="134"/>
      <c r="P72" s="22">
        <v>31782</v>
      </c>
      <c r="Q72" s="28">
        <v>26254</v>
      </c>
      <c r="R72" s="122">
        <v>4273</v>
      </c>
      <c r="S72" s="32"/>
      <c r="T72" s="32"/>
      <c r="U72" s="32"/>
      <c r="V72" s="32"/>
      <c r="W72" s="32"/>
      <c r="X72" s="32"/>
      <c r="Y72" s="32"/>
      <c r="Z72" s="32"/>
      <c r="AA72" s="32"/>
      <c r="AB72" s="32"/>
      <c r="AC72" s="32"/>
      <c r="AD72" s="32"/>
    </row>
    <row r="73" spans="1:30" ht="15">
      <c r="A73" s="218">
        <v>56</v>
      </c>
      <c r="B73" s="111" t="s">
        <v>142</v>
      </c>
      <c r="C73" s="248"/>
      <c r="D73" s="63">
        <v>30</v>
      </c>
      <c r="E73" s="22"/>
      <c r="F73" s="28">
        <v>70</v>
      </c>
      <c r="G73" s="22">
        <v>1</v>
      </c>
      <c r="H73" s="28">
        <v>70</v>
      </c>
      <c r="I73" s="28">
        <v>85</v>
      </c>
      <c r="J73" s="22"/>
      <c r="K73" s="28">
        <v>486</v>
      </c>
      <c r="L73" s="45">
        <v>8303</v>
      </c>
      <c r="M73" s="28">
        <v>915</v>
      </c>
      <c r="N73" s="70"/>
      <c r="O73" s="22"/>
      <c r="P73" s="22"/>
      <c r="R73" s="49"/>
      <c r="S73" s="32"/>
      <c r="T73" s="32"/>
      <c r="U73" s="32"/>
      <c r="V73" s="32"/>
      <c r="W73" s="32"/>
      <c r="X73" s="32"/>
      <c r="Y73" s="134"/>
      <c r="Z73" s="134"/>
      <c r="AA73" s="134"/>
      <c r="AB73" s="134"/>
      <c r="AC73" s="134"/>
      <c r="AD73" s="134"/>
    </row>
    <row r="74" spans="1:30">
      <c r="A74" s="218">
        <v>57</v>
      </c>
      <c r="B74" s="111" t="s">
        <v>143</v>
      </c>
      <c r="C74" s="17"/>
      <c r="D74" s="162"/>
      <c r="E74" s="28"/>
      <c r="F74" s="134">
        <v>25</v>
      </c>
      <c r="G74" s="28"/>
      <c r="H74" s="134">
        <v>1188</v>
      </c>
      <c r="I74" s="28">
        <v>1143</v>
      </c>
      <c r="J74" s="134"/>
      <c r="K74" s="28"/>
      <c r="L74" s="134"/>
      <c r="M74" s="28"/>
      <c r="N74" s="134"/>
      <c r="O74" s="28"/>
      <c r="P74" s="134"/>
      <c r="Q74" s="22">
        <v>135</v>
      </c>
      <c r="R74" s="122"/>
      <c r="S74" s="134"/>
      <c r="T74" s="134"/>
      <c r="U74" s="134"/>
      <c r="V74" s="134"/>
      <c r="W74" s="134"/>
      <c r="X74" s="134"/>
      <c r="Y74" s="134"/>
      <c r="Z74" s="134"/>
      <c r="AA74" s="134"/>
      <c r="AB74" s="134"/>
      <c r="AC74" s="134"/>
      <c r="AD74" s="134"/>
    </row>
    <row r="75" spans="1:30">
      <c r="A75" s="218">
        <v>58</v>
      </c>
      <c r="B75" s="111" t="s">
        <v>144</v>
      </c>
      <c r="C75" s="10"/>
      <c r="D75" s="162">
        <v>273505</v>
      </c>
      <c r="E75" s="28">
        <v>61934</v>
      </c>
      <c r="F75" s="134">
        <v>95</v>
      </c>
      <c r="G75" s="28">
        <v>22</v>
      </c>
      <c r="H75" s="134">
        <v>30369</v>
      </c>
      <c r="I75" s="28">
        <v>12980</v>
      </c>
      <c r="J75" s="134"/>
      <c r="K75" s="28">
        <v>2834</v>
      </c>
      <c r="L75" s="134">
        <v>486</v>
      </c>
      <c r="M75" s="28">
        <v>1155</v>
      </c>
      <c r="N75" s="134"/>
      <c r="O75" s="28"/>
      <c r="P75" s="134">
        <v>1430</v>
      </c>
      <c r="Q75" s="28">
        <v>2132</v>
      </c>
      <c r="R75" s="122"/>
      <c r="S75" s="134"/>
      <c r="T75" s="134"/>
      <c r="U75" s="134"/>
      <c r="V75" s="134"/>
      <c r="W75" s="134"/>
      <c r="X75" s="134"/>
      <c r="Y75" s="134"/>
      <c r="Z75" s="134"/>
      <c r="AA75" s="134"/>
      <c r="AB75" s="134"/>
      <c r="AC75" s="134"/>
      <c r="AD75" s="134"/>
    </row>
    <row r="76" spans="1:30">
      <c r="A76" s="218">
        <v>59</v>
      </c>
      <c r="B76" s="111" t="s">
        <v>145</v>
      </c>
      <c r="C76" s="17" t="s">
        <v>335</v>
      </c>
      <c r="D76" s="162">
        <v>152038</v>
      </c>
      <c r="E76" s="28">
        <v>41522</v>
      </c>
      <c r="F76" s="134">
        <v>29</v>
      </c>
      <c r="G76" s="28">
        <v>4</v>
      </c>
      <c r="H76" s="134">
        <v>6251</v>
      </c>
      <c r="I76" s="28">
        <v>8180</v>
      </c>
      <c r="J76" s="134"/>
      <c r="K76" s="28">
        <v>13461</v>
      </c>
      <c r="L76" s="134">
        <v>3687</v>
      </c>
      <c r="M76" s="28">
        <v>1644</v>
      </c>
      <c r="N76" s="134">
        <v>250</v>
      </c>
      <c r="O76" s="28"/>
      <c r="P76" s="134">
        <v>705</v>
      </c>
      <c r="Q76" s="28">
        <v>4096</v>
      </c>
      <c r="R76" s="122">
        <v>37</v>
      </c>
      <c r="S76" s="134"/>
      <c r="T76" s="134"/>
      <c r="U76" s="134"/>
      <c r="V76" s="134"/>
      <c r="W76" s="134"/>
      <c r="X76" s="134"/>
      <c r="Y76" s="134"/>
      <c r="Z76" s="134"/>
      <c r="AA76" s="134"/>
      <c r="AB76" s="134"/>
      <c r="AC76" s="134"/>
      <c r="AD76" s="134"/>
    </row>
    <row r="77" spans="1:30">
      <c r="A77" s="218">
        <v>60</v>
      </c>
      <c r="B77" s="111" t="s">
        <v>146</v>
      </c>
      <c r="C77" s="10"/>
      <c r="D77" s="162">
        <v>2762801</v>
      </c>
      <c r="E77" s="28">
        <v>184988</v>
      </c>
      <c r="F77" s="134">
        <v>1998</v>
      </c>
      <c r="G77" s="28">
        <v>31</v>
      </c>
      <c r="H77" s="134">
        <v>46306</v>
      </c>
      <c r="I77" s="28">
        <v>7262</v>
      </c>
      <c r="J77" s="134">
        <v>970</v>
      </c>
      <c r="K77" s="28">
        <v>351</v>
      </c>
      <c r="L77" s="134">
        <v>10663</v>
      </c>
      <c r="M77" s="28">
        <v>410073</v>
      </c>
      <c r="N77" s="134">
        <v>143810</v>
      </c>
      <c r="O77" s="28">
        <v>2500</v>
      </c>
      <c r="P77" s="134">
        <v>4259</v>
      </c>
      <c r="Q77" s="28">
        <v>6069</v>
      </c>
      <c r="R77" s="122">
        <v>5146</v>
      </c>
      <c r="S77" s="134"/>
      <c r="T77" s="134"/>
      <c r="U77" s="134"/>
      <c r="V77" s="134"/>
      <c r="W77" s="134"/>
      <c r="X77" s="134"/>
      <c r="Y77" s="134"/>
      <c r="Z77" s="134"/>
      <c r="AA77" s="134"/>
      <c r="AB77" s="134"/>
      <c r="AC77" s="134"/>
      <c r="AD77" s="134"/>
    </row>
    <row r="78" spans="1:30">
      <c r="A78" s="218">
        <v>61</v>
      </c>
      <c r="B78" s="111" t="s">
        <v>147</v>
      </c>
      <c r="C78" s="10"/>
      <c r="D78" s="162">
        <v>900996</v>
      </c>
      <c r="E78" s="28">
        <v>210248</v>
      </c>
      <c r="F78" s="134">
        <v>243</v>
      </c>
      <c r="G78" s="28">
        <v>10</v>
      </c>
      <c r="H78" s="134">
        <v>19577</v>
      </c>
      <c r="I78" s="28">
        <v>10017</v>
      </c>
      <c r="J78" s="134">
        <v>12</v>
      </c>
      <c r="K78" s="28">
        <v>1942</v>
      </c>
      <c r="L78" s="134">
        <v>3530</v>
      </c>
      <c r="M78" s="28">
        <v>11724</v>
      </c>
      <c r="N78" s="134">
        <v>5850</v>
      </c>
      <c r="O78" s="28"/>
      <c r="P78" s="134">
        <v>3765</v>
      </c>
      <c r="Q78" s="28">
        <v>6239</v>
      </c>
      <c r="R78" s="122">
        <v>485</v>
      </c>
      <c r="S78" s="134"/>
      <c r="T78" s="134"/>
      <c r="U78" s="134"/>
      <c r="V78" s="134"/>
      <c r="W78" s="134"/>
      <c r="X78" s="134"/>
      <c r="Y78" s="134"/>
      <c r="Z78" s="134"/>
      <c r="AA78" s="134"/>
      <c r="AB78" s="134"/>
      <c r="AC78" s="134"/>
      <c r="AD78" s="134"/>
    </row>
    <row r="79" spans="1:30" ht="15">
      <c r="A79" s="218">
        <v>62</v>
      </c>
      <c r="B79" s="111" t="s">
        <v>148</v>
      </c>
      <c r="C79" s="248"/>
      <c r="D79" s="63">
        <v>586317</v>
      </c>
      <c r="E79" s="28">
        <v>515</v>
      </c>
      <c r="F79" s="28">
        <v>697</v>
      </c>
      <c r="G79" s="22">
        <v>105</v>
      </c>
      <c r="H79" s="28">
        <v>16176</v>
      </c>
      <c r="I79" s="28">
        <v>8326</v>
      </c>
      <c r="J79" s="22">
        <v>90</v>
      </c>
      <c r="K79" s="22">
        <v>21307</v>
      </c>
      <c r="L79" s="23">
        <v>2963</v>
      </c>
      <c r="M79" s="22">
        <v>10558</v>
      </c>
      <c r="N79" s="70"/>
      <c r="O79" s="22">
        <v>6</v>
      </c>
      <c r="P79" s="22">
        <v>3040</v>
      </c>
      <c r="Q79" s="22">
        <v>4659</v>
      </c>
      <c r="R79" s="49">
        <v>27261</v>
      </c>
      <c r="S79" s="32"/>
      <c r="T79" s="32"/>
      <c r="U79" s="32"/>
      <c r="V79" s="32"/>
      <c r="W79" s="32"/>
      <c r="X79" s="32"/>
      <c r="Y79" s="134"/>
      <c r="Z79" s="134"/>
      <c r="AA79" s="134"/>
      <c r="AB79" s="134"/>
      <c r="AC79" s="134"/>
      <c r="AD79" s="134"/>
    </row>
    <row r="80" spans="1:30">
      <c r="A80" s="218">
        <v>63</v>
      </c>
      <c r="B80" s="111" t="s">
        <v>149</v>
      </c>
      <c r="C80" s="17"/>
      <c r="D80" s="162">
        <v>4775</v>
      </c>
      <c r="E80" s="28"/>
      <c r="F80" s="134">
        <v>161</v>
      </c>
      <c r="G80" s="28">
        <v>23</v>
      </c>
      <c r="H80" s="134">
        <v>5179</v>
      </c>
      <c r="I80" s="28">
        <v>4999</v>
      </c>
      <c r="J80" s="134">
        <v>2</v>
      </c>
      <c r="K80" s="28">
        <v>23691</v>
      </c>
      <c r="L80" s="134">
        <v>1835</v>
      </c>
      <c r="M80" s="28">
        <v>22638</v>
      </c>
      <c r="N80" s="134"/>
      <c r="O80" s="28"/>
      <c r="P80" s="134">
        <v>15819</v>
      </c>
      <c r="Q80" s="28">
        <v>9876</v>
      </c>
      <c r="R80" s="122">
        <v>624</v>
      </c>
      <c r="S80" s="134"/>
      <c r="T80" s="134"/>
      <c r="U80" s="134"/>
      <c r="V80" s="134"/>
      <c r="W80" s="134"/>
      <c r="X80" s="134"/>
      <c r="Y80" s="134"/>
      <c r="Z80" s="134"/>
      <c r="AA80" s="134"/>
      <c r="AB80" s="134"/>
      <c r="AC80" s="134"/>
      <c r="AD80" s="134"/>
    </row>
    <row r="81" spans="1:30">
      <c r="A81" s="218">
        <v>64</v>
      </c>
      <c r="B81" s="111" t="s">
        <v>150</v>
      </c>
      <c r="C81" s="10"/>
      <c r="D81" s="162"/>
      <c r="E81" s="28"/>
      <c r="F81" s="134">
        <v>13</v>
      </c>
      <c r="G81" s="28">
        <v>2</v>
      </c>
      <c r="H81" s="134"/>
      <c r="I81" s="28"/>
      <c r="J81" s="134"/>
      <c r="K81" s="28"/>
      <c r="L81" s="134">
        <v>35752</v>
      </c>
      <c r="M81" s="28">
        <v>3358</v>
      </c>
      <c r="N81" s="134"/>
      <c r="O81" s="28"/>
      <c r="P81" s="134"/>
      <c r="Q81" s="28"/>
      <c r="R81" s="122"/>
      <c r="S81" s="134"/>
      <c r="T81" s="134"/>
      <c r="U81" s="134"/>
      <c r="V81" s="134"/>
      <c r="W81" s="134"/>
      <c r="X81" s="134"/>
      <c r="Y81" s="134"/>
      <c r="Z81" s="134"/>
      <c r="AA81" s="134"/>
      <c r="AB81" s="134"/>
      <c r="AC81" s="134"/>
      <c r="AD81" s="134"/>
    </row>
    <row r="82" spans="1:30">
      <c r="A82" s="218">
        <v>65</v>
      </c>
      <c r="B82" s="111" t="s">
        <v>151</v>
      </c>
      <c r="C82" s="10"/>
      <c r="D82" s="162">
        <v>784215</v>
      </c>
      <c r="E82" s="28">
        <v>1426142</v>
      </c>
      <c r="F82" s="134">
        <v>1009</v>
      </c>
      <c r="G82" s="28">
        <v>53</v>
      </c>
      <c r="H82" s="134">
        <v>30042</v>
      </c>
      <c r="I82" s="28">
        <v>32830</v>
      </c>
      <c r="J82" s="134">
        <v>112</v>
      </c>
      <c r="K82" s="28">
        <v>17376</v>
      </c>
      <c r="L82" s="134">
        <v>17997</v>
      </c>
      <c r="M82" s="28">
        <v>82441</v>
      </c>
      <c r="N82" s="134">
        <v>7810</v>
      </c>
      <c r="O82" s="28">
        <v>4949</v>
      </c>
      <c r="P82" s="134">
        <v>4285</v>
      </c>
      <c r="Q82" s="28">
        <v>11183</v>
      </c>
      <c r="R82" s="122">
        <v>1987</v>
      </c>
      <c r="S82" s="134"/>
      <c r="T82" s="134"/>
      <c r="U82" s="134"/>
      <c r="V82" s="134"/>
      <c r="W82" s="134"/>
      <c r="X82" s="134"/>
      <c r="Y82" s="134"/>
      <c r="Z82" s="134"/>
      <c r="AA82" s="134"/>
      <c r="AB82" s="134"/>
      <c r="AC82" s="134"/>
      <c r="AD82" s="134"/>
    </row>
    <row r="83" spans="1:30">
      <c r="A83" s="218">
        <v>66</v>
      </c>
      <c r="B83" s="111" t="s">
        <v>152</v>
      </c>
      <c r="C83" s="10"/>
      <c r="D83" s="162">
        <v>26273</v>
      </c>
      <c r="E83" s="28">
        <v>90</v>
      </c>
      <c r="F83" s="134">
        <v>113</v>
      </c>
      <c r="G83" s="28">
        <v>9</v>
      </c>
      <c r="H83" s="134">
        <v>1853</v>
      </c>
      <c r="I83" s="28">
        <v>874</v>
      </c>
      <c r="J83" s="134">
        <v>300</v>
      </c>
      <c r="K83" s="28">
        <v>95</v>
      </c>
      <c r="L83" s="134">
        <v>180891</v>
      </c>
      <c r="M83" s="28">
        <v>62569</v>
      </c>
      <c r="N83" s="134">
        <v>23844</v>
      </c>
      <c r="O83" s="28">
        <v>11096</v>
      </c>
      <c r="P83" s="134">
        <v>615</v>
      </c>
      <c r="Q83" s="28"/>
      <c r="R83" s="122">
        <v>885</v>
      </c>
      <c r="S83" s="134"/>
      <c r="T83" s="134"/>
      <c r="U83" s="134"/>
      <c r="V83" s="134"/>
      <c r="W83" s="134"/>
      <c r="X83" s="134"/>
      <c r="Y83" s="134"/>
      <c r="Z83" s="134"/>
      <c r="AA83" s="134"/>
      <c r="AB83" s="134"/>
      <c r="AC83" s="134"/>
      <c r="AD83" s="134"/>
    </row>
    <row r="84" spans="1:30">
      <c r="A84" s="218">
        <v>67</v>
      </c>
      <c r="B84" s="111" t="s">
        <v>153</v>
      </c>
      <c r="C84" s="10"/>
      <c r="D84" s="162">
        <v>964274</v>
      </c>
      <c r="E84" s="28">
        <v>36488</v>
      </c>
      <c r="F84" s="134">
        <v>197</v>
      </c>
      <c r="G84" s="28">
        <v>20</v>
      </c>
      <c r="H84" s="134">
        <v>16991</v>
      </c>
      <c r="I84" s="28">
        <v>1291</v>
      </c>
      <c r="J84" s="134">
        <v>56</v>
      </c>
      <c r="K84" s="28">
        <v>1094</v>
      </c>
      <c r="L84" s="134">
        <v>10330</v>
      </c>
      <c r="M84" s="28">
        <v>80808</v>
      </c>
      <c r="N84" s="134">
        <v>8583</v>
      </c>
      <c r="O84" s="28">
        <v>40</v>
      </c>
      <c r="P84" s="134">
        <v>3331</v>
      </c>
      <c r="Q84" s="28">
        <v>14274</v>
      </c>
      <c r="R84" s="122"/>
      <c r="S84" s="134"/>
      <c r="T84" s="134"/>
      <c r="U84" s="134"/>
      <c r="V84" s="134"/>
      <c r="W84" s="134"/>
      <c r="X84" s="134"/>
      <c r="Y84" s="134"/>
      <c r="Z84" s="134"/>
      <c r="AA84" s="134"/>
      <c r="AB84" s="134"/>
      <c r="AC84" s="134"/>
      <c r="AD84" s="134"/>
    </row>
    <row r="85" spans="1:30" ht="15">
      <c r="A85" s="218">
        <v>68</v>
      </c>
      <c r="B85" s="111" t="s">
        <v>154</v>
      </c>
      <c r="C85" s="248"/>
      <c r="D85" s="63">
        <v>2000</v>
      </c>
      <c r="E85" s="28">
        <v>832445</v>
      </c>
      <c r="F85" s="28">
        <v>94</v>
      </c>
      <c r="G85" s="22">
        <v>7</v>
      </c>
      <c r="H85" s="28">
        <v>2990</v>
      </c>
      <c r="I85" s="28">
        <v>15314</v>
      </c>
      <c r="J85" s="22">
        <v>17</v>
      </c>
      <c r="K85" s="22">
        <v>11068</v>
      </c>
      <c r="L85" s="23">
        <v>2280</v>
      </c>
      <c r="M85" s="22">
        <v>4472</v>
      </c>
      <c r="N85" s="70"/>
      <c r="O85" s="22"/>
      <c r="P85" s="22">
        <v>2228</v>
      </c>
      <c r="Q85" s="22">
        <v>3547</v>
      </c>
      <c r="R85" s="49">
        <v>432</v>
      </c>
      <c r="S85" s="32"/>
      <c r="T85" s="32"/>
      <c r="U85" s="32"/>
      <c r="V85" s="32"/>
      <c r="W85" s="32"/>
      <c r="X85" s="32"/>
      <c r="Y85" s="134"/>
      <c r="Z85" s="134"/>
      <c r="AA85" s="134"/>
      <c r="AB85" s="134"/>
      <c r="AC85" s="134"/>
      <c r="AD85" s="134"/>
    </row>
    <row r="86" spans="1:30">
      <c r="A86" s="218">
        <v>69</v>
      </c>
      <c r="B86" s="111" t="s">
        <v>155</v>
      </c>
      <c r="C86" s="17"/>
      <c r="D86" s="162">
        <v>316732</v>
      </c>
      <c r="E86" s="28">
        <v>24083</v>
      </c>
      <c r="F86" s="134">
        <v>800</v>
      </c>
      <c r="G86" s="28">
        <v>55</v>
      </c>
      <c r="H86" s="134">
        <v>7979</v>
      </c>
      <c r="I86" s="28">
        <v>2451</v>
      </c>
      <c r="J86" s="134">
        <v>232</v>
      </c>
      <c r="K86" s="28">
        <v>1661</v>
      </c>
      <c r="L86" s="134">
        <v>6198</v>
      </c>
      <c r="M86" s="28">
        <v>9993</v>
      </c>
      <c r="N86" s="134">
        <v>25519</v>
      </c>
      <c r="O86" s="28">
        <v>20</v>
      </c>
      <c r="P86" s="134">
        <v>80</v>
      </c>
      <c r="Q86" s="28">
        <v>140</v>
      </c>
      <c r="R86" s="122"/>
      <c r="S86" s="134"/>
      <c r="T86" s="134"/>
      <c r="U86" s="134"/>
      <c r="V86" s="134"/>
      <c r="W86" s="134"/>
      <c r="X86" s="134"/>
      <c r="Y86" s="134"/>
      <c r="Z86" s="134"/>
      <c r="AA86" s="134"/>
      <c r="AB86" s="134"/>
      <c r="AC86" s="134"/>
      <c r="AD86" s="134"/>
    </row>
    <row r="87" spans="1:30">
      <c r="A87" s="218">
        <v>70</v>
      </c>
      <c r="B87" s="111" t="s">
        <v>156</v>
      </c>
      <c r="C87" s="10"/>
      <c r="D87" s="162">
        <v>1337461</v>
      </c>
      <c r="E87" s="28">
        <v>3884</v>
      </c>
      <c r="F87" s="134">
        <v>1344</v>
      </c>
      <c r="G87" s="28">
        <v>42</v>
      </c>
      <c r="H87" s="134">
        <v>13864</v>
      </c>
      <c r="I87" s="28">
        <v>2085</v>
      </c>
      <c r="J87" s="134">
        <v>84</v>
      </c>
      <c r="K87" s="28">
        <v>170</v>
      </c>
      <c r="L87" s="134">
        <v>7286</v>
      </c>
      <c r="M87" s="28">
        <v>26504</v>
      </c>
      <c r="N87" s="134">
        <v>15182</v>
      </c>
      <c r="O87" s="28"/>
      <c r="P87" s="29">
        <v>380</v>
      </c>
      <c r="Q87" s="28">
        <v>786</v>
      </c>
      <c r="R87" s="122">
        <v>1475</v>
      </c>
      <c r="S87" s="134"/>
      <c r="T87" s="134"/>
      <c r="U87" s="134"/>
      <c r="V87" s="134"/>
      <c r="W87" s="134"/>
      <c r="X87" s="134"/>
      <c r="Y87" s="134"/>
      <c r="Z87" s="134"/>
      <c r="AA87" s="134"/>
      <c r="AB87" s="134"/>
      <c r="AC87" s="134"/>
      <c r="AD87" s="134"/>
    </row>
    <row r="88" spans="1:30">
      <c r="A88" s="218">
        <v>71</v>
      </c>
      <c r="B88" s="111" t="s">
        <v>157</v>
      </c>
      <c r="C88" s="10"/>
      <c r="D88" s="162">
        <v>177396</v>
      </c>
      <c r="E88" s="28">
        <v>450</v>
      </c>
      <c r="F88" s="134">
        <v>56</v>
      </c>
      <c r="G88" s="28">
        <v>16</v>
      </c>
      <c r="H88" s="134">
        <v>18906</v>
      </c>
      <c r="I88" s="28">
        <v>9335</v>
      </c>
      <c r="J88" s="134"/>
      <c r="K88" s="28">
        <v>1709</v>
      </c>
      <c r="L88" s="134">
        <v>200</v>
      </c>
      <c r="M88" s="28">
        <v>854</v>
      </c>
      <c r="N88" s="134"/>
      <c r="O88" s="28"/>
      <c r="P88" s="134">
        <v>19754</v>
      </c>
      <c r="Q88" s="28">
        <v>11778</v>
      </c>
      <c r="R88" s="122"/>
      <c r="S88" s="134"/>
      <c r="T88" s="134"/>
      <c r="U88" s="134"/>
      <c r="V88" s="134"/>
      <c r="W88" s="134"/>
      <c r="X88" s="134"/>
      <c r="Y88" s="134"/>
      <c r="Z88" s="134"/>
      <c r="AA88" s="134"/>
      <c r="AB88" s="134"/>
      <c r="AC88" s="134"/>
      <c r="AD88" s="134"/>
    </row>
    <row r="89" spans="1:30">
      <c r="A89" s="218">
        <v>72</v>
      </c>
      <c r="B89" s="111" t="s">
        <v>158</v>
      </c>
      <c r="C89" s="10"/>
      <c r="D89" s="162">
        <v>962695</v>
      </c>
      <c r="E89" s="28">
        <v>44600</v>
      </c>
      <c r="F89" s="134">
        <v>472</v>
      </c>
      <c r="G89" s="28">
        <v>74</v>
      </c>
      <c r="H89" s="134">
        <v>17750</v>
      </c>
      <c r="I89" s="28">
        <v>6112</v>
      </c>
      <c r="J89" s="134">
        <v>12</v>
      </c>
      <c r="K89" s="28">
        <v>25069</v>
      </c>
      <c r="L89" s="134">
        <v>1292</v>
      </c>
      <c r="M89" s="28">
        <v>3503</v>
      </c>
      <c r="N89" s="134"/>
      <c r="O89" s="28">
        <v>14</v>
      </c>
      <c r="P89" s="134">
        <v>6083</v>
      </c>
      <c r="Q89" s="28">
        <v>456</v>
      </c>
      <c r="R89" s="122"/>
      <c r="S89" s="134"/>
      <c r="T89" s="134"/>
      <c r="U89" s="134"/>
      <c r="V89" s="134"/>
      <c r="W89" s="134"/>
      <c r="X89" s="134"/>
      <c r="Y89" s="134"/>
      <c r="Z89" s="134"/>
      <c r="AA89" s="134"/>
      <c r="AB89" s="134"/>
      <c r="AC89" s="134"/>
      <c r="AD89" s="134"/>
    </row>
    <row r="90" spans="1:30">
      <c r="A90" s="218">
        <v>73</v>
      </c>
      <c r="B90" s="111" t="s">
        <v>159</v>
      </c>
      <c r="C90" s="10"/>
      <c r="D90" s="162">
        <v>1696260</v>
      </c>
      <c r="E90" s="28">
        <v>262561</v>
      </c>
      <c r="F90" s="134">
        <v>832</v>
      </c>
      <c r="G90" s="28">
        <v>31</v>
      </c>
      <c r="H90" s="134">
        <v>32726</v>
      </c>
      <c r="I90" s="28">
        <v>6392</v>
      </c>
      <c r="J90" s="134">
        <v>71</v>
      </c>
      <c r="K90" s="28">
        <v>404</v>
      </c>
      <c r="L90" s="134">
        <v>2830</v>
      </c>
      <c r="M90" s="28">
        <v>72445</v>
      </c>
      <c r="N90" s="134">
        <v>83543</v>
      </c>
      <c r="O90" s="28">
        <v>300</v>
      </c>
      <c r="P90" s="29">
        <v>6372</v>
      </c>
      <c r="Q90" s="28">
        <v>11369</v>
      </c>
      <c r="R90" s="122">
        <v>795</v>
      </c>
      <c r="S90" s="134"/>
      <c r="T90" s="134"/>
      <c r="U90" s="134"/>
      <c r="V90" s="134"/>
      <c r="W90" s="134"/>
      <c r="X90" s="134"/>
      <c r="Y90" s="134"/>
      <c r="Z90" s="134"/>
      <c r="AA90" s="134"/>
      <c r="AB90" s="134"/>
      <c r="AC90" s="134"/>
      <c r="AD90" s="134"/>
    </row>
    <row r="91" spans="1:30" ht="15">
      <c r="A91" s="218">
        <v>74</v>
      </c>
      <c r="B91" s="111" t="s">
        <v>160</v>
      </c>
      <c r="C91" s="248"/>
      <c r="D91" s="63">
        <v>35365</v>
      </c>
      <c r="E91" s="28"/>
      <c r="F91" s="28">
        <v>4932</v>
      </c>
      <c r="G91" s="22">
        <v>3</v>
      </c>
      <c r="H91" s="28">
        <v>57057</v>
      </c>
      <c r="I91" s="28">
        <v>2653</v>
      </c>
      <c r="J91" s="22">
        <v>7624</v>
      </c>
      <c r="K91" s="22">
        <v>206</v>
      </c>
      <c r="L91" s="23">
        <v>741</v>
      </c>
      <c r="M91" s="22">
        <v>16280</v>
      </c>
      <c r="N91" s="70">
        <v>3065</v>
      </c>
      <c r="O91" s="22">
        <v>2</v>
      </c>
      <c r="P91" s="134">
        <v>2025</v>
      </c>
      <c r="Q91" s="22">
        <v>1553</v>
      </c>
      <c r="R91" s="49"/>
      <c r="S91" s="32"/>
      <c r="T91" s="32"/>
      <c r="U91" s="32"/>
      <c r="V91" s="32"/>
      <c r="W91" s="32"/>
      <c r="X91" s="32"/>
      <c r="Y91" s="134"/>
      <c r="Z91" s="134"/>
      <c r="AA91" s="134"/>
      <c r="AB91" s="134"/>
      <c r="AC91" s="134"/>
      <c r="AD91" s="134"/>
    </row>
    <row r="92" spans="1:30">
      <c r="A92" s="218">
        <v>75</v>
      </c>
      <c r="B92" s="111" t="s">
        <v>161</v>
      </c>
      <c r="C92" s="17"/>
      <c r="D92" s="162">
        <v>58820</v>
      </c>
      <c r="E92" s="28">
        <v>290844</v>
      </c>
      <c r="F92" s="134">
        <v>1211</v>
      </c>
      <c r="G92" s="28">
        <v>172</v>
      </c>
      <c r="H92" s="134">
        <v>7182</v>
      </c>
      <c r="I92" s="28">
        <v>11379</v>
      </c>
      <c r="J92" s="134">
        <v>407</v>
      </c>
      <c r="K92" s="28">
        <v>19326</v>
      </c>
      <c r="L92" s="134">
        <v>73941</v>
      </c>
      <c r="M92" s="28">
        <v>55740</v>
      </c>
      <c r="N92" s="134">
        <v>1000</v>
      </c>
      <c r="O92" s="28">
        <v>1200</v>
      </c>
      <c r="P92" s="134">
        <v>944</v>
      </c>
      <c r="Q92" s="28">
        <v>821</v>
      </c>
      <c r="R92" s="122"/>
      <c r="S92" s="134"/>
      <c r="T92" s="134"/>
      <c r="U92" s="134"/>
      <c r="V92" s="134"/>
      <c r="W92" s="134"/>
      <c r="X92" s="134"/>
      <c r="Y92" s="134"/>
      <c r="Z92" s="134"/>
      <c r="AA92" s="134"/>
      <c r="AB92" s="134"/>
      <c r="AC92" s="134"/>
      <c r="AD92" s="134"/>
    </row>
    <row r="93" spans="1:30">
      <c r="A93" s="218">
        <v>76</v>
      </c>
      <c r="B93" s="111" t="s">
        <v>162</v>
      </c>
      <c r="C93" s="10"/>
      <c r="D93" s="162">
        <v>102736</v>
      </c>
      <c r="E93" s="28">
        <v>104593</v>
      </c>
      <c r="F93" s="134">
        <v>406</v>
      </c>
      <c r="G93" s="28">
        <v>48</v>
      </c>
      <c r="H93" s="134">
        <v>6336</v>
      </c>
      <c r="I93" s="28">
        <v>8168</v>
      </c>
      <c r="J93" s="134">
        <v>78</v>
      </c>
      <c r="K93" s="28">
        <v>15509</v>
      </c>
      <c r="L93" s="134">
        <v>1093</v>
      </c>
      <c r="M93" s="28">
        <v>7850</v>
      </c>
      <c r="N93" s="134"/>
      <c r="O93" s="28">
        <v>13</v>
      </c>
      <c r="P93" s="22">
        <v>1114</v>
      </c>
      <c r="Q93" s="28">
        <v>1328</v>
      </c>
      <c r="R93" s="122">
        <v>3366</v>
      </c>
      <c r="S93" s="134"/>
      <c r="T93" s="134"/>
      <c r="U93" s="134"/>
      <c r="V93" s="134"/>
      <c r="W93" s="134"/>
      <c r="X93" s="134"/>
      <c r="Y93" s="134"/>
      <c r="Z93" s="134"/>
      <c r="AA93" s="134"/>
      <c r="AB93" s="134"/>
      <c r="AC93" s="134"/>
      <c r="AD93" s="134"/>
    </row>
    <row r="94" spans="1:30">
      <c r="A94" s="218">
        <v>77</v>
      </c>
      <c r="B94" s="111" t="s">
        <v>163</v>
      </c>
      <c r="C94" s="10"/>
      <c r="D94" s="162">
        <v>84687</v>
      </c>
      <c r="E94" s="28"/>
      <c r="F94" s="134">
        <v>53</v>
      </c>
      <c r="G94" s="28">
        <v>14</v>
      </c>
      <c r="H94" s="134">
        <v>8247</v>
      </c>
      <c r="I94" s="28">
        <v>11403</v>
      </c>
      <c r="J94" s="134"/>
      <c r="K94" s="28">
        <v>54</v>
      </c>
      <c r="L94" s="134">
        <v>650</v>
      </c>
      <c r="M94" s="28">
        <v>4473</v>
      </c>
      <c r="N94" s="134"/>
      <c r="O94" s="28"/>
      <c r="P94" s="134">
        <v>280</v>
      </c>
      <c r="Q94" s="28">
        <v>9976</v>
      </c>
      <c r="R94" s="122">
        <v>193</v>
      </c>
      <c r="S94" s="134"/>
      <c r="T94" s="134"/>
      <c r="U94" s="134"/>
      <c r="V94" s="134"/>
      <c r="W94" s="134"/>
      <c r="X94" s="134"/>
      <c r="Y94" s="134"/>
      <c r="Z94" s="134"/>
      <c r="AA94" s="134"/>
      <c r="AB94" s="134"/>
      <c r="AC94" s="134"/>
      <c r="AD94" s="134"/>
    </row>
    <row r="95" spans="1:30">
      <c r="A95" s="218">
        <v>78</v>
      </c>
      <c r="B95" s="111" t="s">
        <v>164</v>
      </c>
      <c r="C95" s="10"/>
      <c r="D95" s="162">
        <v>80176</v>
      </c>
      <c r="E95" s="28">
        <v>1962</v>
      </c>
      <c r="F95" s="134">
        <v>1064</v>
      </c>
      <c r="G95" s="28"/>
      <c r="H95" s="134">
        <v>8039</v>
      </c>
      <c r="I95" s="28">
        <v>5348</v>
      </c>
      <c r="J95" s="134">
        <v>448</v>
      </c>
      <c r="K95" s="28">
        <v>2154</v>
      </c>
      <c r="L95" s="134">
        <v>108786</v>
      </c>
      <c r="M95" s="28">
        <v>74948</v>
      </c>
      <c r="N95" s="134">
        <v>42822</v>
      </c>
      <c r="O95" s="28"/>
      <c r="P95" s="134">
        <v>1056</v>
      </c>
      <c r="Q95" s="28">
        <v>990</v>
      </c>
      <c r="R95" s="122"/>
      <c r="S95" s="134"/>
      <c r="T95" s="134"/>
      <c r="U95" s="134"/>
      <c r="V95" s="134"/>
      <c r="W95" s="134"/>
      <c r="X95" s="134"/>
      <c r="Y95" s="134"/>
      <c r="Z95" s="134"/>
      <c r="AA95" s="134"/>
      <c r="AB95" s="134"/>
      <c r="AC95" s="134"/>
      <c r="AD95" s="134"/>
    </row>
    <row r="96" spans="1:30">
      <c r="A96" s="218">
        <v>79</v>
      </c>
      <c r="B96" s="111" t="s">
        <v>165</v>
      </c>
      <c r="C96" s="10"/>
      <c r="D96" s="162">
        <v>908712</v>
      </c>
      <c r="E96" s="28">
        <v>180342</v>
      </c>
      <c r="F96" s="134">
        <v>95</v>
      </c>
      <c r="G96" s="28">
        <v>19</v>
      </c>
      <c r="H96" s="134">
        <v>40889</v>
      </c>
      <c r="I96" s="28">
        <v>10742</v>
      </c>
      <c r="J96" s="134">
        <v>6</v>
      </c>
      <c r="K96" s="28">
        <v>355</v>
      </c>
      <c r="L96" s="134">
        <v>2190</v>
      </c>
      <c r="M96" s="28">
        <v>5369</v>
      </c>
      <c r="N96" s="134">
        <v>160</v>
      </c>
      <c r="O96" s="28"/>
      <c r="P96" s="134">
        <v>6288</v>
      </c>
      <c r="Q96" s="28">
        <v>7852</v>
      </c>
      <c r="R96" s="122">
        <v>500</v>
      </c>
      <c r="S96" s="134"/>
      <c r="T96" s="134"/>
      <c r="U96" s="134"/>
      <c r="V96" s="134"/>
      <c r="W96" s="134"/>
      <c r="X96" s="134"/>
      <c r="Y96" s="134"/>
      <c r="Z96" s="134"/>
      <c r="AA96" s="134"/>
      <c r="AB96" s="134"/>
      <c r="AC96" s="134"/>
      <c r="AD96" s="134"/>
    </row>
    <row r="97" spans="1:30" ht="15">
      <c r="A97" s="218">
        <v>80</v>
      </c>
      <c r="B97" s="111" t="s">
        <v>166</v>
      </c>
      <c r="C97" s="248"/>
      <c r="D97" s="63">
        <v>52673</v>
      </c>
      <c r="E97" s="28">
        <v>753436</v>
      </c>
      <c r="F97" s="28">
        <v>168</v>
      </c>
      <c r="G97" s="22">
        <v>29</v>
      </c>
      <c r="H97" s="28">
        <v>4966</v>
      </c>
      <c r="I97" s="28">
        <v>17481</v>
      </c>
      <c r="J97" s="22">
        <v>60</v>
      </c>
      <c r="K97" s="22">
        <v>18000</v>
      </c>
      <c r="L97" s="23">
        <v>2048</v>
      </c>
      <c r="M97" s="22">
        <v>2517</v>
      </c>
      <c r="N97" s="70"/>
      <c r="O97" s="22"/>
      <c r="P97" s="134">
        <v>1815</v>
      </c>
      <c r="Q97" s="22">
        <v>2410</v>
      </c>
      <c r="R97" s="49"/>
      <c r="S97" s="32"/>
      <c r="T97" s="32"/>
      <c r="U97" s="32"/>
      <c r="V97" s="32"/>
      <c r="W97" s="32"/>
      <c r="X97" s="32"/>
      <c r="Y97" s="134"/>
      <c r="Z97" s="134"/>
      <c r="AA97" s="134"/>
      <c r="AB97" s="134"/>
      <c r="AC97" s="134"/>
      <c r="AD97" s="134"/>
    </row>
    <row r="98" spans="1:30">
      <c r="A98" s="218">
        <v>81</v>
      </c>
      <c r="B98" s="111" t="s">
        <v>167</v>
      </c>
      <c r="C98" s="17"/>
      <c r="D98" s="162">
        <v>3046468</v>
      </c>
      <c r="E98" s="28">
        <v>58252</v>
      </c>
      <c r="F98" s="134">
        <v>790</v>
      </c>
      <c r="G98" s="28">
        <v>27</v>
      </c>
      <c r="H98" s="134">
        <v>61580</v>
      </c>
      <c r="I98" s="28">
        <v>2290</v>
      </c>
      <c r="J98" s="134">
        <v>56</v>
      </c>
      <c r="K98" s="28">
        <v>16</v>
      </c>
      <c r="L98" s="134">
        <v>5115</v>
      </c>
      <c r="M98" s="28">
        <v>175617</v>
      </c>
      <c r="N98" s="134">
        <v>21500</v>
      </c>
      <c r="O98" s="28">
        <v>210</v>
      </c>
      <c r="P98" s="134">
        <v>9984</v>
      </c>
      <c r="Q98" s="28">
        <v>19419</v>
      </c>
      <c r="R98" s="122"/>
      <c r="S98" s="134"/>
      <c r="T98" s="134"/>
      <c r="U98" s="134"/>
      <c r="V98" s="134"/>
      <c r="W98" s="134"/>
      <c r="X98" s="134"/>
      <c r="Y98" s="134"/>
      <c r="Z98" s="134"/>
      <c r="AA98" s="134"/>
      <c r="AB98" s="134"/>
      <c r="AC98" s="134"/>
      <c r="AD98" s="134"/>
    </row>
    <row r="99" spans="1:30">
      <c r="A99" s="218">
        <v>82</v>
      </c>
      <c r="B99" s="111" t="s">
        <v>168</v>
      </c>
      <c r="C99" s="10"/>
      <c r="D99" s="162">
        <v>83377</v>
      </c>
      <c r="E99" s="28">
        <v>309</v>
      </c>
      <c r="F99" s="134">
        <v>355</v>
      </c>
      <c r="G99" s="28">
        <v>10</v>
      </c>
      <c r="H99" s="134">
        <v>10802</v>
      </c>
      <c r="I99" s="28">
        <v>6988</v>
      </c>
      <c r="J99" s="134"/>
      <c r="K99" s="28">
        <v>5378</v>
      </c>
      <c r="L99" s="134">
        <v>24185</v>
      </c>
      <c r="M99" s="28">
        <v>26713</v>
      </c>
      <c r="N99" s="134"/>
      <c r="O99" s="28">
        <v>15</v>
      </c>
      <c r="P99" s="22">
        <v>15792</v>
      </c>
      <c r="Q99" s="28">
        <v>7946</v>
      </c>
      <c r="R99" s="122">
        <v>438</v>
      </c>
      <c r="S99" s="134"/>
      <c r="T99" s="134"/>
      <c r="U99" s="134"/>
      <c r="V99" s="134"/>
      <c r="W99" s="134"/>
      <c r="X99" s="134"/>
      <c r="Y99" s="134"/>
      <c r="Z99" s="134"/>
      <c r="AA99" s="134"/>
      <c r="AB99" s="134"/>
      <c r="AC99" s="134"/>
      <c r="AD99" s="134"/>
    </row>
    <row r="100" spans="1:30">
      <c r="A100" s="219"/>
      <c r="B100" s="240"/>
      <c r="C100" s="12"/>
      <c r="D100" s="265"/>
      <c r="E100" s="206"/>
      <c r="F100" s="256"/>
      <c r="G100" s="206"/>
      <c r="H100" s="256"/>
      <c r="I100" s="206"/>
      <c r="J100" s="256"/>
      <c r="K100" s="206"/>
      <c r="L100" s="256"/>
      <c r="M100" s="206"/>
      <c r="N100" s="256"/>
      <c r="O100" s="206"/>
      <c r="P100" s="256"/>
      <c r="Q100" s="206"/>
      <c r="R100" s="298"/>
      <c r="S100" s="134"/>
      <c r="T100" s="134"/>
      <c r="U100" s="134"/>
      <c r="V100" s="134"/>
      <c r="W100" s="134"/>
      <c r="X100" s="134"/>
      <c r="Y100" s="134"/>
      <c r="Z100" s="134"/>
      <c r="AA100" s="134"/>
      <c r="AB100" s="134"/>
      <c r="AC100" s="134"/>
      <c r="AD100" s="134"/>
    </row>
    <row r="101" spans="1:30" ht="15">
      <c r="A101" s="220" t="s">
        <v>86</v>
      </c>
      <c r="B101" s="232"/>
      <c r="C101" s="10"/>
      <c r="D101" s="120">
        <f>SUM(D18:D99)</f>
        <v>46630544</v>
      </c>
      <c r="E101" s="134">
        <f t="shared" ref="E101:R101" si="1">SUM(E18:E99)</f>
        <v>11808644</v>
      </c>
      <c r="F101" s="28">
        <f t="shared" si="1"/>
        <v>60169</v>
      </c>
      <c r="G101" s="32">
        <f t="shared" si="1"/>
        <v>3504</v>
      </c>
      <c r="H101" s="28">
        <f t="shared" si="1"/>
        <v>1651858</v>
      </c>
      <c r="I101" s="134">
        <f t="shared" si="1"/>
        <v>750550</v>
      </c>
      <c r="J101" s="22">
        <f t="shared" si="1"/>
        <v>33351</v>
      </c>
      <c r="K101" s="134">
        <f t="shared" si="1"/>
        <v>555628</v>
      </c>
      <c r="L101" s="28">
        <f t="shared" si="1"/>
        <v>2214250</v>
      </c>
      <c r="M101" s="134">
        <f t="shared" si="1"/>
        <v>4655603</v>
      </c>
      <c r="N101" s="22">
        <f t="shared" si="1"/>
        <v>1785165</v>
      </c>
      <c r="O101" s="134">
        <f t="shared" si="1"/>
        <v>198303</v>
      </c>
      <c r="P101" s="22">
        <f>SUM(P18:P99)</f>
        <v>491228</v>
      </c>
      <c r="Q101" s="32">
        <f t="shared" si="1"/>
        <v>579443</v>
      </c>
      <c r="R101" s="122">
        <f t="shared" si="1"/>
        <v>97327</v>
      </c>
      <c r="S101" s="32"/>
      <c r="T101" s="32"/>
      <c r="U101" s="32"/>
      <c r="V101" s="32"/>
      <c r="W101" s="32"/>
      <c r="X101" s="32"/>
      <c r="Y101" s="32"/>
      <c r="Z101" s="32"/>
      <c r="AA101" s="32"/>
      <c r="AB101" s="32"/>
      <c r="AC101" s="32"/>
      <c r="AD101" s="32"/>
    </row>
    <row r="102" spans="1:30" ht="16" thickBot="1">
      <c r="A102" s="221"/>
      <c r="B102" s="233"/>
      <c r="C102" s="251"/>
      <c r="D102" s="252"/>
      <c r="E102" s="208"/>
      <c r="F102" s="253"/>
      <c r="G102" s="208"/>
      <c r="H102" s="253"/>
      <c r="I102" s="208"/>
      <c r="J102" s="253"/>
      <c r="K102" s="208"/>
      <c r="L102" s="253"/>
      <c r="M102" s="208"/>
      <c r="N102" s="253"/>
      <c r="O102" s="208"/>
      <c r="P102" s="253"/>
      <c r="Q102" s="208"/>
      <c r="R102" s="299"/>
      <c r="S102" s="134"/>
      <c r="T102" s="134"/>
      <c r="U102" s="134"/>
      <c r="V102" s="134"/>
      <c r="W102" s="134"/>
      <c r="X102" s="134"/>
      <c r="Y102" s="134"/>
      <c r="Z102" s="134"/>
      <c r="AA102" s="134"/>
      <c r="AB102" s="134"/>
      <c r="AC102" s="134"/>
      <c r="AD102" s="134"/>
    </row>
    <row r="103" spans="1:30" ht="15" thickTop="1">
      <c r="A103" s="222" t="s">
        <v>21</v>
      </c>
      <c r="B103" s="97"/>
      <c r="C103" s="10"/>
      <c r="D103" s="20"/>
      <c r="E103" s="31"/>
      <c r="F103" s="13"/>
      <c r="G103" s="31"/>
      <c r="H103" s="13"/>
      <c r="I103" s="31"/>
      <c r="J103" s="13"/>
      <c r="K103" s="31"/>
      <c r="L103" s="13"/>
      <c r="M103" s="31"/>
      <c r="N103" s="13"/>
      <c r="O103" s="31"/>
      <c r="P103" s="13"/>
      <c r="Q103" s="31"/>
      <c r="R103" s="50"/>
      <c r="S103" s="31"/>
      <c r="T103" s="31"/>
      <c r="U103" s="31"/>
      <c r="V103" s="31"/>
      <c r="W103" s="31"/>
      <c r="X103" s="31"/>
      <c r="Y103" s="31"/>
      <c r="Z103" s="31"/>
      <c r="AA103" s="31"/>
      <c r="AB103" s="31"/>
      <c r="AC103" s="31"/>
      <c r="AD103" s="31"/>
    </row>
    <row r="104" spans="1:30" ht="15">
      <c r="A104" s="145">
        <v>83</v>
      </c>
      <c r="B104" s="4" t="s">
        <v>169</v>
      </c>
      <c r="C104" s="248"/>
      <c r="D104" s="63">
        <v>6611</v>
      </c>
      <c r="E104" s="22">
        <v>2130</v>
      </c>
      <c r="F104" s="28">
        <v>141</v>
      </c>
      <c r="G104" s="22">
        <v>8</v>
      </c>
      <c r="H104" s="22">
        <v>8474</v>
      </c>
      <c r="I104" s="22">
        <v>9966</v>
      </c>
      <c r="J104" s="22"/>
      <c r="K104" s="22">
        <v>56</v>
      </c>
      <c r="L104" s="23">
        <v>1919</v>
      </c>
      <c r="M104" s="22">
        <v>3113</v>
      </c>
      <c r="N104" s="70"/>
      <c r="O104" s="22"/>
      <c r="P104" s="22">
        <v>2133</v>
      </c>
      <c r="Q104" s="22">
        <v>11143</v>
      </c>
      <c r="R104" s="49">
        <v>602</v>
      </c>
      <c r="S104" s="31"/>
      <c r="T104" s="31"/>
      <c r="U104" s="31"/>
      <c r="V104" s="31"/>
      <c r="W104" s="31"/>
      <c r="X104" s="31"/>
      <c r="Y104" s="250"/>
      <c r="Z104" s="250"/>
      <c r="AA104" s="250"/>
      <c r="AB104" s="250"/>
      <c r="AC104" s="250"/>
      <c r="AD104" s="250"/>
    </row>
    <row r="105" spans="1:30">
      <c r="A105" s="145">
        <v>84</v>
      </c>
      <c r="B105" s="4" t="s">
        <v>170</v>
      </c>
      <c r="C105" s="17"/>
      <c r="D105" s="162">
        <v>210954</v>
      </c>
      <c r="E105" s="28">
        <v>98065</v>
      </c>
      <c r="F105" s="134">
        <v>1140</v>
      </c>
      <c r="G105" s="28">
        <v>78</v>
      </c>
      <c r="H105" s="134">
        <v>23394</v>
      </c>
      <c r="I105" s="28">
        <v>23015</v>
      </c>
      <c r="J105" s="134">
        <v>42</v>
      </c>
      <c r="K105" s="28">
        <v>30</v>
      </c>
      <c r="L105" s="134">
        <v>1118</v>
      </c>
      <c r="M105" s="28">
        <v>7957</v>
      </c>
      <c r="N105" s="134">
        <v>2253</v>
      </c>
      <c r="O105" s="28">
        <v>17027</v>
      </c>
      <c r="P105" s="134">
        <v>9582</v>
      </c>
      <c r="Q105" s="28">
        <v>14909</v>
      </c>
      <c r="R105" s="122"/>
      <c r="S105" s="134"/>
      <c r="T105" s="134"/>
      <c r="U105" s="134"/>
      <c r="V105" s="134"/>
      <c r="W105" s="134"/>
      <c r="X105" s="134"/>
      <c r="Y105" s="134"/>
      <c r="Z105" s="134"/>
      <c r="AA105" s="134"/>
      <c r="AB105" s="134"/>
      <c r="AC105" s="134"/>
      <c r="AD105" s="134"/>
    </row>
    <row r="106" spans="1:30">
      <c r="A106" s="145">
        <v>85</v>
      </c>
      <c r="B106" s="4" t="s">
        <v>171</v>
      </c>
      <c r="C106" s="10"/>
      <c r="D106" s="162">
        <v>43725</v>
      </c>
      <c r="E106" s="28">
        <v>9592</v>
      </c>
      <c r="F106" s="134">
        <v>1190</v>
      </c>
      <c r="G106" s="28">
        <v>74</v>
      </c>
      <c r="H106" s="134">
        <v>5203</v>
      </c>
      <c r="I106" s="28">
        <v>4149</v>
      </c>
      <c r="J106" s="134">
        <v>274</v>
      </c>
      <c r="K106" s="28">
        <v>226</v>
      </c>
      <c r="L106" s="134">
        <v>12048</v>
      </c>
      <c r="M106" s="28">
        <v>32505</v>
      </c>
      <c r="N106" s="134">
        <v>16274</v>
      </c>
      <c r="O106" s="28">
        <v>17440</v>
      </c>
      <c r="P106" s="134">
        <v>500</v>
      </c>
      <c r="Q106" s="28">
        <v>670</v>
      </c>
      <c r="R106" s="122">
        <v>40</v>
      </c>
      <c r="S106" s="134"/>
      <c r="T106" s="134"/>
      <c r="U106" s="134"/>
      <c r="V106" s="134"/>
      <c r="W106" s="134"/>
      <c r="X106" s="134"/>
      <c r="Y106" s="134"/>
      <c r="Z106" s="134"/>
      <c r="AA106" s="134"/>
      <c r="AB106" s="134"/>
      <c r="AC106" s="134"/>
      <c r="AD106" s="134"/>
    </row>
    <row r="107" spans="1:30">
      <c r="A107" s="145">
        <v>86</v>
      </c>
      <c r="B107" s="4" t="s">
        <v>172</v>
      </c>
      <c r="C107" s="10"/>
      <c r="D107" s="162">
        <v>33363</v>
      </c>
      <c r="E107" s="28">
        <v>3775</v>
      </c>
      <c r="F107" s="134">
        <v>556</v>
      </c>
      <c r="G107" s="28">
        <v>6</v>
      </c>
      <c r="H107" s="134">
        <v>7661</v>
      </c>
      <c r="I107" s="28">
        <v>3531</v>
      </c>
      <c r="J107" s="134">
        <v>8</v>
      </c>
      <c r="K107" s="28"/>
      <c r="L107" s="134">
        <v>73980</v>
      </c>
      <c r="M107" s="28">
        <v>8462</v>
      </c>
      <c r="N107" s="134">
        <v>18136</v>
      </c>
      <c r="O107" s="28"/>
      <c r="P107" s="134">
        <v>20</v>
      </c>
      <c r="Q107" s="28">
        <v>496</v>
      </c>
      <c r="R107" s="122"/>
      <c r="S107" s="134"/>
      <c r="T107" s="134"/>
      <c r="U107" s="134"/>
      <c r="V107" s="134"/>
      <c r="W107" s="134"/>
      <c r="X107" s="134"/>
      <c r="Y107" s="134"/>
      <c r="Z107" s="134"/>
      <c r="AA107" s="134"/>
      <c r="AB107" s="134"/>
      <c r="AC107" s="134"/>
      <c r="AD107" s="134"/>
    </row>
    <row r="108" spans="1:30">
      <c r="A108" s="145">
        <v>87</v>
      </c>
      <c r="B108" s="4" t="s">
        <v>173</v>
      </c>
      <c r="C108" s="10"/>
      <c r="D108" s="162">
        <v>206073</v>
      </c>
      <c r="E108" s="28">
        <v>43197</v>
      </c>
      <c r="F108" s="134">
        <v>3366</v>
      </c>
      <c r="G108" s="28">
        <v>19</v>
      </c>
      <c r="H108" s="134">
        <v>17610</v>
      </c>
      <c r="I108" s="28">
        <v>14803</v>
      </c>
      <c r="J108" s="134">
        <v>4</v>
      </c>
      <c r="K108" s="28">
        <v>61</v>
      </c>
      <c r="L108" s="134">
        <v>22591</v>
      </c>
      <c r="M108" s="28">
        <v>106971</v>
      </c>
      <c r="N108" s="134">
        <v>107470</v>
      </c>
      <c r="O108" s="28">
        <v>24800</v>
      </c>
      <c r="P108" s="134">
        <v>1060</v>
      </c>
      <c r="Q108" s="28">
        <v>6354</v>
      </c>
      <c r="R108" s="122"/>
      <c r="S108" s="134"/>
      <c r="T108" s="134"/>
      <c r="U108" s="134"/>
      <c r="V108" s="134"/>
      <c r="W108" s="134"/>
      <c r="X108" s="134"/>
      <c r="Y108" s="134"/>
      <c r="Z108" s="134"/>
      <c r="AA108" s="134"/>
      <c r="AB108" s="134"/>
      <c r="AC108" s="134"/>
      <c r="AD108" s="134"/>
    </row>
    <row r="109" spans="1:30">
      <c r="A109" s="215"/>
      <c r="B109" s="203"/>
      <c r="C109" s="12"/>
      <c r="D109" s="38"/>
      <c r="E109" s="206"/>
      <c r="F109" s="256"/>
      <c r="G109" s="206"/>
      <c r="H109" s="256"/>
      <c r="I109" s="206"/>
      <c r="J109" s="256"/>
      <c r="K109" s="206"/>
      <c r="L109" s="256"/>
      <c r="M109" s="206"/>
      <c r="N109" s="256"/>
      <c r="O109" s="206"/>
      <c r="P109" s="256"/>
      <c r="Q109" s="206"/>
      <c r="R109" s="298"/>
      <c r="S109" s="134"/>
      <c r="T109" s="134"/>
      <c r="U109" s="134"/>
      <c r="V109" s="134"/>
      <c r="W109" s="134"/>
      <c r="X109" s="134"/>
      <c r="Y109" s="134"/>
      <c r="Z109" s="134"/>
      <c r="AA109" s="134"/>
      <c r="AB109" s="134"/>
      <c r="AC109" s="134"/>
      <c r="AD109" s="134"/>
    </row>
    <row r="110" spans="1:30" ht="15">
      <c r="A110" s="145" t="s">
        <v>293</v>
      </c>
      <c r="B110" s="4"/>
      <c r="C110" s="248"/>
      <c r="D110" s="162">
        <f>SUM(D104:D108)</f>
        <v>500726</v>
      </c>
      <c r="E110" s="22">
        <f t="shared" ref="E110:R110" si="2">SUM(E104:E108)</f>
        <v>156759</v>
      </c>
      <c r="F110" s="32">
        <f t="shared" si="2"/>
        <v>6393</v>
      </c>
      <c r="G110" s="22">
        <f t="shared" si="2"/>
        <v>185</v>
      </c>
      <c r="H110" s="32">
        <f t="shared" si="2"/>
        <v>62342</v>
      </c>
      <c r="I110" s="22">
        <f t="shared" si="2"/>
        <v>55464</v>
      </c>
      <c r="J110" s="32">
        <f t="shared" si="2"/>
        <v>328</v>
      </c>
      <c r="K110" s="22">
        <f t="shared" si="2"/>
        <v>373</v>
      </c>
      <c r="L110" s="32">
        <f t="shared" si="2"/>
        <v>111656</v>
      </c>
      <c r="M110" s="22">
        <f t="shared" si="2"/>
        <v>159008</v>
      </c>
      <c r="N110" s="32">
        <f t="shared" si="2"/>
        <v>144133</v>
      </c>
      <c r="O110" s="22">
        <f t="shared" si="2"/>
        <v>59267</v>
      </c>
      <c r="P110" s="32">
        <f t="shared" si="2"/>
        <v>13295</v>
      </c>
      <c r="Q110" s="22">
        <f t="shared" si="2"/>
        <v>33572</v>
      </c>
      <c r="R110" s="49">
        <f t="shared" si="2"/>
        <v>642</v>
      </c>
      <c r="S110" s="31"/>
      <c r="T110" s="31"/>
      <c r="U110" s="31"/>
      <c r="V110" s="31"/>
      <c r="W110" s="31"/>
      <c r="X110" s="31"/>
      <c r="Y110" s="250"/>
      <c r="Z110" s="250"/>
      <c r="AA110" s="250"/>
      <c r="AB110" s="250"/>
      <c r="AC110" s="250"/>
      <c r="AD110" s="250"/>
    </row>
    <row r="111" spans="1:30" ht="15" thickBot="1">
      <c r="A111" s="217"/>
      <c r="B111" s="104"/>
      <c r="C111" s="257"/>
      <c r="D111" s="252"/>
      <c r="E111" s="208"/>
      <c r="F111" s="253"/>
      <c r="G111" s="208"/>
      <c r="H111" s="253"/>
      <c r="I111" s="208"/>
      <c r="J111" s="253"/>
      <c r="K111" s="208"/>
      <c r="L111" s="253"/>
      <c r="M111" s="208"/>
      <c r="N111" s="253"/>
      <c r="O111" s="208"/>
      <c r="P111" s="253"/>
      <c r="Q111" s="208"/>
      <c r="R111" s="299"/>
      <c r="S111" s="134"/>
      <c r="T111" s="134"/>
      <c r="U111" s="134"/>
      <c r="V111" s="134"/>
      <c r="W111" s="134"/>
      <c r="X111" s="134"/>
      <c r="Y111" s="134"/>
      <c r="Z111" s="134"/>
      <c r="AA111" s="134"/>
      <c r="AB111" s="134"/>
      <c r="AC111" s="134"/>
      <c r="AD111" s="134"/>
    </row>
    <row r="112" spans="1:30" ht="15" thickTop="1">
      <c r="A112" s="223" t="s">
        <v>22</v>
      </c>
      <c r="B112" s="112"/>
      <c r="C112" s="10"/>
      <c r="D112" s="162"/>
      <c r="E112" s="28"/>
      <c r="F112" s="134"/>
      <c r="G112" s="28"/>
      <c r="H112" s="134"/>
      <c r="I112" s="28"/>
      <c r="J112" s="134"/>
      <c r="K112" s="28"/>
      <c r="L112" s="134"/>
      <c r="M112" s="28"/>
      <c r="N112" s="134"/>
      <c r="O112" s="28"/>
      <c r="P112" s="134"/>
      <c r="Q112" s="28"/>
      <c r="R112" s="122"/>
      <c r="S112" s="134"/>
      <c r="T112" s="134"/>
      <c r="U112" s="134"/>
      <c r="V112" s="134"/>
      <c r="W112" s="134"/>
      <c r="X112" s="134"/>
      <c r="Y112" s="134"/>
      <c r="Z112" s="134"/>
      <c r="AA112" s="134"/>
      <c r="AB112" s="134"/>
      <c r="AC112" s="134"/>
      <c r="AD112" s="134"/>
    </row>
    <row r="113" spans="1:30">
      <c r="A113" s="222" t="s">
        <v>23</v>
      </c>
      <c r="B113" s="97"/>
      <c r="C113" s="10"/>
      <c r="D113" s="162"/>
      <c r="E113" s="28"/>
      <c r="F113" s="134"/>
      <c r="G113" s="28"/>
      <c r="H113" s="134"/>
      <c r="I113" s="28"/>
      <c r="J113" s="134"/>
      <c r="K113" s="28"/>
      <c r="L113" s="134"/>
      <c r="M113" s="28"/>
      <c r="N113" s="134"/>
      <c r="O113" s="28"/>
      <c r="P113" s="134"/>
      <c r="Q113" s="28"/>
      <c r="R113" s="122"/>
      <c r="S113" s="134"/>
      <c r="T113" s="134"/>
      <c r="U113" s="134"/>
      <c r="V113" s="134"/>
      <c r="W113" s="134"/>
      <c r="X113" s="134"/>
      <c r="Y113" s="134"/>
      <c r="Z113" s="134"/>
      <c r="AA113" s="134"/>
      <c r="AB113" s="134"/>
      <c r="AC113" s="134"/>
      <c r="AD113" s="134"/>
    </row>
    <row r="114" spans="1:30">
      <c r="A114" s="145">
        <v>88</v>
      </c>
      <c r="B114" s="4" t="s">
        <v>174</v>
      </c>
      <c r="C114" s="10"/>
      <c r="D114" s="272">
        <v>476905</v>
      </c>
      <c r="E114" s="28">
        <v>13873</v>
      </c>
      <c r="F114" s="134">
        <v>695</v>
      </c>
      <c r="G114" s="28">
        <v>12</v>
      </c>
      <c r="H114" s="134">
        <v>15390</v>
      </c>
      <c r="I114" s="51">
        <v>1155</v>
      </c>
      <c r="J114" s="134">
        <v>100</v>
      </c>
      <c r="K114" s="28">
        <v>600</v>
      </c>
      <c r="L114" s="134">
        <v>10479</v>
      </c>
      <c r="M114" s="28">
        <v>10857</v>
      </c>
      <c r="N114" s="134">
        <v>5234</v>
      </c>
      <c r="O114" s="28">
        <v>9500</v>
      </c>
      <c r="P114" s="134">
        <v>640</v>
      </c>
      <c r="Q114" s="28">
        <v>2373</v>
      </c>
      <c r="R114" s="122"/>
      <c r="S114" s="134"/>
      <c r="T114" s="134"/>
      <c r="U114" s="134"/>
      <c r="V114" s="134"/>
      <c r="W114" s="134"/>
      <c r="X114" s="134"/>
      <c r="Y114" s="134"/>
      <c r="Z114" s="134"/>
      <c r="AA114" s="134"/>
      <c r="AB114" s="134"/>
      <c r="AC114" s="134"/>
      <c r="AD114" s="134"/>
    </row>
    <row r="115" spans="1:30">
      <c r="A115" s="145">
        <v>89</v>
      </c>
      <c r="B115" s="4" t="s">
        <v>175</v>
      </c>
      <c r="C115" s="10"/>
      <c r="D115" s="272">
        <v>782853</v>
      </c>
      <c r="E115" s="28">
        <v>40561</v>
      </c>
      <c r="F115" s="134">
        <v>2095</v>
      </c>
      <c r="G115" s="28">
        <v>68</v>
      </c>
      <c r="H115" s="134">
        <v>13356</v>
      </c>
      <c r="I115" s="51">
        <v>1626</v>
      </c>
      <c r="J115" s="134">
        <v>210</v>
      </c>
      <c r="K115" s="28">
        <v>29</v>
      </c>
      <c r="L115" s="134">
        <v>47264</v>
      </c>
      <c r="M115" s="28">
        <v>20298</v>
      </c>
      <c r="N115" s="134">
        <v>48792</v>
      </c>
      <c r="O115" s="28">
        <v>99743</v>
      </c>
      <c r="P115" s="134">
        <v>4045</v>
      </c>
      <c r="Q115" s="28">
        <v>6109</v>
      </c>
      <c r="R115" s="122"/>
      <c r="S115" s="134"/>
      <c r="T115" s="134"/>
      <c r="U115" s="134"/>
      <c r="V115" s="134"/>
      <c r="W115" s="134"/>
      <c r="X115" s="134"/>
      <c r="Y115" s="134"/>
      <c r="Z115" s="134"/>
      <c r="AA115" s="134"/>
      <c r="AB115" s="134"/>
      <c r="AC115" s="134"/>
      <c r="AD115" s="134"/>
    </row>
    <row r="116" spans="1:30" ht="15">
      <c r="A116" s="145">
        <v>90</v>
      </c>
      <c r="B116" s="4" t="s">
        <v>176</v>
      </c>
      <c r="C116" s="248"/>
      <c r="D116" s="273">
        <v>64149</v>
      </c>
      <c r="E116" s="22">
        <v>77</v>
      </c>
      <c r="F116" s="21">
        <v>1213</v>
      </c>
      <c r="G116" s="22"/>
      <c r="H116" s="22">
        <v>1514</v>
      </c>
      <c r="I116" s="51">
        <v>1872</v>
      </c>
      <c r="J116" s="22">
        <v>9</v>
      </c>
      <c r="K116" s="22"/>
      <c r="L116" s="23">
        <v>782</v>
      </c>
      <c r="M116" s="22">
        <v>660</v>
      </c>
      <c r="N116" s="70"/>
      <c r="O116" s="22"/>
      <c r="P116" s="22">
        <v>33</v>
      </c>
      <c r="Q116" s="28">
        <v>50</v>
      </c>
      <c r="R116" s="49"/>
      <c r="S116" s="31"/>
      <c r="T116" s="31"/>
      <c r="U116" s="31"/>
      <c r="V116" s="31"/>
      <c r="W116" s="31"/>
      <c r="X116" s="31"/>
      <c r="Y116" s="250"/>
      <c r="Z116" s="250"/>
      <c r="AA116" s="250"/>
      <c r="AB116" s="250"/>
      <c r="AC116" s="250"/>
      <c r="AD116" s="250"/>
    </row>
    <row r="117" spans="1:30">
      <c r="A117" s="145">
        <v>91</v>
      </c>
      <c r="B117" s="4" t="s">
        <v>177</v>
      </c>
      <c r="C117" s="17"/>
      <c r="D117" s="272">
        <v>1007704</v>
      </c>
      <c r="E117" s="28">
        <v>3517</v>
      </c>
      <c r="F117" s="29">
        <v>1004</v>
      </c>
      <c r="G117" s="28">
        <v>17</v>
      </c>
      <c r="H117" s="134">
        <v>10252</v>
      </c>
      <c r="I117" s="51">
        <v>291</v>
      </c>
      <c r="J117" s="134">
        <v>216</v>
      </c>
      <c r="K117" s="28"/>
      <c r="L117" s="134">
        <v>85336</v>
      </c>
      <c r="M117" s="28">
        <v>53770</v>
      </c>
      <c r="N117" s="134">
        <v>90692</v>
      </c>
      <c r="O117" s="28">
        <v>46663</v>
      </c>
      <c r="P117" s="134">
        <v>588</v>
      </c>
      <c r="Q117" s="28">
        <v>1294</v>
      </c>
      <c r="R117" s="122"/>
      <c r="S117" s="134"/>
      <c r="T117" s="134"/>
      <c r="U117" s="134"/>
      <c r="V117" s="134"/>
      <c r="W117" s="134"/>
      <c r="X117" s="134"/>
      <c r="Y117" s="134"/>
      <c r="Z117" s="134"/>
      <c r="AA117" s="134"/>
      <c r="AB117" s="134"/>
      <c r="AC117" s="134"/>
      <c r="AD117" s="134"/>
    </row>
    <row r="118" spans="1:30">
      <c r="A118" s="145">
        <v>92</v>
      </c>
      <c r="B118" s="4" t="s">
        <v>178</v>
      </c>
      <c r="C118" s="10"/>
      <c r="D118" s="272">
        <v>190236</v>
      </c>
      <c r="E118" s="28">
        <v>107271</v>
      </c>
      <c r="F118" s="28">
        <v>1657</v>
      </c>
      <c r="G118" s="28">
        <v>1</v>
      </c>
      <c r="H118" s="134">
        <v>7113</v>
      </c>
      <c r="I118" s="51">
        <v>5454</v>
      </c>
      <c r="J118" s="134">
        <v>960</v>
      </c>
      <c r="K118" s="28"/>
      <c r="L118" s="134">
        <v>150</v>
      </c>
      <c r="M118" s="28">
        <v>250</v>
      </c>
      <c r="N118" s="134"/>
      <c r="O118" s="28"/>
      <c r="P118" s="134">
        <v>40</v>
      </c>
      <c r="Q118" s="28"/>
      <c r="R118" s="122">
        <v>129</v>
      </c>
      <c r="S118" s="134"/>
      <c r="T118" s="134"/>
      <c r="U118" s="134"/>
      <c r="V118" s="134"/>
      <c r="W118" s="134"/>
      <c r="X118" s="134"/>
      <c r="Y118" s="134"/>
      <c r="Z118" s="134"/>
      <c r="AA118" s="134"/>
      <c r="AB118" s="134"/>
      <c r="AC118" s="134"/>
      <c r="AD118" s="134"/>
    </row>
    <row r="119" spans="1:30">
      <c r="A119" s="145">
        <v>93</v>
      </c>
      <c r="B119" s="4" t="s">
        <v>179</v>
      </c>
      <c r="C119" s="10"/>
      <c r="D119" s="272">
        <v>244614</v>
      </c>
      <c r="E119" s="28">
        <v>3733</v>
      </c>
      <c r="F119" s="134">
        <v>942</v>
      </c>
      <c r="G119" s="28"/>
      <c r="H119" s="134">
        <v>2914</v>
      </c>
      <c r="I119" s="51">
        <v>2503</v>
      </c>
      <c r="J119" s="134">
        <v>329</v>
      </c>
      <c r="K119" s="28"/>
      <c r="L119" s="134"/>
      <c r="M119" s="28">
        <v>1277</v>
      </c>
      <c r="N119" s="134"/>
      <c r="O119" s="28"/>
      <c r="P119" s="134">
        <v>140</v>
      </c>
      <c r="Q119" s="28">
        <v>160</v>
      </c>
      <c r="R119" s="122"/>
      <c r="S119" s="134"/>
      <c r="T119" s="134"/>
      <c r="U119" s="134"/>
      <c r="V119" s="134"/>
      <c r="W119" s="134"/>
      <c r="X119" s="134"/>
      <c r="Y119" s="134"/>
      <c r="Z119" s="134"/>
      <c r="AA119" s="134"/>
      <c r="AB119" s="134"/>
      <c r="AC119" s="134"/>
      <c r="AD119" s="134"/>
    </row>
    <row r="120" spans="1:30">
      <c r="A120" s="145">
        <v>94</v>
      </c>
      <c r="B120" s="4" t="s">
        <v>180</v>
      </c>
      <c r="C120" s="10"/>
      <c r="D120" s="272">
        <v>185787</v>
      </c>
      <c r="E120" s="28">
        <v>3350</v>
      </c>
      <c r="F120" s="134">
        <v>2142</v>
      </c>
      <c r="G120" s="28"/>
      <c r="H120" s="134">
        <v>9899</v>
      </c>
      <c r="I120" s="51">
        <v>5184</v>
      </c>
      <c r="J120" s="134">
        <v>913</v>
      </c>
      <c r="K120" s="28"/>
      <c r="L120" s="134">
        <v>216</v>
      </c>
      <c r="M120" s="28">
        <v>830</v>
      </c>
      <c r="N120" s="134"/>
      <c r="O120" s="28"/>
      <c r="P120" s="134"/>
      <c r="Q120" s="28"/>
      <c r="R120" s="122"/>
      <c r="S120" s="134"/>
      <c r="T120" s="134"/>
      <c r="U120" s="134"/>
      <c r="V120" s="134"/>
      <c r="W120" s="134"/>
      <c r="X120" s="134"/>
      <c r="Y120" s="134"/>
      <c r="Z120" s="134"/>
      <c r="AA120" s="134"/>
      <c r="AB120" s="134"/>
      <c r="AC120" s="134"/>
      <c r="AD120" s="134"/>
    </row>
    <row r="121" spans="1:30">
      <c r="A121" s="145">
        <v>95</v>
      </c>
      <c r="B121" s="4" t="s">
        <v>181</v>
      </c>
      <c r="C121" s="10"/>
      <c r="D121" s="272">
        <v>340280</v>
      </c>
      <c r="E121" s="28">
        <v>9238</v>
      </c>
      <c r="F121" s="134">
        <v>2707</v>
      </c>
      <c r="G121" s="28"/>
      <c r="H121" s="134">
        <v>12878</v>
      </c>
      <c r="I121" s="51">
        <v>6104</v>
      </c>
      <c r="J121" s="134">
        <v>1616</v>
      </c>
      <c r="K121" s="28"/>
      <c r="L121" s="134"/>
      <c r="M121" s="28">
        <v>1720</v>
      </c>
      <c r="N121" s="134"/>
      <c r="O121" s="28"/>
      <c r="P121" s="134"/>
      <c r="Q121" s="28"/>
      <c r="R121" s="122"/>
      <c r="S121" s="134"/>
      <c r="T121" s="134"/>
      <c r="U121" s="134"/>
      <c r="V121" s="134"/>
      <c r="W121" s="134"/>
      <c r="X121" s="134"/>
      <c r="Y121" s="134"/>
      <c r="Z121" s="134"/>
      <c r="AA121" s="134"/>
      <c r="AB121" s="134"/>
      <c r="AC121" s="134"/>
      <c r="AD121" s="134"/>
    </row>
    <row r="122" spans="1:30" ht="15">
      <c r="A122" s="145">
        <v>96</v>
      </c>
      <c r="B122" s="4" t="s">
        <v>182</v>
      </c>
      <c r="C122" s="248"/>
      <c r="D122" s="273">
        <v>194620</v>
      </c>
      <c r="E122" s="22">
        <v>4604</v>
      </c>
      <c r="F122" s="134">
        <v>4476</v>
      </c>
      <c r="G122" s="22">
        <v>29</v>
      </c>
      <c r="H122" s="22">
        <v>2010</v>
      </c>
      <c r="I122" s="51">
        <v>427</v>
      </c>
      <c r="J122" s="22">
        <v>2295</v>
      </c>
      <c r="K122" s="22">
        <v>12</v>
      </c>
      <c r="L122" s="23">
        <v>3160</v>
      </c>
      <c r="M122" s="22">
        <v>4142</v>
      </c>
      <c r="N122" s="70">
        <v>67402</v>
      </c>
      <c r="O122" s="22">
        <v>575</v>
      </c>
      <c r="P122" s="22">
        <v>640</v>
      </c>
      <c r="Q122" s="28">
        <v>36</v>
      </c>
      <c r="R122" s="49"/>
      <c r="S122" s="31"/>
      <c r="T122" s="31"/>
      <c r="U122" s="31"/>
      <c r="V122" s="31"/>
      <c r="W122" s="31"/>
      <c r="X122" s="31"/>
      <c r="Y122" s="250"/>
      <c r="Z122" s="250"/>
      <c r="AA122" s="250"/>
      <c r="AB122" s="250"/>
      <c r="AC122" s="250"/>
      <c r="AD122" s="250"/>
    </row>
    <row r="123" spans="1:30">
      <c r="A123" s="222" t="s">
        <v>24</v>
      </c>
      <c r="B123" s="97"/>
      <c r="C123" s="17"/>
      <c r="D123" s="272"/>
      <c r="E123" s="28"/>
      <c r="F123" s="134"/>
      <c r="G123" s="28"/>
      <c r="H123" s="134"/>
      <c r="I123" s="51"/>
      <c r="J123" s="134"/>
      <c r="K123" s="28"/>
      <c r="L123" s="134"/>
      <c r="M123" s="28"/>
      <c r="N123" s="134"/>
      <c r="O123" s="28"/>
      <c r="P123" s="134"/>
      <c r="Q123" s="28"/>
      <c r="R123" s="122"/>
      <c r="S123" s="134"/>
      <c r="T123" s="134"/>
      <c r="U123" s="134"/>
      <c r="V123" s="134"/>
      <c r="W123" s="134"/>
      <c r="X123" s="134"/>
      <c r="Y123" s="134"/>
      <c r="Z123" s="134"/>
      <c r="AA123" s="134"/>
      <c r="AB123" s="134"/>
      <c r="AC123" s="134"/>
      <c r="AD123" s="134"/>
    </row>
    <row r="124" spans="1:30">
      <c r="A124" s="224">
        <v>97</v>
      </c>
      <c r="B124" s="113" t="s">
        <v>183</v>
      </c>
      <c r="C124" s="10"/>
      <c r="D124" s="272">
        <v>1035380</v>
      </c>
      <c r="E124" s="28">
        <v>21910</v>
      </c>
      <c r="F124" s="134">
        <v>998</v>
      </c>
      <c r="G124" s="28">
        <v>34</v>
      </c>
      <c r="H124" s="134">
        <v>25192</v>
      </c>
      <c r="I124" s="51">
        <v>1217</v>
      </c>
      <c r="J124" s="134">
        <v>30</v>
      </c>
      <c r="K124" s="28">
        <v>30</v>
      </c>
      <c r="L124" s="134">
        <v>625</v>
      </c>
      <c r="M124" s="28">
        <v>28168</v>
      </c>
      <c r="N124" s="134">
        <v>38194</v>
      </c>
      <c r="O124" s="28">
        <v>250</v>
      </c>
      <c r="P124" s="134">
        <v>350</v>
      </c>
      <c r="Q124" s="28">
        <v>4284</v>
      </c>
      <c r="R124" s="122"/>
      <c r="S124" s="134"/>
      <c r="T124" s="134"/>
      <c r="U124" s="134"/>
      <c r="V124" s="134"/>
      <c r="W124" s="134"/>
      <c r="X124" s="134"/>
      <c r="Y124" s="134"/>
      <c r="Z124" s="134"/>
      <c r="AA124" s="134"/>
      <c r="AB124" s="134"/>
      <c r="AC124" s="134"/>
      <c r="AD124" s="134"/>
    </row>
    <row r="125" spans="1:30">
      <c r="A125" s="145">
        <v>98</v>
      </c>
      <c r="B125" s="4" t="s">
        <v>184</v>
      </c>
      <c r="C125" s="10"/>
      <c r="D125" s="272">
        <v>4166</v>
      </c>
      <c r="E125" s="28">
        <v>38</v>
      </c>
      <c r="F125" s="134">
        <v>13675</v>
      </c>
      <c r="G125" s="28"/>
      <c r="H125" s="134">
        <v>286</v>
      </c>
      <c r="I125" s="51">
        <v>2696</v>
      </c>
      <c r="J125" s="134">
        <v>7057</v>
      </c>
      <c r="K125" s="28"/>
      <c r="L125" s="134"/>
      <c r="M125" s="28"/>
      <c r="N125" s="134"/>
      <c r="O125" s="28"/>
      <c r="P125" s="134"/>
      <c r="Q125" s="28"/>
      <c r="R125" s="122"/>
      <c r="S125" s="134"/>
      <c r="T125" s="134"/>
      <c r="U125" s="134"/>
      <c r="V125" s="134"/>
      <c r="W125" s="134"/>
      <c r="X125" s="134"/>
      <c r="Y125" s="134"/>
      <c r="Z125" s="134"/>
      <c r="AA125" s="134"/>
      <c r="AB125" s="134"/>
      <c r="AC125" s="134"/>
      <c r="AD125" s="134"/>
    </row>
    <row r="126" spans="1:30">
      <c r="A126" s="145">
        <v>99</v>
      </c>
      <c r="B126" s="4" t="s">
        <v>185</v>
      </c>
      <c r="C126" s="10"/>
      <c r="D126" s="272">
        <v>738354</v>
      </c>
      <c r="E126" s="28">
        <v>8828</v>
      </c>
      <c r="F126" s="134">
        <v>9426</v>
      </c>
      <c r="G126" s="28"/>
      <c r="H126" s="134">
        <v>25626</v>
      </c>
      <c r="I126" s="51">
        <v>12366</v>
      </c>
      <c r="J126" s="134">
        <v>10026</v>
      </c>
      <c r="K126" s="28"/>
      <c r="L126" s="134">
        <v>5814</v>
      </c>
      <c r="M126" s="28">
        <v>1188</v>
      </c>
      <c r="N126" s="134"/>
      <c r="O126" s="28"/>
      <c r="P126" s="134"/>
      <c r="Q126" s="28"/>
      <c r="R126" s="122"/>
      <c r="S126" s="134"/>
      <c r="T126" s="134"/>
      <c r="U126" s="134"/>
      <c r="V126" s="134"/>
      <c r="W126" s="134"/>
      <c r="X126" s="134"/>
      <c r="Y126" s="134"/>
      <c r="Z126" s="134"/>
      <c r="AA126" s="134"/>
      <c r="AB126" s="134"/>
      <c r="AC126" s="134"/>
      <c r="AD126" s="134"/>
    </row>
    <row r="127" spans="1:30">
      <c r="A127" s="145">
        <v>100</v>
      </c>
      <c r="B127" s="4" t="s">
        <v>186</v>
      </c>
      <c r="C127" s="10"/>
      <c r="D127" s="272">
        <v>139314</v>
      </c>
      <c r="E127" s="28">
        <v>318</v>
      </c>
      <c r="F127" s="134">
        <v>6913</v>
      </c>
      <c r="G127" s="28">
        <v>20</v>
      </c>
      <c r="H127" s="134">
        <v>8702</v>
      </c>
      <c r="I127" s="51">
        <v>10063</v>
      </c>
      <c r="J127" s="134">
        <v>4508</v>
      </c>
      <c r="K127" s="28"/>
      <c r="L127" s="134"/>
      <c r="M127" s="28">
        <v>50</v>
      </c>
      <c r="N127" s="134"/>
      <c r="O127" s="28"/>
      <c r="P127" s="134"/>
      <c r="Q127" s="28"/>
      <c r="R127" s="122"/>
      <c r="S127" s="134"/>
      <c r="T127" s="134"/>
      <c r="U127" s="134"/>
      <c r="V127" s="134"/>
      <c r="W127" s="134"/>
      <c r="X127" s="134"/>
      <c r="Y127" s="134"/>
      <c r="Z127" s="134"/>
      <c r="AA127" s="134"/>
      <c r="AB127" s="134"/>
      <c r="AC127" s="134"/>
      <c r="AD127" s="134"/>
    </row>
    <row r="128" spans="1:30" ht="15">
      <c r="A128" s="145">
        <v>101</v>
      </c>
      <c r="B128" s="4" t="s">
        <v>304</v>
      </c>
      <c r="C128" s="248"/>
      <c r="D128" s="273">
        <v>452654</v>
      </c>
      <c r="E128" s="22">
        <v>3592</v>
      </c>
      <c r="F128" s="28">
        <v>2591</v>
      </c>
      <c r="G128" s="22">
        <v>2</v>
      </c>
      <c r="H128" s="22">
        <v>5913</v>
      </c>
      <c r="I128" s="51">
        <v>5885</v>
      </c>
      <c r="J128" s="22">
        <v>1868</v>
      </c>
      <c r="K128" s="22"/>
      <c r="L128" s="23"/>
      <c r="M128" s="22">
        <v>100</v>
      </c>
      <c r="N128" s="70"/>
      <c r="O128" s="22"/>
      <c r="P128" s="22"/>
      <c r="Q128" s="28"/>
      <c r="R128" s="49"/>
      <c r="S128" s="31"/>
      <c r="T128" s="31"/>
      <c r="U128" s="31"/>
      <c r="V128" s="31"/>
      <c r="W128" s="31"/>
      <c r="X128" s="31"/>
      <c r="Y128" s="250"/>
      <c r="Z128" s="250"/>
      <c r="AA128" s="250"/>
      <c r="AB128" s="250"/>
      <c r="AC128" s="250"/>
      <c r="AD128" s="250"/>
    </row>
    <row r="129" spans="1:30">
      <c r="A129" s="145">
        <v>102</v>
      </c>
      <c r="B129" s="4" t="s">
        <v>187</v>
      </c>
      <c r="C129" s="17"/>
      <c r="D129" s="272">
        <v>595839</v>
      </c>
      <c r="E129" s="28">
        <v>2</v>
      </c>
      <c r="F129" s="134">
        <v>3958</v>
      </c>
      <c r="G129" s="28">
        <v>70</v>
      </c>
      <c r="H129" s="134">
        <v>22911</v>
      </c>
      <c r="I129" s="51">
        <v>7318</v>
      </c>
      <c r="J129" s="134">
        <v>3449</v>
      </c>
      <c r="K129" s="28"/>
      <c r="L129" s="134"/>
      <c r="M129" s="28">
        <v>6622</v>
      </c>
      <c r="N129" s="134">
        <v>10701</v>
      </c>
      <c r="O129" s="28"/>
      <c r="P129" s="134"/>
      <c r="Q129" s="28">
        <v>150</v>
      </c>
      <c r="R129" s="122"/>
      <c r="S129" s="134"/>
      <c r="T129" s="134"/>
      <c r="U129" s="134"/>
      <c r="V129" s="134"/>
      <c r="W129" s="134"/>
      <c r="X129" s="134"/>
      <c r="Y129" s="134"/>
      <c r="Z129" s="134"/>
      <c r="AA129" s="134"/>
      <c r="AB129" s="134"/>
      <c r="AC129" s="134"/>
      <c r="AD129" s="134"/>
    </row>
    <row r="130" spans="1:30">
      <c r="A130" s="145">
        <v>103</v>
      </c>
      <c r="B130" s="4" t="s">
        <v>188</v>
      </c>
      <c r="C130" s="10"/>
      <c r="D130" s="272">
        <v>163143</v>
      </c>
      <c r="E130" s="28">
        <v>36459</v>
      </c>
      <c r="F130" s="134">
        <v>1221</v>
      </c>
      <c r="G130" s="28">
        <v>2</v>
      </c>
      <c r="H130" s="134">
        <v>7382</v>
      </c>
      <c r="I130" s="51">
        <v>3708</v>
      </c>
      <c r="J130" s="134">
        <v>541</v>
      </c>
      <c r="K130" s="28"/>
      <c r="L130" s="134">
        <v>1250</v>
      </c>
      <c r="M130" s="28">
        <v>1500</v>
      </c>
      <c r="N130" s="134"/>
      <c r="O130" s="28"/>
      <c r="P130" s="134"/>
      <c r="Q130" s="28"/>
      <c r="R130" s="122"/>
      <c r="S130" s="134"/>
      <c r="T130" s="134"/>
      <c r="U130" s="134"/>
      <c r="V130" s="134"/>
      <c r="W130" s="134"/>
      <c r="X130" s="134"/>
      <c r="Y130" s="134"/>
      <c r="Z130" s="134"/>
      <c r="AA130" s="134"/>
      <c r="AB130" s="134"/>
      <c r="AC130" s="134"/>
      <c r="AD130" s="134"/>
    </row>
    <row r="131" spans="1:30">
      <c r="A131" s="222" t="s">
        <v>25</v>
      </c>
      <c r="B131" s="97"/>
      <c r="C131" s="10"/>
      <c r="D131" s="272"/>
      <c r="E131" s="28"/>
      <c r="F131" s="134"/>
      <c r="G131" s="28"/>
      <c r="H131" s="134"/>
      <c r="I131" s="270"/>
      <c r="J131" s="134"/>
      <c r="K131" s="28"/>
      <c r="L131" s="134"/>
      <c r="M131" s="28"/>
      <c r="N131" s="134"/>
      <c r="O131" s="28"/>
      <c r="P131" s="134"/>
      <c r="Q131" s="28"/>
      <c r="R131" s="122"/>
      <c r="S131" s="134"/>
      <c r="T131" s="134"/>
      <c r="U131" s="134"/>
      <c r="V131" s="134"/>
      <c r="W131" s="134"/>
      <c r="X131" s="134"/>
      <c r="Y131" s="134"/>
      <c r="Z131" s="134"/>
      <c r="AA131" s="134"/>
      <c r="AB131" s="134"/>
      <c r="AC131" s="134"/>
      <c r="AD131" s="134"/>
    </row>
    <row r="132" spans="1:30">
      <c r="A132" s="145">
        <v>104</v>
      </c>
      <c r="B132" s="4" t="s">
        <v>189</v>
      </c>
      <c r="C132" s="10"/>
      <c r="D132" s="272">
        <v>136252</v>
      </c>
      <c r="E132" s="28">
        <v>62</v>
      </c>
      <c r="F132" s="134">
        <v>1592</v>
      </c>
      <c r="G132" s="28"/>
      <c r="H132" s="134">
        <v>5141</v>
      </c>
      <c r="I132" s="51">
        <v>4321</v>
      </c>
      <c r="J132" s="134">
        <v>1378</v>
      </c>
      <c r="K132" s="28"/>
      <c r="L132" s="134">
        <v>6799</v>
      </c>
      <c r="M132" s="28">
        <v>4659</v>
      </c>
      <c r="N132" s="134"/>
      <c r="O132" s="28"/>
      <c r="P132" s="134">
        <v>100</v>
      </c>
      <c r="Q132" s="28">
        <v>136</v>
      </c>
      <c r="R132" s="122"/>
      <c r="S132" s="134"/>
      <c r="T132" s="134"/>
      <c r="U132" s="134"/>
      <c r="V132" s="134"/>
      <c r="W132" s="134"/>
      <c r="X132" s="134"/>
      <c r="Y132" s="134"/>
      <c r="Z132" s="134"/>
      <c r="AA132" s="134"/>
      <c r="AB132" s="134"/>
      <c r="AC132" s="134"/>
      <c r="AD132" s="134"/>
    </row>
    <row r="133" spans="1:30">
      <c r="A133" s="145">
        <v>105</v>
      </c>
      <c r="B133" s="4" t="s">
        <v>190</v>
      </c>
      <c r="C133" s="10"/>
      <c r="D133" s="273">
        <v>396506</v>
      </c>
      <c r="E133" s="28">
        <v>103</v>
      </c>
      <c r="F133" s="134">
        <v>2145</v>
      </c>
      <c r="G133" s="28"/>
      <c r="H133" s="134">
        <v>15637</v>
      </c>
      <c r="I133" s="51">
        <v>5180</v>
      </c>
      <c r="J133" s="134">
        <v>698</v>
      </c>
      <c r="K133" s="28"/>
      <c r="L133" s="134"/>
      <c r="M133" s="28">
        <v>1225</v>
      </c>
      <c r="N133" s="134"/>
      <c r="O133" s="28"/>
      <c r="P133" s="134"/>
      <c r="Q133" s="28"/>
      <c r="R133" s="122"/>
      <c r="S133" s="134"/>
      <c r="T133" s="134"/>
      <c r="U133" s="134"/>
      <c r="V133" s="134"/>
      <c r="W133" s="134"/>
      <c r="X133" s="134"/>
      <c r="Y133" s="134"/>
      <c r="Z133" s="134"/>
      <c r="AA133" s="134"/>
      <c r="AB133" s="134"/>
      <c r="AC133" s="134"/>
      <c r="AD133" s="134"/>
    </row>
    <row r="134" spans="1:30">
      <c r="A134" s="145">
        <v>106</v>
      </c>
      <c r="B134" s="4" t="s">
        <v>191</v>
      </c>
      <c r="C134" s="10"/>
      <c r="D134" s="273">
        <v>117505</v>
      </c>
      <c r="E134" s="32"/>
      <c r="F134" s="22">
        <v>5002</v>
      </c>
      <c r="G134" s="32">
        <v>7</v>
      </c>
      <c r="H134" s="22">
        <v>5370</v>
      </c>
      <c r="I134" s="274">
        <v>7865</v>
      </c>
      <c r="J134" s="22">
        <v>2038</v>
      </c>
      <c r="K134" s="32">
        <v>5</v>
      </c>
      <c r="L134" s="22">
        <v>150</v>
      </c>
      <c r="M134" s="32">
        <v>321</v>
      </c>
      <c r="N134" s="22"/>
      <c r="O134" s="32"/>
      <c r="P134" s="22"/>
      <c r="Q134" s="32"/>
      <c r="R134" s="49"/>
      <c r="S134" s="31"/>
      <c r="T134" s="31"/>
      <c r="U134" s="31"/>
      <c r="V134" s="31"/>
      <c r="W134" s="31"/>
      <c r="X134" s="31"/>
      <c r="Y134" s="31"/>
      <c r="Z134" s="31"/>
      <c r="AA134" s="31"/>
      <c r="AB134" s="31"/>
      <c r="AC134" s="31"/>
      <c r="AD134" s="31"/>
    </row>
    <row r="135" spans="1:30" ht="15">
      <c r="A135" s="145">
        <v>107</v>
      </c>
      <c r="B135" s="4" t="s">
        <v>192</v>
      </c>
      <c r="C135" s="248"/>
      <c r="D135" s="273">
        <v>516445</v>
      </c>
      <c r="E135" s="22">
        <v>798</v>
      </c>
      <c r="F135" s="28">
        <v>2187</v>
      </c>
      <c r="G135" s="22"/>
      <c r="H135" s="22">
        <v>13734</v>
      </c>
      <c r="I135" s="51">
        <v>4660</v>
      </c>
      <c r="J135" s="22">
        <v>917</v>
      </c>
      <c r="K135" s="22"/>
      <c r="L135" s="23">
        <v>306</v>
      </c>
      <c r="M135" s="22">
        <v>1207</v>
      </c>
      <c r="N135" s="70"/>
      <c r="O135" s="22"/>
      <c r="P135" s="22"/>
      <c r="Q135" s="22"/>
      <c r="R135" s="49"/>
      <c r="S135" s="31"/>
      <c r="T135" s="31"/>
      <c r="U135" s="31"/>
      <c r="V135" s="31"/>
      <c r="W135" s="31"/>
      <c r="X135" s="31"/>
      <c r="Y135" s="250"/>
      <c r="Z135" s="250"/>
      <c r="AA135" s="250"/>
      <c r="AB135" s="250"/>
      <c r="AC135" s="250"/>
      <c r="AD135" s="250"/>
    </row>
    <row r="136" spans="1:30">
      <c r="A136" s="145">
        <v>108</v>
      </c>
      <c r="B136" s="4" t="s">
        <v>193</v>
      </c>
      <c r="C136" s="17"/>
      <c r="D136" s="272">
        <v>135841</v>
      </c>
      <c r="E136" s="28">
        <v>24</v>
      </c>
      <c r="F136" s="134">
        <v>961</v>
      </c>
      <c r="G136" s="28"/>
      <c r="H136" s="134">
        <v>3414</v>
      </c>
      <c r="I136" s="51">
        <v>2463</v>
      </c>
      <c r="J136" s="134">
        <v>631</v>
      </c>
      <c r="K136" s="28"/>
      <c r="L136" s="134"/>
      <c r="M136" s="28"/>
      <c r="N136" s="134"/>
      <c r="O136" s="28"/>
      <c r="P136" s="134"/>
      <c r="Q136" s="28"/>
      <c r="R136" s="122"/>
      <c r="S136" s="134"/>
      <c r="T136" s="134"/>
      <c r="U136" s="134"/>
      <c r="V136" s="134"/>
      <c r="W136" s="134"/>
      <c r="X136" s="134"/>
      <c r="Y136" s="134"/>
      <c r="Z136" s="134"/>
      <c r="AA136" s="134"/>
      <c r="AB136" s="134"/>
      <c r="AC136" s="134"/>
      <c r="AD136" s="134"/>
    </row>
    <row r="137" spans="1:30">
      <c r="A137" s="145">
        <v>109</v>
      </c>
      <c r="B137" s="4" t="s">
        <v>194</v>
      </c>
      <c r="C137" s="10"/>
      <c r="D137" s="272">
        <v>80507</v>
      </c>
      <c r="E137" s="28">
        <v>10</v>
      </c>
      <c r="F137" s="134">
        <v>5305</v>
      </c>
      <c r="G137" s="28">
        <v>3</v>
      </c>
      <c r="H137" s="134">
        <v>5853</v>
      </c>
      <c r="I137" s="51">
        <v>10222</v>
      </c>
      <c r="J137" s="134">
        <v>4433</v>
      </c>
      <c r="K137" s="28"/>
      <c r="L137" s="134">
        <v>620</v>
      </c>
      <c r="M137" s="28">
        <v>372</v>
      </c>
      <c r="N137" s="134"/>
      <c r="O137" s="28"/>
      <c r="P137" s="134"/>
      <c r="Q137" s="28"/>
      <c r="R137" s="122"/>
      <c r="S137" s="134"/>
      <c r="T137" s="134"/>
      <c r="U137" s="134"/>
      <c r="V137" s="134"/>
      <c r="W137" s="134"/>
      <c r="X137" s="134"/>
      <c r="Y137" s="134"/>
      <c r="Z137" s="134"/>
      <c r="AA137" s="134"/>
      <c r="AB137" s="134"/>
      <c r="AC137" s="134"/>
      <c r="AD137" s="134"/>
    </row>
    <row r="138" spans="1:30">
      <c r="A138" s="222" t="s">
        <v>26</v>
      </c>
      <c r="B138" s="97"/>
      <c r="C138" s="10"/>
      <c r="D138" s="162"/>
      <c r="E138" s="28"/>
      <c r="F138" s="134"/>
      <c r="G138" s="28"/>
      <c r="H138" s="134"/>
      <c r="I138" s="28"/>
      <c r="J138" s="134"/>
      <c r="K138" s="28"/>
      <c r="L138" s="134"/>
      <c r="M138" s="28"/>
      <c r="N138" s="134"/>
      <c r="O138" s="28"/>
      <c r="P138" s="134"/>
      <c r="Q138" s="28"/>
      <c r="R138" s="122"/>
      <c r="S138" s="134"/>
      <c r="T138" s="134"/>
      <c r="U138" s="134"/>
      <c r="V138" s="134"/>
      <c r="W138" s="134"/>
      <c r="X138" s="134"/>
      <c r="Y138" s="134"/>
      <c r="Z138" s="134"/>
      <c r="AA138" s="134"/>
      <c r="AB138" s="134"/>
      <c r="AC138" s="134"/>
      <c r="AD138" s="134"/>
    </row>
    <row r="139" spans="1:30">
      <c r="A139" s="145">
        <v>110</v>
      </c>
      <c r="B139" s="4" t="s">
        <v>195</v>
      </c>
      <c r="C139" s="17" t="s">
        <v>336</v>
      </c>
      <c r="D139" s="162">
        <v>39381</v>
      </c>
      <c r="E139" s="28">
        <v>5</v>
      </c>
      <c r="F139" s="134">
        <v>4333</v>
      </c>
      <c r="G139" s="28"/>
      <c r="H139" s="134">
        <v>2347</v>
      </c>
      <c r="I139" s="28">
        <v>2797</v>
      </c>
      <c r="J139" s="134">
        <v>2879</v>
      </c>
      <c r="K139" s="28"/>
      <c r="L139" s="134"/>
      <c r="M139" s="28"/>
      <c r="N139" s="134"/>
      <c r="O139" s="28"/>
      <c r="P139" s="134"/>
      <c r="Q139" s="28"/>
      <c r="R139" s="122"/>
      <c r="S139" s="134"/>
      <c r="T139" s="134"/>
      <c r="U139" s="134"/>
      <c r="V139" s="134"/>
      <c r="W139" s="134"/>
      <c r="X139" s="134"/>
      <c r="Y139" s="134"/>
      <c r="Z139" s="134"/>
      <c r="AA139" s="134"/>
      <c r="AB139" s="134"/>
      <c r="AC139" s="134"/>
      <c r="AD139" s="134"/>
    </row>
    <row r="140" spans="1:30">
      <c r="A140" s="145">
        <v>111</v>
      </c>
      <c r="B140" s="4" t="s">
        <v>196</v>
      </c>
      <c r="C140" s="10"/>
      <c r="D140" s="162">
        <v>28898</v>
      </c>
      <c r="E140" s="28">
        <v>1</v>
      </c>
      <c r="F140" s="134">
        <v>1315</v>
      </c>
      <c r="G140" s="28"/>
      <c r="H140" s="134">
        <v>1078</v>
      </c>
      <c r="I140" s="28">
        <v>1448</v>
      </c>
      <c r="J140" s="134">
        <v>1546</v>
      </c>
      <c r="K140" s="28"/>
      <c r="L140" s="134"/>
      <c r="M140" s="28"/>
      <c r="N140" s="134"/>
      <c r="O140" s="28"/>
      <c r="P140" s="134"/>
      <c r="Q140" s="28"/>
      <c r="R140" s="122"/>
      <c r="S140" s="134"/>
      <c r="T140" s="134"/>
      <c r="U140" s="134"/>
      <c r="V140" s="134"/>
      <c r="W140" s="134"/>
      <c r="X140" s="134"/>
      <c r="Y140" s="134"/>
      <c r="Z140" s="134"/>
      <c r="AA140" s="134"/>
      <c r="AB140" s="134"/>
      <c r="AC140" s="134"/>
      <c r="AD140" s="134"/>
    </row>
    <row r="141" spans="1:30" ht="15">
      <c r="A141" s="145">
        <v>112</v>
      </c>
      <c r="B141" s="4" t="s">
        <v>197</v>
      </c>
      <c r="C141" s="248"/>
      <c r="D141" s="63">
        <v>122291</v>
      </c>
      <c r="E141" s="22">
        <v>162</v>
      </c>
      <c r="F141" s="28">
        <v>1478</v>
      </c>
      <c r="G141" s="22">
        <v>13</v>
      </c>
      <c r="H141" s="22">
        <v>3738</v>
      </c>
      <c r="I141" s="22">
        <v>6386</v>
      </c>
      <c r="J141" s="22">
        <v>414</v>
      </c>
      <c r="K141" s="22"/>
      <c r="L141" s="23">
        <v>30</v>
      </c>
      <c r="M141" s="22"/>
      <c r="N141" s="70"/>
      <c r="O141" s="22"/>
      <c r="P141" s="22"/>
      <c r="Q141" s="22"/>
      <c r="R141" s="49"/>
      <c r="S141" s="31"/>
      <c r="T141" s="31"/>
      <c r="U141" s="31"/>
      <c r="V141" s="31"/>
      <c r="W141" s="31"/>
      <c r="X141" s="31"/>
      <c r="Y141" s="250"/>
      <c r="Z141" s="250"/>
      <c r="AA141" s="250"/>
      <c r="AB141" s="250"/>
      <c r="AC141" s="250"/>
      <c r="AD141" s="250"/>
    </row>
    <row r="142" spans="1:30">
      <c r="A142" s="145">
        <v>113</v>
      </c>
      <c r="B142" s="4" t="s">
        <v>198</v>
      </c>
      <c r="C142" s="17"/>
      <c r="D142" s="162">
        <v>17296</v>
      </c>
      <c r="E142" s="28"/>
      <c r="F142" s="134">
        <v>3095</v>
      </c>
      <c r="G142" s="28"/>
      <c r="H142" s="134">
        <v>1643</v>
      </c>
      <c r="I142" s="28">
        <v>2889</v>
      </c>
      <c r="J142" s="134">
        <v>5197</v>
      </c>
      <c r="K142" s="28"/>
      <c r="L142" s="134"/>
      <c r="M142" s="28"/>
      <c r="N142" s="134"/>
      <c r="O142" s="28"/>
      <c r="P142" s="134"/>
      <c r="Q142" s="28"/>
      <c r="R142" s="122"/>
      <c r="S142" s="134"/>
      <c r="T142" s="134"/>
      <c r="U142" s="134"/>
      <c r="V142" s="134"/>
      <c r="W142" s="134"/>
      <c r="X142" s="134"/>
      <c r="Y142" s="134"/>
      <c r="Z142" s="134"/>
      <c r="AA142" s="134"/>
      <c r="AB142" s="134"/>
      <c r="AC142" s="134"/>
      <c r="AD142" s="134"/>
    </row>
    <row r="143" spans="1:30">
      <c r="A143" s="145">
        <v>114</v>
      </c>
      <c r="B143" s="4" t="s">
        <v>199</v>
      </c>
      <c r="C143" s="10"/>
      <c r="D143" s="162">
        <v>73301</v>
      </c>
      <c r="E143" s="28"/>
      <c r="F143" s="134">
        <v>2881</v>
      </c>
      <c r="G143" s="28"/>
      <c r="H143" s="134">
        <v>6130</v>
      </c>
      <c r="I143" s="28">
        <v>4219</v>
      </c>
      <c r="J143" s="134">
        <v>2118</v>
      </c>
      <c r="K143" s="28"/>
      <c r="L143" s="134">
        <v>14</v>
      </c>
      <c r="M143" s="28">
        <v>104</v>
      </c>
      <c r="N143" s="134"/>
      <c r="O143" s="28"/>
      <c r="P143" s="134"/>
      <c r="Q143" s="28"/>
      <c r="R143" s="122"/>
      <c r="S143" s="134"/>
      <c r="T143" s="134"/>
      <c r="U143" s="134"/>
      <c r="V143" s="134"/>
      <c r="W143" s="134"/>
      <c r="X143" s="134"/>
      <c r="Y143" s="134"/>
      <c r="Z143" s="134"/>
      <c r="AA143" s="134"/>
      <c r="AB143" s="134"/>
      <c r="AC143" s="134"/>
      <c r="AD143" s="134"/>
    </row>
    <row r="144" spans="1:30">
      <c r="A144" s="145">
        <v>115</v>
      </c>
      <c r="B144" s="4" t="s">
        <v>305</v>
      </c>
      <c r="C144" s="10"/>
      <c r="D144" s="162">
        <v>2461</v>
      </c>
      <c r="E144" s="28">
        <v>1</v>
      </c>
      <c r="F144" s="134">
        <v>952</v>
      </c>
      <c r="G144" s="28">
        <v>7</v>
      </c>
      <c r="H144" s="134">
        <v>440</v>
      </c>
      <c r="I144" s="28">
        <v>1696</v>
      </c>
      <c r="J144" s="134">
        <v>784</v>
      </c>
      <c r="K144" s="28"/>
      <c r="L144" s="134">
        <v>913</v>
      </c>
      <c r="M144" s="28">
        <v>365</v>
      </c>
      <c r="N144" s="134"/>
      <c r="O144" s="28"/>
      <c r="P144" s="134"/>
      <c r="Q144" s="28"/>
      <c r="R144" s="122"/>
      <c r="S144" s="134"/>
      <c r="T144" s="134"/>
      <c r="U144" s="134"/>
      <c r="V144" s="134"/>
      <c r="W144" s="134"/>
      <c r="X144" s="134"/>
      <c r="Y144" s="134"/>
      <c r="Z144" s="134"/>
      <c r="AA144" s="134"/>
      <c r="AB144" s="134"/>
      <c r="AC144" s="134"/>
      <c r="AD144" s="134"/>
    </row>
    <row r="145" spans="1:30">
      <c r="A145" s="145">
        <v>116</v>
      </c>
      <c r="B145" s="4" t="s">
        <v>200</v>
      </c>
      <c r="C145" s="10"/>
      <c r="D145" s="162">
        <v>386045</v>
      </c>
      <c r="E145" s="28">
        <v>322</v>
      </c>
      <c r="F145" s="134">
        <v>2566</v>
      </c>
      <c r="G145" s="28"/>
      <c r="H145" s="134">
        <v>7922</v>
      </c>
      <c r="I145" s="28">
        <v>9528</v>
      </c>
      <c r="J145" s="134">
        <v>2019</v>
      </c>
      <c r="K145" s="28"/>
      <c r="L145" s="134">
        <v>50</v>
      </c>
      <c r="M145" s="28">
        <v>180</v>
      </c>
      <c r="N145" s="134"/>
      <c r="O145" s="28"/>
      <c r="P145" s="134"/>
      <c r="Q145" s="28"/>
      <c r="R145" s="122">
        <v>2595</v>
      </c>
      <c r="S145" s="134"/>
      <c r="T145" s="134"/>
      <c r="U145" s="134"/>
      <c r="V145" s="134"/>
      <c r="W145" s="134"/>
      <c r="X145" s="134"/>
      <c r="Y145" s="134"/>
      <c r="Z145" s="134"/>
      <c r="AA145" s="134"/>
      <c r="AB145" s="134"/>
      <c r="AC145" s="134"/>
      <c r="AD145" s="134"/>
    </row>
    <row r="146" spans="1:30">
      <c r="A146" s="215"/>
      <c r="B146" s="203"/>
      <c r="C146" s="12"/>
      <c r="D146" s="265"/>
      <c r="E146" s="206"/>
      <c r="F146" s="256"/>
      <c r="G146" s="206"/>
      <c r="H146" s="256"/>
      <c r="I146" s="206"/>
      <c r="J146" s="256"/>
      <c r="K146" s="206"/>
      <c r="L146" s="256"/>
      <c r="M146" s="206"/>
      <c r="N146" s="256"/>
      <c r="O146" s="206"/>
      <c r="P146" s="256"/>
      <c r="Q146" s="206"/>
      <c r="R146" s="298"/>
      <c r="S146" s="134"/>
      <c r="T146" s="134"/>
      <c r="U146" s="134"/>
      <c r="V146" s="134"/>
      <c r="W146" s="134"/>
      <c r="X146" s="134"/>
      <c r="Y146" s="134"/>
      <c r="Z146" s="134"/>
      <c r="AA146" s="134"/>
      <c r="AB146" s="134"/>
      <c r="AC146" s="134"/>
      <c r="AD146" s="134"/>
    </row>
    <row r="147" spans="1:30" ht="15">
      <c r="A147" s="145" t="s">
        <v>294</v>
      </c>
      <c r="B147" s="4"/>
      <c r="C147" s="248"/>
      <c r="D147" s="273">
        <f>SUM(D114:D145)</f>
        <v>8668727</v>
      </c>
      <c r="E147" s="134">
        <f t="shared" ref="E147:R147" si="3">SUM(E114:E145)</f>
        <v>258859</v>
      </c>
      <c r="F147" s="28">
        <f t="shared" si="3"/>
        <v>89525</v>
      </c>
      <c r="G147" s="134">
        <f t="shared" si="3"/>
        <v>285</v>
      </c>
      <c r="H147" s="28">
        <f t="shared" si="3"/>
        <v>243785</v>
      </c>
      <c r="I147" s="274">
        <f t="shared" si="3"/>
        <v>131543</v>
      </c>
      <c r="J147" s="28">
        <f t="shared" si="3"/>
        <v>59179</v>
      </c>
      <c r="K147" s="134">
        <f t="shared" si="3"/>
        <v>676</v>
      </c>
      <c r="L147" s="28">
        <f t="shared" si="3"/>
        <v>163958</v>
      </c>
      <c r="M147" s="134">
        <f t="shared" si="3"/>
        <v>139865</v>
      </c>
      <c r="N147" s="28">
        <f t="shared" si="3"/>
        <v>261015</v>
      </c>
      <c r="O147" s="134">
        <f t="shared" si="3"/>
        <v>156731</v>
      </c>
      <c r="P147" s="28">
        <f t="shared" si="3"/>
        <v>6576</v>
      </c>
      <c r="Q147" s="134">
        <f t="shared" si="3"/>
        <v>14592</v>
      </c>
      <c r="R147" s="122">
        <f t="shared" si="3"/>
        <v>2724</v>
      </c>
      <c r="S147" s="31"/>
      <c r="T147" s="31"/>
      <c r="U147" s="31"/>
      <c r="V147" s="31"/>
      <c r="W147" s="31"/>
      <c r="X147" s="31"/>
      <c r="Y147" s="250"/>
      <c r="Z147" s="250"/>
      <c r="AA147" s="250"/>
      <c r="AB147" s="250"/>
      <c r="AC147" s="250"/>
      <c r="AD147" s="250"/>
    </row>
    <row r="148" spans="1:30" ht="15" thickBot="1">
      <c r="A148" s="217"/>
      <c r="B148" s="104"/>
      <c r="C148" s="257"/>
      <c r="D148" s="252"/>
      <c r="E148" s="208"/>
      <c r="F148" s="253"/>
      <c r="G148" s="208"/>
      <c r="H148" s="253"/>
      <c r="I148" s="208"/>
      <c r="J148" s="253"/>
      <c r="K148" s="208"/>
      <c r="L148" s="253"/>
      <c r="M148" s="208"/>
      <c r="N148" s="253"/>
      <c r="O148" s="208"/>
      <c r="P148" s="253"/>
      <c r="Q148" s="208"/>
      <c r="R148" s="299"/>
      <c r="S148" s="134"/>
      <c r="T148" s="134"/>
      <c r="U148" s="134"/>
      <c r="V148" s="134"/>
      <c r="W148" s="134"/>
      <c r="X148" s="134"/>
      <c r="Y148" s="134"/>
      <c r="Z148" s="134"/>
      <c r="AA148" s="134"/>
      <c r="AB148" s="134"/>
      <c r="AC148" s="134"/>
      <c r="AD148" s="134"/>
    </row>
    <row r="149" spans="1:30" ht="15" thickTop="1">
      <c r="A149" s="145"/>
      <c r="B149" s="4"/>
      <c r="C149" s="10"/>
      <c r="D149" s="162"/>
      <c r="E149" s="28"/>
      <c r="F149" s="134"/>
      <c r="G149" s="28"/>
      <c r="H149" s="134"/>
      <c r="I149" s="28"/>
      <c r="J149" s="134"/>
      <c r="K149" s="28"/>
      <c r="L149" s="134"/>
      <c r="M149" s="28"/>
      <c r="N149" s="134"/>
      <c r="O149" s="28"/>
      <c r="P149" s="134"/>
      <c r="Q149" s="28"/>
      <c r="R149" s="122"/>
      <c r="S149" s="134"/>
      <c r="T149" s="134"/>
      <c r="U149" s="134"/>
      <c r="V149" s="134"/>
      <c r="W149" s="134"/>
      <c r="X149" s="134"/>
      <c r="Y149" s="134"/>
      <c r="Z149" s="134"/>
      <c r="AA149" s="134"/>
      <c r="AB149" s="134"/>
      <c r="AC149" s="134"/>
      <c r="AD149" s="134"/>
    </row>
    <row r="150" spans="1:30">
      <c r="A150" s="218">
        <v>117</v>
      </c>
      <c r="B150" s="111" t="s">
        <v>201</v>
      </c>
      <c r="C150" s="10"/>
      <c r="D150" s="162"/>
      <c r="E150" s="28"/>
      <c r="F150" s="134"/>
      <c r="G150" s="28"/>
      <c r="H150" s="134">
        <v>5</v>
      </c>
      <c r="I150" s="28"/>
      <c r="J150" s="134"/>
      <c r="K150" s="28"/>
      <c r="L150" s="134"/>
      <c r="M150" s="28"/>
      <c r="N150" s="134"/>
      <c r="O150" s="28"/>
      <c r="P150" s="134"/>
      <c r="Q150" s="28"/>
      <c r="R150" s="122"/>
      <c r="S150" s="134"/>
      <c r="T150" s="134"/>
      <c r="U150" s="134"/>
      <c r="V150" s="134"/>
      <c r="W150" s="134"/>
      <c r="X150" s="134"/>
      <c r="Y150" s="134"/>
      <c r="Z150" s="134"/>
      <c r="AA150" s="134"/>
      <c r="AB150" s="134"/>
      <c r="AC150" s="134"/>
      <c r="AD150" s="134"/>
    </row>
    <row r="151" spans="1:30" ht="15" thickBot="1">
      <c r="A151" s="225"/>
      <c r="B151" s="234"/>
      <c r="C151" s="10"/>
      <c r="D151" s="162"/>
      <c r="E151" s="28"/>
      <c r="F151" s="134"/>
      <c r="G151" s="28"/>
      <c r="H151" s="134"/>
      <c r="I151" s="28"/>
      <c r="J151" s="134"/>
      <c r="K151" s="28"/>
      <c r="L151" s="134"/>
      <c r="M151" s="28"/>
      <c r="N151" s="134"/>
      <c r="O151" s="28"/>
      <c r="P151" s="134"/>
      <c r="Q151" s="28"/>
      <c r="R151" s="122"/>
      <c r="S151" s="134"/>
      <c r="T151" s="134"/>
      <c r="U151" s="134"/>
      <c r="V151" s="134"/>
      <c r="W151" s="134"/>
      <c r="X151" s="134"/>
      <c r="Y151" s="134"/>
      <c r="Z151" s="134"/>
      <c r="AA151" s="134"/>
      <c r="AB151" s="134"/>
      <c r="AC151" s="134"/>
      <c r="AD151" s="134"/>
    </row>
    <row r="152" spans="1:30" ht="15" thickTop="1">
      <c r="A152" s="218"/>
      <c r="B152" s="111"/>
      <c r="C152" s="9"/>
      <c r="D152" s="258"/>
      <c r="E152" s="259"/>
      <c r="F152" s="260"/>
      <c r="G152" s="259"/>
      <c r="H152" s="260"/>
      <c r="I152" s="259"/>
      <c r="J152" s="260"/>
      <c r="K152" s="259"/>
      <c r="L152" s="260"/>
      <c r="M152" s="259"/>
      <c r="N152" s="260"/>
      <c r="O152" s="259"/>
      <c r="P152" s="260"/>
      <c r="Q152" s="259"/>
      <c r="R152" s="304"/>
      <c r="S152" s="134"/>
      <c r="T152" s="134"/>
      <c r="U152" s="134"/>
      <c r="V152" s="134"/>
      <c r="W152" s="134"/>
      <c r="X152" s="134"/>
      <c r="Y152" s="134"/>
      <c r="Z152" s="134"/>
      <c r="AA152" s="134"/>
      <c r="AB152" s="134"/>
      <c r="AC152" s="134"/>
      <c r="AD152" s="134"/>
    </row>
    <row r="153" spans="1:30" ht="15">
      <c r="A153" s="218" t="s">
        <v>86</v>
      </c>
      <c r="B153" s="111"/>
      <c r="C153" s="248"/>
      <c r="D153" s="120">
        <f>D150+D147+D110+D101</f>
        <v>55799997</v>
      </c>
      <c r="E153" s="28">
        <f t="shared" ref="E153:G153" si="4">E150+E147+E110+E101</f>
        <v>12224262</v>
      </c>
      <c r="F153" s="28">
        <f t="shared" si="4"/>
        <v>156087</v>
      </c>
      <c r="G153" s="28">
        <f t="shared" si="4"/>
        <v>3974</v>
      </c>
      <c r="H153" s="22">
        <f>H150+H147+H110+H101</f>
        <v>1957990</v>
      </c>
      <c r="I153" s="28">
        <f t="shared" ref="I153:R153" si="5">I150+I147+I110+I101</f>
        <v>937557</v>
      </c>
      <c r="J153" s="28">
        <f t="shared" si="5"/>
        <v>92858</v>
      </c>
      <c r="K153" s="28">
        <f t="shared" si="5"/>
        <v>556677</v>
      </c>
      <c r="L153" s="28">
        <f t="shared" si="5"/>
        <v>2489864</v>
      </c>
      <c r="M153" s="28">
        <f t="shared" si="5"/>
        <v>4954476</v>
      </c>
      <c r="N153" s="28">
        <f t="shared" si="5"/>
        <v>2190313</v>
      </c>
      <c r="O153" s="28">
        <f t="shared" si="5"/>
        <v>414301</v>
      </c>
      <c r="P153" s="28">
        <f t="shared" si="5"/>
        <v>511099</v>
      </c>
      <c r="Q153" s="28">
        <f t="shared" si="5"/>
        <v>627607</v>
      </c>
      <c r="R153" s="98">
        <f t="shared" si="5"/>
        <v>100693</v>
      </c>
      <c r="S153" s="31"/>
      <c r="T153" s="31"/>
      <c r="U153" s="31"/>
      <c r="V153" s="31"/>
      <c r="W153" s="31"/>
      <c r="X153" s="31"/>
      <c r="Y153" s="250"/>
      <c r="Z153" s="250"/>
      <c r="AA153" s="250"/>
      <c r="AB153" s="250"/>
      <c r="AC153" s="250"/>
      <c r="AD153" s="250"/>
    </row>
    <row r="154" spans="1:30" ht="15" thickBot="1">
      <c r="A154" s="225"/>
      <c r="B154" s="234"/>
      <c r="C154" s="257"/>
      <c r="D154" s="252"/>
      <c r="E154" s="208"/>
      <c r="F154" s="253"/>
      <c r="G154" s="208"/>
      <c r="H154" s="253"/>
      <c r="I154" s="208"/>
      <c r="J154" s="253"/>
      <c r="K154" s="208"/>
      <c r="L154" s="253"/>
      <c r="M154" s="208"/>
      <c r="N154" s="253"/>
      <c r="O154" s="208"/>
      <c r="P154" s="253"/>
      <c r="Q154" s="208"/>
      <c r="R154" s="299"/>
      <c r="S154" s="134"/>
      <c r="T154" s="134"/>
      <c r="U154" s="134"/>
      <c r="V154" s="134"/>
      <c r="W154" s="134"/>
      <c r="X154" s="134"/>
      <c r="Y154" s="134"/>
      <c r="Z154" s="134"/>
      <c r="AA154" s="134"/>
      <c r="AB154" s="134"/>
      <c r="AC154" s="134"/>
      <c r="AD154" s="134"/>
    </row>
    <row r="155" spans="1:30" ht="17" thickTop="1" thickBot="1">
      <c r="A155" s="226" t="s">
        <v>27</v>
      </c>
      <c r="B155" s="94"/>
      <c r="C155" s="10"/>
      <c r="D155" s="162"/>
      <c r="E155" s="28"/>
      <c r="F155" s="134"/>
      <c r="G155" s="28"/>
      <c r="H155" s="134"/>
      <c r="I155" s="28"/>
      <c r="J155" s="134"/>
      <c r="K155" s="28"/>
      <c r="L155" s="134"/>
      <c r="M155" s="28"/>
      <c r="N155" s="134"/>
      <c r="O155" s="28"/>
      <c r="P155" s="134"/>
      <c r="Q155" s="28"/>
      <c r="R155" s="122"/>
      <c r="S155" s="134"/>
      <c r="T155" s="134"/>
      <c r="U155" s="134"/>
      <c r="V155" s="134"/>
      <c r="W155" s="134"/>
      <c r="X155" s="134"/>
      <c r="Y155" s="134"/>
      <c r="Z155" s="134"/>
      <c r="AA155" s="134"/>
      <c r="AB155" s="134"/>
      <c r="AC155" s="134"/>
      <c r="AD155" s="134"/>
    </row>
    <row r="156" spans="1:30">
      <c r="A156" s="227">
        <v>1</v>
      </c>
      <c r="B156" s="4" t="s">
        <v>203</v>
      </c>
      <c r="C156" s="10"/>
      <c r="D156" s="162">
        <v>1436</v>
      </c>
      <c r="E156" s="28"/>
      <c r="F156" s="134">
        <v>6906</v>
      </c>
      <c r="G156" s="28">
        <v>70</v>
      </c>
      <c r="H156" s="134">
        <v>70</v>
      </c>
      <c r="I156" s="28">
        <v>775</v>
      </c>
      <c r="J156" s="134">
        <v>3013</v>
      </c>
      <c r="K156" s="28"/>
      <c r="L156" s="134">
        <v>7124</v>
      </c>
      <c r="M156" s="28">
        <v>4612</v>
      </c>
      <c r="N156" s="134">
        <v>6543</v>
      </c>
      <c r="O156" s="28"/>
      <c r="P156" s="134"/>
      <c r="Q156" s="28">
        <v>1592</v>
      </c>
      <c r="R156" s="122"/>
      <c r="S156" s="134"/>
      <c r="T156" s="134"/>
      <c r="U156" s="134"/>
      <c r="V156" s="134"/>
      <c r="W156" s="134"/>
      <c r="X156" s="134"/>
      <c r="Y156" s="134"/>
      <c r="Z156" s="134"/>
      <c r="AA156" s="134"/>
      <c r="AB156" s="134"/>
      <c r="AC156" s="134"/>
      <c r="AD156" s="134"/>
    </row>
    <row r="157" spans="1:30">
      <c r="A157" s="145">
        <v>2</v>
      </c>
      <c r="B157" s="4" t="s">
        <v>204</v>
      </c>
      <c r="C157" s="10"/>
      <c r="D157" s="162">
        <v>56771</v>
      </c>
      <c r="E157" s="28">
        <v>752</v>
      </c>
      <c r="F157" s="134">
        <v>4138</v>
      </c>
      <c r="G157" s="28">
        <v>12</v>
      </c>
      <c r="H157" s="134">
        <v>1158</v>
      </c>
      <c r="I157" s="28">
        <v>1275</v>
      </c>
      <c r="J157" s="134">
        <v>3852</v>
      </c>
      <c r="K157" s="28"/>
      <c r="L157" s="134">
        <v>658</v>
      </c>
      <c r="M157" s="28">
        <v>7344</v>
      </c>
      <c r="N157" s="134">
        <v>440</v>
      </c>
      <c r="O157" s="28"/>
      <c r="P157" s="134">
        <v>180</v>
      </c>
      <c r="Q157" s="28"/>
      <c r="R157" s="122">
        <v>626</v>
      </c>
      <c r="S157" s="134"/>
      <c r="T157" s="134"/>
      <c r="U157" s="134"/>
      <c r="V157" s="134"/>
      <c r="W157" s="134"/>
      <c r="X157" s="134"/>
      <c r="Y157" s="134"/>
      <c r="Z157" s="134"/>
      <c r="AA157" s="134"/>
      <c r="AB157" s="134"/>
      <c r="AC157" s="134"/>
      <c r="AD157" s="134"/>
    </row>
    <row r="158" spans="1:30">
      <c r="A158" s="145">
        <v>3</v>
      </c>
      <c r="B158" s="4" t="s">
        <v>205</v>
      </c>
      <c r="C158" s="10"/>
      <c r="D158" s="162">
        <v>43173</v>
      </c>
      <c r="E158" s="28">
        <v>10077</v>
      </c>
      <c r="F158" s="134">
        <v>3621</v>
      </c>
      <c r="G158" s="28">
        <v>118</v>
      </c>
      <c r="H158" s="134">
        <v>1898</v>
      </c>
      <c r="I158" s="28">
        <v>1920</v>
      </c>
      <c r="J158" s="134">
        <v>2201</v>
      </c>
      <c r="K158" s="28">
        <v>44</v>
      </c>
      <c r="L158" s="134">
        <v>310</v>
      </c>
      <c r="M158" s="28">
        <v>9319</v>
      </c>
      <c r="N158" s="134">
        <v>16854</v>
      </c>
      <c r="O158" s="28"/>
      <c r="P158" s="134">
        <v>713</v>
      </c>
      <c r="Q158" s="28">
        <v>1128</v>
      </c>
      <c r="R158" s="122"/>
      <c r="S158" s="134"/>
      <c r="T158" s="134"/>
      <c r="U158" s="134"/>
      <c r="V158" s="134"/>
      <c r="W158" s="134"/>
      <c r="X158" s="134"/>
      <c r="Y158" s="134"/>
      <c r="Z158" s="134"/>
      <c r="AA158" s="134"/>
      <c r="AB158" s="134"/>
      <c r="AC158" s="134"/>
      <c r="AD158" s="134"/>
    </row>
    <row r="159" spans="1:30" ht="15">
      <c r="A159" s="145">
        <v>4</v>
      </c>
      <c r="B159" s="4" t="s">
        <v>206</v>
      </c>
      <c r="C159" s="248"/>
      <c r="D159" s="63"/>
      <c r="E159" s="22"/>
      <c r="F159" s="28">
        <v>6596</v>
      </c>
      <c r="G159" s="22">
        <v>23</v>
      </c>
      <c r="H159" s="22">
        <v>117</v>
      </c>
      <c r="I159" s="22">
        <v>300</v>
      </c>
      <c r="J159" s="22">
        <v>5848</v>
      </c>
      <c r="K159" s="22">
        <v>47</v>
      </c>
      <c r="L159" s="23">
        <v>5683</v>
      </c>
      <c r="M159" s="22">
        <v>4707</v>
      </c>
      <c r="N159" s="70">
        <v>5</v>
      </c>
      <c r="O159" s="22"/>
      <c r="P159" s="22">
        <v>200</v>
      </c>
      <c r="Q159" s="22"/>
      <c r="R159" s="49"/>
      <c r="S159" s="31"/>
      <c r="T159" s="31"/>
      <c r="U159" s="31"/>
      <c r="V159" s="31"/>
      <c r="W159" s="31"/>
      <c r="X159" s="31"/>
      <c r="Y159" s="250"/>
      <c r="Z159" s="250"/>
      <c r="AA159" s="250"/>
      <c r="AB159" s="250"/>
      <c r="AC159" s="250"/>
      <c r="AD159" s="250"/>
    </row>
    <row r="160" spans="1:30">
      <c r="A160" s="145">
        <v>5</v>
      </c>
      <c r="B160" s="4" t="s">
        <v>207</v>
      </c>
      <c r="C160" s="17"/>
      <c r="D160" s="162"/>
      <c r="E160" s="28"/>
      <c r="F160" s="134">
        <v>63</v>
      </c>
      <c r="G160" s="28">
        <v>18</v>
      </c>
      <c r="H160" s="134"/>
      <c r="I160" s="28"/>
      <c r="J160" s="134"/>
      <c r="K160" s="28"/>
      <c r="L160" s="134">
        <v>27464</v>
      </c>
      <c r="M160" s="28">
        <v>70</v>
      </c>
      <c r="N160" s="134"/>
      <c r="O160" s="28"/>
      <c r="P160" s="134"/>
      <c r="Q160" s="28"/>
      <c r="R160" s="122"/>
      <c r="S160" s="134"/>
      <c r="T160" s="134"/>
      <c r="U160" s="134"/>
      <c r="V160" s="134"/>
      <c r="W160" s="134"/>
      <c r="X160" s="134"/>
      <c r="Y160" s="134"/>
      <c r="Z160" s="134"/>
      <c r="AA160" s="134"/>
      <c r="AB160" s="134"/>
      <c r="AC160" s="134"/>
      <c r="AD160" s="134"/>
    </row>
    <row r="161" spans="1:30">
      <c r="A161" s="145">
        <v>6</v>
      </c>
      <c r="B161" s="4" t="s">
        <v>208</v>
      </c>
      <c r="C161" s="10"/>
      <c r="D161" s="162">
        <v>203078</v>
      </c>
      <c r="E161" s="28">
        <v>21904</v>
      </c>
      <c r="F161" s="134">
        <v>2952</v>
      </c>
      <c r="G161" s="28">
        <v>118</v>
      </c>
      <c r="H161" s="134">
        <v>8773</v>
      </c>
      <c r="I161" s="28">
        <v>4777</v>
      </c>
      <c r="J161" s="134">
        <v>1419</v>
      </c>
      <c r="K161" s="28">
        <v>111</v>
      </c>
      <c r="L161" s="134">
        <v>19727</v>
      </c>
      <c r="M161" s="28">
        <v>31004</v>
      </c>
      <c r="N161" s="134">
        <v>59331</v>
      </c>
      <c r="O161" s="28">
        <v>325</v>
      </c>
      <c r="P161" s="134">
        <v>220</v>
      </c>
      <c r="Q161" s="28">
        <v>2090</v>
      </c>
      <c r="R161" s="122"/>
      <c r="S161" s="134"/>
      <c r="T161" s="134"/>
      <c r="U161" s="134"/>
      <c r="V161" s="134"/>
      <c r="W161" s="134"/>
      <c r="X161" s="134"/>
      <c r="Y161" s="134"/>
      <c r="Z161" s="134"/>
      <c r="AA161" s="134"/>
      <c r="AB161" s="134"/>
      <c r="AC161" s="134"/>
      <c r="AD161" s="134"/>
    </row>
    <row r="162" spans="1:30">
      <c r="A162" s="145">
        <v>7</v>
      </c>
      <c r="B162" s="4" t="s">
        <v>209</v>
      </c>
      <c r="C162" s="10"/>
      <c r="D162" s="162"/>
      <c r="E162" s="28"/>
      <c r="F162" s="134">
        <v>68</v>
      </c>
      <c r="G162" s="28">
        <v>2</v>
      </c>
      <c r="H162" s="134"/>
      <c r="I162" s="28"/>
      <c r="J162" s="134"/>
      <c r="K162" s="28"/>
      <c r="L162" s="134">
        <v>16775</v>
      </c>
      <c r="M162" s="28"/>
      <c r="N162" s="134"/>
      <c r="O162" s="28"/>
      <c r="P162" s="134"/>
      <c r="Q162" s="28"/>
      <c r="R162" s="122">
        <v>259</v>
      </c>
      <c r="S162" s="134"/>
      <c r="T162" s="134"/>
      <c r="U162" s="134"/>
      <c r="V162" s="134"/>
      <c r="W162" s="134"/>
      <c r="X162" s="134"/>
      <c r="Y162" s="134"/>
      <c r="Z162" s="134"/>
      <c r="AA162" s="134"/>
      <c r="AB162" s="134"/>
      <c r="AC162" s="134"/>
      <c r="AD162" s="134"/>
    </row>
    <row r="163" spans="1:30">
      <c r="A163" s="145">
        <v>8</v>
      </c>
      <c r="B163" s="4" t="s">
        <v>210</v>
      </c>
      <c r="C163" s="10"/>
      <c r="D163" s="162">
        <v>531833</v>
      </c>
      <c r="E163" s="28">
        <v>10620</v>
      </c>
      <c r="F163" s="134">
        <v>5963</v>
      </c>
      <c r="G163" s="28">
        <v>138</v>
      </c>
      <c r="H163" s="134">
        <v>7085</v>
      </c>
      <c r="I163" s="28">
        <v>495</v>
      </c>
      <c r="J163" s="134">
        <v>1650</v>
      </c>
      <c r="K163" s="28">
        <v>898</v>
      </c>
      <c r="L163" s="134">
        <v>361040</v>
      </c>
      <c r="M163" s="28">
        <v>666411</v>
      </c>
      <c r="N163" s="134">
        <v>273578</v>
      </c>
      <c r="O163" s="28"/>
      <c r="P163" s="134">
        <v>593</v>
      </c>
      <c r="Q163" s="28">
        <v>2479</v>
      </c>
      <c r="R163" s="122"/>
      <c r="S163" s="134"/>
      <c r="T163" s="134"/>
      <c r="U163" s="134"/>
      <c r="V163" s="134"/>
      <c r="W163" s="134"/>
      <c r="X163" s="134"/>
      <c r="Y163" s="134"/>
      <c r="Z163" s="134"/>
      <c r="AA163" s="134"/>
      <c r="AB163" s="134"/>
      <c r="AC163" s="134"/>
      <c r="AD163" s="134"/>
    </row>
    <row r="164" spans="1:30">
      <c r="A164" s="145">
        <v>9</v>
      </c>
      <c r="B164" s="4" t="s">
        <v>211</v>
      </c>
      <c r="C164" s="10"/>
      <c r="D164" s="162">
        <v>111133</v>
      </c>
      <c r="E164" s="28">
        <v>6437</v>
      </c>
      <c r="F164" s="134">
        <v>297</v>
      </c>
      <c r="G164" s="28">
        <v>22</v>
      </c>
      <c r="H164" s="134">
        <v>2093</v>
      </c>
      <c r="I164" s="28">
        <v>2795</v>
      </c>
      <c r="J164" s="134">
        <v>220</v>
      </c>
      <c r="K164" s="28"/>
      <c r="L164" s="134">
        <v>462</v>
      </c>
      <c r="M164" s="28">
        <v>2255</v>
      </c>
      <c r="N164" s="134"/>
      <c r="O164" s="28"/>
      <c r="P164" s="134">
        <v>555</v>
      </c>
      <c r="Q164" s="28">
        <v>718</v>
      </c>
      <c r="R164" s="122"/>
      <c r="S164" s="134"/>
      <c r="T164" s="134"/>
      <c r="U164" s="134"/>
      <c r="V164" s="134"/>
      <c r="W164" s="134"/>
      <c r="X164" s="134"/>
      <c r="Y164" s="134"/>
      <c r="Z164" s="134"/>
      <c r="AA164" s="134"/>
      <c r="AB164" s="134"/>
      <c r="AC164" s="134"/>
      <c r="AD164" s="134"/>
    </row>
    <row r="165" spans="1:30">
      <c r="A165" s="145">
        <v>10</v>
      </c>
      <c r="B165" s="4" t="s">
        <v>212</v>
      </c>
      <c r="C165" s="10"/>
      <c r="D165" s="63">
        <v>176619</v>
      </c>
      <c r="E165" s="32">
        <v>3941</v>
      </c>
      <c r="F165" s="22">
        <v>2990</v>
      </c>
      <c r="G165" s="32">
        <v>280</v>
      </c>
      <c r="H165" s="22">
        <v>3047</v>
      </c>
      <c r="I165" s="32">
        <v>1521</v>
      </c>
      <c r="J165" s="22">
        <v>1016</v>
      </c>
      <c r="K165" s="32"/>
      <c r="L165" s="22">
        <v>482</v>
      </c>
      <c r="M165" s="32">
        <v>27331</v>
      </c>
      <c r="N165" s="22">
        <v>25229</v>
      </c>
      <c r="O165" s="32">
        <v>166</v>
      </c>
      <c r="P165" s="22">
        <v>1080</v>
      </c>
      <c r="Q165" s="32">
        <v>230</v>
      </c>
      <c r="R165" s="49"/>
      <c r="S165" s="31"/>
      <c r="T165" s="31"/>
      <c r="U165" s="31"/>
      <c r="V165" s="31"/>
      <c r="W165" s="31"/>
      <c r="X165" s="31"/>
      <c r="Y165" s="31"/>
      <c r="Z165" s="31"/>
      <c r="AA165" s="31"/>
      <c r="AB165" s="31"/>
      <c r="AC165" s="31"/>
      <c r="AD165" s="31"/>
    </row>
    <row r="166" spans="1:30" ht="15">
      <c r="A166" s="145">
        <v>11</v>
      </c>
      <c r="B166" s="4" t="s">
        <v>213</v>
      </c>
      <c r="C166" s="248"/>
      <c r="D166" s="63"/>
      <c r="E166" s="22"/>
      <c r="F166" s="28">
        <v>116</v>
      </c>
      <c r="G166" s="22"/>
      <c r="H166" s="22">
        <v>51</v>
      </c>
      <c r="I166" s="22">
        <v>624</v>
      </c>
      <c r="J166" s="22">
        <v>206</v>
      </c>
      <c r="K166" s="22"/>
      <c r="L166" s="23">
        <v>45</v>
      </c>
      <c r="M166" s="22">
        <v>106</v>
      </c>
      <c r="N166" s="70"/>
      <c r="O166" s="22"/>
      <c r="P166" s="22"/>
      <c r="Q166" s="22"/>
      <c r="R166" s="49"/>
      <c r="S166" s="31"/>
      <c r="T166" s="31"/>
      <c r="U166" s="31"/>
      <c r="V166" s="31"/>
      <c r="W166" s="31"/>
      <c r="X166" s="31"/>
      <c r="Y166" s="250"/>
      <c r="Z166" s="250"/>
      <c r="AA166" s="250"/>
      <c r="AB166" s="250"/>
      <c r="AC166" s="250"/>
      <c r="AD166" s="250"/>
    </row>
    <row r="167" spans="1:30">
      <c r="A167" s="145">
        <v>12</v>
      </c>
      <c r="B167" s="4" t="s">
        <v>214</v>
      </c>
      <c r="C167" s="17"/>
      <c r="D167" s="162"/>
      <c r="E167" s="28"/>
      <c r="F167" s="134">
        <v>93</v>
      </c>
      <c r="G167" s="28">
        <v>1</v>
      </c>
      <c r="H167" s="134"/>
      <c r="I167" s="28">
        <v>8</v>
      </c>
      <c r="J167" s="134">
        <v>2</v>
      </c>
      <c r="K167" s="28"/>
      <c r="L167" s="134">
        <v>2507</v>
      </c>
      <c r="M167" s="28">
        <v>2682</v>
      </c>
      <c r="N167" s="134"/>
      <c r="O167" s="28"/>
      <c r="P167" s="134"/>
      <c r="Q167" s="28"/>
      <c r="R167" s="122"/>
      <c r="S167" s="134"/>
      <c r="T167" s="134"/>
      <c r="U167" s="134"/>
      <c r="V167" s="134"/>
      <c r="W167" s="134"/>
      <c r="X167" s="134"/>
      <c r="Y167" s="134"/>
      <c r="Z167" s="134"/>
      <c r="AA167" s="134"/>
      <c r="AB167" s="134"/>
      <c r="AC167" s="134"/>
      <c r="AD167" s="134"/>
    </row>
    <row r="168" spans="1:30">
      <c r="A168" s="145">
        <v>13</v>
      </c>
      <c r="B168" s="4" t="s">
        <v>215</v>
      </c>
      <c r="C168" s="10"/>
      <c r="D168" s="162">
        <v>208206</v>
      </c>
      <c r="E168" s="28">
        <v>3320</v>
      </c>
      <c r="F168" s="134">
        <v>2662</v>
      </c>
      <c r="G168" s="28">
        <v>28</v>
      </c>
      <c r="H168" s="134">
        <v>1701</v>
      </c>
      <c r="I168" s="28">
        <v>453</v>
      </c>
      <c r="J168" s="134">
        <v>1688</v>
      </c>
      <c r="K168" s="28"/>
      <c r="L168" s="134">
        <v>915</v>
      </c>
      <c r="M168" s="28">
        <v>27912</v>
      </c>
      <c r="N168" s="134">
        <v>93738</v>
      </c>
      <c r="O168" s="28">
        <v>12800</v>
      </c>
      <c r="P168" s="134">
        <v>220</v>
      </c>
      <c r="Q168" s="28">
        <v>90</v>
      </c>
      <c r="R168" s="122"/>
      <c r="S168" s="134"/>
      <c r="T168" s="134"/>
      <c r="U168" s="134"/>
      <c r="V168" s="134"/>
      <c r="W168" s="134"/>
      <c r="X168" s="134"/>
      <c r="Y168" s="134"/>
      <c r="Z168" s="134"/>
      <c r="AA168" s="134"/>
      <c r="AB168" s="134"/>
      <c r="AC168" s="134"/>
      <c r="AD168" s="134"/>
    </row>
    <row r="169" spans="1:30">
      <c r="A169" s="145">
        <v>14</v>
      </c>
      <c r="B169" s="4" t="s">
        <v>216</v>
      </c>
      <c r="C169" s="10"/>
      <c r="D169" s="162">
        <v>209030</v>
      </c>
      <c r="E169" s="28">
        <v>252</v>
      </c>
      <c r="F169" s="134">
        <v>65149</v>
      </c>
      <c r="G169" s="28">
        <v>66</v>
      </c>
      <c r="H169" s="134">
        <v>1897</v>
      </c>
      <c r="I169" s="28">
        <v>273</v>
      </c>
      <c r="J169" s="134">
        <v>121056</v>
      </c>
      <c r="K169" s="28"/>
      <c r="L169" s="134">
        <v>3783</v>
      </c>
      <c r="M169" s="28">
        <v>9613</v>
      </c>
      <c r="N169" s="134">
        <v>76183</v>
      </c>
      <c r="O169" s="28">
        <v>10</v>
      </c>
      <c r="P169" s="134">
        <v>950</v>
      </c>
      <c r="Q169" s="28"/>
      <c r="R169" s="122"/>
      <c r="S169" s="134"/>
      <c r="T169" s="134"/>
      <c r="U169" s="134"/>
      <c r="V169" s="134"/>
      <c r="W169" s="134"/>
      <c r="X169" s="134"/>
      <c r="Y169" s="134"/>
      <c r="Z169" s="134"/>
      <c r="AA169" s="134"/>
      <c r="AB169" s="134"/>
      <c r="AC169" s="134"/>
      <c r="AD169" s="134"/>
    </row>
    <row r="170" spans="1:30">
      <c r="A170" s="145">
        <v>15</v>
      </c>
      <c r="B170" s="4" t="s">
        <v>217</v>
      </c>
      <c r="C170" s="10"/>
      <c r="D170" s="162">
        <v>151600</v>
      </c>
      <c r="E170" s="28">
        <v>50097</v>
      </c>
      <c r="F170" s="134">
        <v>5060</v>
      </c>
      <c r="G170" s="28">
        <v>69</v>
      </c>
      <c r="H170" s="134">
        <v>6273</v>
      </c>
      <c r="I170" s="28">
        <v>4238</v>
      </c>
      <c r="J170" s="134">
        <v>2733</v>
      </c>
      <c r="K170" s="28">
        <v>75</v>
      </c>
      <c r="L170" s="134">
        <v>13879</v>
      </c>
      <c r="M170" s="28">
        <v>53112</v>
      </c>
      <c r="N170" s="134">
        <v>50604</v>
      </c>
      <c r="O170" s="28"/>
      <c r="P170" s="134">
        <v>1583</v>
      </c>
      <c r="Q170" s="28">
        <v>5371</v>
      </c>
      <c r="R170" s="122">
        <v>100</v>
      </c>
      <c r="S170" s="134"/>
      <c r="T170" s="134"/>
      <c r="U170" s="134"/>
      <c r="V170" s="134"/>
      <c r="W170" s="134"/>
      <c r="X170" s="134"/>
      <c r="Y170" s="134"/>
      <c r="Z170" s="134"/>
      <c r="AA170" s="134"/>
      <c r="AB170" s="134"/>
      <c r="AC170" s="134"/>
      <c r="AD170" s="134"/>
    </row>
    <row r="171" spans="1:30">
      <c r="A171" s="145">
        <v>16</v>
      </c>
      <c r="B171" s="4" t="s">
        <v>218</v>
      </c>
      <c r="C171" s="10"/>
      <c r="D171" s="162">
        <v>45917</v>
      </c>
      <c r="E171" s="28">
        <v>355</v>
      </c>
      <c r="F171" s="134">
        <v>425</v>
      </c>
      <c r="G171" s="28">
        <v>29</v>
      </c>
      <c r="H171" s="134">
        <v>1484</v>
      </c>
      <c r="I171" s="28">
        <v>40</v>
      </c>
      <c r="J171" s="134">
        <v>172</v>
      </c>
      <c r="K171" s="28">
        <v>55</v>
      </c>
      <c r="L171" s="134">
        <v>360</v>
      </c>
      <c r="M171" s="28">
        <v>1536</v>
      </c>
      <c r="N171" s="134"/>
      <c r="O171" s="28"/>
      <c r="P171" s="134">
        <v>830</v>
      </c>
      <c r="Q171" s="28">
        <v>690</v>
      </c>
      <c r="R171" s="122"/>
      <c r="S171" s="134"/>
      <c r="T171" s="134"/>
      <c r="U171" s="134"/>
      <c r="V171" s="134"/>
      <c r="W171" s="134"/>
      <c r="X171" s="134"/>
      <c r="Y171" s="134"/>
      <c r="Z171" s="134"/>
      <c r="AA171" s="134"/>
      <c r="AB171" s="134"/>
      <c r="AC171" s="134"/>
      <c r="AD171" s="134"/>
    </row>
    <row r="172" spans="1:30" ht="15">
      <c r="A172" s="145">
        <v>17</v>
      </c>
      <c r="B172" s="4" t="s">
        <v>219</v>
      </c>
      <c r="C172" s="248"/>
      <c r="D172" s="63">
        <v>294569</v>
      </c>
      <c r="E172" s="22">
        <v>540</v>
      </c>
      <c r="F172" s="28">
        <v>880</v>
      </c>
      <c r="G172" s="22">
        <v>23</v>
      </c>
      <c r="H172" s="22">
        <v>2747</v>
      </c>
      <c r="I172" s="22">
        <v>40</v>
      </c>
      <c r="J172" s="22"/>
      <c r="K172" s="22"/>
      <c r="L172" s="23">
        <v>173330</v>
      </c>
      <c r="M172" s="22">
        <v>77116</v>
      </c>
      <c r="N172" s="70">
        <v>65819</v>
      </c>
      <c r="O172" s="22"/>
      <c r="P172" s="22">
        <v>475</v>
      </c>
      <c r="Q172" s="22"/>
      <c r="R172" s="49"/>
      <c r="S172" s="31"/>
      <c r="T172" s="31"/>
      <c r="U172" s="31"/>
      <c r="V172" s="31"/>
      <c r="W172" s="31"/>
      <c r="X172" s="31"/>
      <c r="Y172" s="250"/>
      <c r="Z172" s="250"/>
      <c r="AA172" s="250"/>
      <c r="AB172" s="250"/>
      <c r="AC172" s="250"/>
      <c r="AD172" s="250"/>
    </row>
    <row r="173" spans="1:30">
      <c r="A173" s="145">
        <v>18</v>
      </c>
      <c r="B173" s="4" t="s">
        <v>220</v>
      </c>
      <c r="C173" s="17"/>
      <c r="D173" s="162"/>
      <c r="E173" s="28"/>
      <c r="F173" s="134">
        <v>69</v>
      </c>
      <c r="G173" s="28">
        <v>1</v>
      </c>
      <c r="H173" s="134"/>
      <c r="I173" s="28">
        <v>3072</v>
      </c>
      <c r="J173" s="134">
        <v>3</v>
      </c>
      <c r="K173" s="28"/>
      <c r="L173" s="134">
        <v>2420</v>
      </c>
      <c r="M173" s="28">
        <v>987</v>
      </c>
      <c r="N173" s="134"/>
      <c r="O173" s="28"/>
      <c r="P173" s="134"/>
      <c r="Q173" s="28"/>
      <c r="R173" s="122"/>
      <c r="S173" s="134"/>
      <c r="T173" s="134"/>
      <c r="U173" s="134"/>
      <c r="V173" s="134"/>
      <c r="W173" s="134"/>
      <c r="X173" s="134"/>
      <c r="Y173" s="134"/>
      <c r="Z173" s="134"/>
      <c r="AA173" s="134"/>
      <c r="AB173" s="134"/>
      <c r="AC173" s="134"/>
      <c r="AD173" s="134"/>
    </row>
    <row r="174" spans="1:30">
      <c r="A174" s="145">
        <v>19</v>
      </c>
      <c r="B174" s="4" t="s">
        <v>221</v>
      </c>
      <c r="C174" s="10"/>
      <c r="D174" s="162"/>
      <c r="E174" s="28"/>
      <c r="F174" s="134">
        <v>3396</v>
      </c>
      <c r="G174" s="28">
        <v>24</v>
      </c>
      <c r="H174" s="134">
        <v>131</v>
      </c>
      <c r="I174" s="28">
        <v>229</v>
      </c>
      <c r="J174" s="134">
        <v>6139</v>
      </c>
      <c r="K174" s="28"/>
      <c r="L174" s="134">
        <v>4613</v>
      </c>
      <c r="M174" s="28">
        <v>3648</v>
      </c>
      <c r="N174" s="134"/>
      <c r="O174" s="28"/>
      <c r="P174" s="134">
        <v>668</v>
      </c>
      <c r="Q174" s="28"/>
      <c r="R174" s="122"/>
      <c r="S174" s="134"/>
      <c r="T174" s="134"/>
      <c r="U174" s="134"/>
      <c r="V174" s="134"/>
      <c r="W174" s="134"/>
      <c r="X174" s="134"/>
      <c r="Y174" s="134"/>
      <c r="Z174" s="134"/>
      <c r="AA174" s="134"/>
      <c r="AB174" s="134"/>
      <c r="AC174" s="134"/>
      <c r="AD174" s="134"/>
    </row>
    <row r="175" spans="1:30">
      <c r="A175" s="145">
        <v>20</v>
      </c>
      <c r="B175" s="4" t="s">
        <v>222</v>
      </c>
      <c r="C175" s="10"/>
      <c r="D175" s="162"/>
      <c r="E175" s="28"/>
      <c r="F175" s="134"/>
      <c r="G175" s="28"/>
      <c r="H175" s="134">
        <v>100</v>
      </c>
      <c r="I175" s="28">
        <v>200</v>
      </c>
      <c r="J175" s="134"/>
      <c r="K175" s="28"/>
      <c r="L175" s="134"/>
      <c r="M175" s="28"/>
      <c r="N175" s="134"/>
      <c r="O175" s="28"/>
      <c r="P175" s="134"/>
      <c r="Q175" s="28"/>
      <c r="R175" s="122"/>
      <c r="S175" s="134"/>
      <c r="T175" s="134"/>
      <c r="U175" s="134"/>
      <c r="V175" s="134"/>
      <c r="W175" s="134"/>
      <c r="X175" s="134"/>
      <c r="Y175" s="134"/>
      <c r="Z175" s="134"/>
      <c r="AA175" s="134"/>
      <c r="AB175" s="134"/>
      <c r="AC175" s="134"/>
      <c r="AD175" s="134"/>
    </row>
    <row r="176" spans="1:30">
      <c r="A176" s="145">
        <v>21</v>
      </c>
      <c r="B176" s="4" t="s">
        <v>223</v>
      </c>
      <c r="C176" s="10"/>
      <c r="D176" s="162">
        <v>12886</v>
      </c>
      <c r="E176" s="28"/>
      <c r="F176" s="134">
        <v>2825</v>
      </c>
      <c r="G176" s="28">
        <v>45</v>
      </c>
      <c r="H176" s="134">
        <v>357</v>
      </c>
      <c r="I176" s="28">
        <v>65</v>
      </c>
      <c r="J176" s="134">
        <v>1264</v>
      </c>
      <c r="K176" s="28"/>
      <c r="L176" s="134">
        <v>22090</v>
      </c>
      <c r="M176" s="28">
        <v>19643</v>
      </c>
      <c r="N176" s="134">
        <v>9325</v>
      </c>
      <c r="O176" s="28"/>
      <c r="P176" s="134">
        <v>471</v>
      </c>
      <c r="Q176" s="28">
        <v>448</v>
      </c>
      <c r="R176" s="122"/>
      <c r="S176" s="134"/>
      <c r="T176" s="134"/>
      <c r="U176" s="134"/>
      <c r="V176" s="134"/>
      <c r="W176" s="134"/>
      <c r="X176" s="134"/>
      <c r="Y176" s="134"/>
      <c r="Z176" s="134"/>
      <c r="AA176" s="134"/>
      <c r="AB176" s="134"/>
      <c r="AC176" s="134"/>
      <c r="AD176" s="134"/>
    </row>
    <row r="177" spans="1:30">
      <c r="A177" s="145">
        <v>22</v>
      </c>
      <c r="B177" s="4" t="s">
        <v>224</v>
      </c>
      <c r="C177" s="10"/>
      <c r="D177" s="162">
        <v>432773</v>
      </c>
      <c r="E177" s="28">
        <v>35164</v>
      </c>
      <c r="F177" s="134">
        <v>3354</v>
      </c>
      <c r="G177" s="28">
        <v>115</v>
      </c>
      <c r="H177" s="134">
        <v>7514</v>
      </c>
      <c r="I177" s="28">
        <v>1779</v>
      </c>
      <c r="J177" s="134">
        <v>2611</v>
      </c>
      <c r="K177" s="28"/>
      <c r="L177" s="134">
        <v>13801</v>
      </c>
      <c r="M177" s="28">
        <v>56835</v>
      </c>
      <c r="N177" s="134">
        <v>188171</v>
      </c>
      <c r="O177" s="28">
        <v>10</v>
      </c>
      <c r="P177" s="134">
        <v>3025</v>
      </c>
      <c r="Q177" s="28">
        <v>3065</v>
      </c>
      <c r="R177" s="122"/>
      <c r="S177" s="134"/>
      <c r="T177" s="134"/>
      <c r="U177" s="134"/>
      <c r="V177" s="134"/>
      <c r="W177" s="134"/>
      <c r="X177" s="134"/>
      <c r="Y177" s="134"/>
      <c r="Z177" s="134"/>
      <c r="AA177" s="134"/>
      <c r="AB177" s="134"/>
      <c r="AC177" s="134"/>
      <c r="AD177" s="134"/>
    </row>
    <row r="178" spans="1:30" ht="15">
      <c r="A178" s="145">
        <v>23</v>
      </c>
      <c r="B178" s="4" t="s">
        <v>225</v>
      </c>
      <c r="C178" s="248"/>
      <c r="D178" s="63">
        <v>44735</v>
      </c>
      <c r="E178" s="22">
        <v>488</v>
      </c>
      <c r="F178" s="28">
        <v>67</v>
      </c>
      <c r="G178" s="22">
        <v>1</v>
      </c>
      <c r="H178" s="22">
        <v>724</v>
      </c>
      <c r="I178" s="22">
        <v>427</v>
      </c>
      <c r="J178" s="22"/>
      <c r="K178" s="22"/>
      <c r="L178" s="23">
        <v>115</v>
      </c>
      <c r="M178" s="22">
        <v>35</v>
      </c>
      <c r="N178" s="70"/>
      <c r="O178" s="22"/>
      <c r="P178" s="22"/>
      <c r="Q178" s="22">
        <v>10</v>
      </c>
      <c r="R178" s="49"/>
      <c r="S178" s="31"/>
      <c r="T178" s="31"/>
      <c r="U178" s="31"/>
      <c r="V178" s="31"/>
      <c r="W178" s="31"/>
      <c r="X178" s="31"/>
      <c r="Y178" s="250"/>
      <c r="Z178" s="250"/>
      <c r="AA178" s="250"/>
      <c r="AB178" s="250"/>
      <c r="AC178" s="250"/>
      <c r="AD178" s="250"/>
    </row>
    <row r="179" spans="1:30">
      <c r="A179" s="145">
        <v>24</v>
      </c>
      <c r="B179" s="4" t="s">
        <v>226</v>
      </c>
      <c r="C179" s="17"/>
      <c r="D179" s="162">
        <v>180080</v>
      </c>
      <c r="E179" s="28">
        <v>6769</v>
      </c>
      <c r="F179" s="134">
        <v>133</v>
      </c>
      <c r="G179" s="28">
        <v>38</v>
      </c>
      <c r="H179" s="134">
        <v>1744</v>
      </c>
      <c r="I179" s="28">
        <v>1645</v>
      </c>
      <c r="J179" s="134">
        <v>80</v>
      </c>
      <c r="K179" s="28"/>
      <c r="L179" s="134">
        <v>360</v>
      </c>
      <c r="M179" s="28">
        <v>347</v>
      </c>
      <c r="N179" s="134"/>
      <c r="O179" s="28"/>
      <c r="P179" s="134"/>
      <c r="Q179" s="28">
        <v>245</v>
      </c>
      <c r="R179" s="122"/>
      <c r="S179" s="134"/>
      <c r="T179" s="134"/>
      <c r="U179" s="134"/>
      <c r="V179" s="134"/>
      <c r="W179" s="134"/>
      <c r="X179" s="134"/>
      <c r="Y179" s="134"/>
      <c r="Z179" s="134"/>
      <c r="AA179" s="134"/>
      <c r="AB179" s="134"/>
      <c r="AC179" s="134"/>
      <c r="AD179" s="134"/>
    </row>
    <row r="180" spans="1:30">
      <c r="A180" s="145">
        <v>25</v>
      </c>
      <c r="B180" s="4" t="s">
        <v>147</v>
      </c>
      <c r="C180" s="10"/>
      <c r="D180" s="162">
        <v>71250</v>
      </c>
      <c r="E180" s="28">
        <v>123</v>
      </c>
      <c r="F180" s="134">
        <v>5557</v>
      </c>
      <c r="G180" s="28">
        <v>13</v>
      </c>
      <c r="H180" s="134">
        <v>1476</v>
      </c>
      <c r="I180" s="28">
        <v>25</v>
      </c>
      <c r="J180" s="134">
        <v>5134</v>
      </c>
      <c r="K180" s="28"/>
      <c r="L180" s="134">
        <v>116776</v>
      </c>
      <c r="M180" s="28">
        <v>509718</v>
      </c>
      <c r="N180" s="134">
        <v>47681</v>
      </c>
      <c r="O180" s="28">
        <v>2435</v>
      </c>
      <c r="P180" s="134">
        <v>140</v>
      </c>
      <c r="Q180" s="28"/>
      <c r="R180" s="122"/>
      <c r="S180" s="134"/>
      <c r="T180" s="134"/>
      <c r="U180" s="134"/>
      <c r="V180" s="134"/>
      <c r="W180" s="134"/>
      <c r="X180" s="134"/>
      <c r="Y180" s="134"/>
      <c r="Z180" s="134"/>
      <c r="AA180" s="134"/>
      <c r="AB180" s="134"/>
      <c r="AC180" s="134"/>
      <c r="AD180" s="134"/>
    </row>
    <row r="181" spans="1:30">
      <c r="A181" s="145">
        <v>26</v>
      </c>
      <c r="B181" s="4" t="s">
        <v>227</v>
      </c>
      <c r="C181" s="10"/>
      <c r="D181" s="162">
        <v>9890</v>
      </c>
      <c r="E181" s="28">
        <v>80</v>
      </c>
      <c r="F181" s="134">
        <v>447</v>
      </c>
      <c r="G181" s="28">
        <v>7</v>
      </c>
      <c r="H181" s="134">
        <v>234</v>
      </c>
      <c r="I181" s="28">
        <v>1287</v>
      </c>
      <c r="J181" s="134">
        <v>185</v>
      </c>
      <c r="K181" s="28"/>
      <c r="L181" s="134">
        <v>49618</v>
      </c>
      <c r="M181" s="28">
        <v>1625</v>
      </c>
      <c r="N181" s="134">
        <v>8117</v>
      </c>
      <c r="O181" s="28"/>
      <c r="P181" s="134"/>
      <c r="Q181" s="28"/>
      <c r="R181" s="122"/>
      <c r="S181" s="134"/>
      <c r="T181" s="134"/>
      <c r="U181" s="134"/>
      <c r="V181" s="134"/>
      <c r="W181" s="134"/>
      <c r="X181" s="134"/>
      <c r="Y181" s="134"/>
      <c r="Z181" s="134"/>
      <c r="AA181" s="134"/>
      <c r="AB181" s="134"/>
      <c r="AC181" s="134"/>
      <c r="AD181" s="134"/>
    </row>
    <row r="182" spans="1:30">
      <c r="A182" s="145">
        <v>27</v>
      </c>
      <c r="B182" s="4" t="s">
        <v>228</v>
      </c>
      <c r="C182" s="10"/>
      <c r="D182" s="162"/>
      <c r="E182" s="28"/>
      <c r="F182" s="134">
        <v>259</v>
      </c>
      <c r="G182" s="28">
        <v>16</v>
      </c>
      <c r="H182" s="134">
        <v>1</v>
      </c>
      <c r="I182" s="28">
        <v>4</v>
      </c>
      <c r="J182" s="134">
        <v>1</v>
      </c>
      <c r="K182" s="28"/>
      <c r="L182" s="134">
        <v>99424</v>
      </c>
      <c r="M182" s="28">
        <v>77</v>
      </c>
      <c r="N182" s="134"/>
      <c r="O182" s="28"/>
      <c r="P182" s="134"/>
      <c r="Q182" s="28"/>
      <c r="R182" s="122">
        <v>60</v>
      </c>
      <c r="S182" s="134"/>
      <c r="T182" s="134"/>
      <c r="U182" s="134"/>
      <c r="V182" s="134"/>
      <c r="W182" s="134"/>
      <c r="X182" s="134"/>
      <c r="Y182" s="134"/>
      <c r="Z182" s="134"/>
      <c r="AA182" s="134"/>
      <c r="AB182" s="134"/>
      <c r="AC182" s="134"/>
      <c r="AD182" s="134"/>
    </row>
    <row r="183" spans="1:30">
      <c r="A183" s="145">
        <v>28</v>
      </c>
      <c r="B183" s="4" t="s">
        <v>229</v>
      </c>
      <c r="C183" s="10"/>
      <c r="D183" s="162">
        <v>277146</v>
      </c>
      <c r="E183" s="28">
        <v>1265</v>
      </c>
      <c r="F183" s="134">
        <v>2574</v>
      </c>
      <c r="G183" s="28">
        <v>86</v>
      </c>
      <c r="H183" s="134">
        <v>2356</v>
      </c>
      <c r="I183" s="28">
        <v>60</v>
      </c>
      <c r="J183" s="134">
        <v>1470</v>
      </c>
      <c r="K183" s="28">
        <v>1044</v>
      </c>
      <c r="L183" s="134">
        <v>2036</v>
      </c>
      <c r="M183" s="28">
        <v>12980</v>
      </c>
      <c r="N183" s="134">
        <v>19344</v>
      </c>
      <c r="O183" s="28"/>
      <c r="P183" s="134">
        <v>1409</v>
      </c>
      <c r="Q183" s="28">
        <v>1557</v>
      </c>
      <c r="R183" s="122"/>
      <c r="S183" s="134"/>
      <c r="T183" s="134"/>
      <c r="U183" s="134"/>
      <c r="V183" s="134"/>
      <c r="W183" s="134"/>
      <c r="X183" s="134"/>
      <c r="Y183" s="134"/>
      <c r="Z183" s="134"/>
      <c r="AA183" s="134"/>
      <c r="AB183" s="134"/>
      <c r="AC183" s="134"/>
      <c r="AD183" s="134"/>
    </row>
    <row r="184" spans="1:30" ht="15">
      <c r="A184" s="145">
        <v>29</v>
      </c>
      <c r="B184" s="4" t="s">
        <v>230</v>
      </c>
      <c r="C184" s="248"/>
      <c r="D184" s="63">
        <v>1047014</v>
      </c>
      <c r="E184" s="22">
        <v>11891</v>
      </c>
      <c r="F184" s="28">
        <v>1411</v>
      </c>
      <c r="G184" s="22">
        <v>195</v>
      </c>
      <c r="H184" s="22">
        <v>9909</v>
      </c>
      <c r="I184" s="22">
        <v>878</v>
      </c>
      <c r="J184" s="22">
        <v>194</v>
      </c>
      <c r="K184" s="22"/>
      <c r="L184" s="23">
        <v>828</v>
      </c>
      <c r="M184" s="22">
        <v>12249</v>
      </c>
      <c r="N184" s="70">
        <v>126392</v>
      </c>
      <c r="O184" s="22"/>
      <c r="P184" s="22">
        <v>400</v>
      </c>
      <c r="Q184" s="22">
        <v>3092</v>
      </c>
      <c r="R184" s="49"/>
      <c r="S184" s="31"/>
      <c r="T184" s="31"/>
      <c r="U184" s="31"/>
      <c r="V184" s="31"/>
      <c r="W184" s="31"/>
      <c r="X184" s="31"/>
      <c r="Y184" s="250"/>
      <c r="Z184" s="250"/>
      <c r="AA184" s="250"/>
      <c r="AB184" s="250"/>
      <c r="AC184" s="250"/>
      <c r="AD184" s="250"/>
    </row>
    <row r="185" spans="1:30">
      <c r="A185" s="145">
        <v>30</v>
      </c>
      <c r="B185" s="4" t="s">
        <v>231</v>
      </c>
      <c r="C185" s="17"/>
      <c r="D185" s="162">
        <v>506841</v>
      </c>
      <c r="E185" s="28">
        <v>17691</v>
      </c>
      <c r="F185" s="134">
        <v>557</v>
      </c>
      <c r="G185" s="28">
        <v>190</v>
      </c>
      <c r="H185" s="134">
        <v>8416</v>
      </c>
      <c r="I185" s="28">
        <v>1851</v>
      </c>
      <c r="J185" s="134">
        <v>149</v>
      </c>
      <c r="K185" s="28"/>
      <c r="L185" s="134">
        <v>3640</v>
      </c>
      <c r="M185" s="28">
        <v>2853</v>
      </c>
      <c r="O185" s="28"/>
      <c r="P185" s="134">
        <v>594</v>
      </c>
      <c r="Q185" s="28">
        <v>1378</v>
      </c>
      <c r="R185" s="122">
        <v>214</v>
      </c>
      <c r="S185" s="134"/>
      <c r="T185" s="134"/>
      <c r="U185" s="134"/>
      <c r="V185" s="134"/>
      <c r="W185" s="134"/>
      <c r="X185" s="134"/>
      <c r="Y185" s="134"/>
      <c r="Z185" s="134"/>
      <c r="AA185" s="134"/>
      <c r="AB185" s="134"/>
      <c r="AC185" s="134"/>
      <c r="AD185" s="134"/>
    </row>
    <row r="186" spans="1:30">
      <c r="A186" s="145">
        <v>31</v>
      </c>
      <c r="B186" s="4" t="s">
        <v>232</v>
      </c>
      <c r="C186" s="10"/>
      <c r="D186" s="162">
        <v>33244</v>
      </c>
      <c r="E186" s="28">
        <v>3493</v>
      </c>
      <c r="F186" s="134">
        <v>2138</v>
      </c>
      <c r="G186" s="28">
        <v>13</v>
      </c>
      <c r="H186" s="134">
        <v>319</v>
      </c>
      <c r="I186" s="28">
        <v>885</v>
      </c>
      <c r="J186" s="134">
        <v>2606</v>
      </c>
      <c r="K186" s="28">
        <v>289</v>
      </c>
      <c r="L186" s="134">
        <v>740</v>
      </c>
      <c r="M186" s="28">
        <v>851</v>
      </c>
      <c r="N186" s="134">
        <v>1102</v>
      </c>
      <c r="O186" s="28"/>
      <c r="P186" s="134">
        <v>925</v>
      </c>
      <c r="Q186" s="28">
        <v>280</v>
      </c>
      <c r="R186" s="122"/>
      <c r="S186" s="134"/>
      <c r="T186" s="134"/>
      <c r="U186" s="134"/>
      <c r="V186" s="134"/>
      <c r="W186" s="134"/>
      <c r="X186" s="134"/>
      <c r="Y186" s="134"/>
      <c r="Z186" s="134"/>
      <c r="AA186" s="134"/>
      <c r="AB186" s="134"/>
      <c r="AC186" s="134"/>
      <c r="AD186" s="134"/>
    </row>
    <row r="187" spans="1:30">
      <c r="A187" s="215"/>
      <c r="B187" s="203"/>
      <c r="C187" s="12"/>
      <c r="D187" s="38"/>
      <c r="E187" s="206"/>
      <c r="F187" s="256"/>
      <c r="G187" s="206"/>
      <c r="H187" s="256"/>
      <c r="I187" s="206"/>
      <c r="J187" s="256"/>
      <c r="K187" s="206"/>
      <c r="L187" s="256"/>
      <c r="M187" s="206"/>
      <c r="N187" s="256"/>
      <c r="O187" s="206"/>
      <c r="P187" s="256"/>
      <c r="Q187" s="206"/>
      <c r="R187" s="298"/>
      <c r="S187" s="134"/>
      <c r="T187" s="134"/>
      <c r="U187" s="134"/>
      <c r="V187" s="134"/>
      <c r="W187" s="134"/>
      <c r="X187" s="134"/>
      <c r="Y187" s="134"/>
      <c r="Z187" s="134"/>
      <c r="AA187" s="134"/>
      <c r="AB187" s="134"/>
      <c r="AC187" s="134"/>
      <c r="AD187" s="134"/>
    </row>
    <row r="188" spans="1:30">
      <c r="A188" s="145" t="s">
        <v>297</v>
      </c>
      <c r="B188" s="4"/>
      <c r="C188" s="10"/>
      <c r="D188" s="162">
        <f>SUM(D156:D186)</f>
        <v>4649224</v>
      </c>
      <c r="E188" s="22">
        <f t="shared" ref="E188:R188" si="6">SUM(E156:E186)</f>
        <v>185259</v>
      </c>
      <c r="F188" s="32">
        <f t="shared" si="6"/>
        <v>130766</v>
      </c>
      <c r="G188" s="22">
        <f t="shared" si="6"/>
        <v>1761</v>
      </c>
      <c r="H188" s="32">
        <f t="shared" si="6"/>
        <v>71675</v>
      </c>
      <c r="I188" s="22">
        <f t="shared" si="6"/>
        <v>31941</v>
      </c>
      <c r="J188" s="32">
        <f t="shared" si="6"/>
        <v>164912</v>
      </c>
      <c r="K188" s="22">
        <f t="shared" si="6"/>
        <v>2563</v>
      </c>
      <c r="L188" s="32">
        <f t="shared" si="6"/>
        <v>951005</v>
      </c>
      <c r="M188" s="22">
        <f t="shared" si="6"/>
        <v>1546978</v>
      </c>
      <c r="N188" s="32">
        <f>SUM(N156:N186)</f>
        <v>1068456</v>
      </c>
      <c r="O188" s="22">
        <f t="shared" si="6"/>
        <v>15746</v>
      </c>
      <c r="P188" s="32">
        <f t="shared" si="6"/>
        <v>15231</v>
      </c>
      <c r="Q188" s="22">
        <f t="shared" si="6"/>
        <v>24463</v>
      </c>
      <c r="R188" s="49">
        <f t="shared" si="6"/>
        <v>1259</v>
      </c>
      <c r="S188" s="134"/>
      <c r="T188" s="134"/>
      <c r="U188" s="134"/>
      <c r="V188" s="134"/>
      <c r="W188" s="134"/>
      <c r="X188" s="134"/>
      <c r="Y188" s="134"/>
      <c r="Z188" s="134"/>
      <c r="AA188" s="134"/>
      <c r="AB188" s="134"/>
      <c r="AC188" s="134"/>
      <c r="AD188" s="134"/>
    </row>
    <row r="189" spans="1:30" ht="15" thickBot="1">
      <c r="A189" s="217"/>
      <c r="B189" s="104"/>
      <c r="C189" s="251"/>
      <c r="D189" s="252"/>
      <c r="E189" s="208"/>
      <c r="F189" s="253"/>
      <c r="G189" s="208"/>
      <c r="H189" s="253"/>
      <c r="I189" s="208"/>
      <c r="J189" s="253"/>
      <c r="K189" s="208"/>
      <c r="L189" s="253"/>
      <c r="M189" s="208"/>
      <c r="N189" s="253"/>
      <c r="O189" s="208"/>
      <c r="P189" s="253"/>
      <c r="Q189" s="208"/>
      <c r="R189" s="299"/>
      <c r="S189" s="134"/>
      <c r="T189" s="134"/>
      <c r="U189" s="134"/>
      <c r="V189" s="134"/>
      <c r="W189" s="134"/>
      <c r="X189" s="134"/>
      <c r="Y189" s="134"/>
      <c r="Z189" s="134"/>
      <c r="AA189" s="134"/>
      <c r="AB189" s="134"/>
      <c r="AC189" s="134"/>
      <c r="AD189" s="134"/>
    </row>
    <row r="190" spans="1:30" ht="16" thickTop="1">
      <c r="A190" s="222" t="s">
        <v>28</v>
      </c>
      <c r="B190" s="97"/>
      <c r="C190" s="248"/>
      <c r="D190" s="63"/>
      <c r="E190" s="22"/>
      <c r="F190" s="28"/>
      <c r="G190" s="22"/>
      <c r="H190" s="22"/>
      <c r="I190" s="22"/>
      <c r="J190" s="22"/>
      <c r="K190" s="22"/>
      <c r="L190" s="23"/>
      <c r="M190" s="22"/>
      <c r="N190" s="70"/>
      <c r="O190" s="22"/>
      <c r="P190" s="22"/>
      <c r="Q190" s="22"/>
      <c r="R190" s="49"/>
      <c r="S190" s="31"/>
      <c r="T190" s="31"/>
      <c r="U190" s="31"/>
      <c r="V190" s="31"/>
      <c r="W190" s="31"/>
      <c r="X190" s="31"/>
      <c r="Y190" s="250"/>
      <c r="Z190" s="250"/>
      <c r="AA190" s="250"/>
      <c r="AB190" s="250"/>
      <c r="AC190" s="250"/>
      <c r="AD190" s="250"/>
    </row>
    <row r="191" spans="1:30">
      <c r="A191" s="145">
        <v>32</v>
      </c>
      <c r="B191" s="235" t="s">
        <v>233</v>
      </c>
      <c r="C191" s="17"/>
      <c r="D191" s="162">
        <v>26527</v>
      </c>
      <c r="E191" s="28"/>
      <c r="F191" s="134">
        <v>260</v>
      </c>
      <c r="G191" s="28">
        <v>6</v>
      </c>
      <c r="H191" s="134">
        <v>1015</v>
      </c>
      <c r="I191" s="28">
        <v>25</v>
      </c>
      <c r="J191" s="134"/>
      <c r="K191" s="28">
        <v>10</v>
      </c>
      <c r="L191" s="134">
        <v>210</v>
      </c>
      <c r="M191" s="28">
        <v>365</v>
      </c>
      <c r="N191" s="134"/>
      <c r="O191" s="28"/>
      <c r="P191" s="134">
        <v>200</v>
      </c>
      <c r="Q191" s="28">
        <v>300</v>
      </c>
      <c r="R191" s="122"/>
      <c r="S191" s="134"/>
      <c r="T191" s="134"/>
      <c r="U191" s="134"/>
      <c r="V191" s="134"/>
      <c r="W191" s="134"/>
      <c r="X191" s="134"/>
      <c r="Y191" s="134"/>
      <c r="Z191" s="134"/>
      <c r="AA191" s="134"/>
      <c r="AB191" s="134"/>
      <c r="AC191" s="134"/>
      <c r="AD191" s="134"/>
    </row>
    <row r="192" spans="1:30">
      <c r="A192" s="145">
        <v>33</v>
      </c>
      <c r="B192" s="4" t="s">
        <v>234</v>
      </c>
      <c r="C192" s="10"/>
      <c r="D192" s="162"/>
      <c r="E192" s="28"/>
      <c r="F192" s="134">
        <v>165</v>
      </c>
      <c r="G192" s="28">
        <v>4</v>
      </c>
      <c r="H192" s="134">
        <v>50</v>
      </c>
      <c r="I192" s="28">
        <v>200</v>
      </c>
      <c r="J192" s="134">
        <v>312</v>
      </c>
      <c r="K192" s="28"/>
      <c r="L192" s="134">
        <v>1540</v>
      </c>
      <c r="M192" s="28">
        <v>170</v>
      </c>
      <c r="N192" s="134"/>
      <c r="O192" s="28"/>
      <c r="P192" s="134"/>
      <c r="Q192" s="28"/>
      <c r="R192" s="122"/>
      <c r="S192" s="134"/>
      <c r="T192" s="134"/>
      <c r="U192" s="134"/>
      <c r="V192" s="134"/>
      <c r="W192" s="134"/>
      <c r="X192" s="134"/>
      <c r="Y192" s="134"/>
      <c r="Z192" s="134"/>
      <c r="AA192" s="134"/>
      <c r="AB192" s="134"/>
      <c r="AC192" s="134"/>
      <c r="AD192" s="134"/>
    </row>
    <row r="193" spans="1:30">
      <c r="A193" s="145">
        <v>34</v>
      </c>
      <c r="B193" s="4" t="s">
        <v>235</v>
      </c>
      <c r="C193" s="10"/>
      <c r="D193" s="162"/>
      <c r="E193" s="28"/>
      <c r="F193" s="134">
        <v>96</v>
      </c>
      <c r="G193" s="28"/>
      <c r="H193" s="134">
        <v>361</v>
      </c>
      <c r="I193" s="28">
        <v>510</v>
      </c>
      <c r="J193" s="134">
        <v>100</v>
      </c>
      <c r="K193" s="28"/>
      <c r="L193" s="134">
        <v>84</v>
      </c>
      <c r="M193" s="28"/>
      <c r="N193" s="134"/>
      <c r="O193" s="28"/>
      <c r="P193" s="134"/>
      <c r="Q193" s="28"/>
      <c r="R193" s="122"/>
      <c r="S193" s="134"/>
      <c r="T193" s="134"/>
      <c r="U193" s="134"/>
      <c r="V193" s="134"/>
      <c r="W193" s="134"/>
      <c r="X193" s="134"/>
      <c r="Y193" s="134"/>
      <c r="Z193" s="134"/>
      <c r="AA193" s="134"/>
      <c r="AB193" s="134"/>
      <c r="AC193" s="134"/>
      <c r="AD193" s="134"/>
    </row>
    <row r="194" spans="1:30">
      <c r="A194" s="145">
        <v>35</v>
      </c>
      <c r="B194" s="4" t="s">
        <v>236</v>
      </c>
      <c r="C194" s="10"/>
      <c r="D194" s="162"/>
      <c r="E194" s="28"/>
      <c r="F194" s="134"/>
      <c r="G194" s="28"/>
      <c r="H194" s="134"/>
      <c r="I194" s="28"/>
      <c r="J194" s="134"/>
      <c r="K194" s="28"/>
      <c r="L194" s="134"/>
      <c r="M194" s="28"/>
      <c r="N194" s="134"/>
      <c r="O194" s="28"/>
      <c r="P194" s="134"/>
      <c r="Q194" s="28"/>
      <c r="R194" s="122"/>
      <c r="S194" s="134"/>
      <c r="T194" s="134"/>
      <c r="U194" s="134"/>
      <c r="V194" s="134"/>
      <c r="W194" s="134"/>
      <c r="X194" s="134"/>
      <c r="Y194" s="134"/>
      <c r="Z194" s="134"/>
      <c r="AA194" s="134"/>
      <c r="AB194" s="134"/>
      <c r="AC194" s="134"/>
      <c r="AD194" s="134"/>
    </row>
    <row r="195" spans="1:30">
      <c r="A195" s="145">
        <v>36</v>
      </c>
      <c r="B195" s="4" t="s">
        <v>237</v>
      </c>
      <c r="C195" s="10"/>
      <c r="D195" s="162"/>
      <c r="E195" s="28"/>
      <c r="F195" s="134">
        <v>1601</v>
      </c>
      <c r="G195" s="28">
        <v>3</v>
      </c>
      <c r="H195" s="134"/>
      <c r="I195" s="28"/>
      <c r="J195" s="134"/>
      <c r="K195" s="28"/>
      <c r="L195" s="134"/>
      <c r="M195" s="28">
        <v>200</v>
      </c>
      <c r="N195" s="134"/>
      <c r="O195" s="28"/>
      <c r="P195" s="134"/>
      <c r="Q195" s="28"/>
      <c r="R195" s="122"/>
      <c r="S195" s="134"/>
      <c r="T195" s="134"/>
      <c r="U195" s="134"/>
      <c r="V195" s="134"/>
      <c r="W195" s="134"/>
      <c r="X195" s="134"/>
      <c r="Y195" s="134"/>
      <c r="Z195" s="134"/>
      <c r="AA195" s="134"/>
      <c r="AB195" s="134"/>
      <c r="AC195" s="134"/>
      <c r="AD195" s="134"/>
    </row>
    <row r="196" spans="1:30">
      <c r="A196" s="145">
        <v>37</v>
      </c>
      <c r="B196" s="4" t="s">
        <v>238</v>
      </c>
      <c r="C196" s="10"/>
      <c r="D196" s="63"/>
      <c r="E196" s="32"/>
      <c r="F196" s="22">
        <v>18</v>
      </c>
      <c r="G196" s="32">
        <v>1</v>
      </c>
      <c r="H196" s="22">
        <v>15</v>
      </c>
      <c r="I196" s="32">
        <v>14</v>
      </c>
      <c r="J196" s="22"/>
      <c r="K196" s="32"/>
      <c r="L196" s="22">
        <v>1320</v>
      </c>
      <c r="M196" s="32">
        <v>40</v>
      </c>
      <c r="N196" s="22"/>
      <c r="O196" s="32"/>
      <c r="P196" s="22"/>
      <c r="Q196" s="32"/>
      <c r="R196" s="49"/>
      <c r="S196" s="31"/>
      <c r="T196" s="31"/>
      <c r="U196" s="31"/>
      <c r="V196" s="31"/>
      <c r="W196" s="31"/>
      <c r="X196" s="31"/>
      <c r="Y196" s="31"/>
      <c r="Z196" s="31"/>
      <c r="AA196" s="31"/>
      <c r="AB196" s="31"/>
      <c r="AC196" s="31"/>
      <c r="AD196" s="31"/>
    </row>
    <row r="197" spans="1:30" ht="15">
      <c r="A197" s="145">
        <v>38</v>
      </c>
      <c r="B197" s="4" t="s">
        <v>239</v>
      </c>
      <c r="C197" s="248"/>
      <c r="D197" s="63"/>
      <c r="E197" s="22"/>
      <c r="F197" s="28">
        <v>100</v>
      </c>
      <c r="G197" s="22"/>
      <c r="H197" s="22">
        <v>500</v>
      </c>
      <c r="I197" s="22">
        <v>600</v>
      </c>
      <c r="J197" s="22">
        <v>200</v>
      </c>
      <c r="K197" s="22"/>
      <c r="L197" s="23"/>
      <c r="M197" s="22"/>
      <c r="N197" s="70"/>
      <c r="O197" s="22"/>
      <c r="P197" s="22"/>
      <c r="Q197" s="22"/>
      <c r="R197" s="49"/>
      <c r="S197" s="31"/>
      <c r="T197" s="31"/>
      <c r="U197" s="31"/>
      <c r="V197" s="31"/>
      <c r="W197" s="31"/>
      <c r="X197" s="31"/>
      <c r="Y197" s="250"/>
      <c r="Z197" s="250"/>
      <c r="AA197" s="250"/>
      <c r="AB197" s="250"/>
      <c r="AC197" s="250"/>
      <c r="AD197" s="250"/>
    </row>
    <row r="198" spans="1:30">
      <c r="A198" s="145">
        <v>39</v>
      </c>
      <c r="B198" s="4" t="s">
        <v>240</v>
      </c>
      <c r="C198" s="17"/>
      <c r="D198" s="162">
        <v>38914</v>
      </c>
      <c r="E198" s="28">
        <v>919</v>
      </c>
      <c r="F198" s="134">
        <v>4</v>
      </c>
      <c r="G198" s="28">
        <v>3</v>
      </c>
      <c r="H198" s="134">
        <v>374</v>
      </c>
      <c r="I198" s="28">
        <v>137</v>
      </c>
      <c r="J198" s="134"/>
      <c r="K198" s="28"/>
      <c r="L198" s="134">
        <v>84</v>
      </c>
      <c r="M198" s="28">
        <v>450</v>
      </c>
      <c r="N198" s="134"/>
      <c r="O198" s="28"/>
      <c r="P198" s="134">
        <v>150</v>
      </c>
      <c r="Q198" s="28">
        <v>30</v>
      </c>
      <c r="R198" s="122"/>
      <c r="S198" s="134"/>
      <c r="T198" s="134"/>
      <c r="U198" s="134"/>
      <c r="V198" s="134"/>
      <c r="W198" s="134"/>
      <c r="X198" s="134"/>
      <c r="Y198" s="134"/>
      <c r="Z198" s="134"/>
      <c r="AA198" s="134"/>
      <c r="AB198" s="134"/>
      <c r="AC198" s="134"/>
      <c r="AD198" s="134"/>
    </row>
    <row r="199" spans="1:30">
      <c r="A199" s="145">
        <v>40</v>
      </c>
      <c r="B199" s="4" t="s">
        <v>241</v>
      </c>
      <c r="C199" s="10"/>
      <c r="D199" s="162">
        <v>96650</v>
      </c>
      <c r="E199" s="28"/>
      <c r="F199" s="134">
        <v>744</v>
      </c>
      <c r="G199" s="28">
        <v>17</v>
      </c>
      <c r="H199" s="134">
        <v>1690</v>
      </c>
      <c r="I199" s="28">
        <v>950</v>
      </c>
      <c r="J199" s="134"/>
      <c r="K199" s="28"/>
      <c r="L199" s="134">
        <v>260</v>
      </c>
      <c r="M199" s="28">
        <v>250</v>
      </c>
      <c r="N199" s="134"/>
      <c r="O199" s="28"/>
      <c r="P199" s="134"/>
      <c r="Q199" s="28"/>
      <c r="R199" s="122">
        <v>90</v>
      </c>
      <c r="S199" s="134"/>
      <c r="T199" s="134"/>
      <c r="U199" s="134"/>
      <c r="V199" s="134"/>
      <c r="W199" s="134"/>
      <c r="X199" s="134"/>
      <c r="Y199" s="134"/>
      <c r="Z199" s="134"/>
      <c r="AA199" s="134"/>
      <c r="AB199" s="134"/>
      <c r="AC199" s="134"/>
      <c r="AD199" s="134"/>
    </row>
    <row r="200" spans="1:30">
      <c r="A200" s="145">
        <v>41</v>
      </c>
      <c r="B200" s="4" t="s">
        <v>242</v>
      </c>
      <c r="C200" s="10"/>
      <c r="D200" s="162"/>
      <c r="E200" s="28"/>
      <c r="F200" s="134"/>
      <c r="G200" s="28"/>
      <c r="H200" s="134"/>
      <c r="I200" s="28"/>
      <c r="J200" s="134"/>
      <c r="K200" s="28"/>
      <c r="L200" s="134"/>
      <c r="M200" s="28"/>
      <c r="N200" s="134"/>
      <c r="O200" s="28"/>
      <c r="P200" s="134"/>
      <c r="Q200" s="28"/>
      <c r="R200" s="122">
        <v>800</v>
      </c>
      <c r="S200" s="134"/>
      <c r="T200" s="134"/>
      <c r="U200" s="134"/>
      <c r="V200" s="134"/>
      <c r="W200" s="134"/>
      <c r="X200" s="134"/>
      <c r="Y200" s="134"/>
      <c r="Z200" s="134"/>
      <c r="AA200" s="134"/>
      <c r="AB200" s="134"/>
      <c r="AC200" s="134"/>
      <c r="AD200" s="134"/>
    </row>
    <row r="201" spans="1:30">
      <c r="A201" s="145">
        <v>42</v>
      </c>
      <c r="B201" s="4" t="s">
        <v>243</v>
      </c>
      <c r="C201" s="10"/>
      <c r="D201" s="162"/>
      <c r="E201" s="28"/>
      <c r="F201" s="134">
        <v>4602</v>
      </c>
      <c r="G201" s="28">
        <v>3</v>
      </c>
      <c r="H201" s="134">
        <v>1053</v>
      </c>
      <c r="I201" s="28">
        <v>5083</v>
      </c>
      <c r="J201" s="134">
        <v>8149</v>
      </c>
      <c r="K201" s="28"/>
      <c r="L201" s="134">
        <v>910</v>
      </c>
      <c r="M201" s="28">
        <v>140</v>
      </c>
      <c r="N201" s="134"/>
      <c r="O201" s="28"/>
      <c r="P201" s="134"/>
      <c r="Q201" s="28"/>
      <c r="R201" s="122"/>
      <c r="S201" s="134"/>
      <c r="T201" s="134"/>
      <c r="U201" s="134"/>
      <c r="V201" s="134"/>
      <c r="W201" s="134"/>
      <c r="X201" s="134"/>
      <c r="Y201" s="134"/>
      <c r="Z201" s="134"/>
      <c r="AA201" s="134"/>
      <c r="AB201" s="134"/>
      <c r="AC201" s="134"/>
      <c r="AD201" s="134"/>
    </row>
    <row r="202" spans="1:30">
      <c r="A202" s="215"/>
      <c r="B202" s="203"/>
      <c r="C202" s="12"/>
      <c r="D202" s="38"/>
      <c r="E202" s="206"/>
      <c r="F202" s="256"/>
      <c r="G202" s="206"/>
      <c r="H202" s="256"/>
      <c r="I202" s="206"/>
      <c r="J202" s="256"/>
      <c r="K202" s="206"/>
      <c r="L202" s="256"/>
      <c r="M202" s="206"/>
      <c r="N202" s="256"/>
      <c r="O202" s="206"/>
      <c r="P202" s="256"/>
      <c r="Q202" s="206"/>
      <c r="R202" s="298"/>
      <c r="S202" s="134"/>
      <c r="T202" s="134"/>
      <c r="U202" s="134"/>
      <c r="V202" s="134"/>
      <c r="W202" s="134"/>
      <c r="X202" s="134"/>
      <c r="Y202" s="134"/>
      <c r="Z202" s="134"/>
      <c r="AA202" s="134"/>
      <c r="AB202" s="134"/>
      <c r="AC202" s="134"/>
      <c r="AD202" s="134"/>
    </row>
    <row r="203" spans="1:30" ht="15">
      <c r="A203" s="145" t="s">
        <v>298</v>
      </c>
      <c r="B203" s="4"/>
      <c r="C203" s="248"/>
      <c r="D203" s="162">
        <f>SUM(D191:D201)</f>
        <v>162091</v>
      </c>
      <c r="E203" s="22">
        <f t="shared" ref="E203:R203" si="7">SUM(E191:E201)</f>
        <v>919</v>
      </c>
      <c r="F203" s="32">
        <f t="shared" si="7"/>
        <v>7590</v>
      </c>
      <c r="G203" s="22">
        <f t="shared" si="7"/>
        <v>37</v>
      </c>
      <c r="H203" s="32">
        <f t="shared" si="7"/>
        <v>5058</v>
      </c>
      <c r="I203" s="22">
        <f t="shared" si="7"/>
        <v>7519</v>
      </c>
      <c r="J203" s="32">
        <f t="shared" si="7"/>
        <v>8761</v>
      </c>
      <c r="K203" s="22">
        <f t="shared" si="7"/>
        <v>10</v>
      </c>
      <c r="L203" s="32">
        <f t="shared" si="7"/>
        <v>4408</v>
      </c>
      <c r="M203" s="22">
        <f t="shared" si="7"/>
        <v>1615</v>
      </c>
      <c r="N203" s="32">
        <f t="shared" si="7"/>
        <v>0</v>
      </c>
      <c r="O203" s="22">
        <f t="shared" si="7"/>
        <v>0</v>
      </c>
      <c r="P203" s="32">
        <f t="shared" si="7"/>
        <v>350</v>
      </c>
      <c r="Q203" s="22">
        <f t="shared" si="7"/>
        <v>330</v>
      </c>
      <c r="R203" s="49">
        <f t="shared" si="7"/>
        <v>890</v>
      </c>
      <c r="S203" s="31"/>
      <c r="T203" s="31"/>
      <c r="U203" s="31"/>
      <c r="V203" s="31"/>
      <c r="W203" s="31"/>
      <c r="X203" s="31"/>
      <c r="Y203" s="250"/>
      <c r="Z203" s="250"/>
      <c r="AA203" s="250"/>
      <c r="AB203" s="250"/>
      <c r="AC203" s="250"/>
      <c r="AD203" s="250"/>
    </row>
    <row r="204" spans="1:30" ht="15" thickBot="1">
      <c r="A204" s="217"/>
      <c r="B204" s="104"/>
      <c r="C204" s="257"/>
      <c r="D204" s="252"/>
      <c r="E204" s="208"/>
      <c r="F204" s="253"/>
      <c r="G204" s="208"/>
      <c r="H204" s="253"/>
      <c r="I204" s="208"/>
      <c r="J204" s="253"/>
      <c r="K204" s="208"/>
      <c r="L204" s="253"/>
      <c r="M204" s="208"/>
      <c r="N204" s="253"/>
      <c r="O204" s="208"/>
      <c r="P204" s="253"/>
      <c r="Q204" s="208"/>
      <c r="R204" s="299"/>
      <c r="S204" s="134"/>
      <c r="T204" s="134"/>
      <c r="U204" s="134"/>
      <c r="V204" s="134"/>
      <c r="W204" s="134"/>
      <c r="X204" s="134"/>
      <c r="Y204" s="134"/>
      <c r="Z204" s="134"/>
      <c r="AA204" s="134"/>
      <c r="AB204" s="134"/>
      <c r="AC204" s="134"/>
      <c r="AD204" s="134"/>
    </row>
    <row r="205" spans="1:30" ht="15" thickTop="1">
      <c r="A205" s="145"/>
      <c r="B205" s="4"/>
      <c r="C205" s="9"/>
      <c r="D205" s="258"/>
      <c r="E205" s="259"/>
      <c r="F205" s="260"/>
      <c r="G205" s="259"/>
      <c r="H205" s="260"/>
      <c r="I205" s="259"/>
      <c r="J205" s="260"/>
      <c r="K205" s="259"/>
      <c r="L205" s="260"/>
      <c r="M205" s="259"/>
      <c r="N205" s="260"/>
      <c r="O205" s="259"/>
      <c r="P205" s="260"/>
      <c r="Q205" s="259"/>
      <c r="R205" s="304"/>
      <c r="S205" s="134"/>
      <c r="T205" s="134"/>
      <c r="U205" s="134"/>
      <c r="V205" s="134"/>
      <c r="W205" s="134"/>
      <c r="X205" s="134"/>
      <c r="Y205" s="134"/>
      <c r="Z205" s="134"/>
      <c r="AA205" s="134"/>
      <c r="AB205" s="134"/>
      <c r="AC205" s="134"/>
      <c r="AD205" s="134"/>
    </row>
    <row r="206" spans="1:30">
      <c r="A206" s="145" t="s">
        <v>299</v>
      </c>
      <c r="B206" s="4"/>
      <c r="C206" s="10"/>
      <c r="D206" s="162">
        <f>D203+D188</f>
        <v>4811315</v>
      </c>
      <c r="E206" s="22">
        <f t="shared" ref="E206:R206" si="8">E203+E188</f>
        <v>186178</v>
      </c>
      <c r="F206" s="32">
        <f t="shared" si="8"/>
        <v>138356</v>
      </c>
      <c r="G206" s="22">
        <f t="shared" si="8"/>
        <v>1798</v>
      </c>
      <c r="H206" s="32">
        <f t="shared" si="8"/>
        <v>76733</v>
      </c>
      <c r="I206" s="22">
        <f t="shared" si="8"/>
        <v>39460</v>
      </c>
      <c r="J206" s="32">
        <f t="shared" si="8"/>
        <v>173673</v>
      </c>
      <c r="K206" s="28">
        <f t="shared" si="8"/>
        <v>2573</v>
      </c>
      <c r="L206" s="134">
        <f t="shared" si="8"/>
        <v>955413</v>
      </c>
      <c r="M206" s="28">
        <f t="shared" si="8"/>
        <v>1548593</v>
      </c>
      <c r="N206" s="134">
        <f t="shared" si="8"/>
        <v>1068456</v>
      </c>
      <c r="O206" s="28">
        <f t="shared" si="8"/>
        <v>15746</v>
      </c>
      <c r="P206" s="134">
        <f t="shared" si="8"/>
        <v>15581</v>
      </c>
      <c r="Q206" s="28">
        <f t="shared" si="8"/>
        <v>24793</v>
      </c>
      <c r="R206" s="122">
        <f t="shared" si="8"/>
        <v>2149</v>
      </c>
      <c r="S206" s="134"/>
      <c r="T206" s="134"/>
      <c r="U206" s="134"/>
      <c r="V206" s="134"/>
      <c r="W206" s="134"/>
      <c r="X206" s="134"/>
      <c r="Y206" s="134"/>
      <c r="Z206" s="134"/>
      <c r="AA206" s="134"/>
      <c r="AB206" s="134"/>
      <c r="AC206" s="134"/>
      <c r="AD206" s="134"/>
    </row>
    <row r="207" spans="1:30" ht="15" thickBot="1">
      <c r="A207" s="217"/>
      <c r="B207" s="104"/>
      <c r="C207" s="251"/>
      <c r="D207" s="252"/>
      <c r="E207" s="208"/>
      <c r="F207" s="253"/>
      <c r="G207" s="208"/>
      <c r="H207" s="253"/>
      <c r="I207" s="208"/>
      <c r="J207" s="253"/>
      <c r="K207" s="208"/>
      <c r="L207" s="253"/>
      <c r="M207" s="208"/>
      <c r="N207" s="253"/>
      <c r="O207" s="208"/>
      <c r="P207" s="253"/>
      <c r="Q207" s="208"/>
      <c r="R207" s="299"/>
      <c r="S207" s="134"/>
      <c r="T207" s="134"/>
      <c r="U207" s="134"/>
      <c r="V207" s="134"/>
      <c r="W207" s="134"/>
      <c r="X207" s="134"/>
      <c r="Y207" s="134"/>
      <c r="Z207" s="134"/>
      <c r="AA207" s="134"/>
      <c r="AB207" s="134"/>
      <c r="AC207" s="134"/>
      <c r="AD207" s="134"/>
    </row>
    <row r="208" spans="1:30" ht="17" thickTop="1" thickBot="1">
      <c r="A208" s="226" t="s">
        <v>38</v>
      </c>
      <c r="B208" s="94"/>
      <c r="C208" s="10"/>
      <c r="D208" s="162"/>
      <c r="E208" s="28"/>
      <c r="F208" s="134"/>
      <c r="G208" s="28"/>
      <c r="H208" s="134"/>
      <c r="I208" s="28"/>
      <c r="J208" s="134"/>
      <c r="K208" s="28"/>
      <c r="L208" s="134"/>
      <c r="M208" s="28"/>
      <c r="N208" s="134"/>
      <c r="O208" s="28"/>
      <c r="P208" s="134"/>
      <c r="Q208" s="28"/>
      <c r="R208" s="122"/>
      <c r="S208" s="134"/>
      <c r="T208" s="134"/>
      <c r="U208" s="134"/>
      <c r="V208" s="134"/>
      <c r="W208" s="134"/>
      <c r="X208" s="134"/>
      <c r="Y208" s="134"/>
      <c r="Z208" s="134"/>
      <c r="AA208" s="134"/>
      <c r="AB208" s="134"/>
      <c r="AC208" s="134"/>
      <c r="AD208" s="134"/>
    </row>
    <row r="209" spans="1:30">
      <c r="A209" s="145">
        <v>1</v>
      </c>
      <c r="B209" s="4" t="s">
        <v>244</v>
      </c>
      <c r="C209" s="277" t="s">
        <v>337</v>
      </c>
      <c r="D209" s="63">
        <v>3204</v>
      </c>
      <c r="E209" s="22"/>
      <c r="F209" s="28">
        <v>317</v>
      </c>
      <c r="G209" s="22">
        <v>6</v>
      </c>
      <c r="H209" s="22">
        <v>97</v>
      </c>
      <c r="I209" s="22">
        <v>534</v>
      </c>
      <c r="J209" s="22">
        <v>60</v>
      </c>
      <c r="K209" s="22">
        <v>25</v>
      </c>
      <c r="L209" s="23">
        <v>4863</v>
      </c>
      <c r="M209" s="22">
        <v>6995</v>
      </c>
      <c r="N209" s="70">
        <v>20</v>
      </c>
      <c r="O209" s="22">
        <v>434</v>
      </c>
      <c r="P209" s="22">
        <v>100</v>
      </c>
      <c r="Q209" s="22">
        <v>50</v>
      </c>
      <c r="R209" s="49"/>
      <c r="S209" s="31"/>
      <c r="T209" s="31"/>
      <c r="U209" s="31"/>
      <c r="V209" s="31"/>
      <c r="W209" s="31"/>
      <c r="X209" s="31"/>
      <c r="Y209" s="250"/>
      <c r="Z209" s="250"/>
      <c r="AA209" s="250"/>
      <c r="AB209" s="250"/>
      <c r="AC209" s="250"/>
      <c r="AD209" s="250"/>
    </row>
    <row r="210" spans="1:30">
      <c r="A210" s="145">
        <v>2</v>
      </c>
      <c r="B210" s="4" t="s">
        <v>245</v>
      </c>
      <c r="C210" s="17"/>
      <c r="D210" s="162">
        <v>718168</v>
      </c>
      <c r="E210" s="28">
        <v>4758</v>
      </c>
      <c r="F210" s="134">
        <v>314</v>
      </c>
      <c r="G210" s="28">
        <v>21</v>
      </c>
      <c r="H210" s="134">
        <v>9409</v>
      </c>
      <c r="I210" s="28">
        <v>252</v>
      </c>
      <c r="J210" s="134">
        <v>114</v>
      </c>
      <c r="K210" s="28"/>
      <c r="L210" s="134">
        <v>10019</v>
      </c>
      <c r="M210" s="28">
        <v>39257</v>
      </c>
      <c r="N210" s="134">
        <v>34358</v>
      </c>
      <c r="O210" s="28"/>
      <c r="P210" s="134">
        <v>653</v>
      </c>
      <c r="Q210" s="28">
        <v>5102</v>
      </c>
      <c r="R210" s="122"/>
      <c r="S210" s="134"/>
      <c r="T210" s="134"/>
      <c r="U210" s="134"/>
      <c r="V210" s="134"/>
      <c r="W210" s="134"/>
      <c r="X210" s="134"/>
      <c r="Y210" s="134"/>
      <c r="Z210" s="134"/>
      <c r="AA210" s="134"/>
      <c r="AB210" s="134"/>
      <c r="AC210" s="134"/>
      <c r="AD210" s="134"/>
    </row>
    <row r="211" spans="1:30">
      <c r="A211" s="145">
        <v>3</v>
      </c>
      <c r="B211" s="4" t="s">
        <v>246</v>
      </c>
      <c r="C211" s="10"/>
      <c r="D211" s="162">
        <v>354653</v>
      </c>
      <c r="E211" s="28">
        <v>119522</v>
      </c>
      <c r="F211" s="134">
        <v>193</v>
      </c>
      <c r="G211" s="28">
        <v>19</v>
      </c>
      <c r="H211" s="134">
        <v>6215</v>
      </c>
      <c r="I211" s="28">
        <v>2800</v>
      </c>
      <c r="J211" s="134">
        <v>113</v>
      </c>
      <c r="K211" s="28">
        <v>229</v>
      </c>
      <c r="L211" s="134">
        <v>14854</v>
      </c>
      <c r="M211" s="28">
        <v>131111</v>
      </c>
      <c r="N211" s="134">
        <v>111913</v>
      </c>
      <c r="O211" s="28"/>
      <c r="P211" s="134">
        <v>3532</v>
      </c>
      <c r="Q211" s="28">
        <v>9049</v>
      </c>
      <c r="R211" s="122"/>
      <c r="S211" s="134"/>
      <c r="T211" s="134"/>
      <c r="U211" s="134"/>
      <c r="V211" s="134"/>
      <c r="W211" s="134"/>
      <c r="X211" s="134"/>
      <c r="Y211" s="134"/>
      <c r="Z211" s="134"/>
      <c r="AA211" s="134"/>
      <c r="AB211" s="134"/>
      <c r="AC211" s="134"/>
      <c r="AD211" s="134"/>
    </row>
    <row r="212" spans="1:30">
      <c r="A212" s="145">
        <v>4</v>
      </c>
      <c r="B212" s="4" t="s">
        <v>247</v>
      </c>
      <c r="C212" s="10"/>
      <c r="D212" s="162">
        <v>4180</v>
      </c>
      <c r="E212" s="28">
        <v>1812</v>
      </c>
      <c r="F212" s="134">
        <v>23</v>
      </c>
      <c r="G212" s="28">
        <v>4</v>
      </c>
      <c r="H212" s="134">
        <v>286</v>
      </c>
      <c r="I212" s="28">
        <v>56</v>
      </c>
      <c r="J212" s="134"/>
      <c r="K212" s="28"/>
      <c r="L212" s="29">
        <v>114498</v>
      </c>
      <c r="M212" s="28">
        <v>6504</v>
      </c>
      <c r="N212" s="134"/>
      <c r="O212" s="28"/>
      <c r="P212" s="134"/>
      <c r="Q212" s="28">
        <v>85</v>
      </c>
      <c r="R212" s="122"/>
      <c r="S212" s="134"/>
      <c r="T212" s="134"/>
      <c r="U212" s="134"/>
      <c r="V212" s="134"/>
      <c r="W212" s="134"/>
      <c r="X212" s="134"/>
      <c r="Y212" s="134"/>
      <c r="Z212" s="134"/>
      <c r="AA212" s="134"/>
      <c r="AB212" s="134"/>
      <c r="AC212" s="134"/>
      <c r="AD212" s="134"/>
    </row>
    <row r="213" spans="1:30">
      <c r="A213" s="145">
        <v>5</v>
      </c>
      <c r="B213" s="4" t="s">
        <v>248</v>
      </c>
      <c r="C213" s="10"/>
      <c r="D213" s="162">
        <v>155572</v>
      </c>
      <c r="E213" s="28">
        <v>33948</v>
      </c>
      <c r="F213" s="134">
        <v>579</v>
      </c>
      <c r="G213" s="28">
        <v>43</v>
      </c>
      <c r="H213" s="134">
        <v>6547</v>
      </c>
      <c r="I213" s="28">
        <v>1546</v>
      </c>
      <c r="J213" s="134">
        <v>77</v>
      </c>
      <c r="K213" s="28"/>
      <c r="L213" s="134">
        <v>7374</v>
      </c>
      <c r="M213" s="28">
        <v>91384</v>
      </c>
      <c r="N213" s="134">
        <v>31783</v>
      </c>
      <c r="O213" s="28"/>
      <c r="P213" s="134">
        <v>1264</v>
      </c>
      <c r="Q213" s="28">
        <v>7962</v>
      </c>
      <c r="R213" s="122"/>
      <c r="S213" s="134"/>
      <c r="T213" s="134"/>
      <c r="U213" s="134"/>
      <c r="V213" s="134"/>
      <c r="W213" s="134"/>
      <c r="X213" s="134"/>
      <c r="Y213" s="134"/>
      <c r="Z213" s="134"/>
      <c r="AA213" s="134"/>
      <c r="AB213" s="134"/>
      <c r="AC213" s="134"/>
      <c r="AD213" s="134"/>
    </row>
    <row r="214" spans="1:30">
      <c r="A214" s="145">
        <v>6</v>
      </c>
      <c r="B214" s="4" t="s">
        <v>249</v>
      </c>
      <c r="C214" s="10"/>
      <c r="D214" s="162">
        <v>1790992</v>
      </c>
      <c r="E214" s="28">
        <v>5303</v>
      </c>
      <c r="F214" s="134">
        <v>434</v>
      </c>
      <c r="G214" s="28">
        <v>17</v>
      </c>
      <c r="H214" s="134">
        <v>16873</v>
      </c>
      <c r="I214" s="28">
        <v>1099</v>
      </c>
      <c r="J214" s="134">
        <v>96</v>
      </c>
      <c r="K214" s="28">
        <v>25</v>
      </c>
      <c r="L214" s="134">
        <v>4201</v>
      </c>
      <c r="M214" s="28">
        <v>120095</v>
      </c>
      <c r="N214" s="134">
        <v>59260</v>
      </c>
      <c r="O214" s="28">
        <v>2356</v>
      </c>
      <c r="P214" s="134">
        <v>2653</v>
      </c>
      <c r="Q214" s="28">
        <v>14928</v>
      </c>
      <c r="R214" s="122">
        <v>202</v>
      </c>
      <c r="S214" s="134"/>
      <c r="T214" s="134"/>
      <c r="U214" s="134"/>
      <c r="V214" s="134"/>
      <c r="W214" s="134"/>
      <c r="X214" s="134"/>
      <c r="Y214" s="134"/>
      <c r="Z214" s="134"/>
      <c r="AA214" s="134"/>
      <c r="AB214" s="134"/>
      <c r="AC214" s="134"/>
      <c r="AD214" s="134"/>
    </row>
    <row r="215" spans="1:30" ht="15">
      <c r="A215" s="145">
        <v>7</v>
      </c>
      <c r="B215" s="4" t="s">
        <v>250</v>
      </c>
      <c r="C215" s="248"/>
      <c r="D215" s="63"/>
      <c r="E215" s="22"/>
      <c r="F215" s="28"/>
      <c r="G215" s="22"/>
      <c r="H215" s="22">
        <v>12</v>
      </c>
      <c r="I215" s="22"/>
      <c r="J215" s="22"/>
      <c r="K215" s="22"/>
      <c r="L215" s="134">
        <v>88948</v>
      </c>
      <c r="M215" s="22">
        <v>5988</v>
      </c>
      <c r="N215" s="70">
        <v>230</v>
      </c>
      <c r="O215" s="22"/>
      <c r="P215" s="22"/>
      <c r="Q215" s="22"/>
      <c r="R215" s="49"/>
      <c r="S215" s="31"/>
      <c r="T215" s="31"/>
      <c r="U215" s="31"/>
      <c r="V215" s="31"/>
      <c r="W215" s="31"/>
      <c r="X215" s="31"/>
      <c r="Y215" s="250"/>
      <c r="Z215" s="250"/>
      <c r="AA215" s="250"/>
      <c r="AB215" s="250"/>
      <c r="AC215" s="250"/>
      <c r="AD215" s="250"/>
    </row>
    <row r="216" spans="1:30">
      <c r="A216" s="224">
        <v>8</v>
      </c>
      <c r="B216" s="113" t="s">
        <v>251</v>
      </c>
      <c r="C216" s="17"/>
      <c r="D216" s="162">
        <v>686232</v>
      </c>
      <c r="E216" s="28">
        <v>18550</v>
      </c>
      <c r="F216" s="134">
        <v>885</v>
      </c>
      <c r="G216" s="28">
        <v>21</v>
      </c>
      <c r="H216" s="134">
        <v>13919</v>
      </c>
      <c r="I216" s="28">
        <v>3334</v>
      </c>
      <c r="J216" s="134">
        <v>235</v>
      </c>
      <c r="K216" s="28">
        <v>21</v>
      </c>
      <c r="L216" s="23">
        <v>87896</v>
      </c>
      <c r="M216" s="28">
        <v>59263</v>
      </c>
      <c r="N216" s="134">
        <v>10070</v>
      </c>
      <c r="O216" s="28">
        <v>741</v>
      </c>
      <c r="P216" s="134">
        <v>260</v>
      </c>
      <c r="Q216" s="28">
        <v>9848</v>
      </c>
      <c r="R216" s="122"/>
      <c r="S216" s="134"/>
      <c r="T216" s="134"/>
      <c r="U216" s="134"/>
      <c r="V216" s="134"/>
      <c r="W216" s="134"/>
      <c r="X216" s="134"/>
      <c r="Y216" s="134"/>
      <c r="Z216" s="134"/>
      <c r="AA216" s="134"/>
      <c r="AB216" s="134"/>
      <c r="AC216" s="134"/>
      <c r="AD216" s="134"/>
    </row>
    <row r="217" spans="1:30">
      <c r="A217" s="224">
        <v>9</v>
      </c>
      <c r="B217" s="113" t="s">
        <v>252</v>
      </c>
      <c r="C217" s="10"/>
      <c r="D217" s="162"/>
      <c r="E217" s="28">
        <v>700</v>
      </c>
      <c r="F217" s="134">
        <v>138</v>
      </c>
      <c r="G217" s="28">
        <v>29</v>
      </c>
      <c r="H217" s="134">
        <v>295</v>
      </c>
      <c r="I217" s="28">
        <v>43</v>
      </c>
      <c r="J217" s="134"/>
      <c r="K217" s="28">
        <v>20</v>
      </c>
      <c r="L217" s="134">
        <v>169615</v>
      </c>
      <c r="M217" s="28">
        <v>6812</v>
      </c>
      <c r="N217" s="134">
        <v>405</v>
      </c>
      <c r="O217" s="28"/>
      <c r="P217" s="134"/>
      <c r="Q217" s="28">
        <v>100</v>
      </c>
      <c r="R217" s="122">
        <v>1468</v>
      </c>
      <c r="S217" s="134"/>
      <c r="T217" s="134"/>
      <c r="U217" s="134"/>
      <c r="V217" s="134"/>
      <c r="W217" s="134"/>
      <c r="X217" s="134"/>
      <c r="Y217" s="134"/>
      <c r="Z217" s="134"/>
      <c r="AA217" s="134"/>
      <c r="AB217" s="134"/>
      <c r="AC217" s="134"/>
      <c r="AD217" s="134"/>
    </row>
    <row r="218" spans="1:30">
      <c r="A218" s="224">
        <v>10</v>
      </c>
      <c r="B218" s="113" t="s">
        <v>253</v>
      </c>
      <c r="C218" s="10"/>
      <c r="D218" s="162">
        <v>1710</v>
      </c>
      <c r="E218" s="28">
        <v>2296</v>
      </c>
      <c r="F218" s="134">
        <v>273</v>
      </c>
      <c r="G218" s="28">
        <v>9</v>
      </c>
      <c r="H218" s="134">
        <v>1261</v>
      </c>
      <c r="I218" s="28">
        <v>604</v>
      </c>
      <c r="J218" s="134">
        <v>118</v>
      </c>
      <c r="K218" s="28">
        <v>3</v>
      </c>
      <c r="L218" s="134">
        <v>100748</v>
      </c>
      <c r="M218" s="28">
        <v>15784</v>
      </c>
      <c r="N218" s="134">
        <v>1585</v>
      </c>
      <c r="O218" s="28">
        <v>3000</v>
      </c>
      <c r="P218" s="134">
        <v>372</v>
      </c>
      <c r="Q218" s="28">
        <v>2605</v>
      </c>
      <c r="R218" s="122"/>
      <c r="S218" s="134"/>
      <c r="T218" s="134"/>
      <c r="U218" s="134"/>
      <c r="V218" s="134"/>
      <c r="W218" s="134"/>
      <c r="X218" s="134"/>
      <c r="Y218" s="134"/>
      <c r="Z218" s="134"/>
      <c r="AA218" s="134"/>
      <c r="AB218" s="134"/>
      <c r="AC218" s="134"/>
      <c r="AD218" s="134"/>
    </row>
    <row r="219" spans="1:30">
      <c r="A219" s="228">
        <v>11</v>
      </c>
      <c r="B219" s="236" t="s">
        <v>254</v>
      </c>
      <c r="C219" s="10"/>
      <c r="D219" s="162">
        <v>257714</v>
      </c>
      <c r="E219" s="28">
        <v>21611</v>
      </c>
      <c r="F219" s="134">
        <v>938</v>
      </c>
      <c r="G219" s="28">
        <v>32</v>
      </c>
      <c r="H219" s="134">
        <v>12497</v>
      </c>
      <c r="I219" s="28">
        <v>3171</v>
      </c>
      <c r="J219" s="134">
        <v>70</v>
      </c>
      <c r="K219" s="28">
        <v>119</v>
      </c>
      <c r="L219" s="134">
        <v>1813</v>
      </c>
      <c r="M219" s="28">
        <v>44894</v>
      </c>
      <c r="N219" s="134">
        <v>410</v>
      </c>
      <c r="O219" s="28"/>
      <c r="P219" s="134">
        <v>7113</v>
      </c>
      <c r="Q219" s="28">
        <v>15487</v>
      </c>
      <c r="R219" s="122"/>
      <c r="S219" s="134"/>
      <c r="T219" s="134"/>
      <c r="U219" s="134"/>
      <c r="V219" s="134"/>
      <c r="W219" s="134"/>
      <c r="X219" s="134"/>
      <c r="Y219" s="134"/>
      <c r="Z219" s="134"/>
      <c r="AA219" s="134"/>
      <c r="AB219" s="134"/>
      <c r="AC219" s="134"/>
      <c r="AD219" s="134"/>
    </row>
    <row r="220" spans="1:30">
      <c r="A220" s="228">
        <v>12</v>
      </c>
      <c r="B220" s="236" t="s">
        <v>255</v>
      </c>
      <c r="C220" s="10"/>
      <c r="D220" s="162">
        <v>487000</v>
      </c>
      <c r="E220" s="28">
        <v>53318</v>
      </c>
      <c r="F220" s="134">
        <v>2146</v>
      </c>
      <c r="G220" s="28">
        <v>49</v>
      </c>
      <c r="H220" s="134">
        <v>4509</v>
      </c>
      <c r="I220" s="28">
        <v>4699</v>
      </c>
      <c r="J220" s="134">
        <v>60</v>
      </c>
      <c r="K220" s="28"/>
      <c r="L220" s="134">
        <v>17206</v>
      </c>
      <c r="M220" s="28">
        <v>23643</v>
      </c>
      <c r="N220" s="134">
        <v>20</v>
      </c>
      <c r="O220" s="28">
        <v>50</v>
      </c>
      <c r="P220" s="134">
        <v>1053</v>
      </c>
      <c r="Q220" s="28">
        <v>3650</v>
      </c>
      <c r="R220" s="122"/>
      <c r="S220" s="134"/>
      <c r="T220" s="134"/>
      <c r="U220" s="134"/>
      <c r="V220" s="134"/>
      <c r="W220" s="134"/>
      <c r="X220" s="134"/>
      <c r="Y220" s="134"/>
      <c r="Z220" s="134"/>
      <c r="AA220" s="134"/>
      <c r="AB220" s="134"/>
      <c r="AC220" s="134"/>
      <c r="AD220" s="134"/>
    </row>
    <row r="221" spans="1:30" ht="15">
      <c r="A221" s="228">
        <v>13</v>
      </c>
      <c r="B221" s="236" t="s">
        <v>256</v>
      </c>
      <c r="C221" s="248"/>
      <c r="D221" s="63">
        <v>4017</v>
      </c>
      <c r="E221" s="22">
        <v>5046</v>
      </c>
      <c r="F221" s="28">
        <v>666</v>
      </c>
      <c r="G221" s="22">
        <v>8</v>
      </c>
      <c r="H221" s="22">
        <v>2416</v>
      </c>
      <c r="I221" s="22">
        <v>2929</v>
      </c>
      <c r="J221" s="22">
        <v>601</v>
      </c>
      <c r="K221" s="22">
        <v>103</v>
      </c>
      <c r="L221" s="134">
        <v>23873</v>
      </c>
      <c r="M221" s="22">
        <v>33910</v>
      </c>
      <c r="N221" s="70">
        <v>11671</v>
      </c>
      <c r="O221" s="22"/>
      <c r="P221" s="22">
        <v>1600</v>
      </c>
      <c r="Q221" s="22">
        <v>12473</v>
      </c>
      <c r="R221" s="49">
        <v>757</v>
      </c>
      <c r="S221" s="31"/>
      <c r="T221" s="31"/>
      <c r="U221" s="31"/>
      <c r="V221" s="31"/>
      <c r="W221" s="31"/>
      <c r="X221" s="31"/>
      <c r="Y221" s="250"/>
      <c r="Z221" s="250"/>
      <c r="AA221" s="250"/>
      <c r="AB221" s="250"/>
      <c r="AC221" s="250"/>
      <c r="AD221" s="250"/>
    </row>
    <row r="222" spans="1:30">
      <c r="A222" s="228">
        <v>14</v>
      </c>
      <c r="B222" s="236" t="s">
        <v>257</v>
      </c>
      <c r="C222" s="17"/>
      <c r="D222" s="162">
        <v>380841</v>
      </c>
      <c r="E222" s="28">
        <v>21163</v>
      </c>
      <c r="F222" s="134">
        <v>1351</v>
      </c>
      <c r="G222" s="28">
        <v>49</v>
      </c>
      <c r="H222" s="134">
        <v>8188</v>
      </c>
      <c r="I222" s="28">
        <v>6292</v>
      </c>
      <c r="J222" s="134">
        <v>59</v>
      </c>
      <c r="K222" s="28">
        <v>63</v>
      </c>
      <c r="L222" s="23">
        <v>46056</v>
      </c>
      <c r="M222" s="28">
        <v>68845</v>
      </c>
      <c r="N222" s="134">
        <v>519</v>
      </c>
      <c r="O222" s="28">
        <v>200</v>
      </c>
      <c r="P222" s="134">
        <v>1620</v>
      </c>
      <c r="Q222" s="28">
        <v>13195</v>
      </c>
      <c r="R222" s="122">
        <v>336</v>
      </c>
      <c r="S222" s="134"/>
      <c r="T222" s="134"/>
      <c r="U222" s="134"/>
      <c r="V222" s="134"/>
      <c r="W222" s="134"/>
      <c r="X222" s="134"/>
      <c r="Y222" s="134"/>
      <c r="Z222" s="134"/>
      <c r="AA222" s="134"/>
      <c r="AB222" s="134"/>
      <c r="AC222" s="134"/>
      <c r="AD222" s="134"/>
    </row>
    <row r="223" spans="1:30">
      <c r="A223" s="228">
        <v>15</v>
      </c>
      <c r="B223" s="236" t="s">
        <v>258</v>
      </c>
      <c r="C223" s="10"/>
      <c r="D223" s="162">
        <v>360364</v>
      </c>
      <c r="E223" s="28">
        <v>5691</v>
      </c>
      <c r="F223" s="134">
        <v>565</v>
      </c>
      <c r="G223" s="28">
        <v>54</v>
      </c>
      <c r="H223" s="134">
        <v>5745</v>
      </c>
      <c r="I223" s="28">
        <v>1010</v>
      </c>
      <c r="J223" s="134">
        <v>148</v>
      </c>
      <c r="K223" s="28"/>
      <c r="L223" s="134">
        <v>3567</v>
      </c>
      <c r="M223" s="28">
        <v>3984</v>
      </c>
      <c r="N223" s="134">
        <v>8</v>
      </c>
      <c r="O223" s="28"/>
      <c r="P223" s="134">
        <v>487</v>
      </c>
      <c r="Q223" s="28">
        <v>991</v>
      </c>
      <c r="R223" s="122"/>
      <c r="S223" s="134"/>
      <c r="T223" s="134"/>
      <c r="U223" s="134"/>
      <c r="V223" s="134"/>
      <c r="W223" s="134"/>
      <c r="X223" s="134"/>
      <c r="Y223" s="134"/>
      <c r="Z223" s="134"/>
      <c r="AA223" s="134"/>
      <c r="AB223" s="134"/>
      <c r="AC223" s="134"/>
      <c r="AD223" s="134"/>
    </row>
    <row r="224" spans="1:30">
      <c r="A224" s="228">
        <v>16</v>
      </c>
      <c r="B224" s="236" t="s">
        <v>259</v>
      </c>
      <c r="C224" s="10"/>
      <c r="D224" s="162">
        <v>222452</v>
      </c>
      <c r="E224" s="28">
        <v>35468</v>
      </c>
      <c r="F224" s="134">
        <v>2461</v>
      </c>
      <c r="G224" s="28">
        <v>117</v>
      </c>
      <c r="H224" s="134">
        <v>14682</v>
      </c>
      <c r="I224" s="28">
        <v>5472</v>
      </c>
      <c r="J224" s="134">
        <v>410</v>
      </c>
      <c r="K224" s="28">
        <v>469</v>
      </c>
      <c r="L224" s="134">
        <v>117171</v>
      </c>
      <c r="M224" s="28">
        <v>110358</v>
      </c>
      <c r="N224" s="134">
        <v>49535</v>
      </c>
      <c r="O224" s="28">
        <v>5484</v>
      </c>
      <c r="P224" s="134">
        <v>2590</v>
      </c>
      <c r="Q224" s="28">
        <v>15678</v>
      </c>
      <c r="R224" s="122">
        <v>620</v>
      </c>
      <c r="S224" s="134"/>
      <c r="T224" s="134"/>
      <c r="U224" s="134"/>
      <c r="V224" s="134"/>
      <c r="W224" s="134"/>
      <c r="X224" s="134"/>
      <c r="Y224" s="134"/>
      <c r="Z224" s="134"/>
      <c r="AA224" s="134"/>
      <c r="AB224" s="134"/>
      <c r="AC224" s="134"/>
      <c r="AD224" s="134"/>
    </row>
    <row r="225" spans="1:30">
      <c r="A225" s="228">
        <v>17</v>
      </c>
      <c r="B225" s="236" t="s">
        <v>260</v>
      </c>
      <c r="C225" s="10"/>
      <c r="D225" s="162">
        <v>91437</v>
      </c>
      <c r="E225" s="28">
        <v>1413</v>
      </c>
      <c r="F225" s="134">
        <v>756</v>
      </c>
      <c r="G225" s="28">
        <v>19</v>
      </c>
      <c r="H225" s="134">
        <v>2889</v>
      </c>
      <c r="I225" s="28">
        <v>1940</v>
      </c>
      <c r="J225" s="134">
        <v>31</v>
      </c>
      <c r="K225" s="28">
        <v>113</v>
      </c>
      <c r="L225" s="134">
        <v>136332</v>
      </c>
      <c r="M225" s="28">
        <v>36160</v>
      </c>
      <c r="N225" s="134">
        <v>17321</v>
      </c>
      <c r="O225" s="28">
        <v>15</v>
      </c>
      <c r="P225" s="134">
        <v>3275</v>
      </c>
      <c r="Q225" s="28">
        <v>8332</v>
      </c>
      <c r="R225" s="122"/>
      <c r="S225" s="134"/>
      <c r="T225" s="134"/>
      <c r="U225" s="134"/>
      <c r="V225" s="134"/>
      <c r="W225" s="134"/>
      <c r="X225" s="134"/>
      <c r="Y225" s="134"/>
      <c r="Z225" s="134"/>
      <c r="AA225" s="134"/>
      <c r="AB225" s="134"/>
      <c r="AC225" s="134"/>
      <c r="AD225" s="134"/>
    </row>
    <row r="226" spans="1:30">
      <c r="A226" s="228">
        <v>18</v>
      </c>
      <c r="B226" s="236" t="s">
        <v>261</v>
      </c>
      <c r="C226" s="10"/>
      <c r="D226" s="162">
        <v>3330</v>
      </c>
      <c r="E226" s="28">
        <v>3118</v>
      </c>
      <c r="F226" s="134">
        <v>971</v>
      </c>
      <c r="G226" s="28">
        <v>27</v>
      </c>
      <c r="H226" s="134">
        <v>2524</v>
      </c>
      <c r="I226" s="28">
        <v>4166</v>
      </c>
      <c r="J226" s="134">
        <v>26</v>
      </c>
      <c r="K226" s="28">
        <v>117</v>
      </c>
      <c r="L226" s="134">
        <v>21835</v>
      </c>
      <c r="M226" s="28">
        <v>42688</v>
      </c>
      <c r="N226" s="134">
        <v>6024</v>
      </c>
      <c r="O226" s="28">
        <v>900</v>
      </c>
      <c r="P226" s="134">
        <v>26359</v>
      </c>
      <c r="Q226" s="28">
        <v>23015</v>
      </c>
      <c r="R226" s="122"/>
      <c r="S226" s="134"/>
      <c r="T226" s="134"/>
      <c r="U226" s="134"/>
      <c r="V226" s="134"/>
      <c r="W226" s="134"/>
      <c r="X226" s="134"/>
      <c r="Y226" s="134"/>
      <c r="Z226" s="134"/>
      <c r="AA226" s="134"/>
      <c r="AB226" s="134"/>
      <c r="AC226" s="134"/>
      <c r="AD226" s="134"/>
    </row>
    <row r="227" spans="1:30">
      <c r="A227" s="228">
        <v>19</v>
      </c>
      <c r="B227" s="236" t="s">
        <v>262</v>
      </c>
      <c r="C227" s="10"/>
      <c r="D227" s="63">
        <v>1539249</v>
      </c>
      <c r="E227" s="32">
        <v>10375</v>
      </c>
      <c r="F227" s="22">
        <v>1304</v>
      </c>
      <c r="G227" s="32">
        <v>92</v>
      </c>
      <c r="H227" s="22">
        <v>29936</v>
      </c>
      <c r="I227" s="32">
        <v>1150</v>
      </c>
      <c r="J227" s="22">
        <v>120</v>
      </c>
      <c r="K227" s="32">
        <v>4</v>
      </c>
      <c r="L227" s="28">
        <v>94128</v>
      </c>
      <c r="M227" s="32">
        <v>37645</v>
      </c>
      <c r="N227" s="22">
        <v>123981</v>
      </c>
      <c r="O227" s="32">
        <v>200</v>
      </c>
      <c r="P227" s="22">
        <v>3449</v>
      </c>
      <c r="Q227" s="32">
        <v>19300</v>
      </c>
      <c r="R227" s="49"/>
      <c r="S227" s="31"/>
      <c r="T227" s="31"/>
      <c r="U227" s="31"/>
      <c r="V227" s="31"/>
      <c r="W227" s="31"/>
      <c r="X227" s="31"/>
      <c r="Y227" s="31"/>
      <c r="Z227" s="31"/>
      <c r="AA227" s="31"/>
      <c r="AB227" s="31"/>
      <c r="AC227" s="31"/>
      <c r="AD227" s="31"/>
    </row>
    <row r="228" spans="1:30" ht="15">
      <c r="A228" s="228">
        <v>20</v>
      </c>
      <c r="B228" s="236" t="s">
        <v>263</v>
      </c>
      <c r="C228" s="248"/>
      <c r="D228" s="63">
        <v>2214070</v>
      </c>
      <c r="E228" s="22">
        <v>28582</v>
      </c>
      <c r="F228" s="28">
        <v>1160</v>
      </c>
      <c r="G228" s="22">
        <v>56</v>
      </c>
      <c r="H228" s="22">
        <v>26548</v>
      </c>
      <c r="I228" s="22">
        <v>4486</v>
      </c>
      <c r="J228" s="22">
        <v>164</v>
      </c>
      <c r="K228" s="22"/>
      <c r="L228" s="22">
        <v>9916</v>
      </c>
      <c r="M228" s="22">
        <v>40427</v>
      </c>
      <c r="N228" s="70">
        <v>161466</v>
      </c>
      <c r="O228" s="22">
        <v>312</v>
      </c>
      <c r="P228" s="22">
        <v>8461</v>
      </c>
      <c r="Q228" s="22">
        <v>21865</v>
      </c>
      <c r="R228" s="49"/>
      <c r="S228" s="31"/>
      <c r="T228" s="31"/>
      <c r="U228" s="31"/>
      <c r="V228" s="31"/>
      <c r="W228" s="31"/>
      <c r="X228" s="31"/>
      <c r="Y228" s="250"/>
      <c r="Z228" s="250"/>
      <c r="AA228" s="250"/>
      <c r="AB228" s="250"/>
      <c r="AC228" s="250"/>
      <c r="AD228" s="250"/>
    </row>
    <row r="229" spans="1:30">
      <c r="A229" s="228">
        <v>21</v>
      </c>
      <c r="B229" s="236" t="s">
        <v>264</v>
      </c>
      <c r="C229" s="17"/>
      <c r="D229" s="162">
        <v>2201</v>
      </c>
      <c r="E229" s="28">
        <v>300</v>
      </c>
      <c r="F229" s="134">
        <v>1430</v>
      </c>
      <c r="G229" s="28">
        <v>40</v>
      </c>
      <c r="H229" s="134">
        <v>2814</v>
      </c>
      <c r="I229" s="28">
        <v>2403</v>
      </c>
      <c r="J229" s="134">
        <v>75</v>
      </c>
      <c r="K229" s="28">
        <v>202</v>
      </c>
      <c r="L229" s="23">
        <v>9618</v>
      </c>
      <c r="M229" s="28">
        <v>16705</v>
      </c>
      <c r="N229" s="134">
        <v>13502</v>
      </c>
      <c r="O229" s="28">
        <v>630</v>
      </c>
      <c r="P229" s="134">
        <v>2120</v>
      </c>
      <c r="Q229" s="28">
        <v>4797</v>
      </c>
      <c r="R229" s="122"/>
      <c r="S229" s="134"/>
      <c r="T229" s="134"/>
      <c r="U229" s="134"/>
      <c r="V229" s="134"/>
      <c r="W229" s="134"/>
      <c r="X229" s="134"/>
      <c r="Y229" s="134"/>
      <c r="Z229" s="134"/>
      <c r="AA229" s="134"/>
      <c r="AB229" s="134"/>
      <c r="AC229" s="134"/>
      <c r="AD229" s="134"/>
    </row>
    <row r="230" spans="1:30">
      <c r="A230" s="228">
        <v>22</v>
      </c>
      <c r="B230" s="236" t="s">
        <v>265</v>
      </c>
      <c r="C230" s="10"/>
      <c r="D230" s="162">
        <v>463448</v>
      </c>
      <c r="E230" s="28">
        <v>62397</v>
      </c>
      <c r="F230" s="134">
        <v>866</v>
      </c>
      <c r="G230" s="28">
        <v>21</v>
      </c>
      <c r="H230" s="134">
        <v>17485</v>
      </c>
      <c r="I230" s="28">
        <v>4116</v>
      </c>
      <c r="J230" s="134">
        <v>231</v>
      </c>
      <c r="K230" s="28">
        <v>14</v>
      </c>
      <c r="L230" s="134">
        <v>1852</v>
      </c>
      <c r="M230" s="28">
        <v>49964</v>
      </c>
      <c r="N230" s="134">
        <v>85922</v>
      </c>
      <c r="O230" s="28">
        <v>10</v>
      </c>
      <c r="P230" s="134">
        <v>380</v>
      </c>
      <c r="Q230" s="28">
        <v>10033</v>
      </c>
      <c r="R230" s="122"/>
      <c r="S230" s="134"/>
      <c r="T230" s="134"/>
      <c r="U230" s="134"/>
      <c r="V230" s="134"/>
      <c r="W230" s="134"/>
      <c r="X230" s="134"/>
      <c r="Y230" s="134"/>
      <c r="Z230" s="134"/>
      <c r="AA230" s="134"/>
      <c r="AB230" s="134"/>
      <c r="AC230" s="134"/>
      <c r="AD230" s="134"/>
    </row>
    <row r="231" spans="1:30">
      <c r="A231" s="228">
        <v>23</v>
      </c>
      <c r="B231" s="236" t="s">
        <v>266</v>
      </c>
      <c r="C231" s="10"/>
      <c r="D231" s="162">
        <v>13381</v>
      </c>
      <c r="E231" s="28">
        <v>3783</v>
      </c>
      <c r="F231" s="134">
        <v>1364</v>
      </c>
      <c r="G231" s="28">
        <v>14</v>
      </c>
      <c r="H231" s="134">
        <v>4378</v>
      </c>
      <c r="I231" s="28">
        <v>7880</v>
      </c>
      <c r="J231" s="134">
        <v>263</v>
      </c>
      <c r="K231" s="28">
        <v>307</v>
      </c>
      <c r="L231" s="134">
        <v>24804</v>
      </c>
      <c r="M231" s="28">
        <v>26831</v>
      </c>
      <c r="N231" s="134">
        <v>420</v>
      </c>
      <c r="O231" s="28"/>
      <c r="P231" s="134">
        <v>4680</v>
      </c>
      <c r="Q231" s="28">
        <v>6754</v>
      </c>
      <c r="R231" s="122"/>
      <c r="S231" s="134"/>
      <c r="T231" s="134"/>
      <c r="U231" s="134"/>
      <c r="V231" s="134"/>
      <c r="W231" s="134"/>
      <c r="X231" s="134"/>
      <c r="Y231" s="134"/>
      <c r="Z231" s="134"/>
      <c r="AA231" s="134"/>
      <c r="AB231" s="134"/>
      <c r="AC231" s="134"/>
      <c r="AD231" s="134"/>
    </row>
    <row r="232" spans="1:30">
      <c r="A232" s="229"/>
      <c r="B232" s="237"/>
      <c r="C232" s="12"/>
      <c r="D232" s="38"/>
      <c r="E232" s="206"/>
      <c r="F232" s="256"/>
      <c r="G232" s="206"/>
      <c r="H232" s="256"/>
      <c r="I232" s="206"/>
      <c r="J232" s="256"/>
      <c r="K232" s="206"/>
      <c r="L232" s="256"/>
      <c r="M232" s="206"/>
      <c r="N232" s="256"/>
      <c r="O232" s="206"/>
      <c r="P232" s="256"/>
      <c r="Q232" s="206"/>
      <c r="R232" s="298"/>
      <c r="S232" s="134"/>
      <c r="T232" s="134"/>
      <c r="U232" s="134"/>
      <c r="V232" s="134"/>
      <c r="W232" s="134"/>
      <c r="X232" s="134"/>
      <c r="Y232" s="134"/>
      <c r="Z232" s="134"/>
      <c r="AA232" s="134"/>
      <c r="AB232" s="134"/>
      <c r="AC232" s="134"/>
      <c r="AD232" s="134"/>
    </row>
    <row r="233" spans="1:30">
      <c r="A233" s="228" t="s">
        <v>296</v>
      </c>
      <c r="B233" s="236"/>
      <c r="C233" s="10"/>
      <c r="D233" s="162">
        <f>SUM(D209:D231)</f>
        <v>9754215</v>
      </c>
      <c r="E233" s="22">
        <f t="shared" ref="E233:R233" si="9">SUM(E209:E231)</f>
        <v>439154</v>
      </c>
      <c r="F233" s="32">
        <f t="shared" si="9"/>
        <v>19134</v>
      </c>
      <c r="G233" s="22">
        <f t="shared" si="9"/>
        <v>747</v>
      </c>
      <c r="H233" s="32">
        <f t="shared" si="9"/>
        <v>189525</v>
      </c>
      <c r="I233" s="22">
        <f t="shared" si="9"/>
        <v>59982</v>
      </c>
      <c r="J233" s="32">
        <f t="shared" si="9"/>
        <v>3071</v>
      </c>
      <c r="K233" s="22">
        <f t="shared" si="9"/>
        <v>1834</v>
      </c>
      <c r="L233" s="32">
        <f>SUM(L209:L231)</f>
        <v>1111187</v>
      </c>
      <c r="M233" s="22">
        <f t="shared" si="9"/>
        <v>1019247</v>
      </c>
      <c r="N233" s="32">
        <f t="shared" si="9"/>
        <v>720423</v>
      </c>
      <c r="O233" s="22">
        <f t="shared" si="9"/>
        <v>14332</v>
      </c>
      <c r="P233" s="32">
        <f t="shared" si="9"/>
        <v>72021</v>
      </c>
      <c r="Q233" s="22">
        <f t="shared" si="9"/>
        <v>205299</v>
      </c>
      <c r="R233" s="49">
        <f t="shared" si="9"/>
        <v>3383</v>
      </c>
      <c r="S233" s="134"/>
      <c r="T233" s="134"/>
      <c r="U233" s="134"/>
      <c r="V233" s="134"/>
      <c r="W233" s="134"/>
      <c r="X233" s="134"/>
      <c r="Y233" s="134"/>
      <c r="Z233" s="134"/>
      <c r="AA233" s="134"/>
      <c r="AB233" s="134"/>
      <c r="AC233" s="134"/>
      <c r="AD233" s="134"/>
    </row>
    <row r="234" spans="1:30" ht="16" thickBot="1">
      <c r="A234" s="230"/>
      <c r="B234" s="238"/>
      <c r="C234" s="261"/>
      <c r="D234" s="275"/>
      <c r="E234" s="186"/>
      <c r="F234" s="208"/>
      <c r="G234" s="186"/>
      <c r="H234" s="186"/>
      <c r="I234" s="186"/>
      <c r="J234" s="186"/>
      <c r="K234" s="186"/>
      <c r="L234" s="276"/>
      <c r="M234" s="186"/>
      <c r="N234" s="207"/>
      <c r="O234" s="186"/>
      <c r="P234" s="186"/>
      <c r="Q234" s="186"/>
      <c r="R234" s="305"/>
      <c r="S234" s="31"/>
      <c r="T234" s="31"/>
      <c r="U234" s="31"/>
      <c r="V234" s="31"/>
      <c r="W234" s="31"/>
      <c r="X234" s="31"/>
      <c r="Y234" s="250"/>
      <c r="Z234" s="250"/>
      <c r="AA234" s="250"/>
      <c r="AB234" s="250"/>
      <c r="AC234" s="250"/>
      <c r="AD234" s="250"/>
    </row>
    <row r="235" spans="1:30" ht="17" thickTop="1" thickBot="1">
      <c r="A235" s="226" t="s">
        <v>40</v>
      </c>
      <c r="B235" s="94"/>
      <c r="C235" s="17"/>
      <c r="D235" s="162"/>
      <c r="E235" s="28"/>
      <c r="F235" s="134"/>
      <c r="G235" s="28"/>
      <c r="H235" s="134"/>
      <c r="I235" s="28"/>
      <c r="J235" s="134"/>
      <c r="K235" s="28"/>
      <c r="L235" s="134"/>
      <c r="M235" s="28"/>
      <c r="N235" s="134"/>
      <c r="O235" s="28"/>
      <c r="P235" s="134"/>
      <c r="Q235" s="28"/>
      <c r="R235" s="122"/>
      <c r="S235" s="134"/>
      <c r="T235" s="134"/>
      <c r="U235" s="134"/>
      <c r="V235" s="134"/>
      <c r="W235" s="134"/>
      <c r="X235" s="134"/>
      <c r="Y235" s="134"/>
      <c r="Z235" s="134"/>
      <c r="AA235" s="134"/>
      <c r="AB235" s="134"/>
      <c r="AC235" s="134"/>
      <c r="AD235" s="134"/>
    </row>
    <row r="236" spans="1:30">
      <c r="A236" s="228">
        <v>1</v>
      </c>
      <c r="B236" s="236" t="s">
        <v>267</v>
      </c>
      <c r="C236" s="10"/>
      <c r="D236" s="162">
        <v>1278177</v>
      </c>
      <c r="E236" s="28">
        <v>129377</v>
      </c>
      <c r="F236" s="134">
        <v>2296</v>
      </c>
      <c r="G236" s="28">
        <v>145</v>
      </c>
      <c r="H236" s="134">
        <v>62103</v>
      </c>
      <c r="I236" s="28">
        <v>7223</v>
      </c>
      <c r="J236" s="134">
        <v>529</v>
      </c>
      <c r="K236" s="28">
        <v>134</v>
      </c>
      <c r="L236" s="134">
        <v>8359</v>
      </c>
      <c r="M236" s="28">
        <v>365397</v>
      </c>
      <c r="N236" s="134">
        <v>454091</v>
      </c>
      <c r="O236" s="28">
        <v>87</v>
      </c>
      <c r="P236" s="134">
        <v>1328</v>
      </c>
      <c r="Q236" s="28">
        <v>28795</v>
      </c>
      <c r="R236" s="122"/>
      <c r="S236" s="134"/>
      <c r="T236" s="134"/>
      <c r="U236" s="134"/>
      <c r="V236" s="134"/>
      <c r="W236" s="134"/>
      <c r="X236" s="134"/>
      <c r="Y236" s="134"/>
      <c r="Z236" s="134"/>
      <c r="AA236" s="134"/>
      <c r="AB236" s="134"/>
      <c r="AC236" s="134"/>
      <c r="AD236" s="134"/>
    </row>
    <row r="237" spans="1:30">
      <c r="A237" s="228">
        <v>2</v>
      </c>
      <c r="B237" s="236" t="s">
        <v>268</v>
      </c>
      <c r="C237" s="10"/>
      <c r="D237" s="162">
        <v>1213372</v>
      </c>
      <c r="E237" s="28">
        <v>20442</v>
      </c>
      <c r="F237" s="134">
        <v>171</v>
      </c>
      <c r="G237" s="28">
        <v>21</v>
      </c>
      <c r="H237" s="134">
        <v>27208</v>
      </c>
      <c r="I237" s="28">
        <v>1431</v>
      </c>
      <c r="J237" s="134">
        <v>27</v>
      </c>
      <c r="K237" s="28">
        <v>719</v>
      </c>
      <c r="L237" s="134">
        <v>1500</v>
      </c>
      <c r="M237" s="28">
        <v>23055</v>
      </c>
      <c r="N237" s="134">
        <v>44781</v>
      </c>
      <c r="O237" s="28"/>
      <c r="P237" s="134">
        <v>10059</v>
      </c>
      <c r="Q237" s="28">
        <v>18575</v>
      </c>
      <c r="R237" s="122">
        <v>1187</v>
      </c>
      <c r="S237" s="134"/>
      <c r="T237" s="134"/>
      <c r="U237" s="134"/>
      <c r="V237" s="134"/>
      <c r="W237" s="134"/>
      <c r="X237" s="134"/>
      <c r="Y237" s="134"/>
      <c r="Z237" s="134"/>
      <c r="AA237" s="134"/>
      <c r="AB237" s="134"/>
      <c r="AC237" s="134"/>
      <c r="AD237" s="134"/>
    </row>
    <row r="238" spans="1:30">
      <c r="A238" s="228">
        <v>3</v>
      </c>
      <c r="B238" s="236" t="s">
        <v>269</v>
      </c>
      <c r="C238" s="10"/>
      <c r="D238" s="162">
        <v>3319511</v>
      </c>
      <c r="E238" s="28">
        <v>44651</v>
      </c>
      <c r="F238" s="134">
        <v>3374</v>
      </c>
      <c r="G238" s="28">
        <v>316</v>
      </c>
      <c r="H238" s="134">
        <v>97962</v>
      </c>
      <c r="I238" s="28">
        <v>4494</v>
      </c>
      <c r="J238" s="134">
        <v>407</v>
      </c>
      <c r="K238" s="28">
        <v>188</v>
      </c>
      <c r="L238" s="134">
        <v>140635</v>
      </c>
      <c r="M238" s="28">
        <v>301786</v>
      </c>
      <c r="N238" s="134">
        <v>338861</v>
      </c>
      <c r="O238" s="28">
        <v>710</v>
      </c>
      <c r="P238" s="134">
        <v>2568</v>
      </c>
      <c r="Q238" s="28">
        <v>42814</v>
      </c>
      <c r="R238" s="122">
        <v>130</v>
      </c>
      <c r="S238" s="134"/>
      <c r="T238" s="134"/>
      <c r="U238" s="134"/>
      <c r="V238" s="134"/>
      <c r="W238" s="134"/>
      <c r="X238" s="134"/>
      <c r="Y238" s="134"/>
      <c r="Z238" s="134"/>
      <c r="AA238" s="134"/>
      <c r="AB238" s="134"/>
      <c r="AC238" s="134"/>
      <c r="AD238" s="134"/>
    </row>
    <row r="239" spans="1:30">
      <c r="A239" s="228">
        <v>4</v>
      </c>
      <c r="B239" s="236" t="s">
        <v>270</v>
      </c>
      <c r="C239" s="10"/>
      <c r="D239" s="162">
        <v>1479610</v>
      </c>
      <c r="E239" s="28">
        <v>30546</v>
      </c>
      <c r="F239" s="134">
        <v>1531</v>
      </c>
      <c r="G239" s="28">
        <v>123</v>
      </c>
      <c r="H239" s="134">
        <v>53350</v>
      </c>
      <c r="I239" s="28">
        <v>5063</v>
      </c>
      <c r="J239" s="134">
        <v>115</v>
      </c>
      <c r="K239" s="28">
        <v>296</v>
      </c>
      <c r="L239" s="134">
        <v>135558</v>
      </c>
      <c r="M239" s="205">
        <v>29973</v>
      </c>
      <c r="N239" s="134">
        <v>17854</v>
      </c>
      <c r="O239" s="28">
        <v>50000</v>
      </c>
      <c r="P239" s="134">
        <v>4496</v>
      </c>
      <c r="Q239" s="28">
        <v>20176</v>
      </c>
      <c r="R239" s="122"/>
      <c r="S239" s="134"/>
      <c r="T239" s="134"/>
      <c r="U239" s="134"/>
      <c r="V239" s="134"/>
      <c r="W239" s="134"/>
      <c r="X239" s="134"/>
      <c r="Y239" s="134"/>
      <c r="Z239" s="134"/>
      <c r="AA239" s="134"/>
      <c r="AB239" s="134"/>
      <c r="AC239" s="134"/>
      <c r="AD239" s="134"/>
    </row>
    <row r="240" spans="1:30" ht="15">
      <c r="A240" s="228">
        <v>5</v>
      </c>
      <c r="B240" s="236" t="s">
        <v>271</v>
      </c>
      <c r="C240" s="248"/>
      <c r="D240" s="63">
        <v>1151198</v>
      </c>
      <c r="E240" s="22">
        <v>6659</v>
      </c>
      <c r="F240" s="28">
        <v>254</v>
      </c>
      <c r="G240" s="22">
        <v>18</v>
      </c>
      <c r="H240" s="22">
        <v>22118</v>
      </c>
      <c r="I240" s="22">
        <v>997</v>
      </c>
      <c r="J240" s="22">
        <v>57</v>
      </c>
      <c r="K240" s="22">
        <v>122</v>
      </c>
      <c r="L240" s="23">
        <v>2325</v>
      </c>
      <c r="M240" s="28">
        <v>21378</v>
      </c>
      <c r="N240" s="70">
        <v>45223</v>
      </c>
      <c r="O240" s="22">
        <v>2200</v>
      </c>
      <c r="P240" s="22">
        <v>545</v>
      </c>
      <c r="Q240" s="22">
        <v>10668</v>
      </c>
      <c r="R240" s="49"/>
      <c r="S240" s="31"/>
      <c r="T240" s="31"/>
      <c r="U240" s="31"/>
      <c r="V240" s="31"/>
      <c r="W240" s="31"/>
      <c r="X240" s="31"/>
      <c r="Y240" s="250"/>
      <c r="Z240" s="250"/>
      <c r="AA240" s="250"/>
      <c r="AB240" s="250"/>
      <c r="AC240" s="250"/>
      <c r="AD240" s="250"/>
    </row>
    <row r="241" spans="1:30">
      <c r="A241" s="228">
        <v>6</v>
      </c>
      <c r="B241" s="236" t="s">
        <v>272</v>
      </c>
      <c r="C241" s="17"/>
      <c r="D241" s="162">
        <v>1630148</v>
      </c>
      <c r="E241" s="28">
        <v>105991</v>
      </c>
      <c r="F241" s="134">
        <v>1022</v>
      </c>
      <c r="G241" s="28">
        <v>226</v>
      </c>
      <c r="H241" s="134">
        <v>72366</v>
      </c>
      <c r="I241" s="28">
        <v>11123</v>
      </c>
      <c r="J241" s="134">
        <v>85</v>
      </c>
      <c r="K241" s="28">
        <v>385</v>
      </c>
      <c r="L241" s="134">
        <v>35998</v>
      </c>
      <c r="M241" s="28">
        <v>62287</v>
      </c>
      <c r="N241" s="134">
        <v>58070</v>
      </c>
      <c r="O241" s="28">
        <v>150</v>
      </c>
      <c r="P241" s="134">
        <v>2865</v>
      </c>
      <c r="Q241" s="28">
        <v>17920</v>
      </c>
      <c r="R241" s="122"/>
      <c r="S241" s="134"/>
      <c r="T241" s="134"/>
      <c r="U241" s="134"/>
      <c r="V241" s="134"/>
      <c r="W241" s="134"/>
      <c r="X241" s="134"/>
      <c r="Y241" s="134"/>
      <c r="Z241" s="134"/>
      <c r="AA241" s="134"/>
      <c r="AB241" s="134"/>
      <c r="AC241" s="134"/>
      <c r="AD241" s="134"/>
    </row>
    <row r="242" spans="1:30">
      <c r="A242" s="228">
        <v>7</v>
      </c>
      <c r="B242" s="236" t="s">
        <v>273</v>
      </c>
      <c r="C242" s="10"/>
      <c r="D242" s="162">
        <v>458841</v>
      </c>
      <c r="E242" s="28">
        <v>86570</v>
      </c>
      <c r="F242" s="134">
        <v>2081</v>
      </c>
      <c r="G242" s="28">
        <v>202</v>
      </c>
      <c r="H242" s="134">
        <v>19712</v>
      </c>
      <c r="I242" s="28">
        <v>3509</v>
      </c>
      <c r="J242" s="134">
        <v>73</v>
      </c>
      <c r="K242" s="28">
        <v>83</v>
      </c>
      <c r="L242" s="134">
        <v>7380</v>
      </c>
      <c r="M242" s="28">
        <v>45799</v>
      </c>
      <c r="N242" s="134">
        <v>412915</v>
      </c>
      <c r="O242" s="28"/>
      <c r="P242" s="134">
        <v>2717</v>
      </c>
      <c r="Q242" s="28">
        <v>10308</v>
      </c>
      <c r="R242" s="122"/>
      <c r="S242" s="134"/>
      <c r="T242" s="134"/>
      <c r="U242" s="134"/>
      <c r="V242" s="134"/>
      <c r="W242" s="134"/>
      <c r="X242" s="134"/>
      <c r="Y242" s="134"/>
      <c r="Z242" s="134"/>
      <c r="AA242" s="134"/>
      <c r="AB242" s="134"/>
      <c r="AC242" s="134"/>
      <c r="AD242" s="134"/>
    </row>
    <row r="243" spans="1:30">
      <c r="A243" s="228">
        <v>8</v>
      </c>
      <c r="B243" s="236" t="s">
        <v>274</v>
      </c>
      <c r="C243" s="10"/>
      <c r="D243" s="162">
        <v>951639</v>
      </c>
      <c r="E243" s="28">
        <v>9815</v>
      </c>
      <c r="F243" s="134">
        <v>903</v>
      </c>
      <c r="G243" s="28">
        <v>94</v>
      </c>
      <c r="H243" s="134">
        <v>23094</v>
      </c>
      <c r="I243" s="28">
        <v>1080</v>
      </c>
      <c r="J243" s="134">
        <v>124</v>
      </c>
      <c r="K243" s="28"/>
      <c r="L243" s="134">
        <v>837</v>
      </c>
      <c r="M243" s="28">
        <v>20021</v>
      </c>
      <c r="N243" s="134">
        <v>198644</v>
      </c>
      <c r="O243" s="28">
        <v>300</v>
      </c>
      <c r="P243" s="134">
        <v>8366</v>
      </c>
      <c r="Q243" s="28">
        <v>23655</v>
      </c>
      <c r="R243" s="122"/>
      <c r="S243" s="134"/>
      <c r="T243" s="134"/>
      <c r="U243" s="134"/>
      <c r="V243" s="134"/>
      <c r="W243" s="134"/>
      <c r="X243" s="134"/>
      <c r="Y243" s="134"/>
      <c r="Z243" s="134"/>
      <c r="AA243" s="134"/>
      <c r="AB243" s="134"/>
      <c r="AC243" s="134"/>
      <c r="AD243" s="134"/>
    </row>
    <row r="244" spans="1:30">
      <c r="A244" s="228">
        <v>9</v>
      </c>
      <c r="B244" s="236" t="s">
        <v>275</v>
      </c>
      <c r="C244" s="10"/>
      <c r="D244" s="162">
        <v>2725113</v>
      </c>
      <c r="E244" s="28">
        <v>145222</v>
      </c>
      <c r="F244" s="134">
        <v>4359</v>
      </c>
      <c r="G244" s="28">
        <v>766</v>
      </c>
      <c r="H244" s="134">
        <v>50306</v>
      </c>
      <c r="I244" s="28">
        <v>6934</v>
      </c>
      <c r="J244" s="134">
        <v>308</v>
      </c>
      <c r="K244" s="28">
        <v>4</v>
      </c>
      <c r="L244" s="134">
        <v>30007</v>
      </c>
      <c r="M244" s="28">
        <v>1258763</v>
      </c>
      <c r="N244" s="134">
        <v>896021</v>
      </c>
      <c r="O244" s="28">
        <v>586</v>
      </c>
      <c r="P244" s="134">
        <v>2141</v>
      </c>
      <c r="Q244" s="28">
        <v>22753</v>
      </c>
      <c r="R244" s="122"/>
      <c r="S244" s="134"/>
      <c r="T244" s="134"/>
      <c r="U244" s="134"/>
      <c r="V244" s="134"/>
      <c r="W244" s="134"/>
      <c r="X244" s="134"/>
      <c r="Y244" s="134"/>
      <c r="Z244" s="134"/>
      <c r="AA244" s="134"/>
      <c r="AB244" s="134"/>
      <c r="AC244" s="134"/>
      <c r="AD244" s="134"/>
    </row>
    <row r="245" spans="1:30">
      <c r="A245" s="228">
        <v>10</v>
      </c>
      <c r="B245" s="236" t="s">
        <v>276</v>
      </c>
      <c r="C245" s="10"/>
      <c r="D245" s="162">
        <v>1127335</v>
      </c>
      <c r="E245" s="28">
        <v>7192</v>
      </c>
      <c r="F245" s="134">
        <v>2130</v>
      </c>
      <c r="G245" s="28">
        <v>219</v>
      </c>
      <c r="H245" s="134">
        <v>41197</v>
      </c>
      <c r="I245" s="28">
        <v>1957</v>
      </c>
      <c r="J245" s="134">
        <v>386</v>
      </c>
      <c r="K245" s="28">
        <v>1</v>
      </c>
      <c r="L245" s="134">
        <v>62181</v>
      </c>
      <c r="M245" s="28">
        <v>220651</v>
      </c>
      <c r="N245" s="134">
        <v>168997</v>
      </c>
      <c r="O245" s="28">
        <v>904</v>
      </c>
      <c r="P245" s="134">
        <v>1005</v>
      </c>
      <c r="Q245" s="28">
        <v>13288</v>
      </c>
      <c r="R245" s="122"/>
      <c r="S245" s="134"/>
      <c r="T245" s="134"/>
      <c r="U245" s="134"/>
      <c r="V245" s="134"/>
      <c r="W245" s="134"/>
      <c r="X245" s="134"/>
      <c r="Y245" s="134"/>
      <c r="Z245" s="134"/>
      <c r="AA245" s="134"/>
      <c r="AB245" s="134"/>
      <c r="AC245" s="134"/>
      <c r="AD245" s="134"/>
    </row>
    <row r="246" spans="1:30" ht="15">
      <c r="A246" s="228">
        <v>11</v>
      </c>
      <c r="B246" s="236" t="s">
        <v>277</v>
      </c>
      <c r="C246" s="248"/>
      <c r="D246" s="63">
        <v>1114838</v>
      </c>
      <c r="E246" s="22">
        <v>86430</v>
      </c>
      <c r="F246" s="28">
        <v>1627</v>
      </c>
      <c r="G246" s="22">
        <v>65</v>
      </c>
      <c r="H246" s="22">
        <v>37343</v>
      </c>
      <c r="I246" s="22">
        <v>5064</v>
      </c>
      <c r="J246" s="22"/>
      <c r="K246" s="22">
        <v>216</v>
      </c>
      <c r="L246" s="23">
        <v>20199</v>
      </c>
      <c r="M246" s="22">
        <v>17406</v>
      </c>
      <c r="N246" s="70">
        <v>211907</v>
      </c>
      <c r="O246" s="22">
        <v>560</v>
      </c>
      <c r="P246" s="22">
        <v>7541</v>
      </c>
      <c r="Q246" s="22">
        <v>14040</v>
      </c>
      <c r="R246" s="49"/>
      <c r="S246" s="31"/>
      <c r="T246" s="31"/>
      <c r="U246" s="31"/>
      <c r="V246" s="31"/>
      <c r="W246" s="31"/>
      <c r="X246" s="31"/>
      <c r="Y246" s="250"/>
      <c r="Z246" s="250"/>
      <c r="AA246" s="250"/>
      <c r="AB246" s="250"/>
      <c r="AC246" s="250"/>
      <c r="AD246" s="250"/>
    </row>
    <row r="247" spans="1:30">
      <c r="A247" s="228">
        <v>12</v>
      </c>
      <c r="B247" s="236" t="s">
        <v>278</v>
      </c>
      <c r="C247" s="17"/>
      <c r="D247" s="162">
        <v>216865</v>
      </c>
      <c r="E247" s="28">
        <v>10115</v>
      </c>
      <c r="F247" s="134">
        <v>544</v>
      </c>
      <c r="G247" s="28">
        <v>88</v>
      </c>
      <c r="H247" s="134">
        <v>24547</v>
      </c>
      <c r="I247" s="28">
        <v>3065</v>
      </c>
      <c r="J247" s="134">
        <v>9</v>
      </c>
      <c r="K247" s="28">
        <v>474</v>
      </c>
      <c r="L247" s="134">
        <v>27196</v>
      </c>
      <c r="M247" s="28">
        <v>24301</v>
      </c>
      <c r="N247" s="134">
        <v>22381</v>
      </c>
      <c r="O247" s="28"/>
      <c r="P247" s="134">
        <v>185</v>
      </c>
      <c r="Q247" s="28">
        <v>5278</v>
      </c>
      <c r="R247" s="122"/>
      <c r="S247" s="134"/>
      <c r="T247" s="134"/>
      <c r="U247" s="134"/>
      <c r="V247" s="134"/>
      <c r="W247" s="134"/>
      <c r="X247" s="134"/>
      <c r="Y247" s="134"/>
      <c r="Z247" s="134"/>
      <c r="AA247" s="134"/>
      <c r="AB247" s="134"/>
      <c r="AC247" s="134"/>
      <c r="AD247" s="134"/>
    </row>
    <row r="248" spans="1:30">
      <c r="A248" s="228">
        <v>13</v>
      </c>
      <c r="B248" s="236" t="s">
        <v>279</v>
      </c>
      <c r="C248" s="10"/>
      <c r="D248" s="162">
        <v>2255175</v>
      </c>
      <c r="E248" s="28">
        <v>30830</v>
      </c>
      <c r="F248" s="134">
        <v>2695</v>
      </c>
      <c r="G248" s="28">
        <v>251</v>
      </c>
      <c r="H248" s="134">
        <v>63174</v>
      </c>
      <c r="I248" s="28">
        <v>2384</v>
      </c>
      <c r="J248" s="134">
        <v>287</v>
      </c>
      <c r="K248" s="28">
        <v>96</v>
      </c>
      <c r="L248" s="134">
        <v>104955</v>
      </c>
      <c r="M248" s="28">
        <v>80661</v>
      </c>
      <c r="N248" s="134">
        <v>154050</v>
      </c>
      <c r="O248" s="28">
        <v>20327</v>
      </c>
      <c r="P248" s="134">
        <v>1258</v>
      </c>
      <c r="Q248" s="28">
        <v>22294</v>
      </c>
      <c r="R248" s="122"/>
      <c r="S248" s="134"/>
      <c r="T248" s="134"/>
      <c r="U248" s="134"/>
      <c r="V248" s="134"/>
      <c r="W248" s="134"/>
      <c r="X248" s="134"/>
      <c r="Y248" s="134"/>
      <c r="Z248" s="134"/>
      <c r="AA248" s="134"/>
      <c r="AB248" s="134"/>
      <c r="AC248" s="134"/>
      <c r="AD248" s="134"/>
    </row>
    <row r="249" spans="1:30">
      <c r="A249" s="228">
        <v>14</v>
      </c>
      <c r="B249" s="236" t="s">
        <v>280</v>
      </c>
      <c r="C249" s="10"/>
      <c r="D249" s="162">
        <v>893230</v>
      </c>
      <c r="E249" s="28">
        <v>8151</v>
      </c>
      <c r="F249" s="134">
        <v>1533</v>
      </c>
      <c r="G249" s="28">
        <v>103</v>
      </c>
      <c r="H249" s="134">
        <v>34523</v>
      </c>
      <c r="I249" s="28">
        <v>956</v>
      </c>
      <c r="J249" s="134">
        <v>196</v>
      </c>
      <c r="K249" s="28">
        <v>130</v>
      </c>
      <c r="L249" s="134">
        <v>3458</v>
      </c>
      <c r="M249" s="28">
        <v>41743</v>
      </c>
      <c r="N249" s="134">
        <v>446647</v>
      </c>
      <c r="O249" s="28">
        <v>30</v>
      </c>
      <c r="P249" s="134">
        <v>2348</v>
      </c>
      <c r="Q249" s="28">
        <v>15200</v>
      </c>
      <c r="R249" s="122">
        <v>220</v>
      </c>
      <c r="S249" s="134"/>
      <c r="T249" s="134"/>
      <c r="U249" s="134"/>
      <c r="V249" s="134"/>
      <c r="W249" s="134"/>
      <c r="X249" s="134"/>
      <c r="Y249" s="134"/>
      <c r="Z249" s="134"/>
      <c r="AA249" s="134"/>
      <c r="AB249" s="134"/>
      <c r="AC249" s="134"/>
      <c r="AD249" s="134"/>
    </row>
    <row r="250" spans="1:30">
      <c r="A250" s="228">
        <v>15</v>
      </c>
      <c r="B250" s="236" t="s">
        <v>281</v>
      </c>
      <c r="C250" s="10"/>
      <c r="D250" s="162">
        <v>868361</v>
      </c>
      <c r="E250" s="28">
        <v>9606</v>
      </c>
      <c r="F250" s="134">
        <v>1181</v>
      </c>
      <c r="G250" s="28">
        <v>126</v>
      </c>
      <c r="H250" s="134">
        <v>30794</v>
      </c>
      <c r="I250" s="28">
        <v>2239</v>
      </c>
      <c r="J250" s="134">
        <v>128</v>
      </c>
      <c r="K250" s="28">
        <v>40</v>
      </c>
      <c r="L250" s="134">
        <v>1994</v>
      </c>
      <c r="M250" s="28">
        <v>25719</v>
      </c>
      <c r="N250" s="134">
        <v>235674</v>
      </c>
      <c r="O250" s="28"/>
      <c r="P250" s="134">
        <v>2550</v>
      </c>
      <c r="Q250" s="28">
        <v>10972</v>
      </c>
      <c r="R250" s="122">
        <v>125</v>
      </c>
      <c r="S250" s="134"/>
      <c r="T250" s="134"/>
      <c r="U250" s="134"/>
      <c r="V250" s="134"/>
      <c r="W250" s="134"/>
      <c r="X250" s="134"/>
      <c r="Y250" s="134"/>
      <c r="Z250" s="134"/>
      <c r="AA250" s="134"/>
      <c r="AB250" s="134"/>
      <c r="AC250" s="134"/>
      <c r="AD250" s="134"/>
    </row>
    <row r="251" spans="1:30">
      <c r="A251" s="228">
        <v>16</v>
      </c>
      <c r="B251" s="236" t="s">
        <v>282</v>
      </c>
      <c r="C251" s="10"/>
      <c r="D251" s="162">
        <v>1114146</v>
      </c>
      <c r="E251" s="28">
        <v>76265</v>
      </c>
      <c r="F251" s="134">
        <v>229</v>
      </c>
      <c r="G251" s="28">
        <v>21</v>
      </c>
      <c r="H251" s="134">
        <v>25493</v>
      </c>
      <c r="I251" s="28">
        <v>5043</v>
      </c>
      <c r="J251" s="134">
        <v>111</v>
      </c>
      <c r="K251" s="28">
        <v>169</v>
      </c>
      <c r="L251" s="134">
        <v>3110</v>
      </c>
      <c r="M251" s="28">
        <v>13296</v>
      </c>
      <c r="N251" s="134">
        <v>41627</v>
      </c>
      <c r="O251" s="28">
        <v>60</v>
      </c>
      <c r="P251" s="134">
        <v>3776</v>
      </c>
      <c r="Q251" s="28">
        <v>19387</v>
      </c>
      <c r="R251" s="122"/>
      <c r="S251" s="134"/>
      <c r="T251" s="134"/>
      <c r="U251" s="134"/>
      <c r="V251" s="134"/>
      <c r="W251" s="134"/>
      <c r="X251" s="134"/>
      <c r="Y251" s="134"/>
      <c r="Z251" s="134"/>
      <c r="AA251" s="134"/>
      <c r="AB251" s="134"/>
      <c r="AC251" s="134"/>
      <c r="AD251" s="134"/>
    </row>
    <row r="252" spans="1:30" ht="15">
      <c r="A252" s="228">
        <v>17</v>
      </c>
      <c r="B252" s="236" t="s">
        <v>283</v>
      </c>
      <c r="C252" s="248"/>
      <c r="D252" s="63">
        <v>2293725</v>
      </c>
      <c r="E252" s="22">
        <v>40057</v>
      </c>
      <c r="F252" s="28">
        <v>733</v>
      </c>
      <c r="G252" s="22">
        <v>42</v>
      </c>
      <c r="H252" s="22">
        <v>96634</v>
      </c>
      <c r="I252" s="22">
        <v>1777</v>
      </c>
      <c r="J252" s="22">
        <v>238</v>
      </c>
      <c r="K252" s="22">
        <v>597</v>
      </c>
      <c r="L252" s="23">
        <v>676</v>
      </c>
      <c r="M252" s="22">
        <v>55920</v>
      </c>
      <c r="N252" s="70">
        <v>895042</v>
      </c>
      <c r="O252" s="22">
        <v>60</v>
      </c>
      <c r="P252" s="22">
        <v>435</v>
      </c>
      <c r="Q252" s="22">
        <v>19383</v>
      </c>
      <c r="R252" s="49"/>
      <c r="S252" s="31"/>
      <c r="T252" s="31"/>
      <c r="U252" s="31"/>
      <c r="V252" s="31"/>
      <c r="W252" s="31"/>
      <c r="X252" s="31"/>
      <c r="Y252" s="250"/>
      <c r="Z252" s="250"/>
      <c r="AA252" s="250"/>
      <c r="AB252" s="250"/>
      <c r="AC252" s="250"/>
      <c r="AD252" s="250"/>
    </row>
    <row r="253" spans="1:30">
      <c r="A253" s="228">
        <v>18</v>
      </c>
      <c r="B253" s="236" t="s">
        <v>284</v>
      </c>
      <c r="C253" s="17"/>
      <c r="D253" s="162">
        <v>1480485</v>
      </c>
      <c r="E253" s="28">
        <v>47126</v>
      </c>
      <c r="F253" s="134">
        <v>2585</v>
      </c>
      <c r="G253" s="28">
        <v>186</v>
      </c>
      <c r="H253" s="134">
        <v>64950</v>
      </c>
      <c r="I253" s="28">
        <v>4033</v>
      </c>
      <c r="J253" s="134">
        <v>237</v>
      </c>
      <c r="K253" s="28">
        <v>41</v>
      </c>
      <c r="L253" s="134">
        <v>1459</v>
      </c>
      <c r="M253" s="28">
        <v>216564</v>
      </c>
      <c r="N253" s="134">
        <v>374759</v>
      </c>
      <c r="O253" s="28">
        <v>30</v>
      </c>
      <c r="P253" s="134">
        <v>3550</v>
      </c>
      <c r="Q253" s="28">
        <v>17277</v>
      </c>
      <c r="R253" s="122"/>
      <c r="S253" s="134"/>
      <c r="T253" s="134"/>
      <c r="U253" s="134"/>
      <c r="V253" s="134"/>
      <c r="W253" s="134"/>
      <c r="X253" s="134"/>
      <c r="Y253" s="134"/>
      <c r="Z253" s="134"/>
      <c r="AA253" s="134"/>
      <c r="AB253" s="134"/>
      <c r="AC253" s="134"/>
      <c r="AD253" s="134"/>
    </row>
    <row r="254" spans="1:30">
      <c r="A254" s="228">
        <v>19</v>
      </c>
      <c r="B254" s="236" t="s">
        <v>285</v>
      </c>
      <c r="C254" s="10"/>
      <c r="D254" s="162">
        <v>2167246</v>
      </c>
      <c r="E254" s="28">
        <v>10898</v>
      </c>
      <c r="F254" s="134">
        <v>723</v>
      </c>
      <c r="G254" s="28">
        <v>122</v>
      </c>
      <c r="H254" s="134">
        <v>59975</v>
      </c>
      <c r="I254" s="28">
        <v>701</v>
      </c>
      <c r="J254" s="134"/>
      <c r="K254" s="28">
        <v>21</v>
      </c>
      <c r="L254" s="134">
        <v>440</v>
      </c>
      <c r="M254" s="28">
        <v>21159</v>
      </c>
      <c r="N254" s="134">
        <v>25603</v>
      </c>
      <c r="O254" s="28">
        <v>74</v>
      </c>
      <c r="P254" s="134">
        <v>5311</v>
      </c>
      <c r="Q254" s="28">
        <v>16795</v>
      </c>
      <c r="R254" s="122"/>
      <c r="S254" s="134"/>
      <c r="T254" s="134"/>
      <c r="U254" s="134"/>
      <c r="V254" s="134"/>
      <c r="W254" s="134"/>
      <c r="X254" s="134"/>
      <c r="Y254" s="134"/>
      <c r="Z254" s="134"/>
      <c r="AA254" s="134"/>
      <c r="AB254" s="134"/>
      <c r="AC254" s="134"/>
      <c r="AD254" s="134"/>
    </row>
    <row r="255" spans="1:30">
      <c r="A255" s="228">
        <v>20</v>
      </c>
      <c r="B255" s="236" t="s">
        <v>286</v>
      </c>
      <c r="C255" s="10"/>
      <c r="D255" s="162">
        <v>1291698</v>
      </c>
      <c r="E255" s="28">
        <v>26107</v>
      </c>
      <c r="F255" s="134">
        <v>2117</v>
      </c>
      <c r="G255" s="28">
        <v>86</v>
      </c>
      <c r="H255" s="29">
        <v>46264</v>
      </c>
      <c r="I255" s="28">
        <v>2108</v>
      </c>
      <c r="J255" s="134">
        <v>44</v>
      </c>
      <c r="K255" s="28">
        <v>6</v>
      </c>
      <c r="L255" s="134">
        <v>3137</v>
      </c>
      <c r="M255" s="28">
        <v>775213</v>
      </c>
      <c r="N255" s="134">
        <v>357186</v>
      </c>
      <c r="O255" s="28">
        <v>4350</v>
      </c>
      <c r="P255" s="134">
        <v>842</v>
      </c>
      <c r="Q255" s="28">
        <v>6826</v>
      </c>
      <c r="R255" s="122"/>
      <c r="S255" s="134"/>
      <c r="T255" s="134"/>
      <c r="U255" s="134"/>
      <c r="V255" s="134"/>
      <c r="W255" s="134"/>
      <c r="X255" s="134"/>
      <c r="Y255" s="134"/>
      <c r="Z255" s="134"/>
      <c r="AA255" s="134"/>
      <c r="AB255" s="134"/>
      <c r="AC255" s="134"/>
      <c r="AD255" s="134"/>
    </row>
    <row r="256" spans="1:30">
      <c r="A256" s="228">
        <v>21</v>
      </c>
      <c r="B256" s="236" t="s">
        <v>287</v>
      </c>
      <c r="C256" s="10"/>
      <c r="D256" s="162">
        <v>1537656</v>
      </c>
      <c r="E256" s="28">
        <v>99972</v>
      </c>
      <c r="F256" s="134">
        <v>1535</v>
      </c>
      <c r="G256" s="28">
        <v>355</v>
      </c>
      <c r="H256" s="134">
        <v>39235</v>
      </c>
      <c r="I256" s="28">
        <v>7671</v>
      </c>
      <c r="J256" s="134">
        <v>163</v>
      </c>
      <c r="K256" s="28">
        <v>3</v>
      </c>
      <c r="L256" s="134">
        <v>416</v>
      </c>
      <c r="M256" s="28">
        <v>18365</v>
      </c>
      <c r="N256" s="134">
        <v>362549</v>
      </c>
      <c r="O256" s="28">
        <v>415</v>
      </c>
      <c r="P256" s="134">
        <v>8165</v>
      </c>
      <c r="Q256" s="28">
        <v>23215</v>
      </c>
      <c r="R256" s="122"/>
      <c r="S256" s="134"/>
      <c r="T256" s="134"/>
      <c r="U256" s="134"/>
      <c r="V256" s="134"/>
      <c r="W256" s="134"/>
      <c r="X256" s="134"/>
      <c r="Y256" s="134"/>
      <c r="Z256" s="134"/>
      <c r="AA256" s="134"/>
      <c r="AB256" s="134"/>
      <c r="AC256" s="134"/>
      <c r="AD256" s="134"/>
    </row>
    <row r="257" spans="1:30">
      <c r="A257" s="228">
        <v>22</v>
      </c>
      <c r="B257" s="236" t="s">
        <v>288</v>
      </c>
      <c r="C257" s="10"/>
      <c r="D257" s="162">
        <v>486556</v>
      </c>
      <c r="E257" s="28">
        <v>26523</v>
      </c>
      <c r="F257" s="134">
        <v>702</v>
      </c>
      <c r="G257" s="28">
        <v>16</v>
      </c>
      <c r="H257" s="134">
        <v>12370</v>
      </c>
      <c r="I257" s="28">
        <v>2645</v>
      </c>
      <c r="J257" s="134">
        <v>30</v>
      </c>
      <c r="K257" s="28">
        <v>11</v>
      </c>
      <c r="L257" s="134">
        <v>50926</v>
      </c>
      <c r="M257" s="28">
        <v>47598</v>
      </c>
      <c r="N257" s="134">
        <v>15797</v>
      </c>
      <c r="O257" s="28">
        <v>1</v>
      </c>
      <c r="P257" s="134">
        <v>140</v>
      </c>
      <c r="Q257" s="28">
        <v>5127</v>
      </c>
      <c r="R257" s="122">
        <v>600</v>
      </c>
      <c r="S257" s="134"/>
      <c r="T257" s="134"/>
      <c r="U257" s="134"/>
      <c r="V257" s="134"/>
      <c r="W257" s="134"/>
      <c r="X257" s="134"/>
      <c r="Y257" s="134"/>
      <c r="Z257" s="134"/>
      <c r="AA257" s="134"/>
      <c r="AB257" s="134"/>
      <c r="AC257" s="134"/>
      <c r="AD257" s="134"/>
    </row>
    <row r="258" spans="1:30">
      <c r="A258" s="228">
        <v>23</v>
      </c>
      <c r="B258" s="236" t="s">
        <v>289</v>
      </c>
      <c r="C258" s="10"/>
      <c r="D258" s="63">
        <v>763365</v>
      </c>
      <c r="E258" s="32">
        <v>2151</v>
      </c>
      <c r="F258" s="22">
        <v>290</v>
      </c>
      <c r="G258" s="32">
        <v>16</v>
      </c>
      <c r="H258" s="28">
        <v>30924</v>
      </c>
      <c r="I258" s="32">
        <v>256</v>
      </c>
      <c r="J258" s="22">
        <v>6</v>
      </c>
      <c r="K258" s="32"/>
      <c r="L258" s="22">
        <v>300</v>
      </c>
      <c r="M258" s="32">
        <v>15546</v>
      </c>
      <c r="N258" s="22">
        <v>167395</v>
      </c>
      <c r="O258" s="32"/>
      <c r="P258" s="22">
        <v>3165</v>
      </c>
      <c r="Q258" s="32">
        <v>15363</v>
      </c>
      <c r="R258" s="49"/>
      <c r="S258" s="31"/>
      <c r="T258" s="31"/>
      <c r="U258" s="31"/>
      <c r="V258" s="31"/>
      <c r="W258" s="31"/>
      <c r="X258" s="31"/>
      <c r="Y258" s="31"/>
      <c r="Z258" s="31"/>
      <c r="AA258" s="31"/>
      <c r="AB258" s="31"/>
      <c r="AC258" s="31"/>
      <c r="AD258" s="31"/>
    </row>
    <row r="259" spans="1:30" ht="15">
      <c r="A259" s="228">
        <v>24</v>
      </c>
      <c r="B259" s="236" t="s">
        <v>290</v>
      </c>
      <c r="C259" s="248"/>
      <c r="D259" s="63">
        <v>2470080</v>
      </c>
      <c r="E259" s="22">
        <v>73568</v>
      </c>
      <c r="F259" s="28">
        <v>3800</v>
      </c>
      <c r="G259" s="22">
        <v>589</v>
      </c>
      <c r="H259" s="22">
        <v>90056</v>
      </c>
      <c r="I259" s="22">
        <v>3736</v>
      </c>
      <c r="J259" s="22">
        <v>242</v>
      </c>
      <c r="K259" s="22">
        <v>137</v>
      </c>
      <c r="L259" s="23">
        <v>33338</v>
      </c>
      <c r="M259" s="22">
        <v>124376</v>
      </c>
      <c r="N259" s="70">
        <v>159872</v>
      </c>
      <c r="O259" s="22">
        <v>20067</v>
      </c>
      <c r="P259" s="22">
        <v>5877</v>
      </c>
      <c r="Q259" s="22">
        <v>32117</v>
      </c>
      <c r="R259" s="49"/>
      <c r="S259" s="31"/>
      <c r="T259" s="31"/>
      <c r="U259" s="31"/>
      <c r="V259" s="31"/>
      <c r="W259" s="31"/>
      <c r="X259" s="31"/>
      <c r="Y259" s="250"/>
      <c r="Z259" s="250"/>
      <c r="AA259" s="250"/>
      <c r="AB259" s="250"/>
      <c r="AC259" s="250"/>
      <c r="AD259" s="250"/>
    </row>
    <row r="260" spans="1:30">
      <c r="A260" s="215"/>
      <c r="B260" s="203"/>
      <c r="C260" s="16"/>
      <c r="D260" s="38"/>
      <c r="E260" s="206"/>
      <c r="F260" s="256"/>
      <c r="G260" s="206"/>
      <c r="H260" s="256"/>
      <c r="I260" s="206"/>
      <c r="J260" s="256"/>
      <c r="K260" s="206"/>
      <c r="L260" s="256"/>
      <c r="M260" s="206"/>
      <c r="N260" s="256"/>
      <c r="O260" s="206"/>
      <c r="P260" s="256"/>
      <c r="Q260" s="206"/>
      <c r="R260" s="298"/>
      <c r="S260" s="134"/>
      <c r="T260" s="134"/>
      <c r="U260" s="134"/>
      <c r="V260" s="134"/>
      <c r="W260" s="134"/>
      <c r="X260" s="134"/>
      <c r="Y260" s="134"/>
      <c r="Z260" s="134"/>
      <c r="AA260" s="134"/>
      <c r="AB260" s="134"/>
      <c r="AC260" s="134"/>
      <c r="AD260" s="134"/>
    </row>
    <row r="261" spans="1:30" ht="15">
      <c r="A261" s="216" t="s">
        <v>295</v>
      </c>
      <c r="B261" s="239"/>
      <c r="C261" s="10"/>
      <c r="D261" s="162">
        <f>SUM(D236:D259)</f>
        <v>34288370</v>
      </c>
      <c r="E261" s="22">
        <f t="shared" ref="E261:R261" si="10">SUM(E236:E259)</f>
        <v>1134264</v>
      </c>
      <c r="F261" s="32">
        <f t="shared" si="10"/>
        <v>38415</v>
      </c>
      <c r="G261" s="22">
        <f t="shared" si="10"/>
        <v>4196</v>
      </c>
      <c r="H261" s="32">
        <f>SUM(H236:H259)</f>
        <v>1125698</v>
      </c>
      <c r="I261" s="22">
        <f t="shared" si="10"/>
        <v>85489</v>
      </c>
      <c r="J261" s="32">
        <f t="shared" si="10"/>
        <v>3802</v>
      </c>
      <c r="K261" s="22">
        <f t="shared" si="10"/>
        <v>3873</v>
      </c>
      <c r="L261" s="32">
        <f t="shared" si="10"/>
        <v>676384</v>
      </c>
      <c r="M261" s="22">
        <f t="shared" si="10"/>
        <v>3826977</v>
      </c>
      <c r="N261" s="32">
        <f t="shared" si="10"/>
        <v>6105946</v>
      </c>
      <c r="O261" s="22">
        <f t="shared" si="10"/>
        <v>100911</v>
      </c>
      <c r="P261" s="32">
        <f t="shared" si="10"/>
        <v>81233</v>
      </c>
      <c r="Q261" s="22">
        <f t="shared" si="10"/>
        <v>432226</v>
      </c>
      <c r="R261" s="49">
        <f t="shared" si="10"/>
        <v>2262</v>
      </c>
      <c r="S261" s="134"/>
      <c r="T261" s="134"/>
      <c r="U261" s="134"/>
      <c r="V261" s="134"/>
      <c r="W261" s="134"/>
      <c r="X261" s="134"/>
      <c r="Y261" s="134"/>
      <c r="Z261" s="134"/>
      <c r="AA261" s="134"/>
      <c r="AB261" s="134"/>
      <c r="AC261" s="134"/>
      <c r="AD261" s="134"/>
    </row>
    <row r="262" spans="1:30" ht="15" thickBot="1">
      <c r="A262" s="217"/>
      <c r="B262" s="104"/>
      <c r="C262" s="251"/>
      <c r="D262" s="252"/>
      <c r="E262" s="208"/>
      <c r="F262" s="253"/>
      <c r="G262" s="208"/>
      <c r="H262" s="253"/>
      <c r="I262" s="208"/>
      <c r="J262" s="253"/>
      <c r="K262" s="208"/>
      <c r="L262" s="253"/>
      <c r="M262" s="208"/>
      <c r="N262" s="253"/>
      <c r="O262" s="208"/>
      <c r="P262" s="253"/>
      <c r="Q262" s="208"/>
      <c r="R262" s="299"/>
      <c r="S262" s="134"/>
      <c r="T262" s="134"/>
      <c r="U262" s="134"/>
      <c r="V262" s="134"/>
      <c r="W262" s="134"/>
      <c r="X262" s="134"/>
      <c r="Y262" s="134"/>
      <c r="Z262" s="134"/>
      <c r="AA262" s="134"/>
      <c r="AB262" s="134"/>
      <c r="AC262" s="134"/>
      <c r="AD262" s="134"/>
    </row>
    <row r="263" spans="1:30" ht="15" thickTop="1">
      <c r="C263" s="31"/>
      <c r="D263" s="32"/>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c r="AA263" s="134"/>
      <c r="AB263" s="134"/>
      <c r="AC263" s="134"/>
      <c r="AD263" s="134"/>
    </row>
    <row r="264" spans="1:30">
      <c r="C264" s="31"/>
      <c r="D264" s="32"/>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c r="AA264" s="134"/>
      <c r="AB264" s="134"/>
      <c r="AC264" s="134"/>
      <c r="AD264" s="134"/>
    </row>
    <row r="265" spans="1:30" ht="15">
      <c r="C265" s="249"/>
      <c r="D265" s="31"/>
      <c r="E265" s="31"/>
      <c r="F265" s="250"/>
      <c r="G265" s="31"/>
      <c r="H265" s="31"/>
      <c r="I265" s="31"/>
      <c r="J265" s="31"/>
      <c r="K265" s="31"/>
      <c r="L265" s="31"/>
      <c r="M265" s="31"/>
      <c r="N265" s="31"/>
      <c r="O265" s="31"/>
      <c r="P265" s="31"/>
      <c r="Q265" s="31"/>
      <c r="R265" s="31"/>
      <c r="S265" s="31"/>
      <c r="T265" s="31"/>
      <c r="U265" s="31"/>
      <c r="V265" s="31"/>
      <c r="W265" s="31"/>
      <c r="X265" s="31"/>
      <c r="Y265" s="250"/>
      <c r="Z265" s="250"/>
      <c r="AA265" s="250"/>
      <c r="AB265" s="250"/>
      <c r="AC265" s="250"/>
      <c r="AD265" s="250"/>
    </row>
    <row r="266" spans="1:30">
      <c r="C266" s="47"/>
      <c r="D266" s="32"/>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c r="AA266" s="134"/>
      <c r="AB266" s="134"/>
      <c r="AC266" s="134"/>
      <c r="AD266" s="134"/>
    </row>
    <row r="267" spans="1:30">
      <c r="C267" s="31"/>
      <c r="D267" s="32"/>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c r="AA267" s="134"/>
      <c r="AB267" s="134"/>
      <c r="AC267" s="134"/>
      <c r="AD267" s="134"/>
    </row>
    <row r="268" spans="1:30">
      <c r="C268" s="31"/>
      <c r="D268" s="32"/>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c r="AA268" s="134"/>
      <c r="AB268" s="134"/>
      <c r="AC268" s="134"/>
      <c r="AD268" s="134"/>
    </row>
    <row r="269" spans="1:30">
      <c r="C269" s="31"/>
      <c r="D269" s="32"/>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c r="AA269" s="134"/>
      <c r="AB269" s="134"/>
      <c r="AC269" s="134"/>
      <c r="AD269" s="134"/>
    </row>
    <row r="270" spans="1:30">
      <c r="C270" s="31"/>
      <c r="D270" s="32"/>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c r="AA270" s="134"/>
      <c r="AB270" s="134"/>
      <c r="AC270" s="134"/>
      <c r="AD270" s="134"/>
    </row>
  </sheetData>
  <mergeCells count="3">
    <mergeCell ref="F4:G5"/>
    <mergeCell ref="H4:I5"/>
    <mergeCell ref="C4:C7"/>
  </mergeCell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theme="1"/>
  </sheetPr>
  <dimension ref="A2:W271"/>
  <sheetViews>
    <sheetView workbookViewId="0">
      <selection activeCell="H275" sqref="H275"/>
    </sheetView>
  </sheetViews>
  <sheetFormatPr baseColWidth="10" defaultColWidth="8.83203125" defaultRowHeight="14" x14ac:dyDescent="0"/>
  <cols>
    <col min="1" max="1" width="31.5" customWidth="1"/>
    <col min="2" max="2" width="21.5" customWidth="1"/>
    <col min="3" max="3" width="10.1640625" customWidth="1"/>
    <col min="4" max="4" width="11.1640625" customWidth="1"/>
    <col min="5" max="5" width="10.33203125" customWidth="1"/>
    <col min="6" max="6" width="10.5" customWidth="1"/>
    <col min="7" max="7" width="10.1640625" customWidth="1"/>
    <col min="8" max="8" width="11.83203125" customWidth="1"/>
    <col min="9" max="9" width="11" customWidth="1"/>
    <col min="10" max="10" width="15" customWidth="1"/>
    <col min="11" max="11" width="12" customWidth="1"/>
    <col min="12" max="12" width="14.6640625" customWidth="1"/>
    <col min="13" max="13" width="10.5" customWidth="1"/>
    <col min="14" max="14" width="11.5" customWidth="1"/>
    <col min="15" max="15" width="12" customWidth="1"/>
    <col min="16" max="16" width="13.5" customWidth="1"/>
    <col min="17" max="17" width="11.33203125" customWidth="1"/>
    <col min="18" max="18" width="18.5" customWidth="1"/>
    <col min="19" max="19" width="14.1640625" customWidth="1"/>
    <col min="20" max="20" width="15" customWidth="1"/>
    <col min="21" max="21" width="12.83203125" customWidth="1"/>
    <col min="22" max="22" width="12.33203125" customWidth="1"/>
    <col min="23" max="23" width="11.6640625" customWidth="1"/>
  </cols>
  <sheetData>
    <row r="2" spans="1:23" ht="18">
      <c r="A2" s="278" t="s">
        <v>338</v>
      </c>
    </row>
    <row r="3" spans="1:23" ht="18">
      <c r="A3" s="278" t="s">
        <v>339</v>
      </c>
      <c r="B3" s="262" t="s">
        <v>349</v>
      </c>
    </row>
    <row r="4" spans="1:23" ht="19" thickBot="1">
      <c r="A4" s="1"/>
    </row>
    <row r="5" spans="1:23" ht="15" thickTop="1">
      <c r="A5" s="33"/>
      <c r="B5" s="7"/>
      <c r="C5" s="710" t="s">
        <v>306</v>
      </c>
      <c r="D5" s="65"/>
      <c r="E5" s="142"/>
      <c r="F5" s="142"/>
      <c r="G5" s="142"/>
      <c r="H5" s="142"/>
      <c r="I5" s="142"/>
      <c r="J5" s="142"/>
      <c r="K5" s="142"/>
      <c r="L5" s="142"/>
      <c r="M5" s="142"/>
      <c r="N5" s="142"/>
      <c r="O5" s="159" t="s">
        <v>340</v>
      </c>
      <c r="P5" s="53"/>
      <c r="Q5" s="156"/>
      <c r="R5" s="159" t="s">
        <v>70</v>
      </c>
      <c r="S5" s="33"/>
      <c r="T5" s="159" t="s">
        <v>73</v>
      </c>
      <c r="U5" s="157" t="s">
        <v>74</v>
      </c>
      <c r="V5" s="142"/>
      <c r="W5" s="290"/>
    </row>
    <row r="6" spans="1:23">
      <c r="A6" s="140" t="s">
        <v>42</v>
      </c>
      <c r="B6" s="97"/>
      <c r="C6" s="711"/>
      <c r="D6" s="115" t="s">
        <v>47</v>
      </c>
      <c r="E6" s="143" t="s">
        <v>48</v>
      </c>
      <c r="F6" s="143" t="s">
        <v>65</v>
      </c>
      <c r="G6" s="143" t="s">
        <v>50</v>
      </c>
      <c r="H6" s="143" t="s">
        <v>51</v>
      </c>
      <c r="I6" s="143" t="s">
        <v>52</v>
      </c>
      <c r="J6" s="143" t="s">
        <v>53</v>
      </c>
      <c r="K6" s="143" t="s">
        <v>54</v>
      </c>
      <c r="L6" s="143" t="s">
        <v>55</v>
      </c>
      <c r="M6" s="143" t="s">
        <v>56</v>
      </c>
      <c r="N6" s="143" t="s">
        <v>57</v>
      </c>
      <c r="O6" s="143" t="s">
        <v>341</v>
      </c>
      <c r="P6" s="155" t="s">
        <v>67</v>
      </c>
      <c r="Q6" s="158" t="s">
        <v>68</v>
      </c>
      <c r="R6" s="154" t="s">
        <v>69</v>
      </c>
      <c r="S6" s="160" t="s">
        <v>71</v>
      </c>
      <c r="T6" s="154" t="s">
        <v>72</v>
      </c>
      <c r="U6" s="160" t="s">
        <v>75</v>
      </c>
      <c r="V6" s="154" t="s">
        <v>76</v>
      </c>
      <c r="W6" s="291" t="s">
        <v>77</v>
      </c>
    </row>
    <row r="7" spans="1:23">
      <c r="A7" s="141">
        <v>4145</v>
      </c>
      <c r="B7" s="241"/>
      <c r="C7" s="711"/>
      <c r="D7" s="17" t="s">
        <v>342</v>
      </c>
      <c r="E7" s="18" t="s">
        <v>342</v>
      </c>
      <c r="F7" s="18" t="s">
        <v>342</v>
      </c>
      <c r="G7" s="18" t="s">
        <v>342</v>
      </c>
      <c r="H7" s="47" t="s">
        <v>342</v>
      </c>
      <c r="I7" s="18" t="s">
        <v>342</v>
      </c>
      <c r="J7" s="47" t="s">
        <v>342</v>
      </c>
      <c r="K7" s="18" t="s">
        <v>342</v>
      </c>
      <c r="L7" s="47" t="s">
        <v>342</v>
      </c>
      <c r="M7" s="18" t="s">
        <v>342</v>
      </c>
      <c r="N7" s="47" t="s">
        <v>342</v>
      </c>
      <c r="O7" s="18" t="s">
        <v>342</v>
      </c>
      <c r="P7" s="47" t="s">
        <v>342</v>
      </c>
      <c r="Q7" s="18" t="s">
        <v>342</v>
      </c>
      <c r="R7" s="47" t="s">
        <v>342</v>
      </c>
      <c r="S7" s="18" t="s">
        <v>342</v>
      </c>
      <c r="T7" s="47" t="s">
        <v>342</v>
      </c>
      <c r="U7" s="18" t="s">
        <v>342</v>
      </c>
      <c r="V7" s="47" t="s">
        <v>342</v>
      </c>
      <c r="W7" s="61" t="s">
        <v>342</v>
      </c>
    </row>
    <row r="8" spans="1:23">
      <c r="A8" s="3"/>
      <c r="B8" s="5"/>
      <c r="C8" s="712"/>
      <c r="D8" s="40"/>
      <c r="E8" s="14"/>
      <c r="F8" s="14"/>
      <c r="G8" s="14"/>
      <c r="H8" s="14"/>
      <c r="I8" s="14"/>
      <c r="J8" s="14"/>
      <c r="K8" s="14"/>
      <c r="L8" s="14"/>
      <c r="M8" s="14"/>
      <c r="N8" s="14"/>
      <c r="O8" s="14"/>
      <c r="P8" s="39"/>
      <c r="Q8" s="30"/>
      <c r="R8" s="14"/>
      <c r="S8" s="3"/>
      <c r="T8" s="14"/>
      <c r="U8" s="3"/>
      <c r="V8" s="14"/>
      <c r="W8" s="292"/>
    </row>
    <row r="9" spans="1:23">
      <c r="A9" s="31"/>
      <c r="B9" s="4"/>
      <c r="C9" s="10"/>
      <c r="D9" s="279"/>
      <c r="E9" s="167"/>
      <c r="F9" s="167"/>
      <c r="G9" s="13"/>
      <c r="H9" s="13"/>
      <c r="I9" s="13"/>
      <c r="J9" s="13"/>
      <c r="K9" s="13"/>
      <c r="L9" s="13"/>
      <c r="M9" s="13"/>
      <c r="N9" s="13"/>
      <c r="O9" s="13"/>
      <c r="P9" s="35"/>
      <c r="Q9" s="36"/>
      <c r="R9" s="37"/>
      <c r="S9" s="13"/>
      <c r="T9" s="35"/>
      <c r="U9" s="36"/>
      <c r="V9" s="37"/>
      <c r="W9" s="293"/>
    </row>
    <row r="10" spans="1:23">
      <c r="A10" s="145" t="s">
        <v>61</v>
      </c>
      <c r="B10" s="235"/>
      <c r="C10" s="244"/>
      <c r="D10" s="133">
        <f>SUM(D13:D16)</f>
        <v>379571</v>
      </c>
      <c r="E10" s="28">
        <f t="shared" ref="E10:W10" si="0">SUM(E13:E16)</f>
        <v>382553</v>
      </c>
      <c r="F10" s="134">
        <f t="shared" si="0"/>
        <v>51308</v>
      </c>
      <c r="G10" s="28">
        <f t="shared" si="0"/>
        <v>1081719</v>
      </c>
      <c r="H10" s="134">
        <f t="shared" si="0"/>
        <v>78712</v>
      </c>
      <c r="I10" s="28">
        <f t="shared" si="0"/>
        <v>51181</v>
      </c>
      <c r="J10" s="134">
        <f t="shared" si="0"/>
        <v>5385</v>
      </c>
      <c r="K10" s="28">
        <f t="shared" si="0"/>
        <v>29102</v>
      </c>
      <c r="L10" s="134">
        <f t="shared" si="0"/>
        <v>6384</v>
      </c>
      <c r="M10" s="28">
        <f t="shared" si="0"/>
        <v>18885</v>
      </c>
      <c r="N10" s="134">
        <f t="shared" si="0"/>
        <v>2081</v>
      </c>
      <c r="O10" s="28">
        <f t="shared" si="0"/>
        <v>2436</v>
      </c>
      <c r="P10" s="134">
        <f t="shared" si="0"/>
        <v>9149</v>
      </c>
      <c r="Q10" s="28">
        <f t="shared" si="0"/>
        <v>73827</v>
      </c>
      <c r="R10" s="134">
        <f t="shared" si="0"/>
        <v>27879</v>
      </c>
      <c r="S10" s="28">
        <f t="shared" si="0"/>
        <v>654</v>
      </c>
      <c r="T10" s="134">
        <f t="shared" si="0"/>
        <v>3636</v>
      </c>
      <c r="U10" s="28">
        <f t="shared" si="0"/>
        <v>30681</v>
      </c>
      <c r="V10" s="134">
        <f t="shared" si="0"/>
        <v>2383</v>
      </c>
      <c r="W10" s="122">
        <f t="shared" si="0"/>
        <v>7806</v>
      </c>
    </row>
    <row r="11" spans="1:23" ht="15" thickBot="1">
      <c r="A11" s="47" t="s">
        <v>62</v>
      </c>
      <c r="B11" s="8"/>
      <c r="C11" s="17"/>
      <c r="D11" s="147"/>
      <c r="E11" s="148"/>
      <c r="F11" s="148"/>
      <c r="G11" s="148"/>
      <c r="H11" s="148"/>
      <c r="I11" s="149"/>
      <c r="J11" s="148"/>
      <c r="K11" s="149"/>
      <c r="L11" s="148"/>
      <c r="M11" s="149"/>
      <c r="N11" s="148"/>
      <c r="O11" s="168"/>
      <c r="P11" s="168"/>
      <c r="Q11" s="168"/>
      <c r="R11" s="168"/>
      <c r="S11" s="168"/>
      <c r="T11" s="168"/>
      <c r="U11" s="168"/>
      <c r="V11" s="168"/>
      <c r="W11" s="294"/>
    </row>
    <row r="12" spans="1:23">
      <c r="A12" s="47"/>
      <c r="B12" s="8"/>
      <c r="C12" s="17"/>
      <c r="D12" s="63"/>
      <c r="E12" s="22"/>
      <c r="F12" s="22"/>
      <c r="G12" s="22"/>
      <c r="H12" s="22"/>
      <c r="I12" s="32"/>
      <c r="J12" s="22"/>
      <c r="K12" s="32"/>
      <c r="L12" s="22"/>
      <c r="M12" s="32"/>
      <c r="N12" s="22"/>
      <c r="O12" s="28"/>
      <c r="P12" s="28"/>
      <c r="Q12" s="28"/>
      <c r="R12" s="28"/>
      <c r="S12" s="28"/>
      <c r="T12" s="28"/>
      <c r="U12" s="28"/>
      <c r="V12" s="28"/>
      <c r="W12" s="122"/>
    </row>
    <row r="13" spans="1:23">
      <c r="A13" s="31" t="s">
        <v>4</v>
      </c>
      <c r="B13" s="4"/>
      <c r="C13" s="10"/>
      <c r="D13" s="63">
        <v>230961</v>
      </c>
      <c r="E13" s="22">
        <v>238113</v>
      </c>
      <c r="F13" s="22">
        <v>43002</v>
      </c>
      <c r="G13" s="22">
        <v>115394</v>
      </c>
      <c r="H13" s="22">
        <v>9206</v>
      </c>
      <c r="I13" s="32">
        <v>43097</v>
      </c>
      <c r="J13" s="22">
        <v>1929</v>
      </c>
      <c r="K13" s="32">
        <v>9776</v>
      </c>
      <c r="L13" s="22">
        <v>3385</v>
      </c>
      <c r="M13" s="32">
        <v>7128</v>
      </c>
      <c r="N13" s="22">
        <v>911</v>
      </c>
      <c r="O13" s="28">
        <v>1102</v>
      </c>
      <c r="P13" s="28">
        <v>2084</v>
      </c>
      <c r="Q13" s="28">
        <v>61164</v>
      </c>
      <c r="R13" s="28">
        <v>7054</v>
      </c>
      <c r="S13" s="28">
        <v>15</v>
      </c>
      <c r="T13" s="28">
        <v>41</v>
      </c>
      <c r="U13" s="28">
        <v>11</v>
      </c>
      <c r="V13" s="28">
        <v>3</v>
      </c>
      <c r="W13" s="122">
        <v>23</v>
      </c>
    </row>
    <row r="14" spans="1:23">
      <c r="A14" s="68" t="s">
        <v>1</v>
      </c>
      <c r="B14" s="111"/>
      <c r="C14" s="245"/>
      <c r="D14" s="63">
        <v>1108</v>
      </c>
      <c r="E14" s="22">
        <v>7919</v>
      </c>
      <c r="F14" s="22">
        <v>1230</v>
      </c>
      <c r="G14" s="22">
        <v>110318</v>
      </c>
      <c r="H14" s="22">
        <v>3861</v>
      </c>
      <c r="I14" s="32">
        <v>412</v>
      </c>
      <c r="J14" s="22">
        <v>1074</v>
      </c>
      <c r="K14" s="32">
        <v>4081</v>
      </c>
      <c r="L14" s="22">
        <v>1417</v>
      </c>
      <c r="M14" s="32">
        <v>2077</v>
      </c>
      <c r="N14" s="22">
        <v>94</v>
      </c>
      <c r="O14" s="28">
        <v>340</v>
      </c>
      <c r="P14" s="28">
        <v>502</v>
      </c>
      <c r="Q14" s="28">
        <v>1297</v>
      </c>
      <c r="R14" s="28">
        <v>11787</v>
      </c>
      <c r="S14" s="28">
        <v>159</v>
      </c>
      <c r="T14" s="28">
        <v>2818</v>
      </c>
      <c r="U14" s="28">
        <v>30585</v>
      </c>
      <c r="V14" s="28">
        <v>2380</v>
      </c>
      <c r="W14" s="122">
        <v>59</v>
      </c>
    </row>
    <row r="15" spans="1:23">
      <c r="A15" s="68" t="s">
        <v>2</v>
      </c>
      <c r="B15" s="111"/>
      <c r="C15" s="245"/>
      <c r="D15" s="63">
        <v>34796</v>
      </c>
      <c r="E15" s="22">
        <v>48663</v>
      </c>
      <c r="F15" s="22">
        <v>2833</v>
      </c>
      <c r="G15" s="28">
        <v>424816</v>
      </c>
      <c r="H15" s="22">
        <v>24938</v>
      </c>
      <c r="I15" s="32">
        <v>317</v>
      </c>
      <c r="J15" s="22">
        <v>1134</v>
      </c>
      <c r="K15" s="32">
        <v>8979</v>
      </c>
      <c r="L15" s="22">
        <v>1453</v>
      </c>
      <c r="M15" s="32">
        <v>5064</v>
      </c>
      <c r="N15" s="22">
        <v>465</v>
      </c>
      <c r="O15" s="28">
        <v>477</v>
      </c>
      <c r="P15" s="28">
        <v>5431</v>
      </c>
      <c r="Q15" s="28">
        <v>6829</v>
      </c>
      <c r="R15" s="28">
        <v>5337</v>
      </c>
      <c r="S15" s="28">
        <v>392</v>
      </c>
      <c r="T15" s="28">
        <v>648</v>
      </c>
      <c r="U15" s="28">
        <v>83</v>
      </c>
      <c r="V15" s="28"/>
      <c r="W15" s="122">
        <v>5174</v>
      </c>
    </row>
    <row r="16" spans="1:23">
      <c r="A16" s="68" t="s">
        <v>3</v>
      </c>
      <c r="B16" s="111"/>
      <c r="C16" s="245"/>
      <c r="D16" s="99">
        <v>112706</v>
      </c>
      <c r="E16" s="22">
        <v>87858</v>
      </c>
      <c r="F16" s="22">
        <v>4243</v>
      </c>
      <c r="G16" s="22">
        <v>431191</v>
      </c>
      <c r="H16" s="22">
        <v>40707</v>
      </c>
      <c r="I16" s="32">
        <v>7355</v>
      </c>
      <c r="J16" s="22">
        <v>1248</v>
      </c>
      <c r="K16" s="32">
        <v>6266</v>
      </c>
      <c r="L16" s="22">
        <v>129</v>
      </c>
      <c r="M16" s="32">
        <v>4616</v>
      </c>
      <c r="N16" s="22">
        <v>611</v>
      </c>
      <c r="O16" s="28">
        <v>517</v>
      </c>
      <c r="P16" s="28">
        <v>1132</v>
      </c>
      <c r="Q16" s="28">
        <v>4537</v>
      </c>
      <c r="R16" s="28">
        <v>3701</v>
      </c>
      <c r="S16" s="28">
        <v>88</v>
      </c>
      <c r="T16" s="28">
        <v>129</v>
      </c>
      <c r="U16" s="28">
        <v>2</v>
      </c>
      <c r="V16" s="28"/>
      <c r="W16" s="122">
        <v>2550</v>
      </c>
    </row>
    <row r="17" spans="1:23">
      <c r="A17" s="68"/>
      <c r="B17" s="111"/>
      <c r="C17" s="245"/>
      <c r="D17" s="40"/>
      <c r="E17" s="14"/>
      <c r="F17" s="14"/>
      <c r="G17" s="14"/>
      <c r="H17" s="14"/>
      <c r="I17" s="31"/>
      <c r="J17" s="14"/>
      <c r="K17" s="31"/>
      <c r="L17" s="14"/>
      <c r="M17" s="31"/>
      <c r="N17" s="14"/>
      <c r="O17" s="13"/>
      <c r="P17" s="35"/>
      <c r="R17" s="14"/>
      <c r="S17" s="13"/>
      <c r="T17" s="35"/>
      <c r="V17" s="14"/>
      <c r="W17" s="293"/>
    </row>
    <row r="18" spans="1:23" ht="16" thickBot="1">
      <c r="A18" s="144" t="s">
        <v>5</v>
      </c>
      <c r="B18" s="242"/>
      <c r="C18" s="246"/>
      <c r="D18" s="38"/>
      <c r="E18" s="37"/>
      <c r="F18" s="37"/>
      <c r="G18" s="37"/>
      <c r="H18" s="37"/>
      <c r="I18" s="37"/>
      <c r="J18" s="200"/>
      <c r="K18" s="37"/>
      <c r="L18" s="54"/>
      <c r="M18" s="37"/>
      <c r="N18" s="37"/>
      <c r="O18" s="37"/>
      <c r="P18" s="37"/>
      <c r="Q18" s="37"/>
      <c r="R18" s="37"/>
      <c r="S18" s="37"/>
      <c r="T18" s="37"/>
      <c r="U18" s="37"/>
      <c r="V18" s="37"/>
      <c r="W18" s="295"/>
    </row>
    <row r="19" spans="1:23">
      <c r="A19" s="100">
        <v>1</v>
      </c>
      <c r="B19" s="4" t="s">
        <v>300</v>
      </c>
      <c r="C19" s="17" t="s">
        <v>343</v>
      </c>
      <c r="D19" s="162">
        <v>536</v>
      </c>
      <c r="E19" s="28">
        <v>494</v>
      </c>
      <c r="F19" s="28">
        <v>141</v>
      </c>
      <c r="G19" s="28">
        <v>351</v>
      </c>
      <c r="H19" s="134"/>
      <c r="I19" s="28"/>
      <c r="J19" s="134">
        <v>15</v>
      </c>
      <c r="K19" s="28">
        <v>17</v>
      </c>
      <c r="L19" s="134">
        <v>1</v>
      </c>
      <c r="M19" s="28">
        <v>34</v>
      </c>
      <c r="N19" s="134">
        <v>1</v>
      </c>
      <c r="O19" s="28"/>
      <c r="P19" s="28">
        <v>8</v>
      </c>
      <c r="Q19" s="28">
        <v>936</v>
      </c>
      <c r="R19" s="134"/>
      <c r="S19" s="28"/>
      <c r="T19" s="134"/>
      <c r="U19" s="28"/>
      <c r="V19" s="134"/>
      <c r="W19" s="122"/>
    </row>
    <row r="20" spans="1:23">
      <c r="A20" s="100">
        <v>2</v>
      </c>
      <c r="B20" s="4" t="s">
        <v>88</v>
      </c>
      <c r="C20" s="10"/>
      <c r="D20" s="162">
        <v>466</v>
      </c>
      <c r="E20" s="28">
        <v>276</v>
      </c>
      <c r="F20" s="28">
        <v>106</v>
      </c>
      <c r="G20" s="28">
        <v>1173</v>
      </c>
      <c r="H20" s="134">
        <v>7</v>
      </c>
      <c r="I20" s="28">
        <v>13</v>
      </c>
      <c r="J20" s="134">
        <v>4</v>
      </c>
      <c r="K20" s="28">
        <v>19</v>
      </c>
      <c r="L20" s="134">
        <v>1</v>
      </c>
      <c r="M20" s="28">
        <v>64</v>
      </c>
      <c r="N20" s="134">
        <v>1</v>
      </c>
      <c r="O20" s="28">
        <v>4</v>
      </c>
      <c r="P20" s="28">
        <v>7</v>
      </c>
      <c r="Q20" s="28">
        <v>274</v>
      </c>
      <c r="R20" s="134">
        <v>14</v>
      </c>
      <c r="S20" s="28"/>
      <c r="T20" s="134"/>
      <c r="U20" s="28"/>
      <c r="V20" s="134"/>
      <c r="W20" s="122"/>
    </row>
    <row r="21" spans="1:23">
      <c r="A21" s="100">
        <v>3</v>
      </c>
      <c r="B21" s="4" t="s">
        <v>89</v>
      </c>
      <c r="C21" s="10"/>
      <c r="D21" s="162">
        <v>548</v>
      </c>
      <c r="E21" s="28">
        <v>2707</v>
      </c>
      <c r="F21" s="28">
        <v>981</v>
      </c>
      <c r="G21" s="28">
        <v>3875</v>
      </c>
      <c r="H21" s="134">
        <v>51</v>
      </c>
      <c r="I21" s="28"/>
      <c r="J21" s="134">
        <v>27</v>
      </c>
      <c r="K21" s="28">
        <v>231</v>
      </c>
      <c r="L21" s="134">
        <v>7</v>
      </c>
      <c r="M21" s="28">
        <v>202</v>
      </c>
      <c r="N21" s="134">
        <v>13</v>
      </c>
      <c r="O21" s="28">
        <v>133</v>
      </c>
      <c r="P21" s="28">
        <v>25</v>
      </c>
      <c r="Q21" s="28">
        <v>457</v>
      </c>
      <c r="R21" s="134">
        <v>15</v>
      </c>
      <c r="S21" s="28"/>
      <c r="T21" s="134"/>
      <c r="U21" s="28"/>
      <c r="V21" s="134">
        <v>2</v>
      </c>
      <c r="W21" s="122"/>
    </row>
    <row r="22" spans="1:23">
      <c r="A22" s="100">
        <v>4</v>
      </c>
      <c r="B22" s="4" t="s">
        <v>90</v>
      </c>
      <c r="C22" s="10"/>
      <c r="D22" s="162">
        <v>2508</v>
      </c>
      <c r="E22" s="28">
        <v>456</v>
      </c>
      <c r="F22" s="28">
        <v>426</v>
      </c>
      <c r="G22" s="28">
        <v>821</v>
      </c>
      <c r="H22" s="134">
        <v>23</v>
      </c>
      <c r="I22" s="28">
        <v>131</v>
      </c>
      <c r="J22" s="134">
        <v>11</v>
      </c>
      <c r="K22" s="28">
        <v>132</v>
      </c>
      <c r="L22" s="134">
        <v>2</v>
      </c>
      <c r="M22" s="28">
        <v>202</v>
      </c>
      <c r="N22" s="134">
        <v>9</v>
      </c>
      <c r="O22" s="28">
        <v>8</v>
      </c>
      <c r="P22" s="28">
        <v>17</v>
      </c>
      <c r="Q22" s="28">
        <v>778</v>
      </c>
      <c r="R22" s="134">
        <v>2</v>
      </c>
      <c r="S22" s="28"/>
      <c r="T22" s="134"/>
      <c r="U22" s="28"/>
      <c r="V22" s="134"/>
      <c r="W22" s="122">
        <v>1</v>
      </c>
    </row>
    <row r="23" spans="1:23">
      <c r="A23" s="100">
        <v>5</v>
      </c>
      <c r="B23" s="4" t="s">
        <v>91</v>
      </c>
      <c r="C23" s="10"/>
      <c r="D23" s="162">
        <v>3833</v>
      </c>
      <c r="E23" s="28">
        <v>3744</v>
      </c>
      <c r="F23" s="28">
        <v>3640</v>
      </c>
      <c r="G23" s="28">
        <v>4398</v>
      </c>
      <c r="H23" s="134">
        <v>86</v>
      </c>
      <c r="I23" s="28">
        <v>4</v>
      </c>
      <c r="J23" s="134">
        <v>5</v>
      </c>
      <c r="K23" s="28">
        <v>45</v>
      </c>
      <c r="L23" s="134">
        <v>8</v>
      </c>
      <c r="M23" s="28">
        <v>350</v>
      </c>
      <c r="N23" s="134">
        <v>1</v>
      </c>
      <c r="O23" s="28">
        <v>441</v>
      </c>
      <c r="P23" s="28">
        <v>3</v>
      </c>
      <c r="Q23" s="28">
        <v>185</v>
      </c>
      <c r="R23" s="134"/>
      <c r="S23" s="28"/>
      <c r="T23" s="134"/>
      <c r="U23" s="28"/>
      <c r="V23" s="134"/>
      <c r="W23" s="122"/>
    </row>
    <row r="24" spans="1:23" ht="15">
      <c r="A24" s="100">
        <v>6</v>
      </c>
      <c r="B24" s="4" t="s">
        <v>92</v>
      </c>
      <c r="C24" s="248"/>
      <c r="D24" s="63">
        <v>4145</v>
      </c>
      <c r="E24" s="22">
        <v>1491</v>
      </c>
      <c r="F24" s="28">
        <v>456</v>
      </c>
      <c r="G24" s="28">
        <v>3110</v>
      </c>
      <c r="H24" s="22">
        <v>92</v>
      </c>
      <c r="I24" s="28">
        <v>364</v>
      </c>
      <c r="J24" s="45">
        <v>17</v>
      </c>
      <c r="K24" s="28">
        <v>86</v>
      </c>
      <c r="L24" s="70">
        <v>1</v>
      </c>
      <c r="M24" s="28">
        <v>187</v>
      </c>
      <c r="N24" s="28">
        <v>2</v>
      </c>
      <c r="O24" s="22">
        <v>10</v>
      </c>
      <c r="P24" s="28">
        <v>4</v>
      </c>
      <c r="Q24" s="28">
        <v>675</v>
      </c>
      <c r="R24" s="134">
        <v>39</v>
      </c>
      <c r="S24" s="28"/>
      <c r="T24" s="134"/>
      <c r="U24" s="28"/>
      <c r="V24" s="134"/>
      <c r="W24" s="122"/>
    </row>
    <row r="25" spans="1:23">
      <c r="A25" s="100">
        <v>7</v>
      </c>
      <c r="B25" s="4" t="s">
        <v>93</v>
      </c>
      <c r="C25" s="17"/>
      <c r="D25" s="162">
        <v>1712</v>
      </c>
      <c r="E25" s="28">
        <v>1126</v>
      </c>
      <c r="F25" s="28">
        <v>608</v>
      </c>
      <c r="G25" s="28">
        <v>605</v>
      </c>
      <c r="H25" s="134"/>
      <c r="I25" s="28">
        <v>230</v>
      </c>
      <c r="J25" s="134">
        <v>12</v>
      </c>
      <c r="K25" s="28">
        <v>202</v>
      </c>
      <c r="L25" s="134"/>
      <c r="M25" s="28">
        <v>23</v>
      </c>
      <c r="N25" s="134">
        <v>1</v>
      </c>
      <c r="O25" s="28"/>
      <c r="P25" s="28"/>
      <c r="Q25" s="28">
        <v>154</v>
      </c>
      <c r="R25" s="134">
        <v>90</v>
      </c>
      <c r="S25" s="28"/>
      <c r="T25" s="134"/>
      <c r="U25" s="28"/>
      <c r="V25" s="134"/>
      <c r="W25" s="122"/>
    </row>
    <row r="26" spans="1:23">
      <c r="A26" s="100">
        <v>8</v>
      </c>
      <c r="B26" s="4" t="s">
        <v>94</v>
      </c>
      <c r="C26" s="10"/>
      <c r="D26" s="162">
        <v>29</v>
      </c>
      <c r="E26" s="28">
        <v>82</v>
      </c>
      <c r="F26" s="28">
        <v>3</v>
      </c>
      <c r="G26" s="28">
        <v>392</v>
      </c>
      <c r="H26" s="134">
        <v>1</v>
      </c>
      <c r="I26" s="28">
        <v>1</v>
      </c>
      <c r="J26" s="134"/>
      <c r="K26" s="28">
        <v>25</v>
      </c>
      <c r="L26" s="134"/>
      <c r="M26" s="28">
        <v>16</v>
      </c>
      <c r="N26" s="134">
        <v>1</v>
      </c>
      <c r="O26" s="28">
        <v>1</v>
      </c>
      <c r="P26" s="28"/>
      <c r="Q26" s="28">
        <v>12</v>
      </c>
      <c r="R26" s="134"/>
      <c r="S26" s="28"/>
      <c r="T26" s="134"/>
      <c r="U26" s="28"/>
      <c r="V26" s="134"/>
      <c r="W26" s="122"/>
    </row>
    <row r="27" spans="1:23">
      <c r="A27" s="100">
        <v>9</v>
      </c>
      <c r="B27" s="4" t="s">
        <v>95</v>
      </c>
      <c r="C27" s="10"/>
      <c r="D27" s="162">
        <v>618</v>
      </c>
      <c r="E27" s="28">
        <v>2249</v>
      </c>
      <c r="F27" s="28">
        <v>1121</v>
      </c>
      <c r="G27" s="28">
        <v>5198</v>
      </c>
      <c r="H27" s="134">
        <v>174</v>
      </c>
      <c r="I27" s="28">
        <v>2</v>
      </c>
      <c r="J27" s="134">
        <v>5</v>
      </c>
      <c r="K27" s="28">
        <v>149</v>
      </c>
      <c r="L27" s="134">
        <v>27</v>
      </c>
      <c r="M27" s="28">
        <v>65</v>
      </c>
      <c r="N27" s="134">
        <v>8</v>
      </c>
      <c r="O27" s="205">
        <v>37</v>
      </c>
      <c r="P27" s="28">
        <v>5</v>
      </c>
      <c r="Q27" s="28">
        <v>78</v>
      </c>
      <c r="R27" s="134">
        <v>1141</v>
      </c>
      <c r="S27" s="28"/>
      <c r="T27" s="134"/>
      <c r="U27" s="28"/>
      <c r="V27" s="134"/>
      <c r="W27" s="122"/>
    </row>
    <row r="28" spans="1:23">
      <c r="A28" s="100">
        <v>10</v>
      </c>
      <c r="B28" s="4" t="s">
        <v>96</v>
      </c>
      <c r="C28" s="10"/>
      <c r="D28" s="162">
        <v>427</v>
      </c>
      <c r="E28" s="28">
        <v>179</v>
      </c>
      <c r="F28" s="28">
        <v>49</v>
      </c>
      <c r="G28" s="28">
        <v>87</v>
      </c>
      <c r="H28" s="134">
        <v>2</v>
      </c>
      <c r="I28" s="28"/>
      <c r="J28" s="134"/>
      <c r="K28" s="28">
        <v>35</v>
      </c>
      <c r="L28" s="134">
        <v>6</v>
      </c>
      <c r="M28" s="28">
        <v>30</v>
      </c>
      <c r="N28" s="134">
        <v>5</v>
      </c>
      <c r="O28" s="28">
        <v>1</v>
      </c>
      <c r="P28" s="28">
        <v>1</v>
      </c>
      <c r="Q28" s="28">
        <v>1057</v>
      </c>
      <c r="R28" s="134">
        <v>6</v>
      </c>
      <c r="S28" s="28"/>
      <c r="T28" s="134"/>
      <c r="U28" s="28"/>
      <c r="V28" s="134"/>
      <c r="W28" s="122"/>
    </row>
    <row r="29" spans="1:23">
      <c r="A29" s="100">
        <v>11</v>
      </c>
      <c r="B29" s="4" t="s">
        <v>97</v>
      </c>
      <c r="C29" s="10"/>
      <c r="D29" s="162">
        <v>288</v>
      </c>
      <c r="E29" s="28">
        <v>755</v>
      </c>
      <c r="F29" s="28">
        <v>163</v>
      </c>
      <c r="G29" s="28">
        <v>1654</v>
      </c>
      <c r="H29" s="134">
        <v>10</v>
      </c>
      <c r="I29" s="28">
        <v>3</v>
      </c>
      <c r="J29" s="134">
        <v>1</v>
      </c>
      <c r="K29" s="28">
        <v>26</v>
      </c>
      <c r="L29" s="134"/>
      <c r="M29" s="28">
        <v>50</v>
      </c>
      <c r="N29" s="134">
        <v>2</v>
      </c>
      <c r="O29" s="28">
        <v>6</v>
      </c>
      <c r="P29" s="28">
        <v>1</v>
      </c>
      <c r="Q29" s="28">
        <v>908</v>
      </c>
      <c r="R29" s="134">
        <v>18</v>
      </c>
      <c r="S29" s="28">
        <v>9</v>
      </c>
      <c r="T29" s="134"/>
      <c r="U29" s="28"/>
      <c r="V29" s="134"/>
      <c r="W29" s="122"/>
    </row>
    <row r="30" spans="1:23" ht="15">
      <c r="A30" s="100">
        <v>12</v>
      </c>
      <c r="B30" s="4" t="s">
        <v>98</v>
      </c>
      <c r="C30" s="248"/>
      <c r="D30" s="63">
        <v>6837</v>
      </c>
      <c r="E30" s="22">
        <v>8291</v>
      </c>
      <c r="F30" s="28">
        <v>935</v>
      </c>
      <c r="G30" s="28">
        <v>92</v>
      </c>
      <c r="H30" s="22"/>
      <c r="I30" s="28">
        <v>56</v>
      </c>
      <c r="J30" s="45">
        <v>47</v>
      </c>
      <c r="K30" s="28">
        <v>45</v>
      </c>
      <c r="L30" s="70">
        <v>71</v>
      </c>
      <c r="M30" s="28">
        <v>49</v>
      </c>
      <c r="N30" s="28">
        <v>14</v>
      </c>
      <c r="O30" s="28">
        <v>4</v>
      </c>
      <c r="P30" s="28">
        <v>26</v>
      </c>
      <c r="Q30" s="28">
        <v>14</v>
      </c>
      <c r="R30" s="134"/>
      <c r="S30" s="28"/>
      <c r="T30" s="134"/>
      <c r="U30" s="28">
        <v>5</v>
      </c>
      <c r="V30" s="134"/>
      <c r="W30" s="122"/>
    </row>
    <row r="31" spans="1:23">
      <c r="A31" s="100">
        <v>13</v>
      </c>
      <c r="B31" s="4" t="s">
        <v>99</v>
      </c>
      <c r="C31" s="17"/>
      <c r="D31" s="162">
        <v>463</v>
      </c>
      <c r="E31" s="28">
        <v>49</v>
      </c>
      <c r="F31" s="28">
        <v>5</v>
      </c>
      <c r="G31" s="28">
        <v>8</v>
      </c>
      <c r="H31" s="134">
        <v>43</v>
      </c>
      <c r="I31" s="28"/>
      <c r="J31" s="134">
        <v>1</v>
      </c>
      <c r="K31" s="28">
        <v>7</v>
      </c>
      <c r="L31" s="134">
        <v>1</v>
      </c>
      <c r="M31" s="28">
        <v>6</v>
      </c>
      <c r="N31" s="134">
        <v>1</v>
      </c>
      <c r="O31" s="22">
        <v>1</v>
      </c>
      <c r="P31" s="28"/>
      <c r="Q31" s="28">
        <v>157</v>
      </c>
      <c r="R31" s="26"/>
      <c r="S31" s="28"/>
      <c r="T31" s="134"/>
      <c r="U31" s="28"/>
      <c r="V31" s="134"/>
      <c r="W31" s="122"/>
    </row>
    <row r="32" spans="1:23">
      <c r="A32" s="100">
        <v>14</v>
      </c>
      <c r="B32" s="4" t="s">
        <v>100</v>
      </c>
      <c r="C32" s="10"/>
      <c r="D32" s="162">
        <v>13910</v>
      </c>
      <c r="E32" s="28">
        <v>16185</v>
      </c>
      <c r="F32" s="28">
        <v>1320</v>
      </c>
      <c r="G32" s="28">
        <v>175</v>
      </c>
      <c r="H32" s="134">
        <v>2</v>
      </c>
      <c r="I32" s="28">
        <v>77</v>
      </c>
      <c r="J32" s="134">
        <v>77</v>
      </c>
      <c r="K32" s="28">
        <v>277</v>
      </c>
      <c r="L32" s="134">
        <v>76</v>
      </c>
      <c r="M32" s="28">
        <v>71</v>
      </c>
      <c r="N32" s="134">
        <v>180</v>
      </c>
      <c r="O32" s="28">
        <v>6</v>
      </c>
      <c r="P32" s="28">
        <v>51</v>
      </c>
      <c r="Q32" s="28">
        <v>22</v>
      </c>
      <c r="R32" s="134">
        <v>192</v>
      </c>
      <c r="S32" s="28"/>
      <c r="U32" s="28"/>
      <c r="V32" s="134"/>
      <c r="W32" s="122"/>
    </row>
    <row r="33" spans="1:23">
      <c r="A33" s="100">
        <v>15</v>
      </c>
      <c r="B33" s="4" t="s">
        <v>101</v>
      </c>
      <c r="C33" s="10"/>
      <c r="D33" s="162">
        <v>8608</v>
      </c>
      <c r="E33" s="28">
        <v>1627</v>
      </c>
      <c r="F33" s="28">
        <v>636</v>
      </c>
      <c r="G33" s="28">
        <v>23</v>
      </c>
      <c r="H33" s="134">
        <v>1</v>
      </c>
      <c r="I33" s="28">
        <v>883</v>
      </c>
      <c r="J33" s="134">
        <v>4</v>
      </c>
      <c r="K33" s="28">
        <v>35</v>
      </c>
      <c r="L33" s="134">
        <v>1</v>
      </c>
      <c r="M33" s="28">
        <v>86</v>
      </c>
      <c r="N33" s="134">
        <v>19</v>
      </c>
      <c r="O33" s="28">
        <v>1</v>
      </c>
      <c r="P33" s="28">
        <v>1</v>
      </c>
      <c r="Q33" s="28">
        <v>513</v>
      </c>
      <c r="R33" s="134"/>
      <c r="S33" s="28"/>
      <c r="T33" s="134">
        <v>1</v>
      </c>
      <c r="U33" s="28">
        <v>2</v>
      </c>
      <c r="V33" s="134"/>
      <c r="W33" s="122"/>
    </row>
    <row r="34" spans="1:23">
      <c r="A34" s="100">
        <v>16</v>
      </c>
      <c r="B34" s="4" t="s">
        <v>102</v>
      </c>
      <c r="C34" s="10"/>
      <c r="D34" s="162">
        <v>6527</v>
      </c>
      <c r="E34" s="28">
        <v>8967</v>
      </c>
      <c r="F34" s="28">
        <v>730</v>
      </c>
      <c r="G34" s="28">
        <v>133</v>
      </c>
      <c r="H34" s="134"/>
      <c r="I34" s="28">
        <v>363</v>
      </c>
      <c r="J34" s="134">
        <v>111</v>
      </c>
      <c r="K34" s="28">
        <v>550</v>
      </c>
      <c r="L34" s="134">
        <v>55</v>
      </c>
      <c r="M34" s="28">
        <v>47</v>
      </c>
      <c r="N34" s="134">
        <v>86</v>
      </c>
      <c r="O34" s="28">
        <v>26</v>
      </c>
      <c r="P34" s="28">
        <v>1</v>
      </c>
      <c r="Q34" s="28">
        <v>33</v>
      </c>
      <c r="R34" s="134">
        <v>35</v>
      </c>
      <c r="S34" s="28"/>
      <c r="T34" s="134">
        <v>3</v>
      </c>
      <c r="U34" s="28"/>
      <c r="V34" s="134"/>
      <c r="W34" s="122"/>
    </row>
    <row r="35" spans="1:23">
      <c r="A35" s="100">
        <v>17</v>
      </c>
      <c r="B35" s="4" t="s">
        <v>301</v>
      </c>
      <c r="C35" s="10"/>
      <c r="D35" s="162">
        <v>994</v>
      </c>
      <c r="E35" s="28">
        <v>31</v>
      </c>
      <c r="F35" s="28">
        <v>31</v>
      </c>
      <c r="G35" s="28">
        <v>66</v>
      </c>
      <c r="H35" s="134"/>
      <c r="I35" s="28"/>
      <c r="J35" s="134"/>
      <c r="K35" s="28">
        <v>16</v>
      </c>
      <c r="L35" s="134">
        <v>1</v>
      </c>
      <c r="M35" s="28">
        <v>26</v>
      </c>
      <c r="N35" s="134">
        <v>4</v>
      </c>
      <c r="O35" s="28">
        <v>1</v>
      </c>
      <c r="P35" s="28"/>
      <c r="Q35" s="28">
        <v>115</v>
      </c>
      <c r="R35" s="134"/>
      <c r="S35" s="28"/>
      <c r="T35" s="134"/>
      <c r="U35" s="28"/>
      <c r="V35" s="134"/>
      <c r="W35" s="122"/>
    </row>
    <row r="36" spans="1:23" ht="15">
      <c r="A36" s="100">
        <v>18</v>
      </c>
      <c r="B36" s="4" t="s">
        <v>302</v>
      </c>
      <c r="C36" s="248"/>
      <c r="D36" s="63">
        <v>4044</v>
      </c>
      <c r="E36" s="22">
        <v>2661</v>
      </c>
      <c r="F36" s="28">
        <v>713</v>
      </c>
      <c r="G36" s="28">
        <v>2763</v>
      </c>
      <c r="H36" s="22">
        <v>69</v>
      </c>
      <c r="I36" s="28">
        <v>253</v>
      </c>
      <c r="J36" s="45">
        <v>12</v>
      </c>
      <c r="K36" s="28">
        <v>1048</v>
      </c>
      <c r="L36" s="70"/>
      <c r="M36" s="28">
        <v>81</v>
      </c>
      <c r="N36" s="28">
        <v>1</v>
      </c>
      <c r="O36" s="28">
        <v>39</v>
      </c>
      <c r="P36" s="28">
        <v>2</v>
      </c>
      <c r="Q36" s="28">
        <v>460</v>
      </c>
      <c r="R36" s="134">
        <v>153</v>
      </c>
      <c r="S36" s="28"/>
      <c r="T36" s="134"/>
      <c r="U36" s="28"/>
      <c r="V36" s="134"/>
      <c r="W36" s="122"/>
    </row>
    <row r="37" spans="1:23">
      <c r="A37" s="100">
        <v>19</v>
      </c>
      <c r="B37" s="4" t="s">
        <v>105</v>
      </c>
      <c r="C37" s="17"/>
      <c r="D37" s="162">
        <v>3481</v>
      </c>
      <c r="E37" s="28">
        <v>1792</v>
      </c>
      <c r="F37" s="28">
        <v>537</v>
      </c>
      <c r="G37" s="28">
        <v>119</v>
      </c>
      <c r="H37" s="134">
        <v>4</v>
      </c>
      <c r="I37" s="28">
        <v>782</v>
      </c>
      <c r="J37" s="134">
        <v>24</v>
      </c>
      <c r="K37" s="28">
        <v>95</v>
      </c>
      <c r="L37" s="134">
        <v>32</v>
      </c>
      <c r="M37" s="28">
        <v>54</v>
      </c>
      <c r="N37" s="134">
        <v>2</v>
      </c>
      <c r="O37" s="22">
        <v>1</v>
      </c>
      <c r="P37" s="28">
        <v>26</v>
      </c>
      <c r="Q37" s="28">
        <v>15</v>
      </c>
      <c r="R37" s="134">
        <v>1</v>
      </c>
      <c r="S37" s="28"/>
      <c r="T37" s="134"/>
      <c r="U37" s="28"/>
      <c r="V37" s="134"/>
      <c r="W37" s="122"/>
    </row>
    <row r="38" spans="1:23">
      <c r="A38" s="100">
        <v>20</v>
      </c>
      <c r="B38" s="4" t="s">
        <v>106</v>
      </c>
      <c r="C38" s="10"/>
      <c r="D38" s="162">
        <v>3545</v>
      </c>
      <c r="E38" s="28">
        <v>1944</v>
      </c>
      <c r="F38" s="28">
        <v>345</v>
      </c>
      <c r="G38" s="28">
        <v>231</v>
      </c>
      <c r="H38" s="134"/>
      <c r="I38" s="28">
        <v>9518</v>
      </c>
      <c r="J38" s="134">
        <v>50</v>
      </c>
      <c r="K38" s="28">
        <v>35</v>
      </c>
      <c r="L38" s="134">
        <v>115</v>
      </c>
      <c r="M38" s="28">
        <v>82</v>
      </c>
      <c r="N38" s="134">
        <v>4</v>
      </c>
      <c r="O38" s="28">
        <v>1</v>
      </c>
      <c r="P38" s="28">
        <v>61</v>
      </c>
      <c r="Q38" s="28">
        <v>39</v>
      </c>
      <c r="R38" s="134">
        <v>1</v>
      </c>
      <c r="S38" s="28"/>
      <c r="T38" s="134"/>
      <c r="U38" s="28"/>
      <c r="V38" s="134"/>
      <c r="W38" s="122"/>
    </row>
    <row r="39" spans="1:23">
      <c r="A39" s="100">
        <v>21</v>
      </c>
      <c r="B39" s="4" t="s">
        <v>107</v>
      </c>
      <c r="C39" s="10"/>
      <c r="D39" s="162">
        <v>728</v>
      </c>
      <c r="E39" s="28">
        <v>258</v>
      </c>
      <c r="F39" s="28">
        <v>139</v>
      </c>
      <c r="G39" s="28">
        <v>223</v>
      </c>
      <c r="H39" s="134"/>
      <c r="I39" s="28"/>
      <c r="J39" s="134">
        <v>1</v>
      </c>
      <c r="K39" s="28">
        <v>60</v>
      </c>
      <c r="L39" s="134"/>
      <c r="M39" s="28">
        <v>45</v>
      </c>
      <c r="N39" s="134">
        <v>9</v>
      </c>
      <c r="O39" s="28">
        <v>1</v>
      </c>
      <c r="P39" s="28">
        <v>1</v>
      </c>
      <c r="Q39" s="28">
        <v>1121</v>
      </c>
      <c r="R39" s="134">
        <v>6</v>
      </c>
      <c r="S39" s="28"/>
      <c r="T39" s="134"/>
      <c r="U39" s="28"/>
      <c r="V39" s="134"/>
      <c r="W39" s="122"/>
    </row>
    <row r="40" spans="1:23">
      <c r="A40" s="214">
        <v>22</v>
      </c>
      <c r="B40" s="96" t="s">
        <v>108</v>
      </c>
      <c r="C40" s="10"/>
      <c r="D40" s="162">
        <v>1274</v>
      </c>
      <c r="E40" s="28">
        <v>842</v>
      </c>
      <c r="F40" s="28">
        <v>453</v>
      </c>
      <c r="G40" s="28">
        <v>514</v>
      </c>
      <c r="H40" s="134">
        <v>3</v>
      </c>
      <c r="I40" s="28">
        <v>5</v>
      </c>
      <c r="J40" s="134">
        <v>17</v>
      </c>
      <c r="K40" s="28">
        <v>65</v>
      </c>
      <c r="L40" s="134">
        <v>1</v>
      </c>
      <c r="M40" s="28">
        <v>139</v>
      </c>
      <c r="N40" s="134">
        <v>4</v>
      </c>
      <c r="O40" s="28">
        <v>2</v>
      </c>
      <c r="P40" s="28">
        <v>4</v>
      </c>
      <c r="Q40" s="28">
        <v>1514</v>
      </c>
      <c r="R40" s="134">
        <v>40</v>
      </c>
      <c r="S40" s="28"/>
      <c r="T40" s="134"/>
      <c r="U40" s="28"/>
      <c r="V40" s="134"/>
      <c r="W40" s="122"/>
    </row>
    <row r="41" spans="1:23">
      <c r="A41" s="100">
        <v>23</v>
      </c>
      <c r="B41" s="4" t="s">
        <v>109</v>
      </c>
      <c r="C41" s="10"/>
      <c r="D41" s="162">
        <v>75</v>
      </c>
      <c r="E41" s="28">
        <v>42</v>
      </c>
      <c r="F41" s="28">
        <v>17</v>
      </c>
      <c r="G41" s="28">
        <v>15</v>
      </c>
      <c r="H41" s="134"/>
      <c r="I41" s="28"/>
      <c r="J41" s="134">
        <v>3</v>
      </c>
      <c r="K41" s="28">
        <v>12</v>
      </c>
      <c r="L41" s="134"/>
      <c r="M41" s="28">
        <v>8</v>
      </c>
      <c r="N41" s="134">
        <v>1</v>
      </c>
      <c r="O41" s="28">
        <v>1</v>
      </c>
      <c r="P41" s="28"/>
      <c r="Q41" s="28">
        <v>53</v>
      </c>
      <c r="R41" s="134">
        <v>1</v>
      </c>
      <c r="S41" s="28"/>
      <c r="T41" s="134"/>
      <c r="U41" s="28"/>
      <c r="V41" s="134"/>
      <c r="W41" s="122"/>
    </row>
    <row r="42" spans="1:23">
      <c r="A42" s="100">
        <v>24</v>
      </c>
      <c r="B42" s="4" t="s">
        <v>110</v>
      </c>
      <c r="C42" s="10"/>
      <c r="D42" s="63">
        <v>514</v>
      </c>
      <c r="E42" s="205">
        <v>2001</v>
      </c>
      <c r="F42" s="205">
        <v>426</v>
      </c>
      <c r="G42" s="134">
        <v>9799</v>
      </c>
      <c r="H42" s="22">
        <v>840</v>
      </c>
      <c r="I42" s="134">
        <v>1</v>
      </c>
      <c r="J42" s="28">
        <v>50</v>
      </c>
      <c r="K42" s="134">
        <v>240</v>
      </c>
      <c r="L42" s="22">
        <v>34</v>
      </c>
      <c r="M42" s="134">
        <v>183</v>
      </c>
      <c r="N42" s="28">
        <v>6</v>
      </c>
      <c r="O42" s="28">
        <v>17</v>
      </c>
      <c r="P42" s="28">
        <v>3</v>
      </c>
      <c r="Q42" s="28">
        <v>6</v>
      </c>
      <c r="R42" s="134">
        <v>10</v>
      </c>
      <c r="S42" s="28"/>
      <c r="T42" s="134"/>
      <c r="U42" s="28"/>
      <c r="V42" s="134"/>
      <c r="W42" s="122"/>
    </row>
    <row r="43" spans="1:23" ht="15">
      <c r="A43" s="100">
        <v>25</v>
      </c>
      <c r="B43" s="4" t="s">
        <v>111</v>
      </c>
      <c r="C43" s="248"/>
      <c r="D43" s="63">
        <v>570</v>
      </c>
      <c r="E43" s="22">
        <v>448</v>
      </c>
      <c r="F43" s="28">
        <v>117</v>
      </c>
      <c r="G43" s="28">
        <v>825</v>
      </c>
      <c r="H43" s="22">
        <v>19</v>
      </c>
      <c r="I43" s="28">
        <v>9</v>
      </c>
      <c r="J43" s="45">
        <v>5</v>
      </c>
      <c r="K43" s="28">
        <v>27</v>
      </c>
      <c r="L43" s="70"/>
      <c r="M43" s="28">
        <v>162</v>
      </c>
      <c r="N43" s="28">
        <v>1</v>
      </c>
      <c r="O43" s="32">
        <v>3</v>
      </c>
      <c r="P43" s="28">
        <v>12</v>
      </c>
      <c r="Q43" s="28">
        <v>80</v>
      </c>
      <c r="R43" s="134">
        <v>3</v>
      </c>
      <c r="S43" s="28"/>
      <c r="T43" s="134"/>
      <c r="U43" s="28"/>
      <c r="V43" s="134"/>
      <c r="W43" s="122"/>
    </row>
    <row r="44" spans="1:23">
      <c r="A44" s="100">
        <v>26</v>
      </c>
      <c r="B44" s="4" t="s">
        <v>112</v>
      </c>
      <c r="C44" s="17"/>
      <c r="D44" s="162">
        <v>618</v>
      </c>
      <c r="E44" s="28">
        <v>55</v>
      </c>
      <c r="F44" s="28">
        <v>50</v>
      </c>
      <c r="G44" s="28">
        <v>45</v>
      </c>
      <c r="H44" s="134"/>
      <c r="I44" s="28">
        <v>32</v>
      </c>
      <c r="J44" s="134">
        <v>1</v>
      </c>
      <c r="K44" s="28">
        <v>25</v>
      </c>
      <c r="L44" s="134">
        <v>1</v>
      </c>
      <c r="M44" s="28">
        <v>26</v>
      </c>
      <c r="N44" s="134">
        <v>2</v>
      </c>
      <c r="O44" s="205">
        <v>1</v>
      </c>
      <c r="P44" s="28"/>
      <c r="Q44" s="28">
        <v>409</v>
      </c>
      <c r="R44" s="134">
        <v>2</v>
      </c>
      <c r="S44" s="28"/>
      <c r="T44" s="134"/>
      <c r="U44" s="28"/>
      <c r="V44" s="134">
        <v>1</v>
      </c>
      <c r="W44" s="122"/>
    </row>
    <row r="45" spans="1:23">
      <c r="A45" s="100">
        <v>27</v>
      </c>
      <c r="B45" s="4" t="s">
        <v>113</v>
      </c>
      <c r="C45" s="10"/>
      <c r="D45" s="162">
        <v>1579</v>
      </c>
      <c r="E45" s="28">
        <v>1977</v>
      </c>
      <c r="F45" s="28">
        <v>328</v>
      </c>
      <c r="G45" s="28">
        <v>923</v>
      </c>
      <c r="H45" s="134"/>
      <c r="I45" s="28">
        <v>63</v>
      </c>
      <c r="J45" s="134">
        <v>8</v>
      </c>
      <c r="K45" s="28">
        <v>217</v>
      </c>
      <c r="L45" s="134">
        <v>323</v>
      </c>
      <c r="M45" s="28">
        <v>151</v>
      </c>
      <c r="N45" s="134">
        <v>6</v>
      </c>
      <c r="O45" s="22">
        <v>1</v>
      </c>
      <c r="P45" s="28">
        <v>57</v>
      </c>
      <c r="Q45" s="28">
        <v>1504</v>
      </c>
      <c r="R45" s="134">
        <v>305</v>
      </c>
      <c r="S45" s="28"/>
      <c r="T45" s="134"/>
      <c r="U45" s="28"/>
      <c r="V45" s="134"/>
      <c r="W45" s="122"/>
    </row>
    <row r="46" spans="1:23">
      <c r="A46" s="100">
        <v>28</v>
      </c>
      <c r="B46" s="4" t="s">
        <v>114</v>
      </c>
      <c r="C46" s="10"/>
      <c r="D46" s="162">
        <v>706</v>
      </c>
      <c r="E46" s="28">
        <v>620</v>
      </c>
      <c r="F46" s="28">
        <v>69</v>
      </c>
      <c r="G46" s="28">
        <v>1227</v>
      </c>
      <c r="H46" s="134">
        <v>885</v>
      </c>
      <c r="I46" s="28">
        <v>7</v>
      </c>
      <c r="J46" s="134">
        <v>7</v>
      </c>
      <c r="K46" s="28">
        <v>43</v>
      </c>
      <c r="L46" s="134"/>
      <c r="M46" s="28">
        <v>38</v>
      </c>
      <c r="N46" s="134"/>
      <c r="O46" s="28"/>
      <c r="P46" s="28">
        <v>1</v>
      </c>
      <c r="Q46" s="28">
        <v>52</v>
      </c>
      <c r="R46" s="134">
        <v>1</v>
      </c>
      <c r="S46" s="28"/>
      <c r="T46" s="134"/>
      <c r="U46" s="28"/>
      <c r="V46" s="134"/>
      <c r="W46" s="122"/>
    </row>
    <row r="47" spans="1:23">
      <c r="A47" s="100">
        <v>29</v>
      </c>
      <c r="B47" s="4" t="s">
        <v>115</v>
      </c>
      <c r="C47" s="10"/>
      <c r="D47" s="162">
        <v>1720</v>
      </c>
      <c r="E47" s="28">
        <v>878</v>
      </c>
      <c r="F47" s="28">
        <v>255</v>
      </c>
      <c r="G47" s="28">
        <v>586</v>
      </c>
      <c r="H47" s="134"/>
      <c r="I47" s="28">
        <v>6</v>
      </c>
      <c r="J47" s="134">
        <v>10</v>
      </c>
      <c r="K47" s="28">
        <v>92</v>
      </c>
      <c r="L47" s="134">
        <v>1</v>
      </c>
      <c r="M47" s="28">
        <v>79</v>
      </c>
      <c r="N47" s="134">
        <v>2</v>
      </c>
      <c r="O47" s="13">
        <v>7</v>
      </c>
      <c r="P47" s="28">
        <v>1</v>
      </c>
      <c r="Q47" s="28">
        <v>4454</v>
      </c>
      <c r="R47" s="134">
        <v>23</v>
      </c>
      <c r="S47" s="28"/>
      <c r="T47" s="134"/>
      <c r="U47" s="28"/>
      <c r="V47" s="134"/>
      <c r="W47" s="122"/>
    </row>
    <row r="48" spans="1:23">
      <c r="A48" s="100">
        <v>30</v>
      </c>
      <c r="B48" s="4" t="s">
        <v>116</v>
      </c>
      <c r="C48" s="10"/>
      <c r="D48" s="162">
        <v>1327</v>
      </c>
      <c r="E48" s="28">
        <v>73</v>
      </c>
      <c r="F48" s="28">
        <v>89</v>
      </c>
      <c r="G48" s="28">
        <v>52</v>
      </c>
      <c r="H48" s="134"/>
      <c r="I48" s="28">
        <v>2</v>
      </c>
      <c r="J48" s="134">
        <v>1</v>
      </c>
      <c r="K48" s="28">
        <v>41</v>
      </c>
      <c r="L48" s="134">
        <v>1</v>
      </c>
      <c r="M48" s="28">
        <v>24</v>
      </c>
      <c r="N48" s="134">
        <v>1</v>
      </c>
      <c r="O48" s="28">
        <v>13</v>
      </c>
      <c r="P48" s="28">
        <v>1</v>
      </c>
      <c r="Q48" s="28">
        <v>315</v>
      </c>
      <c r="R48" s="134">
        <v>1</v>
      </c>
      <c r="S48" s="28"/>
      <c r="T48" s="134"/>
      <c r="U48" s="28"/>
      <c r="V48" s="134"/>
      <c r="W48" s="122"/>
    </row>
    <row r="49" spans="1:23" ht="15">
      <c r="A49" s="100">
        <v>31</v>
      </c>
      <c r="B49" s="4" t="s">
        <v>117</v>
      </c>
      <c r="C49" s="248"/>
      <c r="D49" s="162">
        <v>23</v>
      </c>
      <c r="E49" s="22">
        <v>31</v>
      </c>
      <c r="F49" s="28">
        <v>6</v>
      </c>
      <c r="G49" s="28">
        <v>113</v>
      </c>
      <c r="H49" s="22"/>
      <c r="I49" s="28">
        <v>2</v>
      </c>
      <c r="J49" s="45"/>
      <c r="K49" s="28">
        <v>19</v>
      </c>
      <c r="L49" s="70">
        <v>1</v>
      </c>
      <c r="M49" s="28">
        <v>17</v>
      </c>
      <c r="N49" s="28">
        <v>1</v>
      </c>
      <c r="O49" s="28">
        <v>1</v>
      </c>
      <c r="P49" s="28">
        <v>1</v>
      </c>
      <c r="Q49" s="28">
        <v>8</v>
      </c>
      <c r="R49" s="134"/>
      <c r="S49" s="28"/>
      <c r="T49" s="134"/>
      <c r="U49" s="28"/>
      <c r="V49" s="134"/>
      <c r="W49" s="122"/>
    </row>
    <row r="50" spans="1:23">
      <c r="A50" s="100">
        <v>32</v>
      </c>
      <c r="B50" s="4" t="s">
        <v>118</v>
      </c>
      <c r="C50" s="17"/>
      <c r="D50" s="162">
        <v>53</v>
      </c>
      <c r="E50" s="28">
        <v>55</v>
      </c>
      <c r="F50" s="28">
        <v>22</v>
      </c>
      <c r="G50" s="28">
        <v>184</v>
      </c>
      <c r="H50" s="134"/>
      <c r="I50" s="28"/>
      <c r="J50" s="134">
        <v>4</v>
      </c>
      <c r="K50" s="28">
        <v>17</v>
      </c>
      <c r="L50" s="134">
        <v>4</v>
      </c>
      <c r="M50" s="28">
        <v>30</v>
      </c>
      <c r="N50" s="134">
        <v>2</v>
      </c>
      <c r="O50" s="28"/>
      <c r="P50" s="28">
        <v>2</v>
      </c>
      <c r="Q50" s="28">
        <v>253</v>
      </c>
      <c r="R50" s="134"/>
      <c r="S50" s="28"/>
      <c r="T50" s="134"/>
      <c r="U50" s="28"/>
      <c r="V50" s="134"/>
      <c r="W50" s="122"/>
    </row>
    <row r="51" spans="1:23">
      <c r="A51" s="100">
        <v>33</v>
      </c>
      <c r="B51" s="4" t="s">
        <v>119</v>
      </c>
      <c r="C51" s="10"/>
      <c r="D51" s="162">
        <v>21</v>
      </c>
      <c r="E51" s="28">
        <v>13</v>
      </c>
      <c r="F51" s="28">
        <v>8</v>
      </c>
      <c r="G51" s="28">
        <v>24</v>
      </c>
      <c r="H51" s="134">
        <v>3</v>
      </c>
      <c r="I51" s="28"/>
      <c r="J51" s="134">
        <v>1</v>
      </c>
      <c r="K51" s="28">
        <v>8</v>
      </c>
      <c r="L51" s="134"/>
      <c r="M51" s="28">
        <v>2</v>
      </c>
      <c r="N51" s="134">
        <v>1</v>
      </c>
      <c r="O51" s="22"/>
      <c r="P51" s="28"/>
      <c r="Q51" s="28">
        <v>1</v>
      </c>
      <c r="R51" s="134"/>
      <c r="S51" s="28"/>
      <c r="T51" s="134"/>
      <c r="U51" s="28"/>
      <c r="V51" s="134"/>
      <c r="W51" s="122"/>
    </row>
    <row r="52" spans="1:23">
      <c r="A52" s="100">
        <v>34</v>
      </c>
      <c r="B52" s="4" t="s">
        <v>120</v>
      </c>
      <c r="C52" s="10"/>
      <c r="D52" s="162">
        <v>167</v>
      </c>
      <c r="E52" s="28">
        <v>37</v>
      </c>
      <c r="F52" s="28">
        <v>3</v>
      </c>
      <c r="G52" s="28">
        <v>55</v>
      </c>
      <c r="H52" s="134"/>
      <c r="I52" s="28"/>
      <c r="J52" s="134"/>
      <c r="K52" s="28">
        <v>11</v>
      </c>
      <c r="L52" s="134">
        <v>1</v>
      </c>
      <c r="M52" s="28">
        <v>4</v>
      </c>
      <c r="N52" s="134">
        <v>1</v>
      </c>
      <c r="O52" s="13"/>
      <c r="P52" s="28"/>
      <c r="Q52" s="28">
        <v>44</v>
      </c>
      <c r="R52" s="134"/>
      <c r="S52" s="28"/>
      <c r="T52" s="134"/>
      <c r="U52" s="28"/>
      <c r="V52" s="134"/>
      <c r="W52" s="122"/>
    </row>
    <row r="53" spans="1:23">
      <c r="A53" s="100">
        <v>35</v>
      </c>
      <c r="B53" s="4" t="s">
        <v>121</v>
      </c>
      <c r="C53" s="10"/>
      <c r="D53" s="63">
        <v>2530</v>
      </c>
      <c r="E53" s="28">
        <v>3086</v>
      </c>
      <c r="F53" s="28">
        <v>207</v>
      </c>
      <c r="G53" s="28">
        <v>1715</v>
      </c>
      <c r="H53" s="134">
        <v>13</v>
      </c>
      <c r="I53" s="28">
        <v>1</v>
      </c>
      <c r="J53" s="134">
        <v>3</v>
      </c>
      <c r="K53" s="28">
        <v>171</v>
      </c>
      <c r="L53" s="134">
        <v>188</v>
      </c>
      <c r="M53" s="28">
        <v>126</v>
      </c>
      <c r="N53" s="134">
        <v>2</v>
      </c>
      <c r="O53" s="28">
        <v>1</v>
      </c>
      <c r="P53" s="28">
        <v>23</v>
      </c>
      <c r="Q53" s="28">
        <v>605</v>
      </c>
      <c r="R53" s="134">
        <v>40</v>
      </c>
      <c r="S53" s="28"/>
      <c r="T53" s="134">
        <v>1</v>
      </c>
      <c r="U53" s="28"/>
      <c r="V53" s="134"/>
      <c r="W53" s="122"/>
    </row>
    <row r="54" spans="1:23">
      <c r="A54" s="100">
        <v>36</v>
      </c>
      <c r="B54" s="4" t="s">
        <v>122</v>
      </c>
      <c r="C54" s="10"/>
      <c r="D54" s="162">
        <v>407</v>
      </c>
      <c r="E54" s="28">
        <v>797</v>
      </c>
      <c r="F54" s="28">
        <v>67</v>
      </c>
      <c r="G54" s="28">
        <v>653</v>
      </c>
      <c r="H54" s="134"/>
      <c r="I54" s="28"/>
      <c r="J54" s="134">
        <v>7</v>
      </c>
      <c r="K54" s="28">
        <v>10</v>
      </c>
      <c r="L54" s="134"/>
      <c r="M54" s="28">
        <v>152</v>
      </c>
      <c r="N54" s="134">
        <v>3</v>
      </c>
      <c r="O54" s="28"/>
      <c r="P54" s="28">
        <v>1</v>
      </c>
      <c r="Q54" s="28">
        <v>459</v>
      </c>
      <c r="R54" s="134"/>
      <c r="S54" s="28"/>
      <c r="T54" s="134"/>
      <c r="U54" s="28"/>
      <c r="V54" s="134"/>
      <c r="W54" s="122"/>
    </row>
    <row r="55" spans="1:23" ht="15">
      <c r="A55" s="100">
        <v>37</v>
      </c>
      <c r="B55" s="4" t="s">
        <v>123</v>
      </c>
      <c r="C55" s="248"/>
      <c r="D55" s="63">
        <v>822</v>
      </c>
      <c r="E55" s="22">
        <v>20</v>
      </c>
      <c r="F55" s="28"/>
      <c r="G55" s="28">
        <v>233</v>
      </c>
      <c r="H55" s="22"/>
      <c r="I55" s="28"/>
      <c r="J55" s="45">
        <v>2</v>
      </c>
      <c r="K55" s="28">
        <v>3</v>
      </c>
      <c r="L55" s="70">
        <v>25</v>
      </c>
      <c r="M55" s="28">
        <v>13</v>
      </c>
      <c r="N55" s="28">
        <v>2</v>
      </c>
      <c r="O55" s="28"/>
      <c r="P55" s="28">
        <v>1</v>
      </c>
      <c r="Q55" s="28">
        <v>32</v>
      </c>
      <c r="R55" s="134"/>
      <c r="S55" s="28"/>
      <c r="T55" s="134"/>
      <c r="U55" s="28"/>
      <c r="V55" s="134"/>
      <c r="W55" s="122"/>
    </row>
    <row r="56" spans="1:23">
      <c r="A56" s="100">
        <v>38</v>
      </c>
      <c r="B56" s="4" t="s">
        <v>124</v>
      </c>
      <c r="C56" s="17"/>
      <c r="D56" s="162">
        <v>10</v>
      </c>
      <c r="E56" s="28">
        <v>28</v>
      </c>
      <c r="F56" s="28">
        <v>17</v>
      </c>
      <c r="G56" s="28">
        <v>282</v>
      </c>
      <c r="H56" s="134"/>
      <c r="I56" s="28"/>
      <c r="J56" s="134">
        <v>1</v>
      </c>
      <c r="K56" s="28">
        <v>46</v>
      </c>
      <c r="L56" s="134">
        <v>1</v>
      </c>
      <c r="M56" s="28">
        <v>11</v>
      </c>
      <c r="N56" s="134">
        <v>3</v>
      </c>
      <c r="O56" s="28">
        <v>4</v>
      </c>
      <c r="P56" s="28">
        <v>1</v>
      </c>
      <c r="Q56" s="28">
        <v>154</v>
      </c>
      <c r="R56" s="134">
        <v>4</v>
      </c>
      <c r="S56" s="28"/>
      <c r="T56" s="134">
        <v>5</v>
      </c>
      <c r="U56" s="28"/>
      <c r="V56" s="134"/>
      <c r="W56" s="122"/>
    </row>
    <row r="57" spans="1:23">
      <c r="A57" s="100">
        <v>39</v>
      </c>
      <c r="B57" s="4" t="s">
        <v>125</v>
      </c>
      <c r="C57" s="10"/>
      <c r="D57" s="162">
        <v>1771</v>
      </c>
      <c r="E57" s="28">
        <v>2249</v>
      </c>
      <c r="F57" s="28">
        <v>651</v>
      </c>
      <c r="G57" s="28">
        <v>9998</v>
      </c>
      <c r="H57" s="134">
        <v>353</v>
      </c>
      <c r="I57" s="28">
        <v>6</v>
      </c>
      <c r="J57" s="134">
        <v>85</v>
      </c>
      <c r="K57" s="28">
        <v>480</v>
      </c>
      <c r="L57" s="134">
        <v>8</v>
      </c>
      <c r="M57" s="28">
        <v>225</v>
      </c>
      <c r="N57" s="134">
        <v>8</v>
      </c>
      <c r="O57" s="22">
        <v>14</v>
      </c>
      <c r="P57" s="28">
        <v>13</v>
      </c>
      <c r="Q57" s="28">
        <v>25</v>
      </c>
      <c r="R57" s="134">
        <v>30</v>
      </c>
      <c r="S57" s="28">
        <v>1</v>
      </c>
      <c r="T57" s="134"/>
      <c r="U57" s="28"/>
      <c r="V57" s="134"/>
      <c r="W57" s="122"/>
    </row>
    <row r="58" spans="1:23">
      <c r="A58" s="100">
        <v>40</v>
      </c>
      <c r="B58" s="4" t="s">
        <v>126</v>
      </c>
      <c r="C58" s="10"/>
      <c r="D58" s="162">
        <v>616</v>
      </c>
      <c r="E58" s="28">
        <v>806</v>
      </c>
      <c r="F58" s="28">
        <v>299</v>
      </c>
      <c r="G58" s="28">
        <v>1077</v>
      </c>
      <c r="H58" s="134">
        <v>2</v>
      </c>
      <c r="I58" s="28">
        <v>71</v>
      </c>
      <c r="J58" s="134">
        <v>3</v>
      </c>
      <c r="K58" s="28">
        <v>89</v>
      </c>
      <c r="L58" s="134">
        <v>354</v>
      </c>
      <c r="M58" s="28">
        <v>119</v>
      </c>
      <c r="N58" s="134">
        <v>2</v>
      </c>
      <c r="O58" s="13">
        <v>6</v>
      </c>
      <c r="P58" s="28">
        <v>15</v>
      </c>
      <c r="Q58" s="28">
        <v>6</v>
      </c>
      <c r="R58" s="134">
        <v>9</v>
      </c>
      <c r="S58" s="28"/>
      <c r="T58" s="134"/>
      <c r="U58" s="28"/>
      <c r="V58" s="134"/>
      <c r="W58" s="122">
        <v>1</v>
      </c>
    </row>
    <row r="59" spans="1:23">
      <c r="A59" s="100">
        <v>41</v>
      </c>
      <c r="B59" s="4" t="s">
        <v>127</v>
      </c>
      <c r="C59" s="10"/>
      <c r="D59" s="162">
        <v>271</v>
      </c>
      <c r="E59" s="28">
        <v>583</v>
      </c>
      <c r="F59" s="28">
        <v>171</v>
      </c>
      <c r="G59" s="28">
        <v>4515</v>
      </c>
      <c r="H59" s="134">
        <v>69</v>
      </c>
      <c r="I59" s="28">
        <v>1</v>
      </c>
      <c r="J59" s="134">
        <v>13</v>
      </c>
      <c r="K59" s="28">
        <v>132</v>
      </c>
      <c r="L59" s="134">
        <v>4</v>
      </c>
      <c r="M59" s="28">
        <v>144</v>
      </c>
      <c r="N59" s="134">
        <v>1</v>
      </c>
      <c r="O59" s="28">
        <v>1</v>
      </c>
      <c r="P59" s="28">
        <v>18</v>
      </c>
      <c r="Q59" s="167">
        <v>4</v>
      </c>
      <c r="R59" s="134">
        <v>29</v>
      </c>
      <c r="S59" s="28">
        <v>1</v>
      </c>
      <c r="T59" s="134"/>
      <c r="U59" s="28"/>
      <c r="V59" s="134"/>
      <c r="W59" s="122"/>
    </row>
    <row r="60" spans="1:23">
      <c r="A60" s="100">
        <v>42</v>
      </c>
      <c r="B60" s="4" t="s">
        <v>303</v>
      </c>
      <c r="C60" s="10"/>
      <c r="D60" s="162">
        <v>545</v>
      </c>
      <c r="E60" s="28">
        <v>529</v>
      </c>
      <c r="F60" s="28">
        <v>437</v>
      </c>
      <c r="G60" s="28">
        <v>408</v>
      </c>
      <c r="H60" s="134">
        <v>1</v>
      </c>
      <c r="I60" s="28">
        <v>125</v>
      </c>
      <c r="J60" s="134">
        <v>45</v>
      </c>
      <c r="K60" s="28">
        <v>96</v>
      </c>
      <c r="L60" s="134">
        <v>97</v>
      </c>
      <c r="M60" s="28">
        <v>70</v>
      </c>
      <c r="N60" s="134">
        <v>4</v>
      </c>
      <c r="O60" s="13"/>
      <c r="P60" s="28">
        <v>7</v>
      </c>
      <c r="Q60" s="28">
        <v>2152</v>
      </c>
      <c r="S60" s="28"/>
      <c r="T60" s="134">
        <v>6</v>
      </c>
      <c r="U60" s="28"/>
      <c r="V60" s="134"/>
      <c r="W60" s="122">
        <v>1</v>
      </c>
    </row>
    <row r="61" spans="1:23" ht="15">
      <c r="A61" s="175">
        <v>43</v>
      </c>
      <c r="B61" s="111" t="s">
        <v>129</v>
      </c>
      <c r="C61" s="248"/>
      <c r="D61" s="63">
        <v>1250</v>
      </c>
      <c r="E61" s="22">
        <v>128</v>
      </c>
      <c r="F61" s="28">
        <v>63</v>
      </c>
      <c r="G61" s="28">
        <v>16</v>
      </c>
      <c r="H61" s="22"/>
      <c r="I61" s="28">
        <v>161</v>
      </c>
      <c r="J61" s="45">
        <v>13</v>
      </c>
      <c r="K61" s="28">
        <v>62</v>
      </c>
      <c r="L61" s="70">
        <v>9</v>
      </c>
      <c r="M61" s="26">
        <v>13</v>
      </c>
      <c r="N61" s="28">
        <v>40</v>
      </c>
      <c r="O61" s="28"/>
      <c r="P61" s="28">
        <v>4</v>
      </c>
      <c r="Q61" s="28">
        <v>147</v>
      </c>
      <c r="R61" s="134"/>
      <c r="S61" s="28"/>
      <c r="T61" s="134"/>
      <c r="U61" s="28"/>
      <c r="V61" s="134"/>
      <c r="W61" s="122"/>
    </row>
    <row r="62" spans="1:23">
      <c r="A62" s="175">
        <v>44</v>
      </c>
      <c r="B62" s="111" t="s">
        <v>130</v>
      </c>
      <c r="C62" s="17"/>
      <c r="D62" s="162">
        <v>52744</v>
      </c>
      <c r="E62" s="28">
        <v>68211</v>
      </c>
      <c r="F62" s="28">
        <v>7929</v>
      </c>
      <c r="G62" s="28">
        <v>39</v>
      </c>
      <c r="H62" s="134"/>
      <c r="I62" s="28">
        <v>11186</v>
      </c>
      <c r="J62" s="134">
        <v>151</v>
      </c>
      <c r="K62" s="28">
        <v>35</v>
      </c>
      <c r="L62" s="134">
        <v>58</v>
      </c>
      <c r="M62" s="28">
        <v>29</v>
      </c>
      <c r="N62" s="134">
        <v>11</v>
      </c>
      <c r="O62" s="28">
        <v>64</v>
      </c>
      <c r="P62" s="28"/>
      <c r="Q62" s="28">
        <v>86</v>
      </c>
      <c r="R62" s="134">
        <v>12</v>
      </c>
      <c r="S62" s="28"/>
      <c r="T62" s="134">
        <v>2</v>
      </c>
      <c r="U62" s="28"/>
      <c r="V62" s="134"/>
      <c r="W62" s="122"/>
    </row>
    <row r="63" spans="1:23">
      <c r="A63" s="175">
        <v>45</v>
      </c>
      <c r="B63" s="111" t="s">
        <v>131</v>
      </c>
      <c r="C63" s="10"/>
      <c r="D63" s="162">
        <v>1217</v>
      </c>
      <c r="E63" s="28">
        <v>262</v>
      </c>
      <c r="F63" s="205">
        <v>355</v>
      </c>
      <c r="G63" s="28">
        <v>300</v>
      </c>
      <c r="H63" s="134">
        <v>2</v>
      </c>
      <c r="I63" s="28">
        <v>12</v>
      </c>
      <c r="J63" s="134">
        <v>14</v>
      </c>
      <c r="K63" s="28">
        <v>95</v>
      </c>
      <c r="L63" s="134">
        <v>3</v>
      </c>
      <c r="M63" s="28">
        <v>83</v>
      </c>
      <c r="N63" s="134">
        <v>10</v>
      </c>
      <c r="O63" s="22">
        <v>10</v>
      </c>
      <c r="P63" s="28">
        <v>1</v>
      </c>
      <c r="Q63" s="28">
        <v>2782</v>
      </c>
      <c r="R63" s="134">
        <v>8</v>
      </c>
      <c r="S63" s="28"/>
      <c r="T63" s="134"/>
      <c r="U63" s="28"/>
      <c r="V63" s="134"/>
      <c r="W63" s="122"/>
    </row>
    <row r="64" spans="1:23">
      <c r="A64" s="175">
        <v>46</v>
      </c>
      <c r="B64" s="111" t="s">
        <v>132</v>
      </c>
      <c r="C64" s="10"/>
      <c r="D64" s="162">
        <v>2241</v>
      </c>
      <c r="E64" s="28">
        <v>437</v>
      </c>
      <c r="F64" s="28">
        <v>413</v>
      </c>
      <c r="G64" s="28">
        <v>222</v>
      </c>
      <c r="H64" s="134"/>
      <c r="I64" s="28">
        <v>236</v>
      </c>
      <c r="J64" s="134">
        <v>3</v>
      </c>
      <c r="K64" s="28">
        <v>235</v>
      </c>
      <c r="L64" s="134">
        <v>20</v>
      </c>
      <c r="M64" s="28">
        <v>41</v>
      </c>
      <c r="N64" s="134">
        <v>2</v>
      </c>
      <c r="O64" s="28">
        <v>7</v>
      </c>
      <c r="P64" s="28">
        <v>1</v>
      </c>
      <c r="Q64" s="28">
        <v>218</v>
      </c>
      <c r="R64" s="134">
        <v>20</v>
      </c>
      <c r="S64" s="28"/>
      <c r="T64" s="134"/>
      <c r="U64" s="28"/>
      <c r="V64" s="134"/>
      <c r="W64" s="122"/>
    </row>
    <row r="65" spans="1:23">
      <c r="A65" s="175">
        <v>47</v>
      </c>
      <c r="B65" s="111" t="s">
        <v>133</v>
      </c>
      <c r="C65" s="10"/>
      <c r="D65" s="162">
        <v>1064</v>
      </c>
      <c r="E65" s="28">
        <v>551</v>
      </c>
      <c r="F65" s="28">
        <v>309</v>
      </c>
      <c r="G65" s="28">
        <v>44</v>
      </c>
      <c r="H65" s="134">
        <v>6</v>
      </c>
      <c r="I65" s="28">
        <v>180</v>
      </c>
      <c r="J65" s="134">
        <v>25</v>
      </c>
      <c r="K65" s="28">
        <v>180</v>
      </c>
      <c r="L65" s="134">
        <v>56</v>
      </c>
      <c r="M65" s="28">
        <v>32</v>
      </c>
      <c r="N65" s="134">
        <v>4</v>
      </c>
      <c r="O65" s="28">
        <v>1</v>
      </c>
      <c r="P65" s="28">
        <v>5</v>
      </c>
      <c r="Q65" s="28">
        <v>1297</v>
      </c>
      <c r="R65" s="134">
        <v>30</v>
      </c>
      <c r="S65" s="28"/>
      <c r="T65" s="134"/>
      <c r="U65" s="28"/>
      <c r="V65" s="134"/>
      <c r="W65" s="122"/>
    </row>
    <row r="66" spans="1:23">
      <c r="A66" s="175">
        <v>48</v>
      </c>
      <c r="B66" s="111" t="s">
        <v>134</v>
      </c>
      <c r="C66" s="10"/>
      <c r="D66" s="162">
        <v>839</v>
      </c>
      <c r="E66" s="28">
        <v>1237</v>
      </c>
      <c r="F66" s="28">
        <v>295</v>
      </c>
      <c r="G66" s="28">
        <v>336</v>
      </c>
      <c r="H66" s="134"/>
      <c r="I66" s="28">
        <v>5</v>
      </c>
      <c r="J66" s="134">
        <v>10</v>
      </c>
      <c r="K66" s="28">
        <v>42</v>
      </c>
      <c r="L66" s="134">
        <v>154</v>
      </c>
      <c r="M66" s="28">
        <v>35</v>
      </c>
      <c r="N66" s="134">
        <v>3</v>
      </c>
      <c r="O66" s="205">
        <v>1</v>
      </c>
      <c r="P66" s="28">
        <v>3</v>
      </c>
      <c r="Q66" s="28">
        <v>183</v>
      </c>
      <c r="R66" s="134">
        <v>1</v>
      </c>
      <c r="S66" s="28"/>
      <c r="T66" s="134"/>
      <c r="U66" s="28"/>
      <c r="V66" s="134"/>
      <c r="W66" s="122"/>
    </row>
    <row r="67" spans="1:23" ht="15">
      <c r="A67" s="175">
        <v>49</v>
      </c>
      <c r="B67" s="111" t="s">
        <v>135</v>
      </c>
      <c r="C67" s="248"/>
      <c r="D67" s="63">
        <v>512</v>
      </c>
      <c r="E67" s="22">
        <v>149</v>
      </c>
      <c r="F67" s="28">
        <v>83</v>
      </c>
      <c r="G67" s="28">
        <v>117</v>
      </c>
      <c r="H67" s="22">
        <v>2</v>
      </c>
      <c r="I67" s="28"/>
      <c r="J67" s="45">
        <v>7</v>
      </c>
      <c r="K67" s="28">
        <v>24</v>
      </c>
      <c r="L67" s="70">
        <v>1</v>
      </c>
      <c r="M67" s="28">
        <v>34</v>
      </c>
      <c r="N67" s="28">
        <v>2</v>
      </c>
      <c r="O67" s="28">
        <v>2</v>
      </c>
      <c r="P67" s="28"/>
      <c r="Q67" s="28">
        <v>989</v>
      </c>
      <c r="S67" s="28"/>
      <c r="T67" s="134"/>
      <c r="U67" s="28"/>
      <c r="V67" s="134"/>
      <c r="W67" s="122"/>
    </row>
    <row r="68" spans="1:23">
      <c r="A68" s="175">
        <v>50</v>
      </c>
      <c r="B68" s="111" t="s">
        <v>136</v>
      </c>
      <c r="C68" s="17"/>
      <c r="D68" s="162">
        <v>10807</v>
      </c>
      <c r="E68" s="28">
        <v>3214</v>
      </c>
      <c r="F68" s="28">
        <v>1048</v>
      </c>
      <c r="G68" s="28">
        <v>2</v>
      </c>
      <c r="H68" s="134">
        <v>6</v>
      </c>
      <c r="I68" s="28">
        <v>3039</v>
      </c>
      <c r="J68" s="134">
        <v>2</v>
      </c>
      <c r="K68" s="28">
        <v>11</v>
      </c>
      <c r="L68" s="134">
        <v>1</v>
      </c>
      <c r="M68" s="28">
        <v>20</v>
      </c>
      <c r="N68" s="134">
        <v>2</v>
      </c>
      <c r="O68" s="28">
        <v>1</v>
      </c>
      <c r="P68" s="28">
        <v>1</v>
      </c>
      <c r="Q68" s="28">
        <v>2</v>
      </c>
      <c r="R68" s="134"/>
      <c r="S68" s="28"/>
      <c r="T68" s="134"/>
      <c r="U68" s="28"/>
      <c r="V68" s="134"/>
      <c r="W68" s="122"/>
    </row>
    <row r="69" spans="1:23">
      <c r="A69" s="218">
        <v>51</v>
      </c>
      <c r="B69" s="111" t="s">
        <v>137</v>
      </c>
      <c r="C69" s="10"/>
      <c r="D69" s="162">
        <v>1414</v>
      </c>
      <c r="E69" s="28">
        <v>2505</v>
      </c>
      <c r="F69" s="28">
        <v>314</v>
      </c>
      <c r="G69" s="28">
        <v>419</v>
      </c>
      <c r="H69" s="134">
        <v>2</v>
      </c>
      <c r="I69" s="28">
        <v>9</v>
      </c>
      <c r="J69" s="134">
        <v>53</v>
      </c>
      <c r="K69" s="28">
        <v>114</v>
      </c>
      <c r="L69" s="134">
        <v>123</v>
      </c>
      <c r="M69" s="28">
        <v>150</v>
      </c>
      <c r="N69" s="134">
        <v>7</v>
      </c>
      <c r="O69" s="28">
        <v>1</v>
      </c>
      <c r="P69" s="28">
        <v>584</v>
      </c>
      <c r="Q69" s="28">
        <v>13701</v>
      </c>
      <c r="R69" s="27">
        <v>57</v>
      </c>
      <c r="S69" s="28">
        <v>1</v>
      </c>
      <c r="T69" s="27"/>
      <c r="U69" s="28"/>
      <c r="V69" s="27"/>
      <c r="W69" s="122"/>
    </row>
    <row r="70" spans="1:23">
      <c r="A70" s="218">
        <v>52</v>
      </c>
      <c r="B70" s="111" t="s">
        <v>138</v>
      </c>
      <c r="C70" s="10"/>
      <c r="D70" s="162">
        <v>7961</v>
      </c>
      <c r="E70" s="28">
        <v>11431</v>
      </c>
      <c r="F70" s="28">
        <v>515</v>
      </c>
      <c r="G70" s="28">
        <v>59</v>
      </c>
      <c r="H70" s="134"/>
      <c r="I70" s="28">
        <v>341</v>
      </c>
      <c r="J70" s="134">
        <v>57</v>
      </c>
      <c r="K70" s="28">
        <v>78</v>
      </c>
      <c r="L70" s="134">
        <v>258</v>
      </c>
      <c r="M70" s="28">
        <v>55</v>
      </c>
      <c r="N70" s="134">
        <v>43</v>
      </c>
      <c r="O70" s="22">
        <v>15</v>
      </c>
      <c r="P70" s="28">
        <v>27</v>
      </c>
      <c r="Q70" s="28">
        <v>13</v>
      </c>
      <c r="R70" s="27">
        <v>6</v>
      </c>
      <c r="S70" s="28"/>
      <c r="T70" s="27">
        <v>3</v>
      </c>
      <c r="U70" s="28"/>
      <c r="V70" s="27"/>
      <c r="W70" s="122"/>
    </row>
    <row r="71" spans="1:23">
      <c r="A71" s="218">
        <v>53</v>
      </c>
      <c r="B71" s="111" t="s">
        <v>139</v>
      </c>
      <c r="C71" s="10"/>
      <c r="D71" s="162">
        <v>740</v>
      </c>
      <c r="E71" s="28">
        <v>1552</v>
      </c>
      <c r="F71" s="28">
        <v>981</v>
      </c>
      <c r="G71" s="28">
        <v>5150</v>
      </c>
      <c r="H71" s="134">
        <v>1679</v>
      </c>
      <c r="I71" s="28">
        <v>18</v>
      </c>
      <c r="J71" s="134">
        <v>22</v>
      </c>
      <c r="K71" s="28">
        <v>48</v>
      </c>
      <c r="L71" s="134">
        <v>3</v>
      </c>
      <c r="M71" s="28">
        <v>97</v>
      </c>
      <c r="N71" s="134">
        <v>1</v>
      </c>
      <c r="O71" s="28">
        <v>2</v>
      </c>
      <c r="P71" s="28">
        <v>10</v>
      </c>
      <c r="Q71" s="28">
        <v>42</v>
      </c>
      <c r="R71" s="27">
        <v>5</v>
      </c>
      <c r="S71" s="28"/>
      <c r="T71" s="27"/>
      <c r="U71" s="28"/>
      <c r="V71" s="27"/>
      <c r="W71" s="122"/>
    </row>
    <row r="72" spans="1:23">
      <c r="A72" s="218">
        <v>54</v>
      </c>
      <c r="B72" s="111" t="s">
        <v>140</v>
      </c>
      <c r="C72" s="10"/>
      <c r="D72" s="162">
        <v>156</v>
      </c>
      <c r="E72" s="28">
        <v>91</v>
      </c>
      <c r="F72" s="28">
        <v>17</v>
      </c>
      <c r="G72" s="28">
        <v>42</v>
      </c>
      <c r="H72" s="134"/>
      <c r="I72" s="28"/>
      <c r="J72" s="134">
        <v>1</v>
      </c>
      <c r="K72" s="28">
        <v>16</v>
      </c>
      <c r="L72" s="134">
        <v>3</v>
      </c>
      <c r="M72" s="28">
        <v>17</v>
      </c>
      <c r="N72" s="134">
        <v>2</v>
      </c>
      <c r="O72" s="28">
        <v>1</v>
      </c>
      <c r="P72" s="28">
        <v>1</v>
      </c>
      <c r="Q72" s="28">
        <v>105</v>
      </c>
      <c r="S72" s="28"/>
      <c r="T72" s="27"/>
      <c r="U72" s="28"/>
      <c r="V72" s="27"/>
      <c r="W72" s="122"/>
    </row>
    <row r="73" spans="1:23">
      <c r="A73" s="218">
        <v>55</v>
      </c>
      <c r="B73" s="111" t="s">
        <v>141</v>
      </c>
      <c r="C73" s="10"/>
      <c r="D73" s="63">
        <v>17926</v>
      </c>
      <c r="E73" s="205">
        <v>20290</v>
      </c>
      <c r="F73" s="28">
        <v>2404</v>
      </c>
      <c r="G73" s="134">
        <v>104</v>
      </c>
      <c r="H73" s="22"/>
      <c r="I73" s="134">
        <v>9019</v>
      </c>
      <c r="J73" s="28">
        <v>67</v>
      </c>
      <c r="K73" s="134">
        <v>53</v>
      </c>
      <c r="L73" s="22">
        <v>216</v>
      </c>
      <c r="M73" s="134">
        <v>79</v>
      </c>
      <c r="N73" s="28">
        <v>7</v>
      </c>
      <c r="O73" s="28">
        <v>5</v>
      </c>
      <c r="P73" s="28">
        <v>183</v>
      </c>
      <c r="Q73" s="28">
        <v>15</v>
      </c>
      <c r="R73" s="27">
        <v>12</v>
      </c>
      <c r="S73" s="28"/>
      <c r="T73" s="27"/>
      <c r="U73" s="28"/>
      <c r="V73" s="27"/>
      <c r="W73" s="122"/>
    </row>
    <row r="74" spans="1:23" ht="15">
      <c r="A74" s="218">
        <v>56</v>
      </c>
      <c r="B74" s="111" t="s">
        <v>142</v>
      </c>
      <c r="C74" s="248"/>
      <c r="D74" s="63">
        <v>48</v>
      </c>
      <c r="E74" s="22">
        <v>377</v>
      </c>
      <c r="F74" s="205">
        <v>111</v>
      </c>
      <c r="G74" s="28">
        <v>180</v>
      </c>
      <c r="H74" s="22"/>
      <c r="I74" s="28"/>
      <c r="J74" s="45">
        <v>11</v>
      </c>
      <c r="K74" s="28">
        <v>21</v>
      </c>
      <c r="L74" s="70"/>
      <c r="M74" s="22">
        <v>28</v>
      </c>
      <c r="N74" s="28">
        <v>2</v>
      </c>
      <c r="O74" s="28">
        <v>3</v>
      </c>
      <c r="P74" s="22">
        <v>1</v>
      </c>
      <c r="Q74" s="28">
        <v>3</v>
      </c>
      <c r="S74" s="28"/>
      <c r="T74" s="27"/>
      <c r="U74" s="28"/>
      <c r="V74" s="27"/>
      <c r="W74" s="122"/>
    </row>
    <row r="75" spans="1:23">
      <c r="A75" s="218">
        <v>57</v>
      </c>
      <c r="B75" s="111" t="s">
        <v>143</v>
      </c>
      <c r="C75" s="17"/>
      <c r="D75" s="162">
        <v>41</v>
      </c>
      <c r="E75" s="28">
        <v>2</v>
      </c>
      <c r="F75" s="28"/>
      <c r="G75" s="28"/>
      <c r="H75" s="134"/>
      <c r="I75" s="28">
        <v>5</v>
      </c>
      <c r="J75" s="134"/>
      <c r="K75" s="28"/>
      <c r="L75" s="134"/>
      <c r="M75" s="28"/>
      <c r="N75" s="134">
        <v>1</v>
      </c>
      <c r="O75" s="205"/>
      <c r="P75" s="28"/>
      <c r="Q75" s="28"/>
      <c r="R75" s="27"/>
      <c r="S75" s="28"/>
      <c r="T75" s="27"/>
      <c r="U75" s="28"/>
      <c r="V75" s="27"/>
      <c r="W75" s="122"/>
    </row>
    <row r="76" spans="1:23">
      <c r="A76" s="218">
        <v>58</v>
      </c>
      <c r="B76" s="111" t="s">
        <v>144</v>
      </c>
      <c r="C76" s="10"/>
      <c r="D76" s="162">
        <v>17</v>
      </c>
      <c r="E76" s="28">
        <v>24</v>
      </c>
      <c r="F76" s="28">
        <v>4</v>
      </c>
      <c r="G76" s="28">
        <v>8</v>
      </c>
      <c r="H76" s="134"/>
      <c r="I76" s="28"/>
      <c r="J76" s="134"/>
      <c r="K76" s="28">
        <v>3</v>
      </c>
      <c r="L76" s="134"/>
      <c r="M76" s="28">
        <v>3</v>
      </c>
      <c r="N76" s="134">
        <v>6</v>
      </c>
      <c r="O76" s="22"/>
      <c r="P76" s="28"/>
      <c r="Q76" s="28">
        <v>92</v>
      </c>
      <c r="R76" s="27"/>
      <c r="S76" s="28"/>
      <c r="T76" s="27"/>
      <c r="U76" s="28"/>
      <c r="V76" s="27"/>
      <c r="W76" s="122"/>
    </row>
    <row r="77" spans="1:23">
      <c r="A77" s="218">
        <v>59</v>
      </c>
      <c r="B77" s="111" t="s">
        <v>145</v>
      </c>
      <c r="C77" s="17" t="s">
        <v>344</v>
      </c>
      <c r="D77" s="162">
        <v>359</v>
      </c>
      <c r="E77" s="28">
        <v>334</v>
      </c>
      <c r="F77" s="28">
        <v>50</v>
      </c>
      <c r="G77" s="28">
        <v>30</v>
      </c>
      <c r="I77" s="28">
        <v>7</v>
      </c>
      <c r="J77" s="134">
        <v>3</v>
      </c>
      <c r="K77" s="28">
        <v>5</v>
      </c>
      <c r="L77" s="134">
        <v>5</v>
      </c>
      <c r="M77" s="28">
        <v>7</v>
      </c>
      <c r="N77" s="134">
        <v>1</v>
      </c>
      <c r="O77" s="28"/>
      <c r="P77" s="28">
        <v>1</v>
      </c>
      <c r="Q77" s="28">
        <v>1563</v>
      </c>
      <c r="R77" s="27"/>
      <c r="S77" s="28"/>
      <c r="T77" s="27"/>
      <c r="U77" s="28"/>
      <c r="V77" s="27"/>
      <c r="W77" s="122"/>
    </row>
    <row r="78" spans="1:23">
      <c r="A78" s="218">
        <v>60</v>
      </c>
      <c r="B78" s="111" t="s">
        <v>146</v>
      </c>
      <c r="C78" s="10"/>
      <c r="D78" s="162">
        <v>2169</v>
      </c>
      <c r="E78" s="28">
        <v>1738</v>
      </c>
      <c r="F78" s="28">
        <v>629</v>
      </c>
      <c r="G78" s="28">
        <v>3105</v>
      </c>
      <c r="H78" s="134">
        <v>26</v>
      </c>
      <c r="I78" s="28">
        <v>151</v>
      </c>
      <c r="J78" s="134">
        <v>8</v>
      </c>
      <c r="K78" s="28">
        <v>220</v>
      </c>
      <c r="L78" s="134"/>
      <c r="M78" s="28">
        <v>255</v>
      </c>
      <c r="N78" s="134">
        <v>5</v>
      </c>
      <c r="O78" s="28">
        <v>58</v>
      </c>
      <c r="P78" s="28">
        <v>18</v>
      </c>
      <c r="Q78" s="28">
        <v>1287</v>
      </c>
      <c r="R78" s="27">
        <v>51</v>
      </c>
      <c r="S78" s="28">
        <v>1</v>
      </c>
      <c r="T78" s="27"/>
      <c r="U78" s="28"/>
      <c r="V78" s="27"/>
      <c r="W78" s="122"/>
    </row>
    <row r="79" spans="1:23">
      <c r="A79" s="218">
        <v>61</v>
      </c>
      <c r="B79" s="111" t="s">
        <v>147</v>
      </c>
      <c r="C79" s="10"/>
      <c r="D79" s="162">
        <v>525</v>
      </c>
      <c r="E79" s="28">
        <v>118</v>
      </c>
      <c r="F79" s="28">
        <v>130</v>
      </c>
      <c r="G79" s="28">
        <v>80</v>
      </c>
      <c r="H79" s="134">
        <v>1</v>
      </c>
      <c r="I79" s="28"/>
      <c r="J79" s="134">
        <v>1</v>
      </c>
      <c r="K79" s="28">
        <v>30</v>
      </c>
      <c r="L79" s="134">
        <v>3</v>
      </c>
      <c r="M79" s="28">
        <v>32</v>
      </c>
      <c r="N79" s="134">
        <v>1</v>
      </c>
      <c r="O79" s="28">
        <v>1</v>
      </c>
      <c r="P79" s="28"/>
      <c r="Q79" s="28">
        <v>284</v>
      </c>
      <c r="R79" s="27">
        <v>2</v>
      </c>
      <c r="S79" s="28"/>
      <c r="T79" s="27"/>
      <c r="U79" s="28"/>
      <c r="V79" s="27"/>
      <c r="W79" s="122"/>
    </row>
    <row r="80" spans="1:23" ht="15">
      <c r="A80" s="218">
        <v>62</v>
      </c>
      <c r="B80" s="111" t="s">
        <v>148</v>
      </c>
      <c r="C80" s="248"/>
      <c r="D80" s="63">
        <v>1410</v>
      </c>
      <c r="E80" s="28">
        <v>3801</v>
      </c>
      <c r="F80" s="22">
        <v>917</v>
      </c>
      <c r="G80" s="28">
        <v>980</v>
      </c>
      <c r="H80" s="22"/>
      <c r="I80" s="22">
        <v>57</v>
      </c>
      <c r="J80" s="23">
        <v>8</v>
      </c>
      <c r="K80" s="22">
        <v>56</v>
      </c>
      <c r="L80" s="70">
        <v>238</v>
      </c>
      <c r="M80" s="22">
        <v>84</v>
      </c>
      <c r="N80" s="28">
        <v>2</v>
      </c>
      <c r="O80" s="22">
        <v>9</v>
      </c>
      <c r="P80" s="22">
        <v>31</v>
      </c>
      <c r="Q80" s="28">
        <v>772</v>
      </c>
      <c r="R80" s="27"/>
      <c r="S80" s="28"/>
      <c r="T80" s="27"/>
      <c r="U80" s="28"/>
      <c r="V80" s="27"/>
      <c r="W80" s="122"/>
    </row>
    <row r="81" spans="1:23">
      <c r="A81" s="218">
        <v>63</v>
      </c>
      <c r="B81" s="111" t="s">
        <v>149</v>
      </c>
      <c r="C81" s="17"/>
      <c r="D81" s="162">
        <v>755</v>
      </c>
      <c r="E81" s="28">
        <v>1636</v>
      </c>
      <c r="F81" s="28">
        <v>830</v>
      </c>
      <c r="G81" s="28">
        <v>147</v>
      </c>
      <c r="H81" s="134"/>
      <c r="I81" s="28">
        <v>76</v>
      </c>
      <c r="J81" s="134">
        <v>35</v>
      </c>
      <c r="K81" s="28">
        <v>212</v>
      </c>
      <c r="L81" s="134">
        <v>85</v>
      </c>
      <c r="M81" s="28">
        <v>33</v>
      </c>
      <c r="N81" s="134">
        <v>4</v>
      </c>
      <c r="O81" s="28">
        <v>2</v>
      </c>
      <c r="P81" s="28"/>
      <c r="Q81" s="28">
        <v>4397</v>
      </c>
      <c r="R81" s="27">
        <v>16</v>
      </c>
      <c r="S81" s="28"/>
      <c r="T81" s="27"/>
      <c r="U81" s="28"/>
      <c r="V81" s="27"/>
      <c r="W81" s="122"/>
    </row>
    <row r="82" spans="1:23">
      <c r="A82" s="218">
        <v>64</v>
      </c>
      <c r="B82" s="111" t="s">
        <v>150</v>
      </c>
      <c r="C82" s="10"/>
      <c r="D82" s="162"/>
      <c r="E82" s="28">
        <v>73</v>
      </c>
      <c r="F82" s="28">
        <v>11</v>
      </c>
      <c r="G82" s="28">
        <v>12</v>
      </c>
      <c r="H82" s="134"/>
      <c r="I82" s="28">
        <v>3</v>
      </c>
      <c r="J82" s="134">
        <v>9</v>
      </c>
      <c r="K82" s="28">
        <v>84</v>
      </c>
      <c r="L82" s="134">
        <v>5</v>
      </c>
      <c r="M82" s="28">
        <v>9</v>
      </c>
      <c r="N82" s="134">
        <v>39</v>
      </c>
      <c r="O82" s="28">
        <v>1</v>
      </c>
      <c r="P82" s="28"/>
      <c r="Q82" s="28">
        <v>1</v>
      </c>
      <c r="R82" s="27">
        <v>2</v>
      </c>
      <c r="S82" s="28"/>
      <c r="T82" s="27"/>
      <c r="U82" s="28"/>
      <c r="V82" s="27"/>
      <c r="W82" s="122"/>
    </row>
    <row r="83" spans="1:23">
      <c r="A83" s="218">
        <v>65</v>
      </c>
      <c r="B83" s="111" t="s">
        <v>151</v>
      </c>
      <c r="C83" s="10"/>
      <c r="D83" s="162">
        <v>1324</v>
      </c>
      <c r="E83" s="28">
        <v>2500</v>
      </c>
      <c r="F83" s="28">
        <v>254</v>
      </c>
      <c r="G83" s="28">
        <v>906</v>
      </c>
      <c r="H83" s="134">
        <v>9</v>
      </c>
      <c r="I83" s="28"/>
      <c r="J83" s="134">
        <v>3</v>
      </c>
      <c r="K83" s="28">
        <v>92</v>
      </c>
      <c r="L83" s="134"/>
      <c r="M83" s="28">
        <v>165</v>
      </c>
      <c r="N83" s="134">
        <v>2</v>
      </c>
      <c r="O83" s="28">
        <v>2</v>
      </c>
      <c r="P83" s="28">
        <v>1</v>
      </c>
      <c r="Q83" s="28">
        <v>1552</v>
      </c>
      <c r="R83" s="27">
        <v>1</v>
      </c>
      <c r="S83" s="28"/>
      <c r="T83" s="27"/>
      <c r="U83" s="28"/>
      <c r="V83" s="27"/>
      <c r="W83" s="122"/>
    </row>
    <row r="84" spans="1:23">
      <c r="A84" s="218">
        <v>66</v>
      </c>
      <c r="B84" s="111" t="s">
        <v>152</v>
      </c>
      <c r="C84" s="10"/>
      <c r="D84" s="162">
        <v>634</v>
      </c>
      <c r="E84" s="28">
        <v>4776</v>
      </c>
      <c r="F84" s="28">
        <v>211</v>
      </c>
      <c r="G84" s="28">
        <v>79</v>
      </c>
      <c r="H84" s="134"/>
      <c r="I84" s="28">
        <v>208</v>
      </c>
      <c r="J84" s="134">
        <v>70</v>
      </c>
      <c r="K84" s="28">
        <v>393</v>
      </c>
      <c r="L84" s="134">
        <v>160</v>
      </c>
      <c r="M84" s="28">
        <v>70</v>
      </c>
      <c r="N84" s="134">
        <v>132</v>
      </c>
      <c r="O84" s="28">
        <v>38</v>
      </c>
      <c r="P84" s="28">
        <v>51</v>
      </c>
      <c r="Q84" s="28">
        <v>50</v>
      </c>
      <c r="R84" s="27">
        <v>106</v>
      </c>
      <c r="S84" s="28"/>
      <c r="T84" s="27">
        <v>2</v>
      </c>
      <c r="U84" s="28"/>
      <c r="V84" s="27"/>
      <c r="W84" s="122"/>
    </row>
    <row r="85" spans="1:23">
      <c r="A85" s="218">
        <v>67</v>
      </c>
      <c r="B85" s="111" t="s">
        <v>153</v>
      </c>
      <c r="C85" s="10"/>
      <c r="D85" s="162">
        <v>467</v>
      </c>
      <c r="E85" s="28">
        <v>122</v>
      </c>
      <c r="F85" s="28">
        <v>167</v>
      </c>
      <c r="G85" s="28">
        <v>166</v>
      </c>
      <c r="H85" s="134">
        <v>2</v>
      </c>
      <c r="I85" s="28">
        <v>10</v>
      </c>
      <c r="J85" s="134">
        <v>1</v>
      </c>
      <c r="K85" s="28">
        <v>23</v>
      </c>
      <c r="L85" s="134"/>
      <c r="M85" s="28">
        <v>48</v>
      </c>
      <c r="N85" s="134">
        <v>1</v>
      </c>
      <c r="O85" s="28">
        <v>3</v>
      </c>
      <c r="P85" s="28">
        <v>1</v>
      </c>
      <c r="Q85" s="28">
        <v>560</v>
      </c>
      <c r="R85" s="27">
        <v>4</v>
      </c>
      <c r="S85" s="28"/>
      <c r="T85" s="27"/>
      <c r="U85" s="28"/>
      <c r="V85" s="27"/>
      <c r="W85" s="122"/>
    </row>
    <row r="86" spans="1:23" ht="15">
      <c r="A86" s="218">
        <v>68</v>
      </c>
      <c r="B86" s="111" t="s">
        <v>154</v>
      </c>
      <c r="C86" s="248"/>
      <c r="D86" s="63">
        <v>109</v>
      </c>
      <c r="E86" s="28">
        <v>518</v>
      </c>
      <c r="F86" s="22">
        <v>41</v>
      </c>
      <c r="G86" s="28">
        <v>551</v>
      </c>
      <c r="H86" s="22"/>
      <c r="I86" s="22"/>
      <c r="J86" s="23">
        <v>1</v>
      </c>
      <c r="K86" s="22">
        <v>11</v>
      </c>
      <c r="L86" s="70">
        <v>2</v>
      </c>
      <c r="M86" s="22">
        <v>112</v>
      </c>
      <c r="N86" s="28">
        <v>2</v>
      </c>
      <c r="O86" s="22"/>
      <c r="P86" s="22">
        <v>9</v>
      </c>
      <c r="Q86" s="28">
        <v>512</v>
      </c>
      <c r="R86" s="27">
        <v>1</v>
      </c>
      <c r="S86" s="28"/>
      <c r="T86" s="27"/>
      <c r="U86" s="28"/>
      <c r="V86" s="27"/>
      <c r="W86" s="122"/>
    </row>
    <row r="87" spans="1:23">
      <c r="A87" s="218">
        <v>69</v>
      </c>
      <c r="B87" s="111" t="s">
        <v>155</v>
      </c>
      <c r="C87" s="17"/>
      <c r="D87" s="162">
        <v>703</v>
      </c>
      <c r="E87" s="28">
        <v>1106</v>
      </c>
      <c r="F87" s="28">
        <v>219</v>
      </c>
      <c r="G87" s="28">
        <v>1426</v>
      </c>
      <c r="H87" s="134">
        <v>33</v>
      </c>
      <c r="I87" s="28">
        <v>4</v>
      </c>
      <c r="J87" s="134">
        <v>10</v>
      </c>
      <c r="K87" s="28">
        <v>67</v>
      </c>
      <c r="L87" s="134">
        <v>1</v>
      </c>
      <c r="M87" s="28">
        <v>139</v>
      </c>
      <c r="N87" s="134">
        <v>15</v>
      </c>
      <c r="O87" s="28">
        <v>1</v>
      </c>
      <c r="P87" s="28">
        <v>415</v>
      </c>
      <c r="Q87" s="28">
        <v>289</v>
      </c>
      <c r="R87" s="27">
        <v>1</v>
      </c>
      <c r="S87" s="28"/>
      <c r="T87" s="27"/>
      <c r="U87" s="28"/>
      <c r="V87" s="27"/>
      <c r="W87" s="122"/>
    </row>
    <row r="88" spans="1:23">
      <c r="A88" s="218">
        <v>70</v>
      </c>
      <c r="B88" s="111" t="s">
        <v>156</v>
      </c>
      <c r="C88" s="10"/>
      <c r="D88" s="162">
        <v>833</v>
      </c>
      <c r="E88" s="28">
        <v>2004</v>
      </c>
      <c r="F88" s="28">
        <v>249</v>
      </c>
      <c r="G88" s="28">
        <v>4339</v>
      </c>
      <c r="H88" s="134">
        <v>195</v>
      </c>
      <c r="I88" s="28">
        <v>1</v>
      </c>
      <c r="J88" s="134">
        <v>10</v>
      </c>
      <c r="K88" s="28">
        <v>170</v>
      </c>
      <c r="L88" s="134">
        <v>1</v>
      </c>
      <c r="M88" s="28">
        <v>259</v>
      </c>
      <c r="N88" s="29">
        <v>1</v>
      </c>
      <c r="O88" s="28">
        <v>10</v>
      </c>
      <c r="P88" s="28">
        <v>3</v>
      </c>
      <c r="Q88" s="28">
        <v>41</v>
      </c>
      <c r="R88" s="27">
        <v>40</v>
      </c>
      <c r="S88" s="28"/>
      <c r="T88" s="27"/>
      <c r="U88" s="28"/>
      <c r="V88" s="27"/>
      <c r="W88" s="122"/>
    </row>
    <row r="89" spans="1:23">
      <c r="A89" s="218">
        <v>71</v>
      </c>
      <c r="B89" s="111" t="s">
        <v>157</v>
      </c>
      <c r="C89" s="10"/>
      <c r="D89" s="162">
        <v>1713</v>
      </c>
      <c r="E89" s="28">
        <v>68</v>
      </c>
      <c r="F89" s="28">
        <v>61</v>
      </c>
      <c r="G89" s="28">
        <v>4</v>
      </c>
      <c r="H89" s="134">
        <v>3</v>
      </c>
      <c r="I89" s="28">
        <v>75</v>
      </c>
      <c r="J89" s="134">
        <v>1</v>
      </c>
      <c r="K89" s="28">
        <v>17</v>
      </c>
      <c r="L89" s="134">
        <v>1</v>
      </c>
      <c r="M89" s="28">
        <v>11</v>
      </c>
      <c r="N89" s="134">
        <v>2</v>
      </c>
      <c r="O89" s="28">
        <v>1</v>
      </c>
      <c r="P89" s="28"/>
      <c r="Q89" s="28">
        <v>44</v>
      </c>
      <c r="R89" s="27"/>
      <c r="S89" s="28"/>
      <c r="T89" s="27"/>
      <c r="U89" s="28"/>
      <c r="V89" s="27"/>
      <c r="W89" s="122"/>
    </row>
    <row r="90" spans="1:23">
      <c r="A90" s="218">
        <v>72</v>
      </c>
      <c r="B90" s="111" t="s">
        <v>158</v>
      </c>
      <c r="C90" s="10"/>
      <c r="D90" s="162">
        <v>2850</v>
      </c>
      <c r="E90" s="28">
        <v>6211</v>
      </c>
      <c r="F90" s="28">
        <v>1385</v>
      </c>
      <c r="G90" s="28">
        <v>581</v>
      </c>
      <c r="H90" s="134">
        <v>6</v>
      </c>
      <c r="I90" s="28">
        <v>31</v>
      </c>
      <c r="J90" s="134">
        <v>85</v>
      </c>
      <c r="K90" s="28">
        <v>189</v>
      </c>
      <c r="L90" s="134">
        <v>154</v>
      </c>
      <c r="M90" s="28">
        <v>43</v>
      </c>
      <c r="N90" s="134">
        <v>5</v>
      </c>
      <c r="O90" s="28">
        <v>3</v>
      </c>
      <c r="P90" s="28">
        <v>56</v>
      </c>
      <c r="Q90" s="28">
        <v>1936</v>
      </c>
      <c r="R90" s="27">
        <v>1</v>
      </c>
      <c r="S90" s="28"/>
      <c r="T90" s="27"/>
      <c r="U90" s="28"/>
      <c r="V90" s="27"/>
      <c r="W90" s="122"/>
    </row>
    <row r="91" spans="1:23">
      <c r="A91" s="218">
        <v>73</v>
      </c>
      <c r="B91" s="111" t="s">
        <v>159</v>
      </c>
      <c r="C91" s="10"/>
      <c r="D91" s="162">
        <v>1497</v>
      </c>
      <c r="E91" s="28">
        <v>481</v>
      </c>
      <c r="F91" s="28">
        <v>386</v>
      </c>
      <c r="G91" s="28">
        <v>436</v>
      </c>
      <c r="H91" s="134">
        <v>7</v>
      </c>
      <c r="I91" s="28">
        <v>60</v>
      </c>
      <c r="J91" s="134">
        <v>6</v>
      </c>
      <c r="K91" s="28">
        <v>56</v>
      </c>
      <c r="L91" s="134"/>
      <c r="M91" s="28">
        <v>73</v>
      </c>
      <c r="N91" s="29">
        <v>2</v>
      </c>
      <c r="O91" s="28">
        <v>2</v>
      </c>
      <c r="P91" s="28">
        <v>2</v>
      </c>
      <c r="Q91" s="28">
        <v>844</v>
      </c>
      <c r="R91" s="27"/>
      <c r="S91" s="28"/>
      <c r="T91" s="27"/>
      <c r="U91" s="28"/>
      <c r="V91" s="27"/>
      <c r="W91" s="122"/>
    </row>
    <row r="92" spans="1:23" ht="15">
      <c r="A92" s="218">
        <v>74</v>
      </c>
      <c r="B92" s="111" t="s">
        <v>160</v>
      </c>
      <c r="C92" s="248"/>
      <c r="D92" s="63">
        <v>1838</v>
      </c>
      <c r="E92" s="28">
        <v>5983</v>
      </c>
      <c r="F92" s="22">
        <v>400</v>
      </c>
      <c r="G92" s="28">
        <v>84</v>
      </c>
      <c r="H92" s="22"/>
      <c r="I92" s="22">
        <v>225</v>
      </c>
      <c r="J92" s="23">
        <v>5</v>
      </c>
      <c r="K92" s="22">
        <v>22</v>
      </c>
      <c r="L92" s="70">
        <v>68</v>
      </c>
      <c r="M92" s="22">
        <v>33</v>
      </c>
      <c r="N92" s="134">
        <v>51</v>
      </c>
      <c r="O92" s="22">
        <v>2</v>
      </c>
      <c r="P92" s="22">
        <v>9</v>
      </c>
      <c r="Q92" s="28">
        <v>35</v>
      </c>
      <c r="R92" s="27">
        <v>10</v>
      </c>
      <c r="S92" s="28"/>
      <c r="T92" s="27"/>
      <c r="U92" s="28"/>
      <c r="V92" s="27"/>
      <c r="W92" s="122"/>
    </row>
    <row r="93" spans="1:23">
      <c r="A93" s="218">
        <v>75</v>
      </c>
      <c r="B93" s="111" t="s">
        <v>161</v>
      </c>
      <c r="C93" s="17"/>
      <c r="D93" s="162">
        <v>679</v>
      </c>
      <c r="E93" s="28">
        <v>2576</v>
      </c>
      <c r="F93" s="28">
        <v>410</v>
      </c>
      <c r="G93" s="28">
        <v>1134</v>
      </c>
      <c r="H93" s="134">
        <v>8</v>
      </c>
      <c r="I93" s="28">
        <v>5</v>
      </c>
      <c r="J93" s="134">
        <v>29</v>
      </c>
      <c r="K93" s="28">
        <v>273</v>
      </c>
      <c r="L93" s="134">
        <v>9</v>
      </c>
      <c r="M93" s="28">
        <v>167</v>
      </c>
      <c r="N93" s="134">
        <v>4</v>
      </c>
      <c r="O93" s="28">
        <v>2</v>
      </c>
      <c r="P93" s="28">
        <v>4</v>
      </c>
      <c r="Q93" s="28">
        <v>1196</v>
      </c>
      <c r="R93" s="27">
        <v>87</v>
      </c>
      <c r="S93" s="28"/>
      <c r="T93" s="27"/>
      <c r="U93" s="28"/>
      <c r="V93" s="27"/>
      <c r="W93" s="122"/>
    </row>
    <row r="94" spans="1:23">
      <c r="A94" s="218">
        <v>76</v>
      </c>
      <c r="B94" s="111" t="s">
        <v>162</v>
      </c>
      <c r="C94" s="10"/>
      <c r="D94" s="162">
        <v>4773</v>
      </c>
      <c r="E94" s="28">
        <v>1898</v>
      </c>
      <c r="F94" s="28">
        <v>217</v>
      </c>
      <c r="G94" s="28">
        <v>613</v>
      </c>
      <c r="H94" s="134">
        <v>9</v>
      </c>
      <c r="I94" s="28">
        <v>16</v>
      </c>
      <c r="J94" s="134">
        <v>27</v>
      </c>
      <c r="K94" s="28">
        <v>114</v>
      </c>
      <c r="L94" s="134">
        <v>23</v>
      </c>
      <c r="M94" s="28">
        <v>207</v>
      </c>
      <c r="N94" s="28">
        <v>3</v>
      </c>
      <c r="O94" s="28">
        <v>1</v>
      </c>
      <c r="P94" s="28">
        <v>149</v>
      </c>
      <c r="Q94" s="28">
        <v>1386</v>
      </c>
      <c r="R94" s="27">
        <v>1</v>
      </c>
      <c r="S94" s="28"/>
      <c r="T94" s="27"/>
      <c r="U94" s="28"/>
      <c r="V94" s="27"/>
      <c r="W94" s="122"/>
    </row>
    <row r="95" spans="1:23">
      <c r="A95" s="218">
        <v>77</v>
      </c>
      <c r="B95" s="111" t="s">
        <v>163</v>
      </c>
      <c r="C95" s="10"/>
      <c r="D95" s="162">
        <v>4080</v>
      </c>
      <c r="E95" s="28">
        <v>1640</v>
      </c>
      <c r="F95" s="28">
        <v>1215</v>
      </c>
      <c r="G95" s="28">
        <v>19</v>
      </c>
      <c r="H95" s="134"/>
      <c r="I95" s="28">
        <v>2829</v>
      </c>
      <c r="J95" s="134">
        <v>4</v>
      </c>
      <c r="K95" s="28">
        <v>6</v>
      </c>
      <c r="L95" s="134">
        <v>31</v>
      </c>
      <c r="M95" s="28">
        <v>95</v>
      </c>
      <c r="N95" s="134">
        <v>1</v>
      </c>
      <c r="O95" s="28"/>
      <c r="P95" s="28">
        <v>14</v>
      </c>
      <c r="Q95" s="28">
        <v>11</v>
      </c>
      <c r="R95" s="27"/>
      <c r="S95" s="28"/>
      <c r="T95" s="27"/>
      <c r="U95" s="28"/>
      <c r="V95" s="27"/>
      <c r="W95" s="122"/>
    </row>
    <row r="96" spans="1:23">
      <c r="A96" s="218">
        <v>78</v>
      </c>
      <c r="B96" s="111" t="s">
        <v>164</v>
      </c>
      <c r="C96" s="10"/>
      <c r="D96" s="162">
        <v>202</v>
      </c>
      <c r="E96" s="28">
        <v>468</v>
      </c>
      <c r="F96" s="28">
        <v>126</v>
      </c>
      <c r="G96" s="28">
        <v>1643</v>
      </c>
      <c r="H96" s="134">
        <v>23</v>
      </c>
      <c r="I96" s="28">
        <v>3</v>
      </c>
      <c r="J96" s="134">
        <v>2</v>
      </c>
      <c r="K96" s="28">
        <v>47</v>
      </c>
      <c r="L96" s="134">
        <v>1</v>
      </c>
      <c r="M96" s="28">
        <v>53</v>
      </c>
      <c r="N96" s="134">
        <v>1</v>
      </c>
      <c r="O96" s="28">
        <v>2</v>
      </c>
      <c r="P96" s="28">
        <v>23</v>
      </c>
      <c r="Q96" s="28">
        <v>60</v>
      </c>
      <c r="R96" s="27">
        <v>18</v>
      </c>
      <c r="S96" s="28"/>
      <c r="T96" s="27"/>
      <c r="U96" s="28"/>
      <c r="V96" s="27"/>
      <c r="W96" s="122"/>
    </row>
    <row r="97" spans="1:23">
      <c r="A97" s="218">
        <v>79</v>
      </c>
      <c r="B97" s="111" t="s">
        <v>165</v>
      </c>
      <c r="C97" s="10"/>
      <c r="D97" s="162">
        <v>448</v>
      </c>
      <c r="E97" s="28">
        <v>98</v>
      </c>
      <c r="F97" s="28">
        <v>62</v>
      </c>
      <c r="G97" s="28">
        <v>54</v>
      </c>
      <c r="H97" s="134"/>
      <c r="I97" s="28">
        <v>1</v>
      </c>
      <c r="J97" s="134">
        <v>4</v>
      </c>
      <c r="K97" s="28">
        <v>34</v>
      </c>
      <c r="L97" s="134">
        <v>1</v>
      </c>
      <c r="M97" s="28">
        <v>28</v>
      </c>
      <c r="N97" s="134">
        <v>1</v>
      </c>
      <c r="O97" s="28">
        <v>3</v>
      </c>
      <c r="P97" s="28"/>
      <c r="Q97" s="28">
        <v>212</v>
      </c>
      <c r="R97" s="27"/>
      <c r="S97" s="28"/>
      <c r="T97" s="27"/>
      <c r="U97" s="28"/>
      <c r="V97" s="27"/>
      <c r="W97" s="122"/>
    </row>
    <row r="98" spans="1:23" ht="15">
      <c r="A98" s="218">
        <v>80</v>
      </c>
      <c r="B98" s="111" t="s">
        <v>166</v>
      </c>
      <c r="C98" s="248"/>
      <c r="D98" s="63">
        <v>330</v>
      </c>
      <c r="E98" s="28">
        <v>581</v>
      </c>
      <c r="F98" s="22">
        <v>52</v>
      </c>
      <c r="G98" s="28">
        <v>458</v>
      </c>
      <c r="H98" s="22"/>
      <c r="I98" s="22"/>
      <c r="J98" s="23">
        <v>3</v>
      </c>
      <c r="K98" s="22">
        <v>10</v>
      </c>
      <c r="L98" s="70">
        <v>1</v>
      </c>
      <c r="M98" s="22">
        <v>89</v>
      </c>
      <c r="N98" s="134">
        <v>1</v>
      </c>
      <c r="O98" s="22"/>
      <c r="P98" s="22"/>
      <c r="Q98" s="28">
        <v>2197</v>
      </c>
      <c r="R98" s="27"/>
      <c r="S98" s="28"/>
      <c r="T98" s="27"/>
      <c r="U98" s="28"/>
      <c r="V98" s="27"/>
      <c r="W98" s="122"/>
    </row>
    <row r="99" spans="1:23">
      <c r="A99" s="218">
        <v>81</v>
      </c>
      <c r="B99" s="111" t="s">
        <v>167</v>
      </c>
      <c r="C99" s="17"/>
      <c r="D99" s="162">
        <v>7380</v>
      </c>
      <c r="E99" s="28">
        <v>2039</v>
      </c>
      <c r="F99" s="28">
        <v>939</v>
      </c>
      <c r="G99" s="28">
        <v>3033</v>
      </c>
      <c r="H99" s="134">
        <v>1045</v>
      </c>
      <c r="I99" s="28">
        <v>1163</v>
      </c>
      <c r="J99" s="134">
        <v>10</v>
      </c>
      <c r="K99" s="28">
        <v>530</v>
      </c>
      <c r="L99" s="134">
        <v>15</v>
      </c>
      <c r="M99" s="28">
        <v>110</v>
      </c>
      <c r="N99" s="134">
        <v>1</v>
      </c>
      <c r="O99" s="28">
        <v>2</v>
      </c>
      <c r="P99" s="28">
        <v>6</v>
      </c>
      <c r="Q99" s="28">
        <v>588</v>
      </c>
      <c r="R99" s="27">
        <v>307</v>
      </c>
      <c r="S99" s="28"/>
      <c r="T99" s="27"/>
      <c r="U99" s="28"/>
      <c r="V99" s="27"/>
      <c r="W99" s="122"/>
    </row>
    <row r="100" spans="1:23">
      <c r="A100" s="218">
        <v>82</v>
      </c>
      <c r="B100" s="111" t="s">
        <v>168</v>
      </c>
      <c r="C100" s="10"/>
      <c r="D100" s="162">
        <v>1442</v>
      </c>
      <c r="E100" s="28">
        <v>3606</v>
      </c>
      <c r="F100" s="28">
        <v>1183</v>
      </c>
      <c r="G100" s="28">
        <v>337</v>
      </c>
      <c r="H100" s="134"/>
      <c r="I100" s="28">
        <v>637</v>
      </c>
      <c r="J100" s="134">
        <v>91</v>
      </c>
      <c r="K100" s="28">
        <v>137</v>
      </c>
      <c r="L100" s="134">
        <v>175</v>
      </c>
      <c r="M100" s="28">
        <v>91</v>
      </c>
      <c r="N100" s="28">
        <v>47</v>
      </c>
      <c r="O100" s="28">
        <v>1</v>
      </c>
      <c r="P100" s="28">
        <v>2</v>
      </c>
      <c r="Q100" s="28">
        <v>1177</v>
      </c>
      <c r="R100" s="169">
        <v>10</v>
      </c>
      <c r="S100" s="163"/>
      <c r="T100" s="169"/>
      <c r="U100" s="163"/>
      <c r="V100" s="169"/>
      <c r="W100" s="296"/>
    </row>
    <row r="101" spans="1:23">
      <c r="A101" s="219"/>
      <c r="B101" s="240"/>
      <c r="C101" s="12"/>
      <c r="D101" s="38"/>
      <c r="E101" s="206"/>
      <c r="F101" s="206"/>
      <c r="G101" s="206"/>
      <c r="H101" s="256"/>
      <c r="I101" s="206"/>
      <c r="J101" s="256"/>
      <c r="K101" s="206"/>
      <c r="L101" s="256"/>
      <c r="M101" s="206"/>
      <c r="N101" s="256"/>
      <c r="O101" s="206"/>
      <c r="P101" s="206"/>
      <c r="Q101" s="185"/>
      <c r="R101" s="26"/>
      <c r="S101" s="185"/>
      <c r="T101" s="26"/>
      <c r="U101" s="185"/>
      <c r="V101" s="26"/>
      <c r="W101" s="295"/>
    </row>
    <row r="102" spans="1:23" ht="15">
      <c r="A102" s="220" t="s">
        <v>86</v>
      </c>
      <c r="B102" s="232"/>
      <c r="C102" s="10"/>
      <c r="D102" s="133">
        <f>SUM(D19:D100)</f>
        <v>215363</v>
      </c>
      <c r="E102" s="28">
        <f t="shared" ref="E102:V102" si="1">SUM(E19:E100)</f>
        <v>225370</v>
      </c>
      <c r="F102" s="28">
        <f t="shared" si="1"/>
        <v>41762</v>
      </c>
      <c r="G102" s="134">
        <f t="shared" si="1"/>
        <v>85995</v>
      </c>
      <c r="H102" s="28">
        <f t="shared" si="1"/>
        <v>5817</v>
      </c>
      <c r="I102" s="134">
        <f t="shared" si="1"/>
        <v>42784</v>
      </c>
      <c r="J102" s="28">
        <f t="shared" si="1"/>
        <v>1552</v>
      </c>
      <c r="K102" s="134">
        <f t="shared" si="1"/>
        <v>8794</v>
      </c>
      <c r="L102" s="28">
        <f t="shared" si="1"/>
        <v>3333</v>
      </c>
      <c r="M102" s="134">
        <f t="shared" si="1"/>
        <v>6422</v>
      </c>
      <c r="N102" s="28">
        <f>SUM(N19:N100)</f>
        <v>884</v>
      </c>
      <c r="O102" s="134">
        <f t="shared" si="1"/>
        <v>1051</v>
      </c>
      <c r="P102" s="28">
        <f t="shared" si="1"/>
        <v>2017</v>
      </c>
      <c r="Q102" s="134">
        <f t="shared" si="1"/>
        <v>60802</v>
      </c>
      <c r="R102" s="28">
        <f t="shared" si="1"/>
        <v>3020</v>
      </c>
      <c r="S102" s="134">
        <f t="shared" si="1"/>
        <v>13</v>
      </c>
      <c r="T102" s="28">
        <f t="shared" si="1"/>
        <v>23</v>
      </c>
      <c r="U102" s="134">
        <f t="shared" si="1"/>
        <v>7</v>
      </c>
      <c r="V102" s="28">
        <f t="shared" si="1"/>
        <v>3</v>
      </c>
      <c r="W102" s="122">
        <f>SUM(W19:W100)</f>
        <v>3</v>
      </c>
    </row>
    <row r="103" spans="1:23" ht="16" thickBot="1">
      <c r="A103" s="221"/>
      <c r="B103" s="233"/>
      <c r="C103" s="251"/>
      <c r="D103" s="252"/>
      <c r="E103" s="208"/>
      <c r="F103" s="208"/>
      <c r="G103" s="208"/>
      <c r="H103" s="208"/>
      <c r="I103" s="208"/>
      <c r="J103" s="253"/>
      <c r="K103" s="208"/>
      <c r="L103" s="253"/>
      <c r="M103" s="208"/>
      <c r="N103" s="253"/>
      <c r="O103" s="208"/>
      <c r="P103" s="208"/>
      <c r="Q103" s="187"/>
      <c r="R103" s="187"/>
      <c r="S103" s="187"/>
      <c r="T103" s="190"/>
      <c r="U103" s="187"/>
      <c r="V103" s="187"/>
      <c r="W103" s="297"/>
    </row>
    <row r="104" spans="1:23" ht="15" thickTop="1">
      <c r="A104" s="222" t="s">
        <v>21</v>
      </c>
      <c r="B104" s="97"/>
      <c r="C104" s="10"/>
      <c r="D104" s="20"/>
      <c r="E104" s="31"/>
      <c r="F104" s="142"/>
      <c r="G104" s="31"/>
      <c r="H104" s="13"/>
      <c r="I104" s="31"/>
      <c r="J104" s="13"/>
      <c r="K104" s="31"/>
      <c r="L104" s="13"/>
      <c r="M104" s="31"/>
      <c r="N104" s="13"/>
      <c r="O104" s="31"/>
      <c r="P104" s="13"/>
      <c r="Q104" s="13"/>
      <c r="R104" s="13"/>
      <c r="S104" s="13"/>
      <c r="T104" s="13"/>
      <c r="U104" s="13"/>
      <c r="V104" s="13"/>
      <c r="W104" s="293"/>
    </row>
    <row r="105" spans="1:23" ht="15">
      <c r="A105" s="145">
        <v>83</v>
      </c>
      <c r="B105" s="4" t="s">
        <v>169</v>
      </c>
      <c r="C105" s="248"/>
      <c r="D105" s="63">
        <v>1336</v>
      </c>
      <c r="E105" s="22">
        <v>17</v>
      </c>
      <c r="F105" s="22">
        <v>1</v>
      </c>
      <c r="G105" s="22">
        <v>31</v>
      </c>
      <c r="H105" s="22"/>
      <c r="I105" s="22"/>
      <c r="J105" s="23">
        <v>9</v>
      </c>
      <c r="K105" s="22">
        <v>2</v>
      </c>
      <c r="L105" s="70">
        <v>22</v>
      </c>
      <c r="M105" s="22">
        <v>23</v>
      </c>
      <c r="N105" s="22">
        <v>3</v>
      </c>
      <c r="O105" s="22"/>
      <c r="P105" s="22">
        <v>5</v>
      </c>
      <c r="Q105" s="28">
        <v>65</v>
      </c>
      <c r="R105" s="28"/>
      <c r="S105" s="28"/>
      <c r="T105" s="28"/>
      <c r="U105" s="28"/>
      <c r="V105" s="28"/>
      <c r="W105" s="122"/>
    </row>
    <row r="106" spans="1:23">
      <c r="A106" s="145">
        <v>84</v>
      </c>
      <c r="B106" s="4" t="s">
        <v>170</v>
      </c>
      <c r="C106" s="17"/>
      <c r="D106" s="162">
        <v>46</v>
      </c>
      <c r="E106" s="28">
        <v>8</v>
      </c>
      <c r="F106" s="28">
        <v>11</v>
      </c>
      <c r="G106" s="28">
        <v>748</v>
      </c>
      <c r="H106" s="134">
        <v>30</v>
      </c>
      <c r="I106" s="28"/>
      <c r="J106" s="134">
        <v>8</v>
      </c>
      <c r="K106" s="28">
        <v>11</v>
      </c>
      <c r="L106" s="134">
        <v>5</v>
      </c>
      <c r="M106" s="28">
        <v>21</v>
      </c>
      <c r="N106" s="134">
        <v>1</v>
      </c>
      <c r="O106" s="28">
        <v>1</v>
      </c>
      <c r="P106" s="28">
        <v>2</v>
      </c>
      <c r="Q106" s="28">
        <v>1</v>
      </c>
      <c r="R106" s="28"/>
      <c r="S106" s="28"/>
      <c r="T106" s="28">
        <v>3</v>
      </c>
      <c r="U106" s="28"/>
      <c r="V106" s="28"/>
      <c r="W106" s="122"/>
    </row>
    <row r="107" spans="1:23">
      <c r="A107" s="145">
        <v>85</v>
      </c>
      <c r="B107" s="4" t="s">
        <v>171</v>
      </c>
      <c r="C107" s="10"/>
      <c r="D107" s="162">
        <v>50</v>
      </c>
      <c r="E107" s="28">
        <v>69</v>
      </c>
      <c r="F107" s="28">
        <v>6</v>
      </c>
      <c r="G107" s="28">
        <v>3483</v>
      </c>
      <c r="H107" s="134">
        <v>1644</v>
      </c>
      <c r="I107" s="28"/>
      <c r="J107" s="134">
        <v>40</v>
      </c>
      <c r="K107" s="28">
        <v>18</v>
      </c>
      <c r="L107" s="134">
        <v>1</v>
      </c>
      <c r="M107" s="28">
        <v>31</v>
      </c>
      <c r="N107" s="134">
        <v>4</v>
      </c>
      <c r="O107" s="28"/>
      <c r="P107" s="28">
        <v>8</v>
      </c>
      <c r="Q107" s="28">
        <v>56</v>
      </c>
      <c r="R107" s="28"/>
      <c r="S107" s="28">
        <v>1</v>
      </c>
      <c r="T107" s="28"/>
      <c r="U107" s="28"/>
      <c r="V107" s="28"/>
      <c r="W107" s="122">
        <v>19</v>
      </c>
    </row>
    <row r="108" spans="1:23">
      <c r="A108" s="145">
        <v>86</v>
      </c>
      <c r="B108" s="4" t="s">
        <v>172</v>
      </c>
      <c r="C108" s="10"/>
      <c r="D108" s="162">
        <v>10</v>
      </c>
      <c r="E108" s="28">
        <v>12</v>
      </c>
      <c r="F108" s="28">
        <v>10</v>
      </c>
      <c r="G108" s="28">
        <v>457</v>
      </c>
      <c r="H108" s="134">
        <v>91</v>
      </c>
      <c r="I108" s="28"/>
      <c r="J108" s="134">
        <v>1</v>
      </c>
      <c r="K108" s="28">
        <v>22</v>
      </c>
      <c r="L108" s="134"/>
      <c r="M108" s="28">
        <v>27</v>
      </c>
      <c r="N108" s="134">
        <v>2</v>
      </c>
      <c r="O108" s="28">
        <v>1</v>
      </c>
      <c r="P108" s="28">
        <v>2</v>
      </c>
      <c r="Q108" s="28">
        <v>5</v>
      </c>
      <c r="R108" s="28">
        <v>2</v>
      </c>
      <c r="S108" s="28"/>
      <c r="T108" s="28"/>
      <c r="U108" s="28"/>
      <c r="V108" s="28"/>
      <c r="W108" s="122"/>
    </row>
    <row r="109" spans="1:23">
      <c r="A109" s="145">
        <v>87</v>
      </c>
      <c r="B109" s="4" t="s">
        <v>173</v>
      </c>
      <c r="C109" s="10"/>
      <c r="D109" s="162">
        <v>64</v>
      </c>
      <c r="E109" s="28">
        <v>103</v>
      </c>
      <c r="F109" s="28">
        <v>42</v>
      </c>
      <c r="G109" s="28">
        <v>4116</v>
      </c>
      <c r="H109" s="134">
        <v>732</v>
      </c>
      <c r="I109" s="28">
        <v>5</v>
      </c>
      <c r="J109" s="134">
        <v>147</v>
      </c>
      <c r="K109" s="28">
        <v>60</v>
      </c>
      <c r="L109" s="134">
        <v>8</v>
      </c>
      <c r="M109" s="28">
        <v>92</v>
      </c>
      <c r="N109" s="134">
        <v>2</v>
      </c>
      <c r="O109" s="28"/>
      <c r="P109" s="28">
        <v>10</v>
      </c>
      <c r="Q109" s="28">
        <v>72</v>
      </c>
      <c r="R109" s="28"/>
      <c r="S109" s="28">
        <v>1</v>
      </c>
      <c r="T109" s="28">
        <v>1</v>
      </c>
      <c r="U109" s="28"/>
      <c r="V109" s="28"/>
      <c r="W109" s="122">
        <v>1</v>
      </c>
    </row>
    <row r="110" spans="1:23">
      <c r="A110" s="215"/>
      <c r="B110" s="203"/>
      <c r="C110" s="12"/>
      <c r="D110" s="38"/>
      <c r="E110" s="206"/>
      <c r="F110" s="206"/>
      <c r="G110" s="206"/>
      <c r="H110" s="256"/>
      <c r="I110" s="206"/>
      <c r="J110" s="256"/>
      <c r="K110" s="206"/>
      <c r="L110" s="256"/>
      <c r="M110" s="206"/>
      <c r="N110" s="37"/>
      <c r="O110" s="206"/>
      <c r="P110" s="206"/>
      <c r="Q110" s="185"/>
      <c r="R110" s="185"/>
      <c r="S110" s="185"/>
      <c r="T110" s="185"/>
      <c r="U110" s="185"/>
      <c r="V110" s="185"/>
      <c r="W110" s="295"/>
    </row>
    <row r="111" spans="1:23" ht="15">
      <c r="A111" s="145" t="s">
        <v>293</v>
      </c>
      <c r="B111" s="4"/>
      <c r="C111" s="248"/>
      <c r="D111" s="120">
        <f t="shared" ref="D111:M111" si="2">SUM(D105:D109)</f>
        <v>1506</v>
      </c>
      <c r="E111" s="28">
        <f t="shared" si="2"/>
        <v>209</v>
      </c>
      <c r="F111" s="134">
        <f t="shared" si="2"/>
        <v>70</v>
      </c>
      <c r="G111" s="28">
        <f t="shared" si="2"/>
        <v>8835</v>
      </c>
      <c r="H111" s="134">
        <f t="shared" si="2"/>
        <v>2497</v>
      </c>
      <c r="I111" s="28">
        <f t="shared" si="2"/>
        <v>5</v>
      </c>
      <c r="J111" s="134">
        <f t="shared" si="2"/>
        <v>205</v>
      </c>
      <c r="K111" s="28">
        <f t="shared" si="2"/>
        <v>113</v>
      </c>
      <c r="L111" s="134">
        <f t="shared" si="2"/>
        <v>36</v>
      </c>
      <c r="M111" s="28">
        <f t="shared" si="2"/>
        <v>194</v>
      </c>
      <c r="N111" s="134">
        <f>SUM(N105:N109)</f>
        <v>12</v>
      </c>
      <c r="O111" s="45">
        <f t="shared" ref="O111:W111" si="3">SUM(O105:O109)</f>
        <v>2</v>
      </c>
      <c r="P111" s="28">
        <f t="shared" si="3"/>
        <v>27</v>
      </c>
      <c r="Q111" s="134">
        <f t="shared" si="3"/>
        <v>199</v>
      </c>
      <c r="R111" s="28">
        <f t="shared" si="3"/>
        <v>2</v>
      </c>
      <c r="S111" s="134">
        <f t="shared" si="3"/>
        <v>2</v>
      </c>
      <c r="T111" s="28">
        <f t="shared" si="3"/>
        <v>4</v>
      </c>
      <c r="U111" s="123">
        <f t="shared" si="3"/>
        <v>0</v>
      </c>
      <c r="V111" s="134">
        <f t="shared" si="3"/>
        <v>0</v>
      </c>
      <c r="W111" s="122">
        <f t="shared" si="3"/>
        <v>20</v>
      </c>
    </row>
    <row r="112" spans="1:23" ht="15" thickBot="1">
      <c r="A112" s="217"/>
      <c r="B112" s="104"/>
      <c r="C112" s="257"/>
      <c r="D112" s="252"/>
      <c r="E112" s="208"/>
      <c r="F112" s="208"/>
      <c r="G112" s="208"/>
      <c r="H112" s="253"/>
      <c r="I112" s="208"/>
      <c r="J112" s="253"/>
      <c r="K112" s="208"/>
      <c r="L112" s="253"/>
      <c r="M112" s="208"/>
      <c r="N112" s="253"/>
      <c r="O112" s="208"/>
      <c r="P112" s="208"/>
      <c r="Q112" s="190"/>
      <c r="R112" s="190"/>
      <c r="S112" s="190"/>
      <c r="T112" s="190"/>
      <c r="U112" s="190"/>
      <c r="V112" s="190"/>
      <c r="W112" s="297"/>
    </row>
    <row r="113" spans="1:23" ht="15" thickTop="1">
      <c r="A113" s="223" t="s">
        <v>22</v>
      </c>
      <c r="B113" s="112"/>
      <c r="C113" s="10"/>
      <c r="D113" s="162"/>
      <c r="E113" s="28"/>
      <c r="F113" s="28"/>
      <c r="G113" s="28"/>
      <c r="H113" s="134"/>
      <c r="I113" s="28"/>
      <c r="J113" s="134"/>
      <c r="K113" s="28"/>
      <c r="L113" s="134"/>
      <c r="M113" s="28"/>
      <c r="N113" s="134"/>
      <c r="O113" s="28"/>
      <c r="P113" s="28"/>
      <c r="Q113" s="13"/>
      <c r="R113" s="13"/>
      <c r="S113" s="13"/>
      <c r="T113" s="13"/>
      <c r="U113" s="13"/>
      <c r="V113" s="13"/>
      <c r="W113" s="293"/>
    </row>
    <row r="114" spans="1:23">
      <c r="A114" s="222" t="s">
        <v>23</v>
      </c>
      <c r="B114" s="97"/>
      <c r="C114" s="10"/>
      <c r="D114" s="162"/>
      <c r="E114" s="28"/>
      <c r="F114" s="28"/>
      <c r="G114" s="28"/>
      <c r="H114" s="134"/>
      <c r="I114" s="28"/>
      <c r="J114" s="134"/>
      <c r="K114" s="28"/>
      <c r="L114" s="134"/>
      <c r="M114" s="28"/>
      <c r="N114" s="134"/>
      <c r="O114" s="28"/>
      <c r="P114" s="28"/>
      <c r="Q114" s="13"/>
      <c r="S114" s="13"/>
      <c r="T114" s="13"/>
      <c r="U114" s="13"/>
      <c r="V114" s="13"/>
      <c r="W114" s="293"/>
    </row>
    <row r="115" spans="1:23">
      <c r="A115" s="145">
        <v>88</v>
      </c>
      <c r="B115" s="4" t="s">
        <v>174</v>
      </c>
      <c r="C115" s="10"/>
      <c r="D115" s="272">
        <v>1922</v>
      </c>
      <c r="E115" s="28">
        <v>1175</v>
      </c>
      <c r="F115" s="28">
        <v>103</v>
      </c>
      <c r="G115" s="51">
        <v>1750</v>
      </c>
      <c r="H115" s="134">
        <v>75</v>
      </c>
      <c r="I115" s="28">
        <v>22</v>
      </c>
      <c r="J115" s="134">
        <v>34</v>
      </c>
      <c r="K115" s="28">
        <v>116</v>
      </c>
      <c r="L115" s="134">
        <v>7</v>
      </c>
      <c r="M115" s="28">
        <v>76</v>
      </c>
      <c r="N115" s="134"/>
      <c r="O115" s="28">
        <v>1</v>
      </c>
      <c r="P115" s="28">
        <v>3</v>
      </c>
      <c r="Q115" s="28"/>
      <c r="R115" s="167">
        <v>485</v>
      </c>
      <c r="S115" s="28"/>
      <c r="T115" s="28"/>
      <c r="U115" s="13"/>
      <c r="V115" s="13"/>
      <c r="W115" s="293"/>
    </row>
    <row r="116" spans="1:23">
      <c r="A116" s="145">
        <v>89</v>
      </c>
      <c r="B116" s="4" t="s">
        <v>175</v>
      </c>
      <c r="C116" s="10"/>
      <c r="D116" s="272">
        <v>3819</v>
      </c>
      <c r="E116" s="28">
        <v>2278</v>
      </c>
      <c r="F116" s="28">
        <v>179</v>
      </c>
      <c r="G116" s="51">
        <v>4420</v>
      </c>
      <c r="H116" s="134">
        <v>387</v>
      </c>
      <c r="I116" s="28">
        <v>74</v>
      </c>
      <c r="J116" s="134">
        <v>35</v>
      </c>
      <c r="K116" s="28">
        <v>65</v>
      </c>
      <c r="L116" s="134">
        <v>1</v>
      </c>
      <c r="M116" s="28">
        <v>41</v>
      </c>
      <c r="N116" s="134">
        <v>1</v>
      </c>
      <c r="O116" s="28">
        <v>14</v>
      </c>
      <c r="P116" s="28">
        <v>1</v>
      </c>
      <c r="Q116" s="28">
        <v>81</v>
      </c>
      <c r="R116" s="28">
        <v>573</v>
      </c>
      <c r="S116" s="28"/>
      <c r="T116" s="28"/>
      <c r="U116" s="13"/>
      <c r="V116" s="13"/>
      <c r="W116" s="293"/>
    </row>
    <row r="117" spans="1:23" ht="15">
      <c r="A117" s="145">
        <v>90</v>
      </c>
      <c r="B117" s="4" t="s">
        <v>176</v>
      </c>
      <c r="C117" s="248"/>
      <c r="D117" s="273"/>
      <c r="E117" s="22">
        <v>12</v>
      </c>
      <c r="F117" s="22">
        <v>5</v>
      </c>
      <c r="G117" s="51">
        <v>6</v>
      </c>
      <c r="H117" s="22"/>
      <c r="I117" s="22"/>
      <c r="J117" s="23"/>
      <c r="K117" s="22">
        <v>3</v>
      </c>
      <c r="L117" s="70"/>
      <c r="M117" s="22">
        <v>1</v>
      </c>
      <c r="N117" s="22"/>
      <c r="O117" s="28"/>
      <c r="P117" s="22"/>
      <c r="Q117" s="28">
        <v>1</v>
      </c>
      <c r="R117" s="28"/>
      <c r="S117" s="28"/>
      <c r="T117" s="28"/>
      <c r="U117" s="13"/>
      <c r="V117" s="13"/>
      <c r="W117" s="293"/>
    </row>
    <row r="118" spans="1:23">
      <c r="A118" s="145">
        <v>91</v>
      </c>
      <c r="B118" s="4" t="s">
        <v>177</v>
      </c>
      <c r="C118" s="17"/>
      <c r="D118" s="272">
        <v>3943</v>
      </c>
      <c r="E118" s="28">
        <v>4426</v>
      </c>
      <c r="F118" s="28">
        <v>300</v>
      </c>
      <c r="G118" s="51">
        <v>7884</v>
      </c>
      <c r="H118" s="134">
        <v>141</v>
      </c>
      <c r="I118" s="28">
        <v>78</v>
      </c>
      <c r="J118" s="134">
        <v>25</v>
      </c>
      <c r="K118" s="28">
        <v>224</v>
      </c>
      <c r="L118" s="134">
        <v>1</v>
      </c>
      <c r="M118" s="28">
        <v>90</v>
      </c>
      <c r="N118" s="134">
        <v>1</v>
      </c>
      <c r="O118" s="28"/>
      <c r="P118" s="28">
        <v>1</v>
      </c>
      <c r="Q118" s="28">
        <v>56</v>
      </c>
      <c r="R118" s="28">
        <v>1121</v>
      </c>
      <c r="S118" s="28"/>
      <c r="T118" s="28"/>
      <c r="U118" s="13"/>
      <c r="V118" s="13"/>
      <c r="W118" s="293"/>
    </row>
    <row r="119" spans="1:23">
      <c r="A119" s="145">
        <v>92</v>
      </c>
      <c r="B119" s="4" t="s">
        <v>178</v>
      </c>
      <c r="C119" s="10"/>
      <c r="D119" s="272">
        <v>27</v>
      </c>
      <c r="E119" s="28">
        <v>53</v>
      </c>
      <c r="F119" s="28">
        <v>7</v>
      </c>
      <c r="G119" s="51">
        <v>36</v>
      </c>
      <c r="H119" s="134">
        <v>7</v>
      </c>
      <c r="I119" s="28"/>
      <c r="J119" s="134"/>
      <c r="K119" s="28">
        <v>4</v>
      </c>
      <c r="L119" s="134"/>
      <c r="M119" s="28">
        <v>1</v>
      </c>
      <c r="N119" s="134"/>
      <c r="O119" s="28"/>
      <c r="P119" s="28"/>
      <c r="Q119" s="28"/>
      <c r="R119" s="28"/>
      <c r="S119" s="28"/>
      <c r="T119" s="28"/>
      <c r="U119" s="13"/>
      <c r="V119" s="13"/>
      <c r="W119" s="293"/>
    </row>
    <row r="120" spans="1:23">
      <c r="A120" s="145">
        <v>93</v>
      </c>
      <c r="B120" s="4" t="s">
        <v>179</v>
      </c>
      <c r="C120" s="10"/>
      <c r="D120" s="272"/>
      <c r="E120" s="28">
        <v>22</v>
      </c>
      <c r="F120" s="28">
        <v>3</v>
      </c>
      <c r="G120" s="51">
        <v>8</v>
      </c>
      <c r="H120" s="134"/>
      <c r="I120" s="28"/>
      <c r="J120" s="134"/>
      <c r="K120" s="28"/>
      <c r="L120" s="134"/>
      <c r="M120" s="28">
        <v>1</v>
      </c>
      <c r="N120" s="134"/>
      <c r="O120" s="28"/>
      <c r="P120" s="28"/>
      <c r="Q120" s="28">
        <v>8</v>
      </c>
      <c r="R120" s="28"/>
      <c r="S120" s="28"/>
      <c r="T120" s="28"/>
      <c r="U120" s="13"/>
      <c r="V120" s="13"/>
      <c r="W120" s="293"/>
    </row>
    <row r="121" spans="1:23">
      <c r="A121" s="145">
        <v>94</v>
      </c>
      <c r="B121" s="4" t="s">
        <v>180</v>
      </c>
      <c r="C121" s="10"/>
      <c r="D121" s="272">
        <v>11</v>
      </c>
      <c r="E121" s="28">
        <v>68</v>
      </c>
      <c r="F121" s="28">
        <v>5</v>
      </c>
      <c r="G121" s="51">
        <v>31</v>
      </c>
      <c r="H121" s="134"/>
      <c r="I121" s="28"/>
      <c r="J121" s="134">
        <v>1</v>
      </c>
      <c r="K121" s="28">
        <v>16</v>
      </c>
      <c r="L121" s="134"/>
      <c r="M121" s="28">
        <v>1</v>
      </c>
      <c r="N121" s="134">
        <v>1</v>
      </c>
      <c r="O121" s="28"/>
      <c r="P121" s="28"/>
      <c r="Q121" s="28"/>
      <c r="R121" s="28"/>
      <c r="S121" s="28"/>
      <c r="T121" s="28"/>
      <c r="U121" s="13"/>
      <c r="V121" s="13"/>
      <c r="W121" s="293"/>
    </row>
    <row r="122" spans="1:23">
      <c r="A122" s="145">
        <v>95</v>
      </c>
      <c r="B122" s="4" t="s">
        <v>181</v>
      </c>
      <c r="C122" s="10"/>
      <c r="D122" s="272">
        <v>14</v>
      </c>
      <c r="E122" s="28">
        <v>231</v>
      </c>
      <c r="F122" s="28">
        <v>11</v>
      </c>
      <c r="G122" s="51">
        <v>49</v>
      </c>
      <c r="H122" s="134">
        <v>1</v>
      </c>
      <c r="I122" s="28"/>
      <c r="J122" s="134"/>
      <c r="K122" s="28">
        <v>6</v>
      </c>
      <c r="L122" s="134"/>
      <c r="M122" s="28">
        <v>4</v>
      </c>
      <c r="N122" s="134"/>
      <c r="O122" s="28"/>
      <c r="P122" s="28"/>
      <c r="Q122" s="28"/>
      <c r="R122" s="28"/>
      <c r="S122" s="28"/>
      <c r="T122" s="28"/>
      <c r="U122" s="13"/>
      <c r="V122" s="13"/>
      <c r="W122" s="293"/>
    </row>
    <row r="123" spans="1:23" ht="15">
      <c r="A123" s="145">
        <v>96</v>
      </c>
      <c r="B123" s="4" t="s">
        <v>182</v>
      </c>
      <c r="C123" s="248"/>
      <c r="D123" s="273">
        <v>150</v>
      </c>
      <c r="E123" s="22">
        <v>497</v>
      </c>
      <c r="F123" s="22">
        <v>60</v>
      </c>
      <c r="G123" s="51">
        <v>1826</v>
      </c>
      <c r="H123" s="22">
        <v>141</v>
      </c>
      <c r="I123" s="22">
        <v>23</v>
      </c>
      <c r="J123" s="23">
        <v>41</v>
      </c>
      <c r="K123" s="22">
        <v>44</v>
      </c>
      <c r="L123" s="70">
        <v>1</v>
      </c>
      <c r="M123" s="22">
        <v>35</v>
      </c>
      <c r="N123" s="22">
        <v>1</v>
      </c>
      <c r="O123" s="28">
        <v>1</v>
      </c>
      <c r="P123" s="22">
        <v>8</v>
      </c>
      <c r="Q123" s="28">
        <v>3</v>
      </c>
      <c r="R123" s="28">
        <v>770</v>
      </c>
      <c r="S123" s="28"/>
      <c r="T123" s="28">
        <v>14</v>
      </c>
      <c r="U123" s="13">
        <v>4</v>
      </c>
      <c r="V123" s="13"/>
      <c r="W123" s="293"/>
    </row>
    <row r="124" spans="1:23">
      <c r="A124" s="222" t="s">
        <v>24</v>
      </c>
      <c r="B124" s="97"/>
      <c r="C124" s="17"/>
      <c r="D124" s="272"/>
      <c r="E124" s="28"/>
      <c r="F124" s="28"/>
      <c r="G124" s="51"/>
      <c r="H124" s="134"/>
      <c r="I124" s="28"/>
      <c r="J124" s="134"/>
      <c r="K124" s="28"/>
      <c r="L124" s="134"/>
      <c r="M124" s="28"/>
      <c r="N124" s="134"/>
      <c r="O124" s="28"/>
      <c r="P124" s="28"/>
      <c r="Q124" s="28"/>
      <c r="R124" s="28"/>
      <c r="S124" s="28"/>
      <c r="T124" s="28"/>
      <c r="U124" s="13"/>
      <c r="V124" s="13"/>
      <c r="W124" s="293"/>
    </row>
    <row r="125" spans="1:23">
      <c r="A125" s="224">
        <v>97</v>
      </c>
      <c r="B125" s="113" t="s">
        <v>183</v>
      </c>
      <c r="C125" s="10"/>
      <c r="D125" s="272">
        <v>3514</v>
      </c>
      <c r="E125" s="28">
        <v>1848</v>
      </c>
      <c r="F125" s="28">
        <v>247</v>
      </c>
      <c r="G125" s="51">
        <v>2284</v>
      </c>
      <c r="H125" s="134">
        <v>24</v>
      </c>
      <c r="I125" s="28">
        <v>107</v>
      </c>
      <c r="J125" s="134">
        <v>14</v>
      </c>
      <c r="K125" s="28">
        <v>212</v>
      </c>
      <c r="L125" s="134">
        <v>1</v>
      </c>
      <c r="M125" s="28">
        <v>154</v>
      </c>
      <c r="N125" s="134">
        <v>1</v>
      </c>
      <c r="O125" s="28">
        <v>28</v>
      </c>
      <c r="P125" s="28">
        <v>9</v>
      </c>
      <c r="Q125" s="28">
        <v>8</v>
      </c>
      <c r="R125" s="28">
        <v>1071</v>
      </c>
      <c r="S125" s="28"/>
      <c r="T125" s="28"/>
      <c r="U125" s="13"/>
      <c r="V125" s="13"/>
      <c r="W125" s="293"/>
    </row>
    <row r="126" spans="1:23">
      <c r="A126" s="145">
        <v>98</v>
      </c>
      <c r="B126" s="4" t="s">
        <v>184</v>
      </c>
      <c r="C126" s="10"/>
      <c r="D126" s="272"/>
      <c r="E126" s="28">
        <v>3</v>
      </c>
      <c r="F126" s="28">
        <v>4</v>
      </c>
      <c r="G126" s="51">
        <v>15</v>
      </c>
      <c r="H126" s="134"/>
      <c r="I126" s="28"/>
      <c r="J126" s="134"/>
      <c r="K126" s="28">
        <v>3</v>
      </c>
      <c r="L126" s="134"/>
      <c r="M126" s="28">
        <v>1</v>
      </c>
      <c r="N126" s="134"/>
      <c r="O126" s="28"/>
      <c r="P126" s="28">
        <v>1</v>
      </c>
      <c r="Q126" s="28"/>
      <c r="R126" s="28"/>
      <c r="S126" s="28"/>
      <c r="T126" s="28"/>
      <c r="U126" s="13"/>
      <c r="V126" s="13"/>
      <c r="W126" s="293"/>
    </row>
    <row r="127" spans="1:23">
      <c r="A127" s="145">
        <v>99</v>
      </c>
      <c r="B127" s="4" t="s">
        <v>185</v>
      </c>
      <c r="C127" s="10"/>
      <c r="D127" s="272">
        <v>10</v>
      </c>
      <c r="E127" s="28">
        <v>95</v>
      </c>
      <c r="F127" s="28">
        <v>13</v>
      </c>
      <c r="G127" s="51">
        <v>61</v>
      </c>
      <c r="H127" s="134">
        <v>4</v>
      </c>
      <c r="I127" s="28"/>
      <c r="J127" s="134">
        <v>1</v>
      </c>
      <c r="K127" s="28">
        <v>27</v>
      </c>
      <c r="L127" s="134">
        <v>1</v>
      </c>
      <c r="M127" s="28">
        <v>5</v>
      </c>
      <c r="N127" s="134">
        <v>1</v>
      </c>
      <c r="O127" s="28"/>
      <c r="P127" s="28"/>
      <c r="Q127" s="28"/>
      <c r="R127" s="28">
        <v>1</v>
      </c>
      <c r="S127" s="28"/>
      <c r="T127" s="28"/>
      <c r="U127" s="13"/>
      <c r="V127" s="13"/>
      <c r="W127" s="293"/>
    </row>
    <row r="128" spans="1:23">
      <c r="A128" s="145">
        <v>100</v>
      </c>
      <c r="B128" s="4" t="s">
        <v>186</v>
      </c>
      <c r="C128" s="10"/>
      <c r="D128" s="272"/>
      <c r="E128" s="28">
        <v>17</v>
      </c>
      <c r="F128" s="28">
        <v>3</v>
      </c>
      <c r="G128" s="51">
        <v>85</v>
      </c>
      <c r="H128" s="134"/>
      <c r="I128" s="28"/>
      <c r="J128" s="134"/>
      <c r="K128" s="28">
        <v>8</v>
      </c>
      <c r="L128" s="134"/>
      <c r="M128" s="28">
        <v>2</v>
      </c>
      <c r="N128" s="134"/>
      <c r="O128" s="28"/>
      <c r="P128" s="22">
        <v>2</v>
      </c>
      <c r="Q128" s="28">
        <v>1</v>
      </c>
      <c r="R128" s="28"/>
      <c r="S128" s="28"/>
      <c r="T128" s="28"/>
      <c r="U128" s="13"/>
      <c r="V128" s="13"/>
      <c r="W128" s="293"/>
    </row>
    <row r="129" spans="1:23" ht="15">
      <c r="A129" s="145">
        <v>101</v>
      </c>
      <c r="B129" s="4" t="s">
        <v>304</v>
      </c>
      <c r="C129" s="248"/>
      <c r="D129" s="273">
        <v>100</v>
      </c>
      <c r="E129" s="22">
        <v>117</v>
      </c>
      <c r="F129" s="22">
        <v>4</v>
      </c>
      <c r="G129" s="51">
        <v>116</v>
      </c>
      <c r="H129" s="22">
        <v>43</v>
      </c>
      <c r="I129" s="22"/>
      <c r="J129" s="23">
        <v>1</v>
      </c>
      <c r="K129" s="22">
        <v>4</v>
      </c>
      <c r="L129" s="70"/>
      <c r="M129" s="22">
        <v>51</v>
      </c>
      <c r="N129" s="22"/>
      <c r="O129" s="28"/>
      <c r="P129" s="28"/>
      <c r="Q129" s="28"/>
      <c r="R129" s="28"/>
      <c r="S129" s="28"/>
      <c r="T129" s="28"/>
      <c r="U129" s="13"/>
      <c r="V129" s="13"/>
      <c r="W129" s="293"/>
    </row>
    <row r="130" spans="1:23">
      <c r="A130" s="145">
        <v>102</v>
      </c>
      <c r="B130" s="4" t="s">
        <v>187</v>
      </c>
      <c r="C130" s="17"/>
      <c r="D130" s="272">
        <v>277</v>
      </c>
      <c r="E130" s="28">
        <v>1353</v>
      </c>
      <c r="F130" s="28">
        <v>120</v>
      </c>
      <c r="G130" s="51">
        <v>864</v>
      </c>
      <c r="H130" s="134">
        <v>18</v>
      </c>
      <c r="I130" s="28"/>
      <c r="J130" s="134">
        <v>9</v>
      </c>
      <c r="K130" s="28">
        <v>50</v>
      </c>
      <c r="L130" s="134">
        <v>1</v>
      </c>
      <c r="M130" s="28">
        <v>5</v>
      </c>
      <c r="N130" s="134">
        <v>2</v>
      </c>
      <c r="O130" s="28">
        <v>1</v>
      </c>
      <c r="P130" s="28">
        <v>4</v>
      </c>
      <c r="Q130" s="28">
        <v>1</v>
      </c>
      <c r="R130" s="28">
        <v>1</v>
      </c>
      <c r="S130" s="28"/>
      <c r="T130" s="28"/>
      <c r="U130" s="13"/>
      <c r="V130" s="13"/>
      <c r="W130" s="293"/>
    </row>
    <row r="131" spans="1:23">
      <c r="A131" s="145">
        <v>103</v>
      </c>
      <c r="B131" s="4" t="s">
        <v>188</v>
      </c>
      <c r="C131" s="10"/>
      <c r="D131" s="272">
        <v>274</v>
      </c>
      <c r="E131" s="28">
        <v>90</v>
      </c>
      <c r="F131" s="28">
        <v>54</v>
      </c>
      <c r="G131" s="51">
        <v>195</v>
      </c>
      <c r="H131" s="134">
        <v>36</v>
      </c>
      <c r="I131" s="28">
        <v>4</v>
      </c>
      <c r="J131" s="134">
        <v>5</v>
      </c>
      <c r="K131" s="28">
        <v>29</v>
      </c>
      <c r="L131" s="134"/>
      <c r="M131" s="28">
        <v>12</v>
      </c>
      <c r="N131" s="134">
        <v>3</v>
      </c>
      <c r="O131" s="28"/>
      <c r="P131" s="28">
        <v>4</v>
      </c>
      <c r="Q131" s="28">
        <v>4</v>
      </c>
      <c r="R131" s="28">
        <v>1</v>
      </c>
      <c r="S131" s="28"/>
      <c r="T131" s="28"/>
      <c r="U131" s="13"/>
      <c r="V131" s="13"/>
      <c r="W131" s="293"/>
    </row>
    <row r="132" spans="1:23">
      <c r="A132" s="222" t="s">
        <v>25</v>
      </c>
      <c r="B132" s="97"/>
      <c r="C132" s="10"/>
      <c r="D132" s="272"/>
      <c r="E132" s="28"/>
      <c r="F132" s="28"/>
      <c r="G132" s="270"/>
      <c r="H132" s="134"/>
      <c r="I132" s="28"/>
      <c r="J132" s="134"/>
      <c r="K132" s="28"/>
      <c r="L132" s="134"/>
      <c r="M132" s="28"/>
      <c r="N132" s="134"/>
      <c r="O132" s="28"/>
      <c r="Q132" s="28"/>
      <c r="R132" s="28"/>
      <c r="S132" s="28"/>
      <c r="T132" s="28"/>
      <c r="U132" s="13"/>
      <c r="V132" s="13"/>
      <c r="W132" s="293"/>
    </row>
    <row r="133" spans="1:23">
      <c r="A133" s="145">
        <v>104</v>
      </c>
      <c r="B133" s="4" t="s">
        <v>189</v>
      </c>
      <c r="C133" s="10"/>
      <c r="D133" s="272">
        <v>13</v>
      </c>
      <c r="E133" s="28">
        <v>75</v>
      </c>
      <c r="F133" s="28">
        <v>18</v>
      </c>
      <c r="G133" s="51">
        <v>243</v>
      </c>
      <c r="H133" s="134">
        <v>3</v>
      </c>
      <c r="I133" s="28"/>
      <c r="J133" s="134">
        <v>1</v>
      </c>
      <c r="K133" s="28">
        <v>17</v>
      </c>
      <c r="L133" s="134">
        <v>2</v>
      </c>
      <c r="M133" s="28">
        <v>8</v>
      </c>
      <c r="N133" s="134">
        <v>1</v>
      </c>
      <c r="O133" s="28">
        <v>2</v>
      </c>
      <c r="P133" s="28">
        <v>1</v>
      </c>
      <c r="Q133" s="28">
        <v>7</v>
      </c>
      <c r="R133" s="28">
        <v>1</v>
      </c>
      <c r="S133" s="28"/>
      <c r="T133" s="28"/>
      <c r="U133" s="13"/>
      <c r="V133" s="13"/>
      <c r="W133" s="293"/>
    </row>
    <row r="134" spans="1:23">
      <c r="A134" s="145">
        <v>105</v>
      </c>
      <c r="B134" s="4" t="s">
        <v>190</v>
      </c>
      <c r="C134" s="10"/>
      <c r="D134" s="273">
        <v>5</v>
      </c>
      <c r="E134" s="28">
        <v>8</v>
      </c>
      <c r="F134" s="28">
        <v>2</v>
      </c>
      <c r="G134" s="51">
        <v>13</v>
      </c>
      <c r="H134" s="134"/>
      <c r="I134" s="28"/>
      <c r="J134" s="134"/>
      <c r="K134" s="28">
        <v>2</v>
      </c>
      <c r="L134" s="134"/>
      <c r="M134" s="28">
        <v>1</v>
      </c>
      <c r="N134" s="134">
        <v>1</v>
      </c>
      <c r="O134" s="28"/>
      <c r="P134" s="28"/>
      <c r="Q134" s="28">
        <v>1</v>
      </c>
      <c r="R134" s="28">
        <v>4</v>
      </c>
      <c r="S134" s="28"/>
      <c r="T134" s="28"/>
      <c r="U134" s="13"/>
      <c r="V134" s="13"/>
      <c r="W134" s="293"/>
    </row>
    <row r="135" spans="1:23">
      <c r="A135" s="145">
        <v>106</v>
      </c>
      <c r="B135" s="4" t="s">
        <v>191</v>
      </c>
      <c r="C135" s="10"/>
      <c r="D135" s="273"/>
      <c r="E135" s="32">
        <v>16</v>
      </c>
      <c r="F135" s="22">
        <v>1</v>
      </c>
      <c r="G135" s="274">
        <v>68</v>
      </c>
      <c r="H135" s="22">
        <v>3</v>
      </c>
      <c r="I135" s="32"/>
      <c r="J135" s="22">
        <v>1</v>
      </c>
      <c r="K135" s="32">
        <v>4</v>
      </c>
      <c r="L135" s="22"/>
      <c r="M135" s="32">
        <v>3</v>
      </c>
      <c r="N135" s="22">
        <v>1</v>
      </c>
      <c r="O135" s="32"/>
      <c r="P135" s="22">
        <v>1</v>
      </c>
      <c r="Q135" s="28"/>
      <c r="R135" s="28"/>
      <c r="S135" s="28"/>
      <c r="T135" s="28"/>
      <c r="U135" s="13"/>
      <c r="V135" s="13"/>
      <c r="W135" s="293"/>
    </row>
    <row r="136" spans="1:23" ht="15">
      <c r="A136" s="145">
        <v>107</v>
      </c>
      <c r="B136" s="4" t="s">
        <v>192</v>
      </c>
      <c r="C136" s="248"/>
      <c r="D136" s="273">
        <v>7</v>
      </c>
      <c r="E136" s="22">
        <v>53</v>
      </c>
      <c r="F136" s="22">
        <v>11</v>
      </c>
      <c r="G136" s="51">
        <v>48</v>
      </c>
      <c r="H136" s="22">
        <v>1</v>
      </c>
      <c r="I136" s="22"/>
      <c r="J136" s="23">
        <v>1</v>
      </c>
      <c r="K136" s="22">
        <v>12</v>
      </c>
      <c r="L136" s="70"/>
      <c r="M136" s="22">
        <v>7</v>
      </c>
      <c r="N136" s="22"/>
      <c r="O136" s="22">
        <v>1</v>
      </c>
      <c r="P136" s="22"/>
      <c r="Q136" s="28"/>
      <c r="R136" s="28"/>
      <c r="S136" s="28"/>
      <c r="T136" s="28"/>
      <c r="U136" s="13"/>
      <c r="V136" s="13"/>
      <c r="W136" s="293"/>
    </row>
    <row r="137" spans="1:23">
      <c r="A137" s="145">
        <v>108</v>
      </c>
      <c r="B137" s="4" t="s">
        <v>193</v>
      </c>
      <c r="C137" s="17"/>
      <c r="D137" s="272">
        <v>1</v>
      </c>
      <c r="E137" s="28">
        <v>22</v>
      </c>
      <c r="F137" s="28">
        <v>1</v>
      </c>
      <c r="G137" s="51">
        <v>16</v>
      </c>
      <c r="H137" s="134"/>
      <c r="I137" s="28"/>
      <c r="J137" s="134"/>
      <c r="K137" s="28">
        <v>4</v>
      </c>
      <c r="L137" s="134"/>
      <c r="M137" s="28">
        <v>1</v>
      </c>
      <c r="N137" s="134"/>
      <c r="O137" s="28"/>
      <c r="P137" s="28"/>
      <c r="Q137" s="28"/>
      <c r="R137" s="28"/>
      <c r="S137" s="28"/>
      <c r="T137" s="28"/>
      <c r="U137" s="13"/>
      <c r="V137" s="13"/>
      <c r="W137" s="293"/>
    </row>
    <row r="138" spans="1:23">
      <c r="A138" s="145">
        <v>109</v>
      </c>
      <c r="B138" s="4" t="s">
        <v>194</v>
      </c>
      <c r="C138" s="10"/>
      <c r="D138" s="272"/>
      <c r="E138" s="28">
        <v>17</v>
      </c>
      <c r="F138" s="28">
        <v>5</v>
      </c>
      <c r="G138" s="51">
        <v>41</v>
      </c>
      <c r="H138" s="134"/>
      <c r="I138" s="28"/>
      <c r="J138" s="134">
        <v>1</v>
      </c>
      <c r="K138" s="28">
        <v>5</v>
      </c>
      <c r="L138" s="134"/>
      <c r="M138" s="28">
        <v>3</v>
      </c>
      <c r="N138" s="134"/>
      <c r="O138" s="28"/>
      <c r="P138" s="28">
        <v>1</v>
      </c>
      <c r="Q138" s="28">
        <v>1</v>
      </c>
      <c r="R138" s="28">
        <v>4</v>
      </c>
      <c r="S138" s="28"/>
      <c r="T138" s="28"/>
      <c r="U138" s="13"/>
      <c r="V138" s="13"/>
      <c r="W138" s="293"/>
    </row>
    <row r="139" spans="1:23">
      <c r="A139" s="222" t="s">
        <v>26</v>
      </c>
      <c r="B139" s="97"/>
      <c r="C139" s="10"/>
      <c r="D139" s="162"/>
      <c r="E139" s="28"/>
      <c r="F139" s="28"/>
      <c r="G139" s="28"/>
      <c r="H139" s="134"/>
      <c r="I139" s="28"/>
      <c r="J139" s="134"/>
      <c r="K139" s="28"/>
      <c r="L139" s="134"/>
      <c r="M139" s="28"/>
      <c r="N139" s="134"/>
      <c r="O139" s="28"/>
      <c r="P139" s="28"/>
      <c r="Q139" s="28"/>
      <c r="R139" s="28"/>
      <c r="S139" s="28"/>
      <c r="T139" s="28"/>
      <c r="U139" s="13"/>
      <c r="V139" s="13"/>
      <c r="W139" s="293"/>
    </row>
    <row r="140" spans="1:23">
      <c r="A140" s="145">
        <v>110</v>
      </c>
      <c r="B140" s="4" t="s">
        <v>195</v>
      </c>
      <c r="C140" s="17" t="s">
        <v>345</v>
      </c>
      <c r="D140" s="162"/>
      <c r="E140" s="28"/>
      <c r="F140" s="28"/>
      <c r="G140" s="28"/>
      <c r="H140" s="134"/>
      <c r="I140" s="28"/>
      <c r="J140" s="134"/>
      <c r="K140" s="28"/>
      <c r="L140" s="134"/>
      <c r="M140" s="28"/>
      <c r="N140" s="134"/>
      <c r="O140" s="28"/>
      <c r="P140" s="28"/>
      <c r="Q140" s="28"/>
      <c r="R140" s="28"/>
      <c r="S140" s="28"/>
      <c r="T140" s="28"/>
      <c r="U140" s="13"/>
      <c r="V140" s="13"/>
      <c r="W140" s="293"/>
    </row>
    <row r="141" spans="1:23">
      <c r="A141" s="145">
        <v>111</v>
      </c>
      <c r="B141" s="4" t="s">
        <v>196</v>
      </c>
      <c r="C141" s="10"/>
      <c r="D141" s="162"/>
      <c r="E141" s="28"/>
      <c r="F141" s="28"/>
      <c r="G141" s="28"/>
      <c r="H141" s="134"/>
      <c r="I141" s="28"/>
      <c r="J141" s="134"/>
      <c r="K141" s="28"/>
      <c r="L141" s="134"/>
      <c r="M141" s="28"/>
      <c r="N141" s="134"/>
      <c r="O141" s="28"/>
      <c r="P141" s="28"/>
      <c r="Q141" s="28"/>
      <c r="R141" s="28"/>
      <c r="S141" s="28"/>
      <c r="T141" s="28"/>
      <c r="U141" s="13"/>
      <c r="V141" s="13"/>
      <c r="W141" s="293"/>
    </row>
    <row r="142" spans="1:23" ht="15">
      <c r="A142" s="145">
        <v>112</v>
      </c>
      <c r="B142" s="4" t="s">
        <v>197</v>
      </c>
      <c r="C142" s="248"/>
      <c r="D142" s="63"/>
      <c r="E142" s="22">
        <v>31</v>
      </c>
      <c r="F142" s="22">
        <v>4</v>
      </c>
      <c r="G142" s="22">
        <v>19</v>
      </c>
      <c r="H142" s="22"/>
      <c r="I142" s="22"/>
      <c r="J142" s="23">
        <v>1</v>
      </c>
      <c r="K142" s="22">
        <v>4</v>
      </c>
      <c r="L142" s="70"/>
      <c r="M142" s="22">
        <v>2</v>
      </c>
      <c r="N142" s="22"/>
      <c r="O142" s="22">
        <v>1</v>
      </c>
      <c r="P142" s="22"/>
      <c r="Q142" s="28"/>
      <c r="R142" s="28"/>
      <c r="S142" s="28"/>
      <c r="T142" s="28"/>
      <c r="U142" s="13"/>
      <c r="V142" s="13"/>
      <c r="W142" s="293"/>
    </row>
    <row r="143" spans="1:23">
      <c r="A143" s="145">
        <v>113</v>
      </c>
      <c r="B143" s="4" t="s">
        <v>198</v>
      </c>
      <c r="C143" s="17"/>
      <c r="D143" s="162"/>
      <c r="E143" s="28"/>
      <c r="F143" s="28"/>
      <c r="G143" s="28"/>
      <c r="H143" s="134"/>
      <c r="I143" s="28"/>
      <c r="J143" s="134"/>
      <c r="K143" s="28"/>
      <c r="L143" s="134"/>
      <c r="M143" s="28"/>
      <c r="N143" s="134"/>
      <c r="O143" s="28"/>
      <c r="P143" s="28"/>
      <c r="Q143" s="28"/>
      <c r="R143" s="28"/>
      <c r="S143" s="28"/>
      <c r="T143" s="28"/>
      <c r="U143" s="13"/>
      <c r="V143" s="13"/>
      <c r="W143" s="293"/>
    </row>
    <row r="144" spans="1:23">
      <c r="A144" s="145">
        <v>114</v>
      </c>
      <c r="B144" s="4" t="s">
        <v>199</v>
      </c>
      <c r="C144" s="10"/>
      <c r="D144" s="162">
        <v>2</v>
      </c>
      <c r="E144" s="28">
        <v>19</v>
      </c>
      <c r="F144" s="28">
        <v>6</v>
      </c>
      <c r="G144" s="28">
        <v>118</v>
      </c>
      <c r="H144" s="134"/>
      <c r="I144" s="28"/>
      <c r="J144" s="134">
        <v>1</v>
      </c>
      <c r="K144" s="28">
        <v>6</v>
      </c>
      <c r="L144" s="134">
        <v>1</v>
      </c>
      <c r="M144" s="28">
        <v>6</v>
      </c>
      <c r="N144" s="134">
        <v>1</v>
      </c>
      <c r="O144" s="28"/>
      <c r="P144" s="28">
        <v>1</v>
      </c>
      <c r="Q144" s="28"/>
      <c r="R144" s="28"/>
      <c r="S144" s="28"/>
      <c r="T144" s="28"/>
      <c r="U144" s="13"/>
      <c r="V144" s="13"/>
      <c r="W144" s="293"/>
    </row>
    <row r="145" spans="1:23">
      <c r="A145" s="145">
        <v>115</v>
      </c>
      <c r="B145" s="4" t="s">
        <v>305</v>
      </c>
      <c r="C145" s="10"/>
      <c r="D145" s="162"/>
      <c r="E145" s="28"/>
      <c r="F145" s="28">
        <v>2</v>
      </c>
      <c r="G145" s="28">
        <v>328</v>
      </c>
      <c r="H145" s="134">
        <v>3</v>
      </c>
      <c r="I145" s="28"/>
      <c r="J145" s="134"/>
      <c r="K145" s="28">
        <v>2</v>
      </c>
      <c r="L145" s="134"/>
      <c r="M145" s="28"/>
      <c r="N145" s="134"/>
      <c r="O145" s="28"/>
      <c r="P145" s="28">
        <v>3</v>
      </c>
      <c r="Q145" s="28"/>
      <c r="R145" s="28"/>
      <c r="S145" s="28"/>
      <c r="T145" s="28"/>
      <c r="U145" s="13"/>
      <c r="V145" s="13"/>
      <c r="W145" s="293"/>
    </row>
    <row r="146" spans="1:23">
      <c r="A146" s="145">
        <v>116</v>
      </c>
      <c r="B146" s="4" t="s">
        <v>200</v>
      </c>
      <c r="C146" s="10"/>
      <c r="D146" s="162">
        <v>3</v>
      </c>
      <c r="E146" s="28">
        <v>8</v>
      </c>
      <c r="F146" s="28">
        <v>2</v>
      </c>
      <c r="G146" s="28">
        <v>40</v>
      </c>
      <c r="H146" s="134">
        <v>5</v>
      </c>
      <c r="I146" s="28"/>
      <c r="J146" s="134"/>
      <c r="K146" s="28">
        <v>2</v>
      </c>
      <c r="L146" s="134"/>
      <c r="M146" s="28">
        <v>1</v>
      </c>
      <c r="N146" s="134"/>
      <c r="O146" s="28"/>
      <c r="P146" s="28"/>
      <c r="Q146" s="28">
        <v>1</v>
      </c>
      <c r="R146" s="28"/>
      <c r="S146" s="28"/>
      <c r="T146" s="28"/>
      <c r="U146" s="13"/>
      <c r="V146" s="13"/>
      <c r="W146" s="293"/>
    </row>
    <row r="147" spans="1:23">
      <c r="A147" s="215"/>
      <c r="B147" s="203"/>
      <c r="C147" s="12"/>
      <c r="D147" s="265"/>
      <c r="E147" s="206"/>
      <c r="F147" s="206"/>
      <c r="G147" s="206"/>
      <c r="H147" s="256"/>
      <c r="I147" s="206"/>
      <c r="J147" s="256"/>
      <c r="K147" s="206"/>
      <c r="L147" s="256"/>
      <c r="M147" s="206"/>
      <c r="N147" s="206"/>
      <c r="O147" s="54"/>
      <c r="P147" s="206"/>
      <c r="Q147" s="24"/>
      <c r="R147" s="24"/>
      <c r="S147" s="24"/>
      <c r="T147" s="24"/>
      <c r="U147" s="37"/>
      <c r="V147" s="37"/>
      <c r="W147" s="295"/>
    </row>
    <row r="148" spans="1:23" ht="15">
      <c r="A148" s="145" t="s">
        <v>294</v>
      </c>
      <c r="B148" s="4"/>
      <c r="C148" s="248"/>
      <c r="D148" s="120">
        <f t="shared" ref="D148:N148" si="4">SUM(D115:D146)</f>
        <v>14092</v>
      </c>
      <c r="E148" s="28">
        <f t="shared" si="4"/>
        <v>12534</v>
      </c>
      <c r="F148" s="28">
        <f t="shared" si="4"/>
        <v>1170</v>
      </c>
      <c r="G148" s="28">
        <f t="shared" si="4"/>
        <v>20564</v>
      </c>
      <c r="H148" s="28">
        <f t="shared" si="4"/>
        <v>892</v>
      </c>
      <c r="I148" s="28">
        <f t="shared" si="4"/>
        <v>308</v>
      </c>
      <c r="J148" s="28">
        <f t="shared" si="4"/>
        <v>172</v>
      </c>
      <c r="K148" s="28">
        <f t="shared" si="4"/>
        <v>869</v>
      </c>
      <c r="L148" s="28">
        <f t="shared" si="4"/>
        <v>16</v>
      </c>
      <c r="M148" s="28">
        <f t="shared" si="4"/>
        <v>512</v>
      </c>
      <c r="N148" s="28">
        <f t="shared" si="4"/>
        <v>15</v>
      </c>
      <c r="O148" s="28">
        <f>SUM(O115:O146)</f>
        <v>49</v>
      </c>
      <c r="P148" s="28">
        <f t="shared" ref="P148:W148" si="5">SUM(P115:P146)</f>
        <v>40</v>
      </c>
      <c r="Q148" s="28">
        <f t="shared" si="5"/>
        <v>173</v>
      </c>
      <c r="R148" s="28">
        <f t="shared" si="5"/>
        <v>4032</v>
      </c>
      <c r="S148" s="28">
        <f t="shared" si="5"/>
        <v>0</v>
      </c>
      <c r="T148" s="28">
        <f t="shared" si="5"/>
        <v>14</v>
      </c>
      <c r="U148" s="28">
        <f t="shared" si="5"/>
        <v>4</v>
      </c>
      <c r="V148" s="28">
        <f t="shared" si="5"/>
        <v>0</v>
      </c>
      <c r="W148" s="122">
        <f t="shared" si="5"/>
        <v>0</v>
      </c>
    </row>
    <row r="149" spans="1:23" ht="15" thickBot="1">
      <c r="A149" s="217"/>
      <c r="B149" s="104"/>
      <c r="C149" s="257"/>
      <c r="D149" s="252"/>
      <c r="E149" s="208"/>
      <c r="F149" s="208"/>
      <c r="G149" s="208"/>
      <c r="H149" s="253"/>
      <c r="I149" s="208"/>
      <c r="J149" s="253"/>
      <c r="K149" s="208"/>
      <c r="L149" s="253"/>
      <c r="M149" s="208"/>
      <c r="N149" s="253"/>
      <c r="O149" s="208"/>
      <c r="P149" s="208"/>
      <c r="Q149" s="187"/>
      <c r="R149" s="187"/>
      <c r="S149" s="187"/>
      <c r="T149" s="187"/>
      <c r="U149" s="187"/>
      <c r="V149" s="187"/>
      <c r="W149" s="297"/>
    </row>
    <row r="150" spans="1:23" ht="15" thickTop="1">
      <c r="A150" s="145"/>
      <c r="B150" s="4"/>
      <c r="C150" s="10"/>
      <c r="D150" s="162"/>
      <c r="E150" s="28"/>
      <c r="F150" s="28"/>
      <c r="G150" s="28"/>
      <c r="H150" s="134"/>
      <c r="I150" s="28"/>
      <c r="J150" s="134"/>
      <c r="K150" s="28"/>
      <c r="L150" s="134"/>
      <c r="M150" s="28"/>
      <c r="N150" s="134"/>
      <c r="O150" s="28"/>
      <c r="P150" s="28"/>
      <c r="Q150" s="13"/>
      <c r="R150" s="13"/>
      <c r="S150" s="13"/>
      <c r="T150" s="13"/>
      <c r="U150" s="13"/>
      <c r="V150" s="13"/>
      <c r="W150" s="293"/>
    </row>
    <row r="151" spans="1:23">
      <c r="A151" s="218">
        <v>117</v>
      </c>
      <c r="B151" s="111" t="s">
        <v>201</v>
      </c>
      <c r="C151" s="10"/>
      <c r="D151" s="162"/>
      <c r="E151" s="28"/>
      <c r="F151" s="28"/>
      <c r="G151" s="28"/>
      <c r="H151" s="134"/>
      <c r="I151" s="28"/>
      <c r="J151" s="134"/>
      <c r="K151" s="28"/>
      <c r="L151" s="134"/>
      <c r="M151" s="28"/>
      <c r="N151" s="134"/>
      <c r="O151" s="28"/>
      <c r="P151" s="28"/>
      <c r="Q151" s="13"/>
      <c r="R151" s="13"/>
      <c r="S151" s="13"/>
      <c r="T151" s="13"/>
      <c r="U151" s="13"/>
      <c r="V151" s="13"/>
      <c r="W151" s="293"/>
    </row>
    <row r="152" spans="1:23" ht="15" thickBot="1">
      <c r="A152" s="225"/>
      <c r="B152" s="234"/>
      <c r="C152" s="10"/>
      <c r="D152" s="162"/>
      <c r="E152" s="28"/>
      <c r="F152" s="28"/>
      <c r="G152" s="28"/>
      <c r="H152" s="134"/>
      <c r="I152" s="28"/>
      <c r="J152" s="134"/>
      <c r="K152" s="28"/>
      <c r="L152" s="134"/>
      <c r="M152" s="28"/>
      <c r="N152" s="134"/>
      <c r="O152" s="28"/>
      <c r="P152" s="28"/>
      <c r="Q152" s="187"/>
      <c r="R152" s="187"/>
      <c r="S152" s="187"/>
      <c r="T152" s="187"/>
      <c r="U152" s="187"/>
      <c r="V152" s="187"/>
      <c r="W152" s="297"/>
    </row>
    <row r="153" spans="1:23" ht="15" thickTop="1">
      <c r="A153" s="218"/>
      <c r="B153" s="111"/>
      <c r="C153" s="9"/>
      <c r="D153" s="258"/>
      <c r="E153" s="259"/>
      <c r="F153" s="259"/>
      <c r="G153" s="259"/>
      <c r="H153" s="260"/>
      <c r="I153" s="259"/>
      <c r="J153" s="260"/>
      <c r="K153" s="259"/>
      <c r="L153" s="260"/>
      <c r="M153" s="259"/>
      <c r="N153" s="260"/>
      <c r="O153" s="259"/>
      <c r="P153" s="259"/>
      <c r="Q153" s="13"/>
      <c r="R153" s="13"/>
      <c r="S153" s="13"/>
      <c r="T153" s="13"/>
      <c r="U153" s="13"/>
      <c r="V153" s="13"/>
      <c r="W153" s="293"/>
    </row>
    <row r="154" spans="1:23" ht="15">
      <c r="A154" s="218" t="s">
        <v>86</v>
      </c>
      <c r="B154" s="111"/>
      <c r="C154" s="248"/>
      <c r="D154" s="133">
        <f>D151+D148+D111+D102</f>
        <v>230961</v>
      </c>
      <c r="E154" s="28">
        <f t="shared" ref="E154:W154" si="6">E151+E148+E111+E102</f>
        <v>238113</v>
      </c>
      <c r="F154" s="134">
        <f t="shared" si="6"/>
        <v>43002</v>
      </c>
      <c r="G154" s="28">
        <f t="shared" si="6"/>
        <v>115394</v>
      </c>
      <c r="H154" s="134">
        <f t="shared" si="6"/>
        <v>9206</v>
      </c>
      <c r="I154" s="28">
        <f t="shared" si="6"/>
        <v>43097</v>
      </c>
      <c r="J154" s="134">
        <f t="shared" si="6"/>
        <v>1929</v>
      </c>
      <c r="K154" s="28">
        <f t="shared" si="6"/>
        <v>9776</v>
      </c>
      <c r="L154" s="134">
        <f t="shared" si="6"/>
        <v>3385</v>
      </c>
      <c r="M154" s="28">
        <f t="shared" si="6"/>
        <v>7128</v>
      </c>
      <c r="N154" s="134">
        <f>N151+N148+N111+N102</f>
        <v>911</v>
      </c>
      <c r="O154" s="28">
        <f t="shared" si="6"/>
        <v>1102</v>
      </c>
      <c r="P154" s="134">
        <f t="shared" si="6"/>
        <v>2084</v>
      </c>
      <c r="Q154" s="28">
        <f t="shared" si="6"/>
        <v>61174</v>
      </c>
      <c r="R154" s="134">
        <f t="shared" si="6"/>
        <v>7054</v>
      </c>
      <c r="S154" s="28">
        <f t="shared" si="6"/>
        <v>15</v>
      </c>
      <c r="T154" s="134">
        <f t="shared" si="6"/>
        <v>41</v>
      </c>
      <c r="U154" s="28">
        <f t="shared" si="6"/>
        <v>11</v>
      </c>
      <c r="V154" s="134">
        <f t="shared" si="6"/>
        <v>3</v>
      </c>
      <c r="W154" s="122">
        <f t="shared" si="6"/>
        <v>23</v>
      </c>
    </row>
    <row r="155" spans="1:23" ht="15" thickBot="1">
      <c r="A155" s="225"/>
      <c r="B155" s="234"/>
      <c r="C155" s="257"/>
      <c r="D155" s="252"/>
      <c r="E155" s="208"/>
      <c r="F155" s="208"/>
      <c r="G155" s="208"/>
      <c r="H155" s="253"/>
      <c r="I155" s="208"/>
      <c r="J155" s="253"/>
      <c r="K155" s="208"/>
      <c r="L155" s="253"/>
      <c r="M155" s="208"/>
      <c r="N155" s="253"/>
      <c r="O155" s="208"/>
      <c r="P155" s="208"/>
      <c r="Q155" s="187"/>
      <c r="R155" s="187"/>
      <c r="S155" s="187"/>
      <c r="T155" s="187"/>
      <c r="U155" s="187"/>
      <c r="V155" s="187"/>
      <c r="W155" s="297"/>
    </row>
    <row r="156" spans="1:23" ht="17" thickTop="1" thickBot="1">
      <c r="A156" s="226" t="s">
        <v>27</v>
      </c>
      <c r="B156" s="94"/>
      <c r="C156" s="10"/>
      <c r="D156" s="162"/>
      <c r="E156" s="28"/>
      <c r="F156" s="28"/>
      <c r="G156" s="28"/>
      <c r="H156" s="134"/>
      <c r="I156" s="28"/>
      <c r="J156" s="134"/>
      <c r="K156" s="28"/>
      <c r="L156" s="134"/>
      <c r="M156" s="28"/>
      <c r="N156" s="134"/>
      <c r="O156" s="28"/>
      <c r="P156" s="28"/>
      <c r="Q156" s="13"/>
      <c r="R156" s="13"/>
      <c r="S156" s="13"/>
      <c r="T156" s="13"/>
      <c r="U156" s="167"/>
      <c r="V156" s="13"/>
      <c r="W156" s="293"/>
    </row>
    <row r="157" spans="1:23">
      <c r="A157" s="227">
        <v>1</v>
      </c>
      <c r="B157" s="4" t="s">
        <v>203</v>
      </c>
      <c r="C157" s="309"/>
      <c r="D157" s="162">
        <v>5</v>
      </c>
      <c r="E157" s="28"/>
      <c r="F157" s="28">
        <v>2</v>
      </c>
      <c r="G157" s="28">
        <v>2991</v>
      </c>
      <c r="H157" s="134">
        <v>39</v>
      </c>
      <c r="I157" s="28"/>
      <c r="J157" s="134">
        <v>33</v>
      </c>
      <c r="K157" s="28">
        <v>58</v>
      </c>
      <c r="L157" s="134">
        <v>90</v>
      </c>
      <c r="M157" s="28">
        <v>28</v>
      </c>
      <c r="N157" s="134"/>
      <c r="O157" s="28"/>
      <c r="P157" s="28">
        <v>19</v>
      </c>
      <c r="Q157" s="28">
        <v>1</v>
      </c>
      <c r="R157" s="28">
        <v>18</v>
      </c>
      <c r="S157" s="28">
        <v>35</v>
      </c>
      <c r="T157" s="28">
        <v>11</v>
      </c>
      <c r="U157" s="28">
        <v>1377</v>
      </c>
      <c r="V157" s="28">
        <v>124</v>
      </c>
      <c r="W157" s="122"/>
    </row>
    <row r="158" spans="1:23">
      <c r="A158" s="145">
        <v>2</v>
      </c>
      <c r="B158" s="4" t="s">
        <v>204</v>
      </c>
      <c r="C158" s="309"/>
      <c r="D158" s="162">
        <v>5</v>
      </c>
      <c r="E158" s="28">
        <v>24</v>
      </c>
      <c r="F158" s="28">
        <v>9</v>
      </c>
      <c r="G158" s="28">
        <v>1546</v>
      </c>
      <c r="H158" s="134">
        <v>47</v>
      </c>
      <c r="I158" s="28"/>
      <c r="J158" s="134">
        <v>14</v>
      </c>
      <c r="K158" s="28">
        <v>41</v>
      </c>
      <c r="L158" s="134">
        <v>16</v>
      </c>
      <c r="M158" s="28">
        <v>31</v>
      </c>
      <c r="N158" s="134">
        <v>1</v>
      </c>
      <c r="O158" s="28">
        <v>3</v>
      </c>
      <c r="P158" s="28">
        <v>4</v>
      </c>
      <c r="Q158" s="28">
        <v>2</v>
      </c>
      <c r="R158" s="28">
        <v>63</v>
      </c>
      <c r="S158" s="28">
        <v>1</v>
      </c>
      <c r="T158" s="28"/>
      <c r="U158" s="28">
        <v>9</v>
      </c>
      <c r="V158" s="28"/>
      <c r="W158" s="122"/>
    </row>
    <row r="159" spans="1:23">
      <c r="A159" s="145">
        <v>3</v>
      </c>
      <c r="B159" s="4" t="s">
        <v>205</v>
      </c>
      <c r="C159" s="309"/>
      <c r="D159" s="162">
        <v>46</v>
      </c>
      <c r="E159" s="28">
        <v>158</v>
      </c>
      <c r="F159" s="28">
        <v>22</v>
      </c>
      <c r="G159" s="28">
        <v>3459</v>
      </c>
      <c r="H159" s="134">
        <v>359</v>
      </c>
      <c r="I159" s="28"/>
      <c r="J159" s="134">
        <v>73</v>
      </c>
      <c r="K159" s="28">
        <v>25</v>
      </c>
      <c r="L159" s="134"/>
      <c r="M159" s="28">
        <v>19</v>
      </c>
      <c r="N159" s="134">
        <v>26</v>
      </c>
      <c r="O159" s="28">
        <v>8</v>
      </c>
      <c r="P159" s="28">
        <v>2</v>
      </c>
      <c r="Q159" s="28">
        <v>13</v>
      </c>
      <c r="R159" s="28">
        <v>74</v>
      </c>
      <c r="S159" s="28">
        <v>2</v>
      </c>
      <c r="T159" s="28"/>
      <c r="U159" s="28"/>
      <c r="V159" s="28"/>
      <c r="W159" s="122"/>
    </row>
    <row r="160" spans="1:23" ht="15">
      <c r="A160" s="145">
        <v>4</v>
      </c>
      <c r="B160" s="4" t="s">
        <v>206</v>
      </c>
      <c r="C160" s="310"/>
      <c r="D160" s="63">
        <v>4</v>
      </c>
      <c r="E160" s="22">
        <v>90</v>
      </c>
      <c r="F160" s="22">
        <v>31</v>
      </c>
      <c r="G160" s="22">
        <v>6183</v>
      </c>
      <c r="H160" s="22">
        <v>13</v>
      </c>
      <c r="I160" s="22"/>
      <c r="J160" s="23">
        <v>43</v>
      </c>
      <c r="K160" s="22">
        <v>372</v>
      </c>
      <c r="L160" s="70">
        <v>107</v>
      </c>
      <c r="M160" s="22">
        <v>120</v>
      </c>
      <c r="N160" s="22">
        <v>1</v>
      </c>
      <c r="O160" s="22"/>
      <c r="P160" s="22">
        <v>3</v>
      </c>
      <c r="Q160" s="28">
        <v>1</v>
      </c>
      <c r="R160" s="28">
        <v>11</v>
      </c>
      <c r="S160" s="28">
        <v>1</v>
      </c>
      <c r="T160" s="28">
        <v>43</v>
      </c>
      <c r="U160" s="28"/>
      <c r="V160" s="28"/>
      <c r="W160" s="122"/>
    </row>
    <row r="161" spans="1:23">
      <c r="A161" s="145">
        <v>5</v>
      </c>
      <c r="B161" s="4" t="s">
        <v>207</v>
      </c>
      <c r="C161" s="309"/>
      <c r="D161" s="162">
        <v>5</v>
      </c>
      <c r="E161" s="28">
        <v>50</v>
      </c>
      <c r="F161" s="28">
        <v>17</v>
      </c>
      <c r="G161" s="28">
        <v>315</v>
      </c>
      <c r="H161" s="134">
        <v>10</v>
      </c>
      <c r="I161" s="28"/>
      <c r="J161" s="134">
        <v>9</v>
      </c>
      <c r="K161" s="28">
        <v>18</v>
      </c>
      <c r="L161" s="134">
        <v>2</v>
      </c>
      <c r="M161" s="28">
        <v>8</v>
      </c>
      <c r="N161" s="134"/>
      <c r="O161" s="28">
        <v>8</v>
      </c>
      <c r="P161" s="28">
        <v>2</v>
      </c>
      <c r="Q161" s="28">
        <v>4</v>
      </c>
      <c r="R161" s="28">
        <v>21</v>
      </c>
      <c r="S161" s="28">
        <v>1</v>
      </c>
      <c r="T161" s="28">
        <v>15</v>
      </c>
      <c r="U161" s="28"/>
      <c r="V161" s="28"/>
      <c r="W161" s="122"/>
    </row>
    <row r="162" spans="1:23">
      <c r="A162" s="145">
        <v>6</v>
      </c>
      <c r="B162" s="4" t="s">
        <v>208</v>
      </c>
      <c r="C162" s="309"/>
      <c r="D162" s="162">
        <v>71</v>
      </c>
      <c r="E162" s="28">
        <v>193</v>
      </c>
      <c r="F162" s="28">
        <v>76</v>
      </c>
      <c r="G162" s="28">
        <v>4594</v>
      </c>
      <c r="H162" s="134">
        <v>140</v>
      </c>
      <c r="I162" s="28"/>
      <c r="J162" s="134">
        <v>20</v>
      </c>
      <c r="K162" s="28">
        <v>176</v>
      </c>
      <c r="L162" s="134">
        <v>4</v>
      </c>
      <c r="M162" s="28">
        <v>49</v>
      </c>
      <c r="N162" s="134">
        <v>1</v>
      </c>
      <c r="O162" s="28">
        <v>1</v>
      </c>
      <c r="P162" s="28">
        <v>6</v>
      </c>
      <c r="Q162" s="28">
        <v>11</v>
      </c>
      <c r="R162" s="28">
        <v>35</v>
      </c>
      <c r="S162" s="28">
        <v>7</v>
      </c>
      <c r="T162" s="28">
        <v>1</v>
      </c>
      <c r="U162" s="28">
        <v>48</v>
      </c>
      <c r="V162" s="28"/>
      <c r="W162" s="122">
        <v>2</v>
      </c>
    </row>
    <row r="163" spans="1:23">
      <c r="A163" s="145">
        <v>7</v>
      </c>
      <c r="B163" s="4" t="s">
        <v>209</v>
      </c>
      <c r="C163" s="309"/>
      <c r="D163" s="162"/>
      <c r="E163" s="28"/>
      <c r="F163" s="28"/>
      <c r="G163" s="28">
        <v>23</v>
      </c>
      <c r="H163" s="134"/>
      <c r="I163" s="28"/>
      <c r="J163" s="134">
        <v>1</v>
      </c>
      <c r="K163" s="28">
        <v>2</v>
      </c>
      <c r="L163" s="134">
        <v>5</v>
      </c>
      <c r="M163" s="28">
        <v>2</v>
      </c>
      <c r="N163" s="134"/>
      <c r="O163" s="28"/>
      <c r="P163" s="28"/>
      <c r="Q163" s="28">
        <v>3</v>
      </c>
      <c r="R163" s="28"/>
      <c r="S163" s="28"/>
      <c r="T163" s="28">
        <v>4</v>
      </c>
      <c r="U163" s="28"/>
      <c r="V163" s="28"/>
      <c r="W163" s="122"/>
    </row>
    <row r="164" spans="1:23">
      <c r="A164" s="145">
        <v>8</v>
      </c>
      <c r="B164" s="4" t="s">
        <v>210</v>
      </c>
      <c r="C164" s="309"/>
      <c r="D164" s="162">
        <v>176</v>
      </c>
      <c r="E164" s="28">
        <v>2310</v>
      </c>
      <c r="F164" s="28">
        <v>166</v>
      </c>
      <c r="G164" s="28">
        <v>13924</v>
      </c>
      <c r="H164" s="134">
        <v>1041</v>
      </c>
      <c r="I164" s="28">
        <v>77</v>
      </c>
      <c r="J164" s="134">
        <v>58</v>
      </c>
      <c r="K164" s="28">
        <v>618</v>
      </c>
      <c r="L164" s="134">
        <v>2</v>
      </c>
      <c r="M164" s="28">
        <v>91</v>
      </c>
      <c r="N164" s="134">
        <v>2</v>
      </c>
      <c r="O164" s="28">
        <v>49</v>
      </c>
      <c r="P164" s="28">
        <v>1</v>
      </c>
      <c r="Q164" s="28">
        <v>33</v>
      </c>
      <c r="R164" s="28">
        <v>2983</v>
      </c>
      <c r="S164" s="28">
        <v>3</v>
      </c>
      <c r="T164" s="28">
        <v>2</v>
      </c>
      <c r="U164" s="28"/>
      <c r="V164" s="28"/>
      <c r="W164" s="122"/>
    </row>
    <row r="165" spans="1:23">
      <c r="A165" s="145">
        <v>9</v>
      </c>
      <c r="B165" s="4" t="s">
        <v>211</v>
      </c>
      <c r="C165" s="309"/>
      <c r="D165" s="162">
        <v>26</v>
      </c>
      <c r="E165" s="28">
        <v>91</v>
      </c>
      <c r="F165" s="28">
        <v>43</v>
      </c>
      <c r="G165" s="28">
        <v>1010</v>
      </c>
      <c r="H165" s="134">
        <v>41</v>
      </c>
      <c r="I165" s="28"/>
      <c r="J165" s="134">
        <v>2</v>
      </c>
      <c r="K165" s="28">
        <v>23</v>
      </c>
      <c r="L165" s="134">
        <v>14</v>
      </c>
      <c r="M165" s="28">
        <v>26</v>
      </c>
      <c r="N165" s="134">
        <v>2</v>
      </c>
      <c r="O165" s="28">
        <v>1</v>
      </c>
      <c r="P165" s="28">
        <v>3</v>
      </c>
      <c r="Q165" s="28">
        <v>29</v>
      </c>
      <c r="R165" s="28">
        <v>54</v>
      </c>
      <c r="S165" s="28">
        <v>1</v>
      </c>
      <c r="T165" s="28"/>
      <c r="U165" s="28"/>
      <c r="V165" s="28"/>
      <c r="W165" s="122"/>
    </row>
    <row r="166" spans="1:23">
      <c r="A166" s="145">
        <v>10</v>
      </c>
      <c r="B166" s="4" t="s">
        <v>212</v>
      </c>
      <c r="C166" s="309"/>
      <c r="D166" s="63">
        <v>5</v>
      </c>
      <c r="E166" s="32">
        <v>185</v>
      </c>
      <c r="F166" s="22">
        <v>3</v>
      </c>
      <c r="G166" s="32">
        <v>1876</v>
      </c>
      <c r="H166" s="22">
        <v>76</v>
      </c>
      <c r="I166" s="32">
        <v>20</v>
      </c>
      <c r="J166" s="22">
        <v>18</v>
      </c>
      <c r="K166" s="32">
        <v>180</v>
      </c>
      <c r="L166" s="22">
        <v>1</v>
      </c>
      <c r="M166" s="32">
        <v>40</v>
      </c>
      <c r="N166" s="22"/>
      <c r="O166" s="32">
        <v>1</v>
      </c>
      <c r="P166" s="22"/>
      <c r="Q166" s="28">
        <v>1</v>
      </c>
      <c r="R166" s="28">
        <v>404</v>
      </c>
      <c r="S166" s="28"/>
      <c r="T166" s="28">
        <v>1</v>
      </c>
      <c r="U166" s="28"/>
      <c r="V166" s="28"/>
      <c r="W166" s="122"/>
    </row>
    <row r="167" spans="1:23" ht="15">
      <c r="A167" s="145">
        <v>11</v>
      </c>
      <c r="B167" s="4" t="s">
        <v>213</v>
      </c>
      <c r="C167" s="310"/>
      <c r="D167" s="63">
        <v>1</v>
      </c>
      <c r="E167" s="22">
        <v>4</v>
      </c>
      <c r="F167" s="22">
        <v>1</v>
      </c>
      <c r="G167" s="22">
        <v>591</v>
      </c>
      <c r="H167" s="22"/>
      <c r="I167" s="22"/>
      <c r="J167" s="23">
        <v>101</v>
      </c>
      <c r="K167" s="22">
        <v>1</v>
      </c>
      <c r="L167" s="70">
        <v>16</v>
      </c>
      <c r="M167" s="22">
        <v>2</v>
      </c>
      <c r="N167" s="22">
        <v>1</v>
      </c>
      <c r="O167" s="22"/>
      <c r="P167" s="22">
        <v>1</v>
      </c>
      <c r="Q167" s="28">
        <v>2</v>
      </c>
      <c r="R167" s="28"/>
      <c r="S167" s="28">
        <v>1</v>
      </c>
      <c r="T167" s="28"/>
      <c r="U167" s="28"/>
      <c r="V167" s="28"/>
      <c r="W167" s="122"/>
    </row>
    <row r="168" spans="1:23">
      <c r="A168" s="145">
        <v>12</v>
      </c>
      <c r="B168" s="4" t="s">
        <v>214</v>
      </c>
      <c r="C168" s="309"/>
      <c r="D168" s="162"/>
      <c r="E168" s="28"/>
      <c r="F168" s="28"/>
      <c r="G168" s="28">
        <v>1459</v>
      </c>
      <c r="H168" s="134">
        <v>53</v>
      </c>
      <c r="I168" s="28"/>
      <c r="J168" s="134">
        <v>26</v>
      </c>
      <c r="K168" s="28">
        <v>12</v>
      </c>
      <c r="L168" s="134">
        <v>29</v>
      </c>
      <c r="M168" s="28">
        <v>8</v>
      </c>
      <c r="N168" s="134"/>
      <c r="O168" s="28"/>
      <c r="P168" s="28">
        <v>134</v>
      </c>
      <c r="Q168" s="28"/>
      <c r="R168" s="28"/>
      <c r="S168" s="28">
        <v>4</v>
      </c>
      <c r="T168" s="28">
        <v>124</v>
      </c>
      <c r="U168" s="28">
        <v>14374</v>
      </c>
      <c r="V168" s="28">
        <v>150</v>
      </c>
      <c r="W168" s="122"/>
    </row>
    <row r="169" spans="1:23">
      <c r="A169" s="145">
        <v>13</v>
      </c>
      <c r="B169" s="4" t="s">
        <v>215</v>
      </c>
      <c r="C169" s="309"/>
      <c r="D169" s="162">
        <v>179</v>
      </c>
      <c r="E169" s="28">
        <v>379</v>
      </c>
      <c r="F169" s="28">
        <v>38</v>
      </c>
      <c r="G169" s="28">
        <v>2003</v>
      </c>
      <c r="H169" s="134">
        <v>92</v>
      </c>
      <c r="I169" s="28">
        <v>138</v>
      </c>
      <c r="J169" s="134">
        <v>19</v>
      </c>
      <c r="K169" s="28">
        <v>171</v>
      </c>
      <c r="L169" s="134">
        <v>5</v>
      </c>
      <c r="M169" s="28">
        <v>49</v>
      </c>
      <c r="N169" s="134">
        <v>1</v>
      </c>
      <c r="O169" s="28">
        <v>13</v>
      </c>
      <c r="P169" s="28">
        <v>1</v>
      </c>
      <c r="Q169" s="28">
        <v>2</v>
      </c>
      <c r="R169" s="28">
        <v>854</v>
      </c>
      <c r="S169" s="28"/>
      <c r="T169" s="28"/>
      <c r="U169" s="28"/>
      <c r="V169" s="28"/>
      <c r="W169" s="122"/>
    </row>
    <row r="170" spans="1:23">
      <c r="A170" s="145">
        <v>14</v>
      </c>
      <c r="B170" s="4" t="s">
        <v>216</v>
      </c>
      <c r="C170" s="309"/>
      <c r="D170" s="162">
        <v>5</v>
      </c>
      <c r="E170" s="28">
        <v>402</v>
      </c>
      <c r="F170" s="28">
        <v>77</v>
      </c>
      <c r="G170" s="28">
        <v>5986</v>
      </c>
      <c r="H170" s="134">
        <v>44</v>
      </c>
      <c r="I170" s="28">
        <v>20</v>
      </c>
      <c r="J170" s="134">
        <v>41</v>
      </c>
      <c r="K170" s="28">
        <v>144</v>
      </c>
      <c r="L170" s="134">
        <v>20</v>
      </c>
      <c r="M170" s="28">
        <v>201</v>
      </c>
      <c r="N170" s="134"/>
      <c r="O170" s="28">
        <v>1</v>
      </c>
      <c r="P170" s="28">
        <v>1</v>
      </c>
      <c r="Q170" s="28">
        <v>5</v>
      </c>
      <c r="R170" s="205">
        <v>790</v>
      </c>
      <c r="S170" s="28">
        <v>4</v>
      </c>
      <c r="T170" s="28">
        <v>36</v>
      </c>
      <c r="U170" s="28">
        <v>22</v>
      </c>
      <c r="V170" s="28"/>
      <c r="W170" s="122"/>
    </row>
    <row r="171" spans="1:23">
      <c r="A171" s="145">
        <v>15</v>
      </c>
      <c r="B171" s="4" t="s">
        <v>217</v>
      </c>
      <c r="C171" s="309"/>
      <c r="D171" s="162">
        <v>61</v>
      </c>
      <c r="E171" s="28">
        <v>442</v>
      </c>
      <c r="F171" s="28">
        <v>69</v>
      </c>
      <c r="G171" s="28">
        <v>4512</v>
      </c>
      <c r="H171" s="134">
        <v>410</v>
      </c>
      <c r="I171" s="28">
        <v>2</v>
      </c>
      <c r="J171" s="134">
        <v>22</v>
      </c>
      <c r="K171" s="28">
        <v>192</v>
      </c>
      <c r="L171" s="134">
        <v>10</v>
      </c>
      <c r="M171" s="28">
        <v>52</v>
      </c>
      <c r="N171" s="134">
        <v>4</v>
      </c>
      <c r="O171" s="28">
        <v>2</v>
      </c>
      <c r="P171" s="28">
        <v>8</v>
      </c>
      <c r="Q171" s="28">
        <v>24</v>
      </c>
      <c r="R171" s="28">
        <v>52</v>
      </c>
      <c r="S171" s="28">
        <v>18</v>
      </c>
      <c r="T171" s="28">
        <v>11</v>
      </c>
      <c r="U171" s="28"/>
      <c r="V171" s="28"/>
      <c r="W171" s="122">
        <v>9</v>
      </c>
    </row>
    <row r="172" spans="1:23">
      <c r="A172" s="145">
        <v>16</v>
      </c>
      <c r="B172" s="4" t="s">
        <v>218</v>
      </c>
      <c r="C172" s="309"/>
      <c r="D172" s="162">
        <v>1</v>
      </c>
      <c r="E172" s="28">
        <v>41</v>
      </c>
      <c r="F172" s="28">
        <v>11</v>
      </c>
      <c r="G172" s="28">
        <v>1400</v>
      </c>
      <c r="H172" s="134">
        <v>4</v>
      </c>
      <c r="I172" s="28"/>
      <c r="J172" s="134">
        <v>9</v>
      </c>
      <c r="K172" s="28">
        <v>7</v>
      </c>
      <c r="L172" s="134">
        <v>21</v>
      </c>
      <c r="M172" s="28">
        <v>154</v>
      </c>
      <c r="N172" s="134"/>
      <c r="O172" s="28"/>
      <c r="P172" s="28">
        <v>4</v>
      </c>
      <c r="Q172" s="28">
        <v>20</v>
      </c>
      <c r="R172" s="28">
        <v>160</v>
      </c>
      <c r="S172" s="28">
        <v>1</v>
      </c>
      <c r="T172" s="28">
        <v>1</v>
      </c>
      <c r="U172" s="28"/>
      <c r="V172" s="28"/>
      <c r="W172" s="122"/>
    </row>
    <row r="173" spans="1:23" ht="15">
      <c r="A173" s="145">
        <v>17</v>
      </c>
      <c r="B173" s="4" t="s">
        <v>219</v>
      </c>
      <c r="C173" s="310"/>
      <c r="D173" s="63">
        <v>45</v>
      </c>
      <c r="E173" s="22">
        <v>542</v>
      </c>
      <c r="F173" s="22">
        <v>125</v>
      </c>
      <c r="G173" s="22">
        <v>4423</v>
      </c>
      <c r="H173" s="22">
        <v>70</v>
      </c>
      <c r="I173" s="22">
        <v>136</v>
      </c>
      <c r="J173" s="23">
        <v>33</v>
      </c>
      <c r="K173" s="22">
        <v>442</v>
      </c>
      <c r="L173" s="70">
        <v>1</v>
      </c>
      <c r="M173" s="22">
        <v>510</v>
      </c>
      <c r="N173" s="22"/>
      <c r="O173" s="22">
        <v>234</v>
      </c>
      <c r="P173" s="22"/>
      <c r="Q173" s="28">
        <v>8</v>
      </c>
      <c r="R173" s="28">
        <v>3308</v>
      </c>
      <c r="S173" s="28"/>
      <c r="T173" s="28">
        <v>3</v>
      </c>
      <c r="U173" s="28"/>
      <c r="V173" s="28"/>
      <c r="W173" s="122"/>
    </row>
    <row r="174" spans="1:23">
      <c r="A174" s="145">
        <v>18</v>
      </c>
      <c r="B174" s="4" t="s">
        <v>220</v>
      </c>
      <c r="C174" s="309"/>
      <c r="D174" s="162"/>
      <c r="E174" s="28">
        <v>1</v>
      </c>
      <c r="F174" s="28"/>
      <c r="G174" s="28">
        <v>1026</v>
      </c>
      <c r="H174" s="134">
        <v>6</v>
      </c>
      <c r="I174" s="28"/>
      <c r="J174" s="134">
        <v>68</v>
      </c>
      <c r="K174" s="28">
        <v>16</v>
      </c>
      <c r="L174" s="134">
        <v>46</v>
      </c>
      <c r="M174" s="28">
        <v>7</v>
      </c>
      <c r="N174" s="134">
        <v>1</v>
      </c>
      <c r="O174" s="28"/>
      <c r="P174" s="28">
        <v>64</v>
      </c>
      <c r="Q174" s="28">
        <v>4</v>
      </c>
      <c r="R174" s="28">
        <v>13</v>
      </c>
      <c r="S174" s="28">
        <v>2</v>
      </c>
      <c r="T174" s="28">
        <v>11</v>
      </c>
      <c r="U174" s="28">
        <v>7736</v>
      </c>
      <c r="V174" s="28">
        <v>2041</v>
      </c>
      <c r="W174" s="122"/>
    </row>
    <row r="175" spans="1:23">
      <c r="A175" s="145">
        <v>19</v>
      </c>
      <c r="B175" s="4" t="s">
        <v>221</v>
      </c>
      <c r="C175" s="309"/>
      <c r="D175" s="162">
        <v>5</v>
      </c>
      <c r="E175" s="28"/>
      <c r="F175" s="28">
        <v>4</v>
      </c>
      <c r="G175" s="28">
        <v>1779</v>
      </c>
      <c r="H175" s="134">
        <v>85</v>
      </c>
      <c r="I175" s="28"/>
      <c r="J175" s="134">
        <v>48</v>
      </c>
      <c r="K175" s="28">
        <v>86</v>
      </c>
      <c r="L175" s="134">
        <v>124</v>
      </c>
      <c r="M175" s="28">
        <v>56</v>
      </c>
      <c r="N175" s="134">
        <v>1</v>
      </c>
      <c r="O175" s="28">
        <v>1</v>
      </c>
      <c r="P175" s="28">
        <v>3</v>
      </c>
      <c r="Q175" s="28">
        <v>1</v>
      </c>
      <c r="R175" s="28">
        <v>12</v>
      </c>
      <c r="S175" s="28">
        <v>6</v>
      </c>
      <c r="T175" s="28">
        <v>49</v>
      </c>
      <c r="U175" s="28">
        <v>1200</v>
      </c>
      <c r="V175" s="28">
        <v>65</v>
      </c>
      <c r="W175" s="122"/>
    </row>
    <row r="176" spans="1:23">
      <c r="A176" s="145">
        <v>20</v>
      </c>
      <c r="B176" s="4" t="s">
        <v>222</v>
      </c>
      <c r="C176" s="309"/>
      <c r="D176" s="162"/>
      <c r="E176" s="28"/>
      <c r="F176" s="28"/>
      <c r="G176" s="28"/>
      <c r="H176" s="134"/>
      <c r="I176" s="28"/>
      <c r="J176" s="134"/>
      <c r="K176" s="28"/>
      <c r="L176" s="134"/>
      <c r="M176" s="28"/>
      <c r="N176" s="134"/>
      <c r="O176" s="28"/>
      <c r="P176" s="28"/>
      <c r="Q176" s="28"/>
      <c r="R176" s="28"/>
      <c r="S176" s="28"/>
      <c r="T176" s="28"/>
      <c r="U176" s="28"/>
      <c r="V176" s="28"/>
      <c r="W176" s="122"/>
    </row>
    <row r="177" spans="1:23">
      <c r="A177" s="145">
        <v>21</v>
      </c>
      <c r="B177" s="4" t="s">
        <v>223</v>
      </c>
      <c r="C177" s="309"/>
      <c r="D177" s="162">
        <v>1</v>
      </c>
      <c r="E177" s="28">
        <v>150</v>
      </c>
      <c r="F177" s="28">
        <v>4</v>
      </c>
      <c r="G177" s="28">
        <v>8131</v>
      </c>
      <c r="H177" s="134">
        <v>290</v>
      </c>
      <c r="I177" s="28"/>
      <c r="J177" s="134">
        <v>70</v>
      </c>
      <c r="K177" s="28">
        <v>105</v>
      </c>
      <c r="L177" s="134">
        <v>346</v>
      </c>
      <c r="M177" s="28">
        <v>48</v>
      </c>
      <c r="N177" s="134"/>
      <c r="O177" s="28"/>
      <c r="P177" s="28">
        <v>6</v>
      </c>
      <c r="R177" s="28">
        <v>1009</v>
      </c>
      <c r="S177" s="28">
        <v>22</v>
      </c>
      <c r="T177" s="28">
        <v>66</v>
      </c>
      <c r="U177" s="28">
        <v>1</v>
      </c>
      <c r="V177" s="28"/>
      <c r="W177" s="122"/>
    </row>
    <row r="178" spans="1:23">
      <c r="A178" s="145">
        <v>22</v>
      </c>
      <c r="B178" s="4" t="s">
        <v>224</v>
      </c>
      <c r="C178" s="309"/>
      <c r="D178" s="162">
        <v>113</v>
      </c>
      <c r="E178" s="28">
        <v>714</v>
      </c>
      <c r="F178" s="28">
        <v>46</v>
      </c>
      <c r="G178" s="28">
        <v>7165</v>
      </c>
      <c r="H178" s="134">
        <v>310</v>
      </c>
      <c r="I178" s="28">
        <v>7</v>
      </c>
      <c r="J178" s="134">
        <v>38</v>
      </c>
      <c r="K178" s="28">
        <v>555</v>
      </c>
      <c r="L178" s="134">
        <v>3</v>
      </c>
      <c r="M178" s="28">
        <v>81</v>
      </c>
      <c r="N178" s="134">
        <v>1</v>
      </c>
      <c r="O178" s="28">
        <v>2</v>
      </c>
      <c r="P178" s="28">
        <v>3</v>
      </c>
      <c r="Q178" s="27">
        <v>9</v>
      </c>
      <c r="R178" s="28">
        <v>344</v>
      </c>
      <c r="S178" s="28">
        <v>3</v>
      </c>
      <c r="T178" s="28"/>
      <c r="U178" s="28"/>
      <c r="V178" s="28"/>
      <c r="W178" s="122">
        <v>27</v>
      </c>
    </row>
    <row r="179" spans="1:23">
      <c r="A179" s="145">
        <v>23</v>
      </c>
      <c r="B179" s="4" t="s">
        <v>225</v>
      </c>
      <c r="C179" s="311"/>
      <c r="D179" s="63">
        <v>2</v>
      </c>
      <c r="E179" s="22">
        <v>16</v>
      </c>
      <c r="F179" s="22">
        <v>24</v>
      </c>
      <c r="G179" s="22">
        <v>420</v>
      </c>
      <c r="H179" s="22">
        <v>13</v>
      </c>
      <c r="I179" s="22">
        <v>1</v>
      </c>
      <c r="J179" s="23">
        <v>4</v>
      </c>
      <c r="K179" s="22">
        <v>16</v>
      </c>
      <c r="L179" s="70">
        <v>19</v>
      </c>
      <c r="M179" s="22">
        <v>12</v>
      </c>
      <c r="N179" s="22">
        <v>1</v>
      </c>
      <c r="O179" s="22"/>
      <c r="P179" s="22">
        <v>6</v>
      </c>
      <c r="Q179" s="28">
        <v>1</v>
      </c>
      <c r="R179" s="28">
        <v>20</v>
      </c>
      <c r="S179" s="28"/>
      <c r="T179" s="28">
        <v>5</v>
      </c>
      <c r="U179" s="28"/>
      <c r="V179" s="28"/>
      <c r="W179" s="122"/>
    </row>
    <row r="180" spans="1:23" ht="15">
      <c r="A180" s="145">
        <v>24</v>
      </c>
      <c r="B180" s="4" t="s">
        <v>226</v>
      </c>
      <c r="C180" s="310"/>
      <c r="D180" s="162">
        <v>9</v>
      </c>
      <c r="E180" s="28">
        <v>66</v>
      </c>
      <c r="F180" s="28">
        <v>28</v>
      </c>
      <c r="G180" s="28">
        <v>1249</v>
      </c>
      <c r="H180" s="134">
        <v>17</v>
      </c>
      <c r="I180" s="28">
        <v>1</v>
      </c>
      <c r="J180" s="134">
        <v>1</v>
      </c>
      <c r="K180" s="28">
        <v>10</v>
      </c>
      <c r="L180" s="134">
        <v>30</v>
      </c>
      <c r="M180" s="28">
        <v>32</v>
      </c>
      <c r="N180" s="134">
        <v>1</v>
      </c>
      <c r="O180" s="28"/>
      <c r="P180" s="28">
        <v>51</v>
      </c>
      <c r="Q180" s="28">
        <v>1</v>
      </c>
      <c r="R180" s="28">
        <v>19</v>
      </c>
      <c r="S180" s="28">
        <v>3</v>
      </c>
      <c r="T180" s="28">
        <v>1</v>
      </c>
      <c r="U180" s="28"/>
      <c r="V180" s="28"/>
      <c r="W180" s="122"/>
    </row>
    <row r="181" spans="1:23">
      <c r="A181" s="145">
        <v>25</v>
      </c>
      <c r="B181" s="4" t="s">
        <v>147</v>
      </c>
      <c r="C181" s="309"/>
      <c r="D181" s="162">
        <v>19</v>
      </c>
      <c r="E181" s="28">
        <v>564</v>
      </c>
      <c r="F181" s="28">
        <v>132</v>
      </c>
      <c r="G181" s="28">
        <v>21039</v>
      </c>
      <c r="H181" s="134">
        <v>44</v>
      </c>
      <c r="I181" s="28"/>
      <c r="J181" s="134">
        <v>52</v>
      </c>
      <c r="K181" s="28">
        <v>155</v>
      </c>
      <c r="L181" s="134">
        <v>24</v>
      </c>
      <c r="M181" s="28">
        <v>156</v>
      </c>
      <c r="N181" s="134"/>
      <c r="O181" s="28"/>
      <c r="P181" s="28">
        <v>34</v>
      </c>
      <c r="Q181" s="28">
        <v>24</v>
      </c>
      <c r="R181" s="28">
        <v>970</v>
      </c>
      <c r="S181" s="28"/>
      <c r="T181" s="28">
        <v>95</v>
      </c>
      <c r="U181" s="28"/>
      <c r="V181" s="28"/>
      <c r="W181" s="122"/>
    </row>
    <row r="182" spans="1:23">
      <c r="A182" s="145">
        <v>26</v>
      </c>
      <c r="B182" s="4" t="s">
        <v>227</v>
      </c>
      <c r="C182" s="309"/>
      <c r="D182" s="162">
        <v>15</v>
      </c>
      <c r="E182" s="28">
        <v>211</v>
      </c>
      <c r="F182" s="28">
        <v>36</v>
      </c>
      <c r="G182" s="28">
        <v>519</v>
      </c>
      <c r="H182" s="134">
        <v>270</v>
      </c>
      <c r="I182" s="28"/>
      <c r="J182" s="134">
        <v>83</v>
      </c>
      <c r="K182" s="28">
        <v>140</v>
      </c>
      <c r="L182" s="134">
        <v>12</v>
      </c>
      <c r="M182" s="28">
        <v>57</v>
      </c>
      <c r="N182" s="134">
        <v>1</v>
      </c>
      <c r="O182" s="28">
        <v>2</v>
      </c>
      <c r="P182" s="28"/>
      <c r="Q182" s="28">
        <v>48</v>
      </c>
      <c r="R182" s="28">
        <v>63</v>
      </c>
      <c r="S182" s="28">
        <v>3</v>
      </c>
      <c r="T182" s="28">
        <v>75</v>
      </c>
      <c r="U182" s="28"/>
      <c r="V182" s="28"/>
      <c r="W182" s="122"/>
    </row>
    <row r="183" spans="1:23">
      <c r="A183" s="145">
        <v>27</v>
      </c>
      <c r="B183" s="4" t="s">
        <v>228</v>
      </c>
      <c r="C183" s="309"/>
      <c r="D183" s="162">
        <v>1</v>
      </c>
      <c r="E183" s="28">
        <v>5</v>
      </c>
      <c r="F183" s="28">
        <v>1</v>
      </c>
      <c r="G183" s="28">
        <v>756</v>
      </c>
      <c r="H183" s="134">
        <v>4</v>
      </c>
      <c r="I183" s="28">
        <v>1</v>
      </c>
      <c r="J183" s="134">
        <v>28</v>
      </c>
      <c r="K183" s="28">
        <v>231</v>
      </c>
      <c r="L183" s="134">
        <v>221</v>
      </c>
      <c r="M183" s="28">
        <v>26</v>
      </c>
      <c r="N183" s="134">
        <v>1</v>
      </c>
      <c r="O183" s="28">
        <v>1</v>
      </c>
      <c r="P183" s="28">
        <v>57</v>
      </c>
      <c r="Q183" s="28">
        <v>28</v>
      </c>
      <c r="R183" s="28">
        <v>25</v>
      </c>
      <c r="S183" s="28">
        <v>30</v>
      </c>
      <c r="T183" s="28">
        <v>2193</v>
      </c>
      <c r="U183" s="28">
        <v>513</v>
      </c>
      <c r="V183" s="28"/>
      <c r="W183" s="122"/>
    </row>
    <row r="184" spans="1:23">
      <c r="A184" s="145">
        <v>28</v>
      </c>
      <c r="B184" s="4" t="s">
        <v>229</v>
      </c>
      <c r="C184" s="309"/>
      <c r="D184" s="162">
        <v>34</v>
      </c>
      <c r="E184" s="28">
        <v>307</v>
      </c>
      <c r="F184" s="28">
        <v>35</v>
      </c>
      <c r="G184" s="28">
        <v>4956</v>
      </c>
      <c r="H184" s="134">
        <v>115</v>
      </c>
      <c r="I184" s="28"/>
      <c r="J184" s="134">
        <v>36</v>
      </c>
      <c r="K184" s="28">
        <v>46</v>
      </c>
      <c r="L184" s="134">
        <v>13</v>
      </c>
      <c r="M184" s="28">
        <v>16</v>
      </c>
      <c r="N184" s="134">
        <v>8</v>
      </c>
      <c r="O184" s="28">
        <v>5</v>
      </c>
      <c r="P184" s="28">
        <v>3</v>
      </c>
      <c r="Q184" s="28">
        <v>205</v>
      </c>
      <c r="R184" s="28">
        <v>238</v>
      </c>
      <c r="S184" s="28">
        <v>1</v>
      </c>
      <c r="T184" s="28">
        <v>50</v>
      </c>
      <c r="U184" s="28"/>
      <c r="V184" s="28"/>
      <c r="W184" s="122"/>
    </row>
    <row r="185" spans="1:23">
      <c r="A185" s="145">
        <v>29</v>
      </c>
      <c r="B185" s="4" t="s">
        <v>230</v>
      </c>
      <c r="C185" s="309"/>
      <c r="D185" s="63">
        <v>187</v>
      </c>
      <c r="E185" s="22">
        <v>636</v>
      </c>
      <c r="F185" s="22">
        <v>106</v>
      </c>
      <c r="G185" s="22">
        <v>3261</v>
      </c>
      <c r="H185" s="22">
        <v>141</v>
      </c>
      <c r="I185" s="22">
        <v>6</v>
      </c>
      <c r="J185" s="23">
        <v>6</v>
      </c>
      <c r="K185" s="22">
        <v>29</v>
      </c>
      <c r="L185" s="70">
        <v>17</v>
      </c>
      <c r="M185" s="22">
        <v>36</v>
      </c>
      <c r="N185" s="22">
        <v>5</v>
      </c>
      <c r="O185" s="22">
        <v>1</v>
      </c>
      <c r="P185" s="22">
        <v>35</v>
      </c>
      <c r="Q185" s="28">
        <v>2</v>
      </c>
      <c r="R185" s="28">
        <v>185</v>
      </c>
      <c r="S185" s="28"/>
      <c r="T185" s="28"/>
      <c r="U185" s="28"/>
      <c r="V185" s="28"/>
      <c r="W185" s="122">
        <v>5</v>
      </c>
    </row>
    <row r="186" spans="1:23" ht="15">
      <c r="A186" s="145">
        <v>30</v>
      </c>
      <c r="B186" s="4" t="s">
        <v>231</v>
      </c>
      <c r="C186" s="310"/>
      <c r="D186" s="162">
        <v>62</v>
      </c>
      <c r="E186" s="28">
        <v>200</v>
      </c>
      <c r="F186" s="28">
        <v>90</v>
      </c>
      <c r="G186" s="28">
        <v>1075</v>
      </c>
      <c r="H186" s="134">
        <v>50</v>
      </c>
      <c r="I186" s="28">
        <v>2</v>
      </c>
      <c r="J186" s="134">
        <v>25</v>
      </c>
      <c r="K186" s="28">
        <v>109</v>
      </c>
      <c r="L186" s="21">
        <v>84</v>
      </c>
      <c r="M186" s="28">
        <v>65</v>
      </c>
      <c r="N186" s="134">
        <v>8</v>
      </c>
      <c r="O186" s="28">
        <v>4</v>
      </c>
      <c r="P186" s="28">
        <v>43</v>
      </c>
      <c r="Q186" s="28">
        <v>3</v>
      </c>
      <c r="R186" s="28">
        <v>34</v>
      </c>
      <c r="S186" s="28">
        <v>4</v>
      </c>
      <c r="T186" s="28">
        <v>1</v>
      </c>
      <c r="U186" s="28">
        <v>2</v>
      </c>
      <c r="V186" s="28"/>
      <c r="W186" s="122">
        <v>16</v>
      </c>
    </row>
    <row r="187" spans="1:23">
      <c r="A187" s="145">
        <v>31</v>
      </c>
      <c r="B187" s="4" t="s">
        <v>232</v>
      </c>
      <c r="C187" s="309"/>
      <c r="D187" s="162">
        <v>24</v>
      </c>
      <c r="E187" s="28">
        <v>121</v>
      </c>
      <c r="F187" s="28">
        <v>29</v>
      </c>
      <c r="G187" s="28">
        <v>381</v>
      </c>
      <c r="H187" s="134">
        <v>38</v>
      </c>
      <c r="I187" s="28">
        <v>1</v>
      </c>
      <c r="J187" s="134">
        <v>47</v>
      </c>
      <c r="K187" s="28">
        <v>30</v>
      </c>
      <c r="L187" s="134">
        <v>25</v>
      </c>
      <c r="M187" s="28">
        <v>68</v>
      </c>
      <c r="N187" s="134">
        <v>24</v>
      </c>
      <c r="O187" s="28">
        <v>1</v>
      </c>
      <c r="P187" s="28">
        <v>2</v>
      </c>
      <c r="Q187" s="28">
        <v>810</v>
      </c>
      <c r="R187" s="28">
        <v>8</v>
      </c>
      <c r="S187" s="28"/>
      <c r="T187" s="28"/>
      <c r="U187" s="28"/>
      <c r="V187" s="28"/>
      <c r="W187" s="122"/>
    </row>
    <row r="188" spans="1:23">
      <c r="A188" s="215"/>
      <c r="B188" s="203"/>
      <c r="C188" s="312"/>
      <c r="D188" s="265"/>
      <c r="E188" s="206"/>
      <c r="F188" s="206"/>
      <c r="G188" s="206"/>
      <c r="H188" s="256"/>
      <c r="I188" s="206"/>
      <c r="J188" s="256"/>
      <c r="K188" s="206"/>
      <c r="L188" s="256"/>
      <c r="M188" s="206"/>
      <c r="N188" s="256"/>
      <c r="O188" s="206"/>
      <c r="P188" s="206"/>
      <c r="Q188" s="206"/>
      <c r="R188" s="206"/>
      <c r="S188" s="206"/>
      <c r="T188" s="206"/>
      <c r="U188" s="206"/>
      <c r="V188" s="206"/>
      <c r="W188" s="298"/>
    </row>
    <row r="189" spans="1:23">
      <c r="A189" s="145" t="s">
        <v>297</v>
      </c>
      <c r="B189" s="4"/>
      <c r="C189" s="162"/>
      <c r="D189" s="162">
        <f t="shared" ref="D189:W189" si="7">SUM(D157:D187)</f>
        <v>1107</v>
      </c>
      <c r="E189" s="22">
        <f t="shared" si="7"/>
        <v>7902</v>
      </c>
      <c r="F189" s="32">
        <f t="shared" si="7"/>
        <v>1225</v>
      </c>
      <c r="G189" s="22">
        <f t="shared" si="7"/>
        <v>108052</v>
      </c>
      <c r="H189" s="32">
        <f t="shared" si="7"/>
        <v>3822</v>
      </c>
      <c r="I189" s="22">
        <f t="shared" si="7"/>
        <v>412</v>
      </c>
      <c r="J189" s="32">
        <f t="shared" si="7"/>
        <v>1028</v>
      </c>
      <c r="K189" s="22">
        <f t="shared" si="7"/>
        <v>4010</v>
      </c>
      <c r="L189" s="32">
        <f t="shared" si="7"/>
        <v>1307</v>
      </c>
      <c r="M189" s="22">
        <f t="shared" si="7"/>
        <v>2050</v>
      </c>
      <c r="N189" s="32">
        <f t="shared" si="7"/>
        <v>91</v>
      </c>
      <c r="O189" s="22">
        <f t="shared" si="7"/>
        <v>338</v>
      </c>
      <c r="P189" s="32">
        <f t="shared" si="7"/>
        <v>496</v>
      </c>
      <c r="Q189" s="22">
        <f>SUM(Q157:Q187)</f>
        <v>1295</v>
      </c>
      <c r="R189" s="32">
        <f>SUM(R157:R187)</f>
        <v>11767</v>
      </c>
      <c r="S189" s="22">
        <f t="shared" si="7"/>
        <v>153</v>
      </c>
      <c r="T189" s="32">
        <f t="shared" si="7"/>
        <v>2798</v>
      </c>
      <c r="U189" s="22">
        <f t="shared" si="7"/>
        <v>25282</v>
      </c>
      <c r="V189" s="32">
        <f t="shared" si="7"/>
        <v>2380</v>
      </c>
      <c r="W189" s="49">
        <f t="shared" si="7"/>
        <v>59</v>
      </c>
    </row>
    <row r="190" spans="1:23" ht="15" thickBot="1">
      <c r="A190" s="217"/>
      <c r="B190" s="104"/>
      <c r="C190" s="252"/>
      <c r="D190" s="252"/>
      <c r="E190" s="208"/>
      <c r="F190" s="208"/>
      <c r="G190" s="208"/>
      <c r="H190" s="253"/>
      <c r="I190" s="208"/>
      <c r="J190" s="253"/>
      <c r="K190" s="208"/>
      <c r="L190" s="253"/>
      <c r="M190" s="208"/>
      <c r="N190" s="253"/>
      <c r="O190" s="208"/>
      <c r="P190" s="208"/>
      <c r="Q190" s="186"/>
      <c r="R190" s="186"/>
      <c r="S190" s="186"/>
      <c r="T190" s="186"/>
      <c r="U190" s="186"/>
      <c r="V190" s="186"/>
      <c r="W190" s="299"/>
    </row>
    <row r="191" spans="1:23" ht="16" thickTop="1">
      <c r="A191" s="222" t="s">
        <v>28</v>
      </c>
      <c r="B191" s="97"/>
      <c r="C191" s="248"/>
      <c r="D191" s="63"/>
      <c r="E191" s="22"/>
      <c r="F191" s="22"/>
      <c r="G191" s="22"/>
      <c r="H191" s="22"/>
      <c r="I191" s="22"/>
      <c r="J191" s="23"/>
      <c r="K191" s="22"/>
      <c r="L191" s="70"/>
      <c r="M191" s="22"/>
      <c r="N191" s="22"/>
      <c r="O191" s="22"/>
      <c r="P191" s="22"/>
      <c r="Q191" s="13"/>
      <c r="R191" s="13"/>
      <c r="S191" s="13"/>
      <c r="T191" s="13"/>
      <c r="U191" s="13"/>
      <c r="V191" s="13"/>
      <c r="W191" s="293"/>
    </row>
    <row r="192" spans="1:23">
      <c r="A192" s="145">
        <v>32</v>
      </c>
      <c r="B192" s="235" t="s">
        <v>233</v>
      </c>
      <c r="C192" s="17"/>
      <c r="D192" s="162">
        <v>1</v>
      </c>
      <c r="E192" s="28">
        <v>2</v>
      </c>
      <c r="F192" s="28">
        <v>1</v>
      </c>
      <c r="G192" s="28">
        <v>370</v>
      </c>
      <c r="H192" s="134">
        <v>2</v>
      </c>
      <c r="I192" s="28"/>
      <c r="J192" s="134">
        <v>1</v>
      </c>
      <c r="K192" s="28">
        <v>6</v>
      </c>
      <c r="L192" s="134">
        <v>14</v>
      </c>
      <c r="M192" s="28">
        <v>3</v>
      </c>
      <c r="N192" s="134">
        <v>1</v>
      </c>
      <c r="O192" s="28"/>
      <c r="P192" s="28">
        <v>2</v>
      </c>
      <c r="Q192" s="28">
        <v>1</v>
      </c>
      <c r="R192" s="28"/>
      <c r="S192" s="28"/>
      <c r="T192" s="28">
        <v>2</v>
      </c>
      <c r="U192" s="28"/>
      <c r="V192" s="28"/>
      <c r="W192" s="122"/>
    </row>
    <row r="193" spans="1:23">
      <c r="A193" s="145">
        <v>33</v>
      </c>
      <c r="B193" s="4" t="s">
        <v>234</v>
      </c>
      <c r="C193" s="10"/>
      <c r="D193" s="162"/>
      <c r="E193" s="28"/>
      <c r="F193" s="28"/>
      <c r="G193" s="28">
        <v>629</v>
      </c>
      <c r="H193" s="134">
        <v>6</v>
      </c>
      <c r="I193" s="28"/>
      <c r="J193" s="134">
        <v>9</v>
      </c>
      <c r="K193" s="28">
        <v>20</v>
      </c>
      <c r="L193" s="134">
        <v>30</v>
      </c>
      <c r="M193" s="28">
        <v>9</v>
      </c>
      <c r="N193" s="134">
        <v>1</v>
      </c>
      <c r="O193" s="28"/>
      <c r="P193" s="28">
        <v>1</v>
      </c>
      <c r="Q193" s="28"/>
      <c r="R193" s="28"/>
      <c r="S193" s="28"/>
      <c r="T193" s="28">
        <v>4</v>
      </c>
      <c r="U193" s="28">
        <v>120</v>
      </c>
      <c r="V193" s="28"/>
      <c r="W193" s="122"/>
    </row>
    <row r="194" spans="1:23">
      <c r="A194" s="145">
        <v>34</v>
      </c>
      <c r="B194" s="4" t="s">
        <v>235</v>
      </c>
      <c r="C194" s="10"/>
      <c r="D194" s="162"/>
      <c r="E194" s="28"/>
      <c r="F194" s="28"/>
      <c r="G194" s="28">
        <v>116</v>
      </c>
      <c r="H194" s="134">
        <v>4</v>
      </c>
      <c r="I194" s="28"/>
      <c r="J194" s="134">
        <v>3</v>
      </c>
      <c r="K194" s="28">
        <v>2</v>
      </c>
      <c r="L194" s="134">
        <v>7</v>
      </c>
      <c r="M194" s="28">
        <v>4</v>
      </c>
      <c r="N194" s="134"/>
      <c r="O194" s="28"/>
      <c r="P194" s="28"/>
      <c r="Q194" s="28"/>
      <c r="R194" s="28"/>
      <c r="S194" s="28">
        <v>2</v>
      </c>
      <c r="T194" s="28"/>
      <c r="U194" s="28">
        <v>3</v>
      </c>
      <c r="V194" s="28"/>
      <c r="W194" s="122"/>
    </row>
    <row r="195" spans="1:23">
      <c r="A195" s="145">
        <v>35</v>
      </c>
      <c r="B195" s="4" t="s">
        <v>236</v>
      </c>
      <c r="C195" s="10"/>
      <c r="D195" s="162"/>
      <c r="E195" s="28"/>
      <c r="F195" s="28"/>
      <c r="G195" s="28">
        <v>38</v>
      </c>
      <c r="H195" s="134"/>
      <c r="I195" s="28"/>
      <c r="J195" s="134"/>
      <c r="K195" s="28"/>
      <c r="L195" s="134"/>
      <c r="M195" s="28"/>
      <c r="N195" s="134"/>
      <c r="O195" s="28"/>
      <c r="P195" s="28"/>
      <c r="Q195" s="28"/>
      <c r="R195" s="28"/>
      <c r="S195" s="28"/>
      <c r="T195" s="28"/>
      <c r="U195" s="28"/>
      <c r="V195" s="28"/>
      <c r="W195" s="122"/>
    </row>
    <row r="196" spans="1:23">
      <c r="A196" s="145">
        <v>36</v>
      </c>
      <c r="B196" s="4" t="s">
        <v>237</v>
      </c>
      <c r="C196" s="10"/>
      <c r="D196" s="162"/>
      <c r="E196" s="28"/>
      <c r="F196" s="28"/>
      <c r="G196" s="28">
        <v>55</v>
      </c>
      <c r="H196" s="134">
        <v>1</v>
      </c>
      <c r="I196" s="28"/>
      <c r="J196" s="134"/>
      <c r="K196" s="28"/>
      <c r="L196" s="134">
        <v>4</v>
      </c>
      <c r="M196" s="28">
        <v>1</v>
      </c>
      <c r="N196" s="134"/>
      <c r="O196" s="28"/>
      <c r="P196" s="28"/>
      <c r="Q196" s="28"/>
      <c r="R196" s="28">
        <v>5</v>
      </c>
      <c r="S196" s="28">
        <v>1</v>
      </c>
      <c r="T196" s="28"/>
      <c r="U196" s="28"/>
      <c r="V196" s="28"/>
      <c r="W196" s="122"/>
    </row>
    <row r="197" spans="1:23">
      <c r="A197" s="145">
        <v>37</v>
      </c>
      <c r="B197" s="4" t="s">
        <v>238</v>
      </c>
      <c r="C197" s="10"/>
      <c r="D197" s="63"/>
      <c r="E197" s="32"/>
      <c r="F197" s="22"/>
      <c r="G197" s="32">
        <v>489</v>
      </c>
      <c r="H197" s="22">
        <v>7</v>
      </c>
      <c r="I197" s="32"/>
      <c r="J197" s="22">
        <v>13</v>
      </c>
      <c r="K197" s="32">
        <v>33</v>
      </c>
      <c r="L197" s="22">
        <v>49</v>
      </c>
      <c r="M197" s="32">
        <v>6</v>
      </c>
      <c r="N197" s="22">
        <v>1</v>
      </c>
      <c r="O197" s="32"/>
      <c r="P197" s="22">
        <v>2</v>
      </c>
      <c r="Q197" s="28"/>
      <c r="R197" s="28"/>
      <c r="S197" s="28">
        <v>1</v>
      </c>
      <c r="T197" s="28">
        <v>14</v>
      </c>
      <c r="U197" s="28">
        <v>3760</v>
      </c>
      <c r="V197" s="28"/>
      <c r="W197" s="122"/>
    </row>
    <row r="198" spans="1:23" ht="15">
      <c r="A198" s="145">
        <v>38</v>
      </c>
      <c r="B198" s="4" t="s">
        <v>239</v>
      </c>
      <c r="C198" s="248"/>
      <c r="D198" s="63"/>
      <c r="E198" s="22"/>
      <c r="F198" s="22"/>
      <c r="G198" s="22">
        <v>56</v>
      </c>
      <c r="H198" s="22"/>
      <c r="I198" s="22"/>
      <c r="J198" s="23">
        <v>1</v>
      </c>
      <c r="K198" s="22"/>
      <c r="L198" s="70">
        <v>1</v>
      </c>
      <c r="M198" s="22"/>
      <c r="N198" s="22"/>
      <c r="O198" s="22"/>
      <c r="P198" s="22"/>
      <c r="Q198" s="28"/>
      <c r="R198" s="28"/>
      <c r="S198" s="28"/>
      <c r="T198" s="28"/>
      <c r="U198" s="28"/>
      <c r="V198" s="28"/>
      <c r="W198" s="122"/>
    </row>
    <row r="199" spans="1:23">
      <c r="A199" s="145">
        <v>39</v>
      </c>
      <c r="B199" s="4" t="s">
        <v>240</v>
      </c>
      <c r="C199" s="17"/>
      <c r="D199" s="162"/>
      <c r="E199" s="28">
        <v>3</v>
      </c>
      <c r="F199" s="28">
        <v>1</v>
      </c>
      <c r="G199" s="28">
        <v>230</v>
      </c>
      <c r="H199" s="134">
        <v>12</v>
      </c>
      <c r="I199" s="28"/>
      <c r="J199" s="134">
        <v>7</v>
      </c>
      <c r="K199" s="28">
        <v>4</v>
      </c>
      <c r="L199" s="134">
        <v>4</v>
      </c>
      <c r="M199" s="28">
        <v>1</v>
      </c>
      <c r="N199" s="134"/>
      <c r="O199" s="28"/>
      <c r="P199" s="28">
        <v>1</v>
      </c>
      <c r="Q199" s="28"/>
      <c r="R199" s="28">
        <v>1</v>
      </c>
      <c r="S199" s="28">
        <v>2</v>
      </c>
      <c r="T199" s="28"/>
      <c r="U199" s="28"/>
      <c r="V199" s="28"/>
      <c r="W199" s="122"/>
    </row>
    <row r="200" spans="1:23">
      <c r="A200" s="145">
        <v>40</v>
      </c>
      <c r="B200" s="4" t="s">
        <v>241</v>
      </c>
      <c r="C200" s="10"/>
      <c r="D200" s="162"/>
      <c r="E200" s="28">
        <v>12</v>
      </c>
      <c r="F200" s="28">
        <v>3</v>
      </c>
      <c r="G200" s="28">
        <v>114</v>
      </c>
      <c r="H200" s="134">
        <v>6</v>
      </c>
      <c r="I200" s="28"/>
      <c r="J200" s="134"/>
      <c r="K200" s="28">
        <v>5</v>
      </c>
      <c r="L200" s="134"/>
      <c r="M200" s="28">
        <v>1</v>
      </c>
      <c r="N200" s="134"/>
      <c r="O200" s="28">
        <v>2</v>
      </c>
      <c r="P200" s="28"/>
      <c r="Q200" s="28">
        <v>1</v>
      </c>
      <c r="R200" s="28">
        <v>14</v>
      </c>
      <c r="S200" s="28"/>
      <c r="T200" s="28"/>
      <c r="U200" s="28"/>
      <c r="V200" s="28"/>
      <c r="W200" s="122"/>
    </row>
    <row r="201" spans="1:23">
      <c r="A201" s="145">
        <v>41</v>
      </c>
      <c r="B201" s="4" t="s">
        <v>242</v>
      </c>
      <c r="C201" s="10"/>
      <c r="D201" s="162"/>
      <c r="E201" s="28"/>
      <c r="F201" s="28"/>
      <c r="G201" s="28">
        <v>3</v>
      </c>
      <c r="H201" s="134"/>
      <c r="I201" s="28"/>
      <c r="J201" s="134"/>
      <c r="K201" s="28"/>
      <c r="L201" s="134"/>
      <c r="M201" s="28"/>
      <c r="N201" s="134"/>
      <c r="O201" s="28"/>
      <c r="P201" s="28"/>
      <c r="Q201" s="28"/>
      <c r="R201" s="28"/>
      <c r="S201" s="28"/>
      <c r="T201" s="28"/>
      <c r="U201" s="28"/>
      <c r="V201" s="28"/>
      <c r="W201" s="122"/>
    </row>
    <row r="202" spans="1:23">
      <c r="A202" s="145">
        <v>42</v>
      </c>
      <c r="B202" s="4" t="s">
        <v>243</v>
      </c>
      <c r="C202" s="10"/>
      <c r="D202" s="162"/>
      <c r="E202" s="28"/>
      <c r="F202" s="28"/>
      <c r="G202" s="28">
        <v>166</v>
      </c>
      <c r="H202" s="134">
        <v>1</v>
      </c>
      <c r="I202" s="28"/>
      <c r="J202" s="134">
        <v>12</v>
      </c>
      <c r="K202" s="28">
        <v>1</v>
      </c>
      <c r="L202" s="134">
        <v>1</v>
      </c>
      <c r="M202" s="28">
        <v>2</v>
      </c>
      <c r="N202" s="134"/>
      <c r="O202" s="28"/>
      <c r="P202" s="28"/>
      <c r="Q202" s="28"/>
      <c r="R202" s="28"/>
      <c r="S202" s="28"/>
      <c r="T202" s="28"/>
      <c r="U202" s="28">
        <v>1420</v>
      </c>
      <c r="V202" s="28"/>
      <c r="W202" s="122"/>
    </row>
    <row r="203" spans="1:23">
      <c r="A203" s="215"/>
      <c r="B203" s="203"/>
      <c r="C203" s="12"/>
      <c r="D203" s="38"/>
      <c r="E203" s="206"/>
      <c r="F203" s="206"/>
      <c r="G203" s="206"/>
      <c r="H203" s="256"/>
      <c r="I203" s="206"/>
      <c r="J203" s="256"/>
      <c r="K203" s="206"/>
      <c r="L203" s="256"/>
      <c r="M203" s="206"/>
      <c r="N203" s="256"/>
      <c r="O203" s="206"/>
      <c r="P203" s="206"/>
      <c r="Q203" s="185"/>
      <c r="R203" s="185"/>
      <c r="S203" s="185"/>
      <c r="T203" s="185"/>
      <c r="U203" s="185"/>
      <c r="V203" s="185"/>
      <c r="W203" s="295"/>
    </row>
    <row r="204" spans="1:23" ht="15">
      <c r="A204" s="145" t="s">
        <v>298</v>
      </c>
      <c r="B204" s="4"/>
      <c r="C204" s="248"/>
      <c r="D204" s="162">
        <f>SUM(D192:D202)</f>
        <v>1</v>
      </c>
      <c r="E204" s="22">
        <f t="shared" ref="E204:W204" si="8">SUM(E192:E202)</f>
        <v>17</v>
      </c>
      <c r="F204" s="32">
        <f t="shared" si="8"/>
        <v>5</v>
      </c>
      <c r="G204" s="22">
        <f t="shared" si="8"/>
        <v>2266</v>
      </c>
      <c r="H204" s="32">
        <f t="shared" si="8"/>
        <v>39</v>
      </c>
      <c r="I204" s="22">
        <f t="shared" si="8"/>
        <v>0</v>
      </c>
      <c r="J204" s="32">
        <f t="shared" si="8"/>
        <v>46</v>
      </c>
      <c r="K204" s="22">
        <f t="shared" si="8"/>
        <v>71</v>
      </c>
      <c r="L204" s="32">
        <f t="shared" si="8"/>
        <v>110</v>
      </c>
      <c r="M204" s="22">
        <f t="shared" si="8"/>
        <v>27</v>
      </c>
      <c r="N204" s="32">
        <f t="shared" si="8"/>
        <v>3</v>
      </c>
      <c r="O204" s="22">
        <f t="shared" si="8"/>
        <v>2</v>
      </c>
      <c r="P204" s="32">
        <f t="shared" si="8"/>
        <v>6</v>
      </c>
      <c r="Q204" s="22">
        <f t="shared" si="8"/>
        <v>2</v>
      </c>
      <c r="R204" s="32">
        <f t="shared" si="8"/>
        <v>20</v>
      </c>
      <c r="S204" s="22">
        <f t="shared" si="8"/>
        <v>6</v>
      </c>
      <c r="T204" s="32">
        <f t="shared" si="8"/>
        <v>20</v>
      </c>
      <c r="U204" s="22">
        <f t="shared" si="8"/>
        <v>5303</v>
      </c>
      <c r="V204" s="32">
        <f t="shared" si="8"/>
        <v>0</v>
      </c>
      <c r="W204" s="49">
        <f t="shared" si="8"/>
        <v>0</v>
      </c>
    </row>
    <row r="205" spans="1:23" ht="15" thickBot="1">
      <c r="A205" s="217"/>
      <c r="B205" s="104"/>
      <c r="C205" s="257"/>
      <c r="D205" s="252"/>
      <c r="E205" s="208"/>
      <c r="F205" s="208"/>
      <c r="G205" s="208"/>
      <c r="H205" s="253"/>
      <c r="I205" s="208"/>
      <c r="J205" s="253"/>
      <c r="K205" s="208"/>
      <c r="L205" s="253"/>
      <c r="M205" s="208"/>
      <c r="N205" s="253"/>
      <c r="O205" s="208"/>
      <c r="P205" s="208"/>
      <c r="Q205" s="190"/>
      <c r="R205" s="190"/>
      <c r="S205" s="190"/>
      <c r="T205" s="190"/>
      <c r="U205" s="190"/>
      <c r="V205" s="190"/>
      <c r="W205" s="297"/>
    </row>
    <row r="206" spans="1:23" ht="15" thickTop="1">
      <c r="A206" s="145"/>
      <c r="B206" s="4"/>
      <c r="C206" s="9"/>
      <c r="D206" s="258"/>
      <c r="E206" s="259"/>
      <c r="F206" s="259"/>
      <c r="G206" s="259"/>
      <c r="H206" s="260"/>
      <c r="I206" s="259"/>
      <c r="J206" s="260"/>
      <c r="K206" s="259"/>
      <c r="L206" s="260"/>
      <c r="M206" s="259"/>
      <c r="N206" s="260"/>
      <c r="O206" s="259"/>
      <c r="P206" s="259"/>
      <c r="Q206" s="167"/>
      <c r="R206" s="167"/>
      <c r="S206" s="167"/>
      <c r="T206" s="167"/>
      <c r="U206" s="167"/>
      <c r="V206" s="13"/>
      <c r="W206" s="293"/>
    </row>
    <row r="207" spans="1:23">
      <c r="A207" s="145" t="s">
        <v>299</v>
      </c>
      <c r="B207" s="4"/>
      <c r="C207" s="10"/>
      <c r="D207" s="162">
        <f>D204+D189</f>
        <v>1108</v>
      </c>
      <c r="E207" s="22">
        <f t="shared" ref="E207:W207" si="9">E204+E189</f>
        <v>7919</v>
      </c>
      <c r="F207" s="32">
        <f t="shared" si="9"/>
        <v>1230</v>
      </c>
      <c r="G207" s="22">
        <f t="shared" si="9"/>
        <v>110318</v>
      </c>
      <c r="H207" s="32">
        <f t="shared" si="9"/>
        <v>3861</v>
      </c>
      <c r="I207" s="22">
        <f t="shared" si="9"/>
        <v>412</v>
      </c>
      <c r="J207" s="32">
        <f t="shared" si="9"/>
        <v>1074</v>
      </c>
      <c r="K207" s="22">
        <f t="shared" si="9"/>
        <v>4081</v>
      </c>
      <c r="L207" s="32">
        <f t="shared" si="9"/>
        <v>1417</v>
      </c>
      <c r="M207" s="22">
        <f t="shared" si="9"/>
        <v>2077</v>
      </c>
      <c r="N207" s="32">
        <f t="shared" si="9"/>
        <v>94</v>
      </c>
      <c r="O207" s="22">
        <f t="shared" si="9"/>
        <v>340</v>
      </c>
      <c r="P207" s="32">
        <f t="shared" si="9"/>
        <v>502</v>
      </c>
      <c r="Q207" s="22">
        <f t="shared" si="9"/>
        <v>1297</v>
      </c>
      <c r="R207" s="32">
        <f t="shared" si="9"/>
        <v>11787</v>
      </c>
      <c r="S207" s="22">
        <f t="shared" si="9"/>
        <v>159</v>
      </c>
      <c r="T207" s="32">
        <f t="shared" si="9"/>
        <v>2818</v>
      </c>
      <c r="U207" s="22">
        <f t="shared" si="9"/>
        <v>30585</v>
      </c>
      <c r="V207" s="32">
        <f t="shared" si="9"/>
        <v>2380</v>
      </c>
      <c r="W207" s="49">
        <f t="shared" si="9"/>
        <v>59</v>
      </c>
    </row>
    <row r="208" spans="1:23" ht="15" thickBot="1">
      <c r="A208" s="217"/>
      <c r="B208" s="104"/>
      <c r="C208" s="251"/>
      <c r="D208" s="252"/>
      <c r="E208" s="208"/>
      <c r="F208" s="208"/>
      <c r="G208" s="208"/>
      <c r="H208" s="253"/>
      <c r="I208" s="208"/>
      <c r="J208" s="253"/>
      <c r="K208" s="208"/>
      <c r="L208" s="253"/>
      <c r="M208" s="208"/>
      <c r="N208" s="253"/>
      <c r="O208" s="208"/>
      <c r="P208" s="208"/>
      <c r="Q208" s="187"/>
      <c r="R208" s="187"/>
      <c r="S208" s="187"/>
      <c r="T208" s="187"/>
      <c r="U208" s="187"/>
      <c r="V208" s="187"/>
      <c r="W208" s="297"/>
    </row>
    <row r="209" spans="1:23" ht="17" thickTop="1" thickBot="1">
      <c r="A209" s="226" t="s">
        <v>38</v>
      </c>
      <c r="B209" s="94"/>
      <c r="C209" s="10"/>
      <c r="D209" s="162"/>
      <c r="E209" s="28"/>
      <c r="F209" s="28"/>
      <c r="G209" s="28"/>
      <c r="H209" s="134"/>
      <c r="I209" s="28"/>
      <c r="J209" s="134"/>
      <c r="K209" s="28"/>
      <c r="L209" s="134"/>
      <c r="M209" s="28"/>
      <c r="N209" s="134"/>
      <c r="O209" s="28"/>
      <c r="P209" s="28"/>
      <c r="Q209" s="13"/>
      <c r="R209" s="13"/>
      <c r="S209" s="13"/>
      <c r="T209" s="13"/>
      <c r="U209" s="13"/>
      <c r="V209" s="13"/>
      <c r="W209" s="293"/>
    </row>
    <row r="210" spans="1:23">
      <c r="A210" s="145">
        <v>1</v>
      </c>
      <c r="B210" s="4" t="s">
        <v>244</v>
      </c>
      <c r="C210" s="277" t="s">
        <v>346</v>
      </c>
      <c r="D210" s="63">
        <v>45</v>
      </c>
      <c r="E210" s="22">
        <v>128</v>
      </c>
      <c r="F210" s="22">
        <v>10</v>
      </c>
      <c r="G210" s="22">
        <v>2485</v>
      </c>
      <c r="H210" s="22">
        <v>91</v>
      </c>
      <c r="I210" s="22"/>
      <c r="J210" s="23">
        <v>38</v>
      </c>
      <c r="K210" s="22">
        <v>118</v>
      </c>
      <c r="L210" s="70">
        <v>222</v>
      </c>
      <c r="M210" s="22">
        <v>26</v>
      </c>
      <c r="N210" s="22"/>
      <c r="O210" s="22"/>
      <c r="P210" s="22"/>
      <c r="Q210" s="28"/>
      <c r="R210" s="28"/>
      <c r="S210" s="28"/>
      <c r="T210" s="28"/>
      <c r="U210" s="28"/>
      <c r="V210" s="28"/>
      <c r="W210" s="122"/>
    </row>
    <row r="211" spans="1:23">
      <c r="A211" s="145">
        <v>2</v>
      </c>
      <c r="B211" s="4" t="s">
        <v>245</v>
      </c>
      <c r="C211" s="17"/>
      <c r="D211" s="162">
        <v>1927</v>
      </c>
      <c r="E211" s="28">
        <v>3137</v>
      </c>
      <c r="F211" s="28">
        <v>187</v>
      </c>
      <c r="G211" s="28">
        <v>35570</v>
      </c>
      <c r="H211" s="134">
        <v>707</v>
      </c>
      <c r="I211" s="28">
        <v>5</v>
      </c>
      <c r="J211" s="134">
        <v>31</v>
      </c>
      <c r="K211" s="28">
        <v>438</v>
      </c>
      <c r="L211" s="134">
        <v>9</v>
      </c>
      <c r="M211" s="28">
        <v>211</v>
      </c>
      <c r="N211" s="134"/>
      <c r="O211" s="28"/>
      <c r="P211" s="28"/>
      <c r="Q211" s="28"/>
      <c r="R211" s="28"/>
      <c r="S211" s="28"/>
      <c r="T211" s="28"/>
      <c r="U211" s="28"/>
      <c r="V211" s="28"/>
      <c r="W211" s="122"/>
    </row>
    <row r="212" spans="1:23">
      <c r="A212" s="145">
        <v>3</v>
      </c>
      <c r="B212" s="4" t="s">
        <v>246</v>
      </c>
      <c r="C212" s="10"/>
      <c r="D212" s="162">
        <v>77</v>
      </c>
      <c r="E212" s="28">
        <v>199</v>
      </c>
      <c r="F212" s="28">
        <v>9</v>
      </c>
      <c r="G212" s="28">
        <v>8520</v>
      </c>
      <c r="H212" s="134">
        <v>2564</v>
      </c>
      <c r="I212" s="28">
        <v>2</v>
      </c>
      <c r="J212" s="134">
        <v>5</v>
      </c>
      <c r="K212" s="28">
        <v>57</v>
      </c>
      <c r="L212" s="134">
        <v>2</v>
      </c>
      <c r="M212" s="28">
        <v>262</v>
      </c>
      <c r="N212" s="134"/>
      <c r="O212" s="28"/>
      <c r="P212" s="28"/>
      <c r="Q212" s="28"/>
      <c r="R212" s="28"/>
      <c r="S212" s="28"/>
      <c r="T212" s="28"/>
      <c r="U212" s="28"/>
      <c r="V212" s="28"/>
      <c r="W212" s="122"/>
    </row>
    <row r="213" spans="1:23">
      <c r="A213" s="145">
        <v>4</v>
      </c>
      <c r="B213" s="4" t="s">
        <v>247</v>
      </c>
      <c r="C213" s="10"/>
      <c r="D213" s="162">
        <v>38</v>
      </c>
      <c r="E213" s="28">
        <v>314</v>
      </c>
      <c r="F213" s="28">
        <v>20</v>
      </c>
      <c r="G213" s="28">
        <v>4784</v>
      </c>
      <c r="H213" s="134">
        <v>832</v>
      </c>
      <c r="I213" s="28">
        <v>2</v>
      </c>
      <c r="J213" s="29">
        <v>6</v>
      </c>
      <c r="K213" s="28">
        <v>213</v>
      </c>
      <c r="L213" s="134"/>
      <c r="M213" s="28">
        <v>100</v>
      </c>
      <c r="N213" s="134"/>
      <c r="O213" s="28"/>
      <c r="P213" s="28"/>
      <c r="Q213" s="28"/>
      <c r="R213" s="28"/>
      <c r="S213" s="28"/>
      <c r="T213" s="28"/>
      <c r="U213" s="28"/>
      <c r="V213" s="28"/>
      <c r="W213" s="122"/>
    </row>
    <row r="214" spans="1:23">
      <c r="A214" s="145">
        <v>5</v>
      </c>
      <c r="B214" s="4" t="s">
        <v>248</v>
      </c>
      <c r="C214" s="10"/>
      <c r="D214" s="162">
        <v>438</v>
      </c>
      <c r="E214" s="28">
        <v>451</v>
      </c>
      <c r="F214" s="28">
        <v>67</v>
      </c>
      <c r="G214" s="28">
        <v>6826</v>
      </c>
      <c r="H214" s="134">
        <v>500</v>
      </c>
      <c r="I214" s="28">
        <v>16</v>
      </c>
      <c r="J214" s="134">
        <v>16</v>
      </c>
      <c r="K214" s="28">
        <v>173</v>
      </c>
      <c r="L214" s="134">
        <v>15</v>
      </c>
      <c r="M214" s="28">
        <v>53</v>
      </c>
      <c r="N214" s="134"/>
      <c r="O214" s="28"/>
      <c r="P214" s="28"/>
      <c r="Q214" s="28"/>
      <c r="R214" s="28"/>
      <c r="S214" s="28"/>
      <c r="T214" s="28"/>
      <c r="U214" s="28"/>
      <c r="V214" s="28"/>
      <c r="W214" s="122"/>
    </row>
    <row r="215" spans="1:23">
      <c r="A215" s="145">
        <v>6</v>
      </c>
      <c r="B215" s="4" t="s">
        <v>249</v>
      </c>
      <c r="C215" s="10"/>
      <c r="D215" s="162">
        <v>1142</v>
      </c>
      <c r="E215" s="28">
        <v>6216</v>
      </c>
      <c r="F215" s="28">
        <v>142</v>
      </c>
      <c r="G215" s="28">
        <v>29181</v>
      </c>
      <c r="H215" s="134">
        <v>144</v>
      </c>
      <c r="I215" s="28">
        <v>3</v>
      </c>
      <c r="J215" s="134">
        <v>45</v>
      </c>
      <c r="K215" s="28">
        <v>311</v>
      </c>
      <c r="L215" s="134">
        <v>6</v>
      </c>
      <c r="M215" s="28">
        <v>143</v>
      </c>
      <c r="N215" s="134"/>
      <c r="O215" s="28"/>
      <c r="P215" s="28"/>
      <c r="Q215" s="28"/>
      <c r="R215" s="28"/>
      <c r="S215" s="28"/>
      <c r="T215" s="28"/>
      <c r="U215" s="28"/>
      <c r="V215" s="28"/>
      <c r="W215" s="122"/>
    </row>
    <row r="216" spans="1:23" ht="15">
      <c r="A216" s="145">
        <v>7</v>
      </c>
      <c r="B216" s="4" t="s">
        <v>250</v>
      </c>
      <c r="C216" s="248"/>
      <c r="D216" s="63">
        <v>9</v>
      </c>
      <c r="E216" s="22">
        <v>335</v>
      </c>
      <c r="F216" s="22">
        <v>107</v>
      </c>
      <c r="G216" s="22">
        <v>917</v>
      </c>
      <c r="H216" s="22">
        <v>78</v>
      </c>
      <c r="I216" s="22"/>
      <c r="J216" s="134">
        <v>3</v>
      </c>
      <c r="K216" s="22">
        <v>243</v>
      </c>
      <c r="L216" s="70">
        <v>13</v>
      </c>
      <c r="M216" s="22">
        <v>65</v>
      </c>
      <c r="N216" s="22"/>
      <c r="O216" s="22"/>
      <c r="P216" s="22"/>
      <c r="Q216" s="28"/>
      <c r="R216" s="28"/>
      <c r="S216" s="28"/>
      <c r="T216" s="28"/>
      <c r="U216" s="28"/>
      <c r="V216" s="28"/>
      <c r="W216" s="122"/>
    </row>
    <row r="217" spans="1:23">
      <c r="A217" s="224">
        <v>8</v>
      </c>
      <c r="B217" s="113" t="s">
        <v>251</v>
      </c>
      <c r="C217" s="17"/>
      <c r="D217" s="162">
        <v>1917</v>
      </c>
      <c r="E217" s="28">
        <v>3740</v>
      </c>
      <c r="F217" s="28">
        <v>159</v>
      </c>
      <c r="G217" s="28">
        <v>46560</v>
      </c>
      <c r="H217" s="134">
        <v>1784</v>
      </c>
      <c r="I217" s="28">
        <v>20</v>
      </c>
      <c r="J217" s="23">
        <v>60</v>
      </c>
      <c r="K217" s="28">
        <v>495</v>
      </c>
      <c r="L217" s="134">
        <v>3</v>
      </c>
      <c r="M217" s="28">
        <v>351</v>
      </c>
      <c r="N217" s="134"/>
      <c r="O217" s="28"/>
      <c r="P217" s="28"/>
      <c r="Q217" s="28"/>
      <c r="R217" s="28"/>
      <c r="S217" s="28"/>
      <c r="T217" s="28"/>
      <c r="U217" s="28"/>
      <c r="V217" s="28"/>
      <c r="W217" s="122"/>
    </row>
    <row r="218" spans="1:23">
      <c r="A218" s="224">
        <v>9</v>
      </c>
      <c r="B218" s="113" t="s">
        <v>252</v>
      </c>
      <c r="C218" s="10"/>
      <c r="D218" s="162">
        <v>47</v>
      </c>
      <c r="E218" s="28">
        <v>256</v>
      </c>
      <c r="F218" s="28">
        <v>258</v>
      </c>
      <c r="G218" s="28">
        <v>775</v>
      </c>
      <c r="H218" s="134">
        <v>8</v>
      </c>
      <c r="I218" s="28">
        <v>6</v>
      </c>
      <c r="J218" s="134">
        <v>42</v>
      </c>
      <c r="K218" s="28">
        <v>266</v>
      </c>
      <c r="L218" s="134">
        <v>14</v>
      </c>
      <c r="M218" s="28">
        <v>56</v>
      </c>
      <c r="N218" s="134"/>
      <c r="O218" s="28"/>
      <c r="P218" s="28"/>
      <c r="Q218" s="28"/>
      <c r="R218" s="28"/>
      <c r="S218" s="28"/>
      <c r="T218" s="28"/>
      <c r="U218" s="28"/>
      <c r="V218" s="28"/>
      <c r="W218" s="122"/>
    </row>
    <row r="219" spans="1:23">
      <c r="A219" s="224">
        <v>10</v>
      </c>
      <c r="B219" s="113" t="s">
        <v>253</v>
      </c>
      <c r="C219" s="10"/>
      <c r="D219" s="162">
        <v>1740</v>
      </c>
      <c r="E219" s="28">
        <v>2511</v>
      </c>
      <c r="F219" s="28">
        <v>264</v>
      </c>
      <c r="G219" s="28">
        <v>5140</v>
      </c>
      <c r="H219" s="134">
        <v>132</v>
      </c>
      <c r="I219" s="28">
        <v>2</v>
      </c>
      <c r="J219" s="134">
        <v>68</v>
      </c>
      <c r="K219" s="28">
        <v>564</v>
      </c>
      <c r="L219" s="134">
        <v>118</v>
      </c>
      <c r="M219" s="28">
        <v>221</v>
      </c>
      <c r="N219" s="134"/>
      <c r="O219" s="28"/>
      <c r="P219" s="28"/>
      <c r="Q219" s="28"/>
      <c r="R219" s="28"/>
      <c r="S219" s="28"/>
      <c r="T219" s="28"/>
      <c r="U219" s="28"/>
      <c r="V219" s="28"/>
      <c r="W219" s="122"/>
    </row>
    <row r="220" spans="1:23">
      <c r="A220" s="228">
        <v>11</v>
      </c>
      <c r="B220" s="236" t="s">
        <v>254</v>
      </c>
      <c r="C220" s="10"/>
      <c r="D220" s="162">
        <v>937</v>
      </c>
      <c r="E220" s="28">
        <v>373</v>
      </c>
      <c r="F220" s="28">
        <v>52</v>
      </c>
      <c r="G220" s="28">
        <v>43008</v>
      </c>
      <c r="H220" s="134">
        <v>4511</v>
      </c>
      <c r="I220" s="28">
        <v>1</v>
      </c>
      <c r="J220" s="134">
        <v>61</v>
      </c>
      <c r="K220" s="28">
        <v>335</v>
      </c>
      <c r="L220" s="134">
        <v>34</v>
      </c>
      <c r="M220" s="28">
        <v>317</v>
      </c>
      <c r="N220" s="134"/>
      <c r="O220" s="28"/>
      <c r="P220" s="28"/>
      <c r="Q220" s="28"/>
      <c r="R220" s="28"/>
      <c r="S220" s="28"/>
      <c r="T220" s="28"/>
      <c r="U220" s="28"/>
      <c r="V220" s="28"/>
      <c r="W220" s="122"/>
    </row>
    <row r="221" spans="1:23">
      <c r="A221" s="228">
        <v>12</v>
      </c>
      <c r="B221" s="236" t="s">
        <v>255</v>
      </c>
      <c r="C221" s="10"/>
      <c r="D221" s="162">
        <v>2502</v>
      </c>
      <c r="E221" s="28">
        <v>1964</v>
      </c>
      <c r="F221" s="28">
        <v>195</v>
      </c>
      <c r="G221" s="28">
        <v>5790</v>
      </c>
      <c r="H221" s="134">
        <v>84</v>
      </c>
      <c r="I221" s="28">
        <v>2</v>
      </c>
      <c r="J221" s="134">
        <v>36</v>
      </c>
      <c r="K221" s="28">
        <v>257</v>
      </c>
      <c r="L221" s="134">
        <v>48</v>
      </c>
      <c r="M221" s="28">
        <v>105</v>
      </c>
      <c r="N221" s="134"/>
      <c r="O221" s="28"/>
      <c r="P221" s="28"/>
      <c r="Q221" s="28"/>
      <c r="R221" s="28"/>
      <c r="S221" s="28"/>
      <c r="T221" s="28"/>
      <c r="U221" s="28"/>
      <c r="V221" s="28"/>
      <c r="W221" s="122"/>
    </row>
    <row r="222" spans="1:23" ht="15">
      <c r="A222" s="228">
        <v>13</v>
      </c>
      <c r="B222" s="236" t="s">
        <v>256</v>
      </c>
      <c r="C222" s="248"/>
      <c r="D222" s="63">
        <v>2471</v>
      </c>
      <c r="E222" s="22">
        <v>1270</v>
      </c>
      <c r="F222" s="22">
        <v>62</v>
      </c>
      <c r="G222" s="22">
        <v>5277</v>
      </c>
      <c r="H222" s="22">
        <v>2168</v>
      </c>
      <c r="I222" s="22">
        <v>6</v>
      </c>
      <c r="J222" s="134">
        <v>28</v>
      </c>
      <c r="K222" s="22">
        <v>172</v>
      </c>
      <c r="L222" s="70">
        <v>34</v>
      </c>
      <c r="M222" s="22">
        <v>110</v>
      </c>
      <c r="N222" s="22"/>
      <c r="O222" s="22"/>
      <c r="P222" s="22"/>
      <c r="Q222" s="28"/>
      <c r="R222" s="28"/>
      <c r="S222" s="28"/>
      <c r="T222" s="28"/>
      <c r="U222" s="28"/>
      <c r="V222" s="28"/>
      <c r="W222" s="122"/>
    </row>
    <row r="223" spans="1:23">
      <c r="A223" s="228">
        <v>14</v>
      </c>
      <c r="B223" s="236" t="s">
        <v>257</v>
      </c>
      <c r="C223" s="17"/>
      <c r="D223" s="162">
        <v>2129</v>
      </c>
      <c r="E223" s="28">
        <v>3062</v>
      </c>
      <c r="F223" s="28">
        <v>117</v>
      </c>
      <c r="G223" s="28">
        <v>43859</v>
      </c>
      <c r="H223" s="134">
        <v>136</v>
      </c>
      <c r="I223" s="28">
        <v>104</v>
      </c>
      <c r="J223" s="23">
        <v>74</v>
      </c>
      <c r="K223" s="28">
        <v>360</v>
      </c>
      <c r="L223" s="134">
        <v>57</v>
      </c>
      <c r="M223" s="28">
        <v>237</v>
      </c>
      <c r="N223" s="134"/>
      <c r="O223" s="28"/>
      <c r="P223" s="28"/>
      <c r="Q223" s="28"/>
      <c r="R223" s="28"/>
      <c r="S223" s="28"/>
      <c r="T223" s="28"/>
      <c r="U223" s="28"/>
      <c r="V223" s="28"/>
      <c r="W223" s="122"/>
    </row>
    <row r="224" spans="1:23">
      <c r="A224" s="228">
        <v>15</v>
      </c>
      <c r="B224" s="236" t="s">
        <v>258</v>
      </c>
      <c r="C224" s="10"/>
      <c r="D224" s="162">
        <v>68</v>
      </c>
      <c r="E224" s="28">
        <v>312</v>
      </c>
      <c r="F224" s="28">
        <v>56</v>
      </c>
      <c r="G224" s="28">
        <v>4550</v>
      </c>
      <c r="H224" s="134">
        <v>976</v>
      </c>
      <c r="I224" s="28"/>
      <c r="J224" s="134">
        <v>9</v>
      </c>
      <c r="K224" s="28">
        <v>47</v>
      </c>
      <c r="L224" s="134">
        <v>60</v>
      </c>
      <c r="M224" s="28">
        <v>69</v>
      </c>
      <c r="N224" s="134"/>
      <c r="O224" s="28"/>
      <c r="P224" s="28"/>
      <c r="Q224" s="28"/>
      <c r="R224" s="28"/>
      <c r="S224" s="28"/>
      <c r="T224" s="28"/>
      <c r="U224" s="28"/>
      <c r="V224" s="28"/>
      <c r="W224" s="122"/>
    </row>
    <row r="225" spans="1:23">
      <c r="A225" s="228">
        <v>16</v>
      </c>
      <c r="B225" s="236" t="s">
        <v>259</v>
      </c>
      <c r="C225" s="10"/>
      <c r="D225" s="162">
        <v>4660</v>
      </c>
      <c r="E225" s="28">
        <v>6194</v>
      </c>
      <c r="F225" s="28">
        <v>260</v>
      </c>
      <c r="G225" s="28">
        <v>58951</v>
      </c>
      <c r="H225" s="134">
        <v>3863</v>
      </c>
      <c r="I225" s="28">
        <v>42</v>
      </c>
      <c r="J225" s="134">
        <v>49</v>
      </c>
      <c r="K225" s="28">
        <v>1133</v>
      </c>
      <c r="L225" s="134">
        <v>63</v>
      </c>
      <c r="M225" s="28">
        <v>799</v>
      </c>
      <c r="N225" s="134"/>
      <c r="O225" s="28"/>
      <c r="P225" s="28"/>
      <c r="Q225" s="28"/>
      <c r="R225" s="28"/>
      <c r="S225" s="28"/>
      <c r="T225" s="28"/>
      <c r="U225" s="28"/>
      <c r="V225" s="28"/>
      <c r="W225" s="122"/>
    </row>
    <row r="226" spans="1:23">
      <c r="A226" s="228">
        <v>17</v>
      </c>
      <c r="B226" s="236" t="s">
        <v>260</v>
      </c>
      <c r="C226" s="10"/>
      <c r="D226" s="162">
        <v>3829</v>
      </c>
      <c r="E226" s="28">
        <v>4952</v>
      </c>
      <c r="F226" s="28">
        <v>315</v>
      </c>
      <c r="G226" s="28">
        <v>25749</v>
      </c>
      <c r="H226" s="134">
        <v>568</v>
      </c>
      <c r="I226" s="28">
        <v>13</v>
      </c>
      <c r="J226" s="134">
        <v>61</v>
      </c>
      <c r="K226" s="28">
        <v>956</v>
      </c>
      <c r="L226" s="134">
        <v>94</v>
      </c>
      <c r="M226" s="28">
        <v>391</v>
      </c>
      <c r="N226" s="134"/>
      <c r="O226" s="28"/>
      <c r="P226" s="28"/>
      <c r="Q226" s="28"/>
      <c r="R226" s="28"/>
      <c r="S226" s="28"/>
      <c r="T226" s="28"/>
      <c r="U226" s="28"/>
      <c r="V226" s="28"/>
      <c r="W226" s="122"/>
    </row>
    <row r="227" spans="1:23">
      <c r="A227" s="228">
        <v>18</v>
      </c>
      <c r="B227" s="236" t="s">
        <v>261</v>
      </c>
      <c r="C227" s="10"/>
      <c r="D227" s="162">
        <v>5150</v>
      </c>
      <c r="E227" s="28">
        <v>1502</v>
      </c>
      <c r="F227" s="28">
        <v>86</v>
      </c>
      <c r="G227" s="28">
        <v>9520</v>
      </c>
      <c r="H227" s="134">
        <v>863</v>
      </c>
      <c r="I227" s="205">
        <v>14</v>
      </c>
      <c r="J227" s="134">
        <v>34</v>
      </c>
      <c r="K227" s="28">
        <v>267</v>
      </c>
      <c r="L227" s="134">
        <v>177</v>
      </c>
      <c r="M227" s="28">
        <v>177</v>
      </c>
      <c r="N227" s="134"/>
      <c r="O227" s="28"/>
      <c r="P227" s="28"/>
      <c r="Q227" s="28"/>
      <c r="R227" s="28"/>
      <c r="S227" s="28"/>
      <c r="T227" s="28"/>
      <c r="U227" s="28"/>
      <c r="V227" s="28"/>
      <c r="W227" s="122"/>
    </row>
    <row r="228" spans="1:23">
      <c r="A228" s="228">
        <v>19</v>
      </c>
      <c r="B228" s="236" t="s">
        <v>262</v>
      </c>
      <c r="C228" s="10"/>
      <c r="D228" s="63">
        <v>2409</v>
      </c>
      <c r="E228" s="32">
        <v>6057</v>
      </c>
      <c r="F228" s="22">
        <v>94</v>
      </c>
      <c r="G228" s="32">
        <v>35766</v>
      </c>
      <c r="H228" s="22">
        <v>1301</v>
      </c>
      <c r="I228" s="28">
        <v>12</v>
      </c>
      <c r="J228" s="28">
        <v>123</v>
      </c>
      <c r="K228" s="32">
        <v>1277</v>
      </c>
      <c r="L228" s="22">
        <v>5</v>
      </c>
      <c r="M228" s="32">
        <v>416</v>
      </c>
      <c r="N228" s="22"/>
      <c r="O228" s="32"/>
      <c r="P228" s="22"/>
      <c r="Q228" s="28"/>
      <c r="R228" s="28"/>
      <c r="S228" s="28"/>
      <c r="T228" s="28"/>
      <c r="U228" s="28"/>
      <c r="V228" s="28"/>
      <c r="W228" s="122"/>
    </row>
    <row r="229" spans="1:23" ht="15">
      <c r="A229" s="228">
        <v>20</v>
      </c>
      <c r="B229" s="236" t="s">
        <v>263</v>
      </c>
      <c r="C229" s="248"/>
      <c r="D229" s="63">
        <v>836</v>
      </c>
      <c r="E229" s="22">
        <v>4056</v>
      </c>
      <c r="F229" s="22">
        <v>148</v>
      </c>
      <c r="G229" s="22">
        <v>8968</v>
      </c>
      <c r="H229" s="22">
        <v>242</v>
      </c>
      <c r="I229" s="32">
        <v>14</v>
      </c>
      <c r="J229" s="22">
        <v>65</v>
      </c>
      <c r="K229" s="22">
        <v>311</v>
      </c>
      <c r="L229" s="70">
        <v>7</v>
      </c>
      <c r="M229" s="22">
        <v>162</v>
      </c>
      <c r="N229" s="22"/>
      <c r="O229" s="22"/>
      <c r="P229" s="22"/>
      <c r="Q229" s="28"/>
      <c r="R229" s="28"/>
      <c r="S229" s="28"/>
      <c r="T229" s="28"/>
      <c r="U229" s="28"/>
      <c r="V229" s="28"/>
      <c r="W229" s="122"/>
    </row>
    <row r="230" spans="1:23">
      <c r="A230" s="228">
        <v>21</v>
      </c>
      <c r="B230" s="236" t="s">
        <v>264</v>
      </c>
      <c r="C230" s="17"/>
      <c r="D230" s="162">
        <v>1011</v>
      </c>
      <c r="E230" s="28">
        <v>514</v>
      </c>
      <c r="F230" s="28">
        <v>34</v>
      </c>
      <c r="G230" s="28">
        <v>10639</v>
      </c>
      <c r="H230" s="134">
        <v>340</v>
      </c>
      <c r="I230" s="22">
        <v>44</v>
      </c>
      <c r="J230" s="23">
        <v>98</v>
      </c>
      <c r="K230" s="28">
        <v>355</v>
      </c>
      <c r="L230" s="134">
        <v>153</v>
      </c>
      <c r="M230" s="28">
        <v>76</v>
      </c>
      <c r="N230" s="134"/>
      <c r="O230" s="28"/>
      <c r="P230" s="28"/>
      <c r="Q230" s="28"/>
      <c r="R230" s="28"/>
      <c r="S230" s="28"/>
      <c r="T230" s="28"/>
      <c r="U230" s="28"/>
      <c r="V230" s="28"/>
      <c r="W230" s="122"/>
    </row>
    <row r="231" spans="1:23">
      <c r="A231" s="228">
        <v>22</v>
      </c>
      <c r="B231" s="236" t="s">
        <v>265</v>
      </c>
      <c r="C231" s="10"/>
      <c r="D231" s="162">
        <v>445</v>
      </c>
      <c r="E231" s="28">
        <v>128</v>
      </c>
      <c r="F231" s="28">
        <v>52</v>
      </c>
      <c r="G231" s="28">
        <v>20807</v>
      </c>
      <c r="H231" s="134">
        <v>2769</v>
      </c>
      <c r="I231" s="28">
        <v>5</v>
      </c>
      <c r="J231" s="134">
        <v>3</v>
      </c>
      <c r="K231" s="28">
        <v>69</v>
      </c>
      <c r="L231" s="134">
        <v>12</v>
      </c>
      <c r="M231" s="28">
        <v>393</v>
      </c>
      <c r="N231" s="134"/>
      <c r="O231" s="28"/>
      <c r="P231" s="28"/>
      <c r="Q231" s="28"/>
      <c r="R231" s="28"/>
      <c r="S231" s="28"/>
      <c r="T231" s="28"/>
      <c r="U231" s="28"/>
      <c r="V231" s="28"/>
      <c r="W231" s="122"/>
    </row>
    <row r="232" spans="1:23">
      <c r="A232" s="228">
        <v>23</v>
      </c>
      <c r="B232" s="236" t="s">
        <v>266</v>
      </c>
      <c r="C232" s="10"/>
      <c r="D232" s="162">
        <v>969</v>
      </c>
      <c r="E232" s="28">
        <v>992</v>
      </c>
      <c r="F232" s="28">
        <v>129</v>
      </c>
      <c r="G232" s="28">
        <v>11174</v>
      </c>
      <c r="H232" s="134">
        <v>277</v>
      </c>
      <c r="I232" s="28">
        <v>4</v>
      </c>
      <c r="J232" s="134">
        <v>179</v>
      </c>
      <c r="K232" s="28">
        <v>562</v>
      </c>
      <c r="L232" s="134">
        <v>307</v>
      </c>
      <c r="M232" s="28">
        <v>324</v>
      </c>
      <c r="N232" s="134"/>
      <c r="O232" s="28"/>
      <c r="P232" s="28"/>
      <c r="Q232" s="28"/>
      <c r="R232" s="28"/>
      <c r="S232" s="28"/>
      <c r="T232" s="28"/>
      <c r="U232" s="28"/>
      <c r="V232" s="28"/>
      <c r="W232" s="122"/>
    </row>
    <row r="233" spans="1:23">
      <c r="A233" s="229"/>
      <c r="B233" s="237"/>
      <c r="C233" s="12"/>
      <c r="D233" s="38"/>
      <c r="E233" s="206"/>
      <c r="F233" s="206"/>
      <c r="G233" s="206"/>
      <c r="H233" s="256"/>
      <c r="I233" s="206"/>
      <c r="J233" s="256"/>
      <c r="K233" s="206"/>
      <c r="L233" s="256"/>
      <c r="M233" s="206"/>
      <c r="N233" s="256"/>
      <c r="O233" s="206"/>
      <c r="P233" s="206"/>
      <c r="Q233" s="185"/>
      <c r="R233" s="185"/>
      <c r="S233" s="185"/>
      <c r="T233" s="185"/>
      <c r="U233" s="185"/>
      <c r="V233" s="185"/>
      <c r="W233" s="295"/>
    </row>
    <row r="234" spans="1:23">
      <c r="A234" s="228" t="s">
        <v>296</v>
      </c>
      <c r="B234" s="236"/>
      <c r="C234" s="10"/>
      <c r="D234" s="162">
        <f>SUM(D210:D232)</f>
        <v>34796</v>
      </c>
      <c r="E234" s="22">
        <f t="shared" ref="E234:W234" si="10">SUM(E210:E232)</f>
        <v>48663</v>
      </c>
      <c r="F234" s="32">
        <f t="shared" si="10"/>
        <v>2823</v>
      </c>
      <c r="G234" s="22">
        <f t="shared" si="10"/>
        <v>424816</v>
      </c>
      <c r="H234" s="32">
        <f t="shared" si="10"/>
        <v>24938</v>
      </c>
      <c r="I234" s="22">
        <f>SUM(I210:I232)</f>
        <v>317</v>
      </c>
      <c r="J234" s="32">
        <f t="shared" si="10"/>
        <v>1134</v>
      </c>
      <c r="K234" s="22">
        <f t="shared" si="10"/>
        <v>8979</v>
      </c>
      <c r="L234" s="32">
        <f t="shared" si="10"/>
        <v>1453</v>
      </c>
      <c r="M234" s="22">
        <f t="shared" si="10"/>
        <v>5064</v>
      </c>
      <c r="N234" s="32">
        <f t="shared" si="10"/>
        <v>0</v>
      </c>
      <c r="O234" s="22">
        <f t="shared" si="10"/>
        <v>0</v>
      </c>
      <c r="P234" s="32">
        <f t="shared" si="10"/>
        <v>0</v>
      </c>
      <c r="Q234" s="22">
        <f t="shared" si="10"/>
        <v>0</v>
      </c>
      <c r="R234" s="32">
        <f t="shared" si="10"/>
        <v>0</v>
      </c>
      <c r="S234" s="22">
        <f t="shared" si="10"/>
        <v>0</v>
      </c>
      <c r="T234" s="32">
        <f t="shared" si="10"/>
        <v>0</v>
      </c>
      <c r="U234" s="22">
        <f t="shared" si="10"/>
        <v>0</v>
      </c>
      <c r="V234" s="32">
        <f t="shared" si="10"/>
        <v>0</v>
      </c>
      <c r="W234" s="49">
        <f t="shared" si="10"/>
        <v>0</v>
      </c>
    </row>
    <row r="235" spans="1:23" ht="16" thickBot="1">
      <c r="A235" s="230"/>
      <c r="B235" s="238"/>
      <c r="C235" s="261"/>
      <c r="D235" s="275"/>
      <c r="E235" s="186"/>
      <c r="F235" s="186"/>
      <c r="G235" s="186"/>
      <c r="H235" s="186"/>
      <c r="I235" s="186"/>
      <c r="J235" s="276"/>
      <c r="K235" s="186"/>
      <c r="L235" s="207"/>
      <c r="M235" s="186"/>
      <c r="N235" s="186"/>
      <c r="O235" s="186"/>
      <c r="P235" s="186"/>
      <c r="Q235" s="211"/>
      <c r="R235" s="211"/>
      <c r="S235" s="211"/>
      <c r="T235" s="211"/>
      <c r="U235" s="211"/>
      <c r="V235" s="211"/>
      <c r="W235" s="300"/>
    </row>
    <row r="236" spans="1:23" ht="17" thickTop="1" thickBot="1">
      <c r="A236" s="226" t="s">
        <v>40</v>
      </c>
      <c r="B236" s="94"/>
      <c r="C236" s="17"/>
      <c r="D236" s="162"/>
      <c r="E236" s="28"/>
      <c r="F236" s="28"/>
      <c r="G236" s="28"/>
      <c r="H236" s="134"/>
      <c r="I236" s="28"/>
      <c r="J236" s="134"/>
      <c r="K236" s="28"/>
      <c r="L236" s="134"/>
      <c r="M236" s="28"/>
      <c r="N236" s="134"/>
      <c r="O236" s="28"/>
      <c r="P236" s="28"/>
      <c r="Q236" s="13"/>
      <c r="R236" s="13"/>
      <c r="S236" s="13"/>
      <c r="T236" s="13"/>
      <c r="U236" s="13"/>
      <c r="V236" s="13"/>
      <c r="W236" s="293"/>
    </row>
    <row r="237" spans="1:23">
      <c r="A237" s="228">
        <v>1</v>
      </c>
      <c r="B237" s="236" t="s">
        <v>267</v>
      </c>
      <c r="C237" s="10"/>
      <c r="D237" s="162">
        <v>13342</v>
      </c>
      <c r="E237" s="28">
        <v>18140</v>
      </c>
      <c r="F237" s="28">
        <v>220</v>
      </c>
      <c r="G237" s="28">
        <v>24231</v>
      </c>
      <c r="H237" s="134">
        <v>1303</v>
      </c>
      <c r="I237" s="28">
        <v>494</v>
      </c>
      <c r="J237" s="134">
        <v>182</v>
      </c>
      <c r="K237" s="28">
        <v>768</v>
      </c>
      <c r="L237" s="134">
        <v>9</v>
      </c>
      <c r="M237" s="28">
        <v>201</v>
      </c>
      <c r="N237" s="134">
        <v>14</v>
      </c>
      <c r="O237" s="28">
        <v>39</v>
      </c>
      <c r="P237" s="28">
        <v>18</v>
      </c>
      <c r="Q237" s="28">
        <v>46</v>
      </c>
      <c r="R237" s="28">
        <v>121</v>
      </c>
      <c r="S237" s="28"/>
      <c r="T237" s="28"/>
      <c r="U237" s="28"/>
      <c r="V237" s="28"/>
      <c r="W237" s="293"/>
    </row>
    <row r="238" spans="1:23">
      <c r="A238" s="228">
        <v>2</v>
      </c>
      <c r="B238" s="236" t="s">
        <v>268</v>
      </c>
      <c r="C238" s="10"/>
      <c r="D238" s="162">
        <v>470</v>
      </c>
      <c r="E238" s="28">
        <v>131</v>
      </c>
      <c r="F238" s="28">
        <v>90</v>
      </c>
      <c r="G238" s="28">
        <v>216</v>
      </c>
      <c r="H238" s="134"/>
      <c r="I238" s="28">
        <v>6</v>
      </c>
      <c r="J238" s="134">
        <v>3</v>
      </c>
      <c r="K238" s="28">
        <v>56</v>
      </c>
      <c r="L238" s="134">
        <v>1</v>
      </c>
      <c r="M238" s="28">
        <v>47</v>
      </c>
      <c r="N238" s="134">
        <v>2</v>
      </c>
      <c r="O238" s="28"/>
      <c r="P238" s="28">
        <v>3</v>
      </c>
      <c r="Q238" s="28">
        <v>345</v>
      </c>
      <c r="R238" s="28">
        <v>3</v>
      </c>
      <c r="S238" s="28"/>
      <c r="T238" s="28">
        <v>1</v>
      </c>
      <c r="U238" s="28"/>
      <c r="V238" s="28"/>
      <c r="W238" s="293"/>
    </row>
    <row r="239" spans="1:23">
      <c r="A239" s="228">
        <v>3</v>
      </c>
      <c r="B239" s="236" t="s">
        <v>269</v>
      </c>
      <c r="C239" s="10"/>
      <c r="D239" s="162">
        <v>1233</v>
      </c>
      <c r="E239" s="28">
        <v>873</v>
      </c>
      <c r="F239" s="28">
        <v>496</v>
      </c>
      <c r="G239" s="28">
        <v>15638</v>
      </c>
      <c r="H239" s="134">
        <v>5165</v>
      </c>
      <c r="I239" s="28">
        <v>87</v>
      </c>
      <c r="J239" s="134">
        <v>10</v>
      </c>
      <c r="K239" s="28">
        <v>596</v>
      </c>
      <c r="L239" s="134">
        <v>9</v>
      </c>
      <c r="M239" s="28">
        <v>345</v>
      </c>
      <c r="N239" s="134">
        <v>33</v>
      </c>
      <c r="O239" s="28">
        <v>49</v>
      </c>
      <c r="P239" s="28">
        <v>10</v>
      </c>
      <c r="Q239" s="28">
        <v>409</v>
      </c>
      <c r="R239" s="28">
        <v>62</v>
      </c>
      <c r="S239" s="28"/>
      <c r="T239" s="28">
        <v>6</v>
      </c>
      <c r="U239" s="28"/>
      <c r="V239" s="28"/>
      <c r="W239" s="293">
        <v>7</v>
      </c>
    </row>
    <row r="240" spans="1:23">
      <c r="A240" s="228">
        <v>4</v>
      </c>
      <c r="B240" s="236" t="s">
        <v>270</v>
      </c>
      <c r="C240" s="10"/>
      <c r="D240" s="162">
        <v>102</v>
      </c>
      <c r="E240" s="28">
        <v>399</v>
      </c>
      <c r="F240" s="28">
        <v>49</v>
      </c>
      <c r="G240" s="28">
        <v>3567</v>
      </c>
      <c r="H240" s="134">
        <v>2968</v>
      </c>
      <c r="I240" s="28">
        <v>4</v>
      </c>
      <c r="J240" s="134">
        <v>3</v>
      </c>
      <c r="K240" s="205">
        <v>231</v>
      </c>
      <c r="L240" s="134">
        <v>3</v>
      </c>
      <c r="M240" s="28">
        <v>91</v>
      </c>
      <c r="N240" s="134">
        <v>11</v>
      </c>
      <c r="O240" s="28">
        <v>7</v>
      </c>
      <c r="P240" s="28">
        <v>396</v>
      </c>
      <c r="Q240" s="28">
        <v>253</v>
      </c>
      <c r="R240" s="28">
        <v>13</v>
      </c>
      <c r="S240" s="28"/>
      <c r="T240" s="28"/>
      <c r="U240" s="28"/>
      <c r="V240" s="28"/>
      <c r="W240" s="293"/>
    </row>
    <row r="241" spans="1:23" ht="15">
      <c r="A241" s="228">
        <v>5</v>
      </c>
      <c r="B241" s="236" t="s">
        <v>271</v>
      </c>
      <c r="C241" s="248"/>
      <c r="D241" s="63">
        <v>265</v>
      </c>
      <c r="E241" s="22">
        <v>191</v>
      </c>
      <c r="F241" s="22">
        <v>61</v>
      </c>
      <c r="G241" s="22">
        <v>465</v>
      </c>
      <c r="H241" s="22">
        <v>24</v>
      </c>
      <c r="I241" s="22">
        <v>1</v>
      </c>
      <c r="J241" s="23">
        <v>1</v>
      </c>
      <c r="K241" s="28">
        <v>41</v>
      </c>
      <c r="L241" s="70">
        <v>1</v>
      </c>
      <c r="M241" s="22">
        <v>35</v>
      </c>
      <c r="N241" s="22">
        <v>2</v>
      </c>
      <c r="O241" s="22">
        <v>1</v>
      </c>
      <c r="P241" s="22">
        <v>1</v>
      </c>
      <c r="Q241" s="28">
        <v>148</v>
      </c>
      <c r="R241" s="28"/>
      <c r="S241" s="28"/>
      <c r="T241" s="28">
        <v>5</v>
      </c>
      <c r="U241" s="28"/>
      <c r="V241" s="28"/>
      <c r="W241" s="293"/>
    </row>
    <row r="242" spans="1:23">
      <c r="A242" s="228">
        <v>6</v>
      </c>
      <c r="B242" s="236" t="s">
        <v>272</v>
      </c>
      <c r="C242" s="17"/>
      <c r="D242" s="162">
        <v>217</v>
      </c>
      <c r="E242" s="28">
        <v>272</v>
      </c>
      <c r="F242" s="28">
        <v>92</v>
      </c>
      <c r="G242" s="28">
        <v>591</v>
      </c>
      <c r="H242" s="134">
        <v>84</v>
      </c>
      <c r="I242" s="28">
        <v>1</v>
      </c>
      <c r="J242" s="134">
        <v>4</v>
      </c>
      <c r="K242" s="28">
        <v>180</v>
      </c>
      <c r="L242" s="134">
        <v>1</v>
      </c>
      <c r="M242" s="28">
        <v>79</v>
      </c>
      <c r="N242" s="134">
        <v>20</v>
      </c>
      <c r="O242" s="28">
        <v>12</v>
      </c>
      <c r="P242" s="28">
        <v>1</v>
      </c>
      <c r="Q242" s="28">
        <v>856</v>
      </c>
      <c r="R242" s="27">
        <v>9</v>
      </c>
      <c r="S242" s="28"/>
      <c r="T242" s="28"/>
      <c r="U242" s="28">
        <v>1</v>
      </c>
      <c r="V242" s="28"/>
      <c r="W242" s="293"/>
    </row>
    <row r="243" spans="1:23">
      <c r="A243" s="228">
        <v>7</v>
      </c>
      <c r="B243" s="236" t="s">
        <v>273</v>
      </c>
      <c r="C243" s="10"/>
      <c r="D243" s="162">
        <v>21273</v>
      </c>
      <c r="E243" s="28">
        <v>11055</v>
      </c>
      <c r="F243" s="28">
        <v>146</v>
      </c>
      <c r="G243" s="28">
        <v>19814</v>
      </c>
      <c r="H243" s="134">
        <v>2764</v>
      </c>
      <c r="I243" s="28">
        <v>1248</v>
      </c>
      <c r="J243" s="134">
        <v>214</v>
      </c>
      <c r="K243" s="28">
        <v>284</v>
      </c>
      <c r="L243" s="134"/>
      <c r="M243" s="28">
        <v>137</v>
      </c>
      <c r="N243" s="134">
        <v>126</v>
      </c>
      <c r="O243" s="28">
        <v>24</v>
      </c>
      <c r="P243" s="28">
        <v>10</v>
      </c>
      <c r="Q243" s="28">
        <v>61</v>
      </c>
      <c r="R243" s="28">
        <v>31</v>
      </c>
      <c r="S243" s="28"/>
      <c r="T243" s="28"/>
      <c r="U243" s="28"/>
      <c r="V243" s="28"/>
      <c r="W243" s="293"/>
    </row>
    <row r="244" spans="1:23">
      <c r="A244" s="228">
        <v>8</v>
      </c>
      <c r="B244" s="236" t="s">
        <v>274</v>
      </c>
      <c r="C244" s="10"/>
      <c r="D244" s="162">
        <v>681</v>
      </c>
      <c r="E244" s="28">
        <v>2554</v>
      </c>
      <c r="F244" s="28">
        <v>38</v>
      </c>
      <c r="G244" s="28">
        <v>38475</v>
      </c>
      <c r="H244" s="134">
        <v>1144</v>
      </c>
      <c r="I244" s="28">
        <v>22</v>
      </c>
      <c r="J244" s="134">
        <v>165</v>
      </c>
      <c r="K244" s="28">
        <v>228</v>
      </c>
      <c r="L244" s="134">
        <v>5</v>
      </c>
      <c r="M244" s="28">
        <v>213</v>
      </c>
      <c r="N244" s="134">
        <v>4</v>
      </c>
      <c r="O244" s="28">
        <v>10</v>
      </c>
      <c r="P244" s="28">
        <v>8</v>
      </c>
      <c r="Q244" s="28">
        <v>4</v>
      </c>
      <c r="R244" s="28">
        <v>26</v>
      </c>
      <c r="S244" s="28"/>
      <c r="T244" s="28"/>
      <c r="U244" s="28"/>
      <c r="V244" s="28"/>
      <c r="W244" s="293">
        <v>1120</v>
      </c>
    </row>
    <row r="245" spans="1:23">
      <c r="A245" s="228">
        <v>9</v>
      </c>
      <c r="B245" s="236" t="s">
        <v>275</v>
      </c>
      <c r="C245" s="10"/>
      <c r="D245" s="162">
        <v>4940</v>
      </c>
      <c r="E245" s="28">
        <v>12982</v>
      </c>
      <c r="F245" s="28">
        <v>364</v>
      </c>
      <c r="G245" s="28">
        <v>32819</v>
      </c>
      <c r="H245" s="134">
        <v>2396</v>
      </c>
      <c r="I245" s="28">
        <v>119</v>
      </c>
      <c r="J245" s="134">
        <v>164</v>
      </c>
      <c r="K245" s="28">
        <v>804</v>
      </c>
      <c r="L245" s="134">
        <v>5</v>
      </c>
      <c r="M245" s="28">
        <v>272</v>
      </c>
      <c r="N245" s="134">
        <v>182</v>
      </c>
      <c r="O245" s="28">
        <v>92</v>
      </c>
      <c r="P245" s="28">
        <v>9</v>
      </c>
      <c r="Q245" s="28">
        <v>264</v>
      </c>
      <c r="R245" s="28">
        <v>2346</v>
      </c>
      <c r="S245" s="28"/>
      <c r="T245" s="28">
        <v>27</v>
      </c>
      <c r="U245" s="28">
        <v>1</v>
      </c>
      <c r="V245" s="28"/>
      <c r="W245" s="293"/>
    </row>
    <row r="246" spans="1:23">
      <c r="A246" s="228">
        <v>10</v>
      </c>
      <c r="B246" s="236" t="s">
        <v>276</v>
      </c>
      <c r="C246" s="10"/>
      <c r="D246" s="162">
        <v>781</v>
      </c>
      <c r="E246" s="28">
        <v>4032</v>
      </c>
      <c r="F246" s="28">
        <v>161</v>
      </c>
      <c r="G246" s="28">
        <v>43350</v>
      </c>
      <c r="H246" s="134">
        <v>1649</v>
      </c>
      <c r="I246" s="28">
        <v>577</v>
      </c>
      <c r="J246" s="134">
        <v>76</v>
      </c>
      <c r="K246" s="28">
        <v>155</v>
      </c>
      <c r="L246" s="134">
        <v>2</v>
      </c>
      <c r="M246" s="28">
        <v>528</v>
      </c>
      <c r="N246" s="134">
        <v>105</v>
      </c>
      <c r="O246" s="28">
        <v>122</v>
      </c>
      <c r="P246" s="28">
        <v>16</v>
      </c>
      <c r="Q246" s="28">
        <v>122</v>
      </c>
      <c r="R246" s="28">
        <v>138</v>
      </c>
      <c r="S246" s="28">
        <v>86</v>
      </c>
      <c r="T246" s="28">
        <v>2</v>
      </c>
      <c r="U246" s="28"/>
      <c r="V246" s="28"/>
      <c r="W246" s="293">
        <v>341</v>
      </c>
    </row>
    <row r="247" spans="1:23" ht="15">
      <c r="A247" s="228">
        <v>11</v>
      </c>
      <c r="B247" s="236" t="s">
        <v>277</v>
      </c>
      <c r="C247" s="248"/>
      <c r="D247" s="63">
        <v>200</v>
      </c>
      <c r="E247" s="22">
        <v>140</v>
      </c>
      <c r="F247" s="22">
        <v>80</v>
      </c>
      <c r="G247" s="22">
        <v>22626</v>
      </c>
      <c r="H247" s="22">
        <v>5416</v>
      </c>
      <c r="I247" s="22">
        <v>223</v>
      </c>
      <c r="J247" s="23">
        <v>5</v>
      </c>
      <c r="K247" s="22">
        <v>103</v>
      </c>
      <c r="L247" s="70">
        <v>2</v>
      </c>
      <c r="M247" s="22">
        <v>81</v>
      </c>
      <c r="N247" s="22">
        <v>3</v>
      </c>
      <c r="O247" s="22">
        <v>1</v>
      </c>
      <c r="P247" s="22">
        <v>9</v>
      </c>
      <c r="Q247" s="28">
        <v>18</v>
      </c>
      <c r="R247" s="28">
        <v>39</v>
      </c>
      <c r="S247" s="28"/>
      <c r="T247" s="28">
        <v>9</v>
      </c>
      <c r="U247" s="28"/>
      <c r="V247" s="28"/>
      <c r="W247" s="293">
        <v>6</v>
      </c>
    </row>
    <row r="248" spans="1:23">
      <c r="A248" s="228">
        <v>12</v>
      </c>
      <c r="B248" s="236" t="s">
        <v>278</v>
      </c>
      <c r="C248" s="17"/>
      <c r="D248" s="162">
        <v>34</v>
      </c>
      <c r="E248" s="28">
        <v>25</v>
      </c>
      <c r="F248" s="28">
        <v>24</v>
      </c>
      <c r="G248" s="28">
        <v>240</v>
      </c>
      <c r="H248" s="134"/>
      <c r="I248" s="28"/>
      <c r="J248" s="134">
        <v>1</v>
      </c>
      <c r="K248" s="28">
        <v>23</v>
      </c>
      <c r="L248" s="134">
        <v>1</v>
      </c>
      <c r="M248" s="28">
        <v>11</v>
      </c>
      <c r="N248" s="134">
        <v>5</v>
      </c>
      <c r="O248" s="28">
        <v>7</v>
      </c>
      <c r="P248" s="28"/>
      <c r="Q248" s="28">
        <v>73</v>
      </c>
      <c r="R248" s="27">
        <v>1</v>
      </c>
      <c r="S248" s="28"/>
      <c r="T248" s="28"/>
      <c r="U248" s="28"/>
      <c r="V248" s="28"/>
      <c r="W248" s="293"/>
    </row>
    <row r="249" spans="1:23">
      <c r="A249" s="228">
        <v>13</v>
      </c>
      <c r="B249" s="236" t="s">
        <v>279</v>
      </c>
      <c r="C249" s="10"/>
      <c r="D249" s="162">
        <v>514</v>
      </c>
      <c r="E249" s="28">
        <v>1246</v>
      </c>
      <c r="F249" s="28">
        <v>169</v>
      </c>
      <c r="G249" s="28">
        <v>41966</v>
      </c>
      <c r="H249" s="134">
        <v>2169</v>
      </c>
      <c r="I249" s="28">
        <v>15</v>
      </c>
      <c r="J249" s="134">
        <v>17</v>
      </c>
      <c r="K249" s="28">
        <v>233</v>
      </c>
      <c r="L249" s="134">
        <v>15</v>
      </c>
      <c r="M249" s="28">
        <v>341</v>
      </c>
      <c r="N249" s="134">
        <v>22</v>
      </c>
      <c r="O249" s="28">
        <v>11</v>
      </c>
      <c r="P249" s="28">
        <v>42</v>
      </c>
      <c r="Q249" s="28">
        <v>70</v>
      </c>
      <c r="R249" s="28">
        <v>30</v>
      </c>
      <c r="S249" s="28">
        <v>1</v>
      </c>
      <c r="T249" s="28">
        <v>19</v>
      </c>
      <c r="U249" s="28"/>
      <c r="V249" s="28"/>
      <c r="W249" s="293">
        <v>305</v>
      </c>
    </row>
    <row r="250" spans="1:23">
      <c r="A250" s="228">
        <v>14</v>
      </c>
      <c r="B250" s="236" t="s">
        <v>280</v>
      </c>
      <c r="C250" s="10"/>
      <c r="D250" s="162">
        <v>21271</v>
      </c>
      <c r="E250" s="28">
        <v>7228</v>
      </c>
      <c r="F250" s="28">
        <v>265</v>
      </c>
      <c r="G250" s="28">
        <v>38202</v>
      </c>
      <c r="H250" s="134">
        <v>1457</v>
      </c>
      <c r="I250" s="28">
        <v>1663</v>
      </c>
      <c r="J250" s="134">
        <v>40</v>
      </c>
      <c r="K250" s="28">
        <v>433</v>
      </c>
      <c r="L250" s="134">
        <v>31</v>
      </c>
      <c r="M250" s="28">
        <v>418</v>
      </c>
      <c r="N250" s="134">
        <v>14</v>
      </c>
      <c r="O250" s="28">
        <v>10</v>
      </c>
      <c r="P250" s="28">
        <v>51</v>
      </c>
      <c r="Q250" s="28">
        <v>152</v>
      </c>
      <c r="R250" s="28">
        <v>29</v>
      </c>
      <c r="S250" s="28"/>
      <c r="T250" s="28"/>
      <c r="U250" s="28"/>
      <c r="V250" s="28"/>
      <c r="W250" s="293">
        <v>15</v>
      </c>
    </row>
    <row r="251" spans="1:23">
      <c r="A251" s="228">
        <v>15</v>
      </c>
      <c r="B251" s="236" t="s">
        <v>281</v>
      </c>
      <c r="C251" s="10"/>
      <c r="D251" s="162">
        <v>1965</v>
      </c>
      <c r="E251" s="28">
        <v>5301</v>
      </c>
      <c r="F251" s="28">
        <v>126</v>
      </c>
      <c r="G251" s="28">
        <v>16794</v>
      </c>
      <c r="H251" s="134">
        <v>1222</v>
      </c>
      <c r="I251" s="28">
        <v>434</v>
      </c>
      <c r="J251" s="134">
        <v>70</v>
      </c>
      <c r="K251" s="28">
        <v>217</v>
      </c>
      <c r="L251" s="134">
        <v>4</v>
      </c>
      <c r="M251" s="28">
        <v>81</v>
      </c>
      <c r="N251" s="134">
        <v>3</v>
      </c>
      <c r="O251" s="28">
        <v>26</v>
      </c>
      <c r="P251" s="28">
        <v>5</v>
      </c>
      <c r="Q251" s="28">
        <v>26</v>
      </c>
      <c r="R251" s="205">
        <v>17</v>
      </c>
      <c r="S251" s="28"/>
      <c r="T251" s="28"/>
      <c r="U251" s="28"/>
      <c r="V251" s="28"/>
      <c r="W251" s="293">
        <v>87</v>
      </c>
    </row>
    <row r="252" spans="1:23">
      <c r="A252" s="228">
        <v>16</v>
      </c>
      <c r="B252" s="236" t="s">
        <v>282</v>
      </c>
      <c r="C252" s="10"/>
      <c r="D252" s="162">
        <v>408</v>
      </c>
      <c r="E252" s="28">
        <v>169</v>
      </c>
      <c r="F252" s="28">
        <v>49</v>
      </c>
      <c r="G252" s="28">
        <v>114</v>
      </c>
      <c r="H252" s="134">
        <v>4</v>
      </c>
      <c r="I252" s="28">
        <v>3</v>
      </c>
      <c r="J252" s="134">
        <v>1</v>
      </c>
      <c r="K252" s="28">
        <v>31</v>
      </c>
      <c r="L252" s="134">
        <v>1</v>
      </c>
      <c r="M252" s="28">
        <v>33</v>
      </c>
      <c r="N252" s="134">
        <v>5</v>
      </c>
      <c r="O252" s="28">
        <v>2</v>
      </c>
      <c r="P252" s="28">
        <v>2</v>
      </c>
      <c r="Q252" s="28">
        <v>249</v>
      </c>
      <c r="R252" s="205">
        <v>1</v>
      </c>
      <c r="S252" s="28"/>
      <c r="T252" s="28"/>
      <c r="U252" s="28"/>
      <c r="V252" s="28"/>
      <c r="W252" s="293"/>
    </row>
    <row r="253" spans="1:23" ht="15">
      <c r="A253" s="228">
        <v>17</v>
      </c>
      <c r="B253" s="236" t="s">
        <v>283</v>
      </c>
      <c r="C253" s="248"/>
      <c r="D253" s="63">
        <v>9533</v>
      </c>
      <c r="E253" s="22">
        <v>2032</v>
      </c>
      <c r="F253" s="22">
        <v>397</v>
      </c>
      <c r="G253" s="22">
        <v>8778</v>
      </c>
      <c r="H253" s="22">
        <v>853</v>
      </c>
      <c r="I253" s="22">
        <v>177</v>
      </c>
      <c r="J253" s="23">
        <v>15</v>
      </c>
      <c r="K253" s="22">
        <v>61</v>
      </c>
      <c r="L253" s="70"/>
      <c r="M253" s="22">
        <v>153</v>
      </c>
      <c r="N253" s="22">
        <v>5</v>
      </c>
      <c r="O253" s="22">
        <v>8</v>
      </c>
      <c r="P253" s="22">
        <v>17</v>
      </c>
      <c r="Q253" s="28">
        <v>193</v>
      </c>
      <c r="R253" s="28">
        <v>2</v>
      </c>
      <c r="S253" s="28"/>
      <c r="T253" s="28"/>
      <c r="U253" s="28"/>
      <c r="V253" s="28"/>
      <c r="W253" s="293"/>
    </row>
    <row r="254" spans="1:23">
      <c r="A254" s="228">
        <v>18</v>
      </c>
      <c r="B254" s="236" t="s">
        <v>284</v>
      </c>
      <c r="C254" s="17"/>
      <c r="D254" s="162">
        <v>13195</v>
      </c>
      <c r="E254" s="28">
        <v>8996</v>
      </c>
      <c r="F254" s="28">
        <v>101</v>
      </c>
      <c r="G254" s="28">
        <v>26419</v>
      </c>
      <c r="H254" s="134">
        <v>1100</v>
      </c>
      <c r="I254" s="28">
        <v>975</v>
      </c>
      <c r="J254" s="134">
        <v>94</v>
      </c>
      <c r="K254" s="28">
        <v>165</v>
      </c>
      <c r="L254" s="134">
        <v>1</v>
      </c>
      <c r="M254" s="28">
        <v>196</v>
      </c>
      <c r="N254" s="134">
        <v>3</v>
      </c>
      <c r="O254" s="28">
        <v>10</v>
      </c>
      <c r="P254" s="28">
        <v>16</v>
      </c>
      <c r="Q254" s="28">
        <v>125</v>
      </c>
      <c r="R254" s="28">
        <v>37</v>
      </c>
      <c r="S254" s="28"/>
      <c r="T254" s="28"/>
      <c r="U254" s="28"/>
      <c r="V254" s="28"/>
      <c r="W254" s="293">
        <v>180</v>
      </c>
    </row>
    <row r="255" spans="1:23">
      <c r="A255" s="228">
        <v>19</v>
      </c>
      <c r="B255" s="236" t="s">
        <v>285</v>
      </c>
      <c r="C255" s="10"/>
      <c r="D255" s="162">
        <v>803</v>
      </c>
      <c r="E255" s="28">
        <v>384</v>
      </c>
      <c r="F255" s="28">
        <v>314</v>
      </c>
      <c r="G255" s="28">
        <v>1437</v>
      </c>
      <c r="H255" s="134">
        <v>61</v>
      </c>
      <c r="I255" s="28">
        <v>97</v>
      </c>
      <c r="J255" s="134">
        <v>25</v>
      </c>
      <c r="K255" s="28">
        <v>49</v>
      </c>
      <c r="L255" s="134">
        <v>2</v>
      </c>
      <c r="M255" s="28">
        <v>116</v>
      </c>
      <c r="N255" s="134">
        <v>6</v>
      </c>
      <c r="O255" s="28">
        <v>2</v>
      </c>
      <c r="P255" s="28">
        <v>7</v>
      </c>
      <c r="Q255" s="28">
        <v>255</v>
      </c>
      <c r="R255" s="27">
        <v>1</v>
      </c>
      <c r="S255" s="28"/>
      <c r="T255" s="28"/>
      <c r="U255" s="28"/>
      <c r="V255" s="28"/>
      <c r="W255" s="293"/>
    </row>
    <row r="256" spans="1:23">
      <c r="A256" s="228">
        <v>20</v>
      </c>
      <c r="B256" s="236" t="s">
        <v>286</v>
      </c>
      <c r="C256" s="10"/>
      <c r="D256" s="162">
        <v>12756</v>
      </c>
      <c r="E256" s="28">
        <v>2899</v>
      </c>
      <c r="F256" s="28">
        <v>224</v>
      </c>
      <c r="G256" s="28">
        <v>19323</v>
      </c>
      <c r="H256" s="134">
        <v>3048</v>
      </c>
      <c r="I256" s="28">
        <v>675</v>
      </c>
      <c r="J256" s="134">
        <v>28</v>
      </c>
      <c r="K256" s="28">
        <v>824</v>
      </c>
      <c r="L256" s="134">
        <v>2</v>
      </c>
      <c r="M256" s="28">
        <v>224</v>
      </c>
      <c r="N256" s="134">
        <v>7</v>
      </c>
      <c r="O256" s="28">
        <v>35</v>
      </c>
      <c r="P256" s="28">
        <v>11</v>
      </c>
      <c r="Q256" s="28">
        <v>179</v>
      </c>
      <c r="R256" s="28">
        <v>95</v>
      </c>
      <c r="S256" s="28"/>
      <c r="T256" s="28"/>
      <c r="U256" s="28"/>
      <c r="V256" s="28"/>
      <c r="W256" s="293"/>
    </row>
    <row r="257" spans="1:23">
      <c r="A257" s="228">
        <v>21</v>
      </c>
      <c r="B257" s="236" t="s">
        <v>287</v>
      </c>
      <c r="C257" s="10"/>
      <c r="D257" s="162">
        <v>945</v>
      </c>
      <c r="E257" s="28">
        <v>4343</v>
      </c>
      <c r="F257" s="28">
        <v>232</v>
      </c>
      <c r="G257" s="28">
        <v>16447</v>
      </c>
      <c r="H257" s="134">
        <v>732</v>
      </c>
      <c r="I257" s="28">
        <v>35</v>
      </c>
      <c r="J257" s="134">
        <v>86</v>
      </c>
      <c r="K257" s="28">
        <v>313</v>
      </c>
      <c r="L257" s="134">
        <v>4</v>
      </c>
      <c r="M257" s="28">
        <v>138</v>
      </c>
      <c r="N257" s="134">
        <v>8</v>
      </c>
      <c r="O257" s="28">
        <v>11</v>
      </c>
      <c r="P257" s="28">
        <v>6</v>
      </c>
      <c r="Q257" s="28">
        <v>77</v>
      </c>
      <c r="R257" s="27">
        <v>553</v>
      </c>
      <c r="S257" s="28"/>
      <c r="T257" s="28">
        <v>12</v>
      </c>
      <c r="U257" s="28"/>
      <c r="V257" s="28"/>
      <c r="W257" s="293">
        <v>265</v>
      </c>
    </row>
    <row r="258" spans="1:23">
      <c r="A258" s="228">
        <v>22</v>
      </c>
      <c r="B258" s="236" t="s">
        <v>288</v>
      </c>
      <c r="C258" s="10"/>
      <c r="D258" s="162">
        <v>293</v>
      </c>
      <c r="E258" s="28">
        <v>670</v>
      </c>
      <c r="F258" s="28">
        <v>51</v>
      </c>
      <c r="G258" s="28">
        <v>22090</v>
      </c>
      <c r="H258" s="134">
        <v>1402</v>
      </c>
      <c r="I258" s="28">
        <v>15</v>
      </c>
      <c r="J258" s="134">
        <v>13</v>
      </c>
      <c r="K258" s="28">
        <v>130</v>
      </c>
      <c r="L258" s="134">
        <v>19</v>
      </c>
      <c r="M258" s="28">
        <v>170</v>
      </c>
      <c r="N258" s="134">
        <v>3</v>
      </c>
      <c r="O258" s="28">
        <v>9</v>
      </c>
      <c r="P258" s="28">
        <v>427</v>
      </c>
      <c r="Q258" s="28">
        <v>111</v>
      </c>
      <c r="R258" s="28">
        <v>119</v>
      </c>
      <c r="S258" s="28">
        <v>1</v>
      </c>
      <c r="T258" s="28"/>
      <c r="U258" s="28"/>
      <c r="V258" s="28"/>
      <c r="W258" s="293">
        <v>174</v>
      </c>
    </row>
    <row r="259" spans="1:23">
      <c r="A259" s="228">
        <v>23</v>
      </c>
      <c r="B259" s="236" t="s">
        <v>289</v>
      </c>
      <c r="C259" s="10"/>
      <c r="D259" s="63">
        <v>3372</v>
      </c>
      <c r="E259" s="32">
        <v>762</v>
      </c>
      <c r="F259" s="22">
        <v>248</v>
      </c>
      <c r="G259" s="32">
        <v>1605</v>
      </c>
      <c r="H259" s="22">
        <v>844</v>
      </c>
      <c r="I259" s="32">
        <v>152</v>
      </c>
      <c r="J259" s="22">
        <v>14</v>
      </c>
      <c r="K259" s="32">
        <v>98</v>
      </c>
      <c r="L259" s="22">
        <v>1</v>
      </c>
      <c r="M259" s="32">
        <v>423</v>
      </c>
      <c r="N259" s="22">
        <v>5</v>
      </c>
      <c r="O259" s="32">
        <v>21</v>
      </c>
      <c r="P259" s="22">
        <v>10</v>
      </c>
      <c r="Q259" s="28">
        <v>302</v>
      </c>
      <c r="R259" s="28">
        <v>6</v>
      </c>
      <c r="S259" s="28"/>
      <c r="T259" s="28"/>
      <c r="U259" s="28"/>
      <c r="V259" s="28"/>
      <c r="W259" s="293"/>
    </row>
    <row r="260" spans="1:23" ht="15">
      <c r="A260" s="228">
        <v>24</v>
      </c>
      <c r="B260" s="236" t="s">
        <v>290</v>
      </c>
      <c r="C260" s="248"/>
      <c r="D260" s="63">
        <v>4213</v>
      </c>
      <c r="E260" s="22">
        <v>3034</v>
      </c>
      <c r="F260" s="22">
        <v>246</v>
      </c>
      <c r="G260" s="22">
        <v>35984</v>
      </c>
      <c r="H260" s="22">
        <v>4902</v>
      </c>
      <c r="I260" s="22">
        <v>332</v>
      </c>
      <c r="J260" s="23">
        <v>17</v>
      </c>
      <c r="K260" s="22">
        <v>243</v>
      </c>
      <c r="L260" s="70">
        <v>10</v>
      </c>
      <c r="M260" s="22">
        <v>283</v>
      </c>
      <c r="N260" s="22">
        <v>23</v>
      </c>
      <c r="O260" s="22">
        <v>8</v>
      </c>
      <c r="P260" s="22">
        <v>57</v>
      </c>
      <c r="Q260" s="28">
        <v>199</v>
      </c>
      <c r="R260" s="28">
        <v>22</v>
      </c>
      <c r="S260" s="28"/>
      <c r="T260" s="28">
        <v>48</v>
      </c>
      <c r="U260" s="28"/>
      <c r="V260" s="28"/>
      <c r="W260" s="293">
        <v>50</v>
      </c>
    </row>
    <row r="261" spans="1:23">
      <c r="A261" s="215"/>
      <c r="B261" s="203"/>
      <c r="C261" s="16"/>
      <c r="D261" s="265"/>
      <c r="E261" s="206"/>
      <c r="F261" s="206"/>
      <c r="G261" s="206"/>
      <c r="H261" s="256"/>
      <c r="I261" s="206"/>
      <c r="J261" s="256"/>
      <c r="K261" s="206"/>
      <c r="L261" s="256"/>
      <c r="M261" s="206"/>
      <c r="N261" s="256"/>
      <c r="O261" s="206"/>
      <c r="P261" s="206"/>
      <c r="Q261" s="206"/>
      <c r="R261" s="206"/>
      <c r="S261" s="206"/>
      <c r="T261" s="206"/>
      <c r="U261" s="206"/>
      <c r="V261" s="206"/>
      <c r="W261" s="298"/>
    </row>
    <row r="262" spans="1:23" ht="15">
      <c r="A262" s="216" t="s">
        <v>295</v>
      </c>
      <c r="B262" s="239"/>
      <c r="C262" s="10"/>
      <c r="D262" s="313">
        <f>SUM(D237:D260)</f>
        <v>112806</v>
      </c>
      <c r="E262" s="28">
        <f t="shared" ref="E262:W262" si="11">SUM(E237:E260)</f>
        <v>87858</v>
      </c>
      <c r="F262" s="134">
        <f t="shared" si="11"/>
        <v>4243</v>
      </c>
      <c r="G262" s="28">
        <f t="shared" si="11"/>
        <v>431191</v>
      </c>
      <c r="H262" s="134">
        <f t="shared" si="11"/>
        <v>40707</v>
      </c>
      <c r="I262" s="28">
        <f t="shared" si="11"/>
        <v>7355</v>
      </c>
      <c r="J262" s="134">
        <f t="shared" si="11"/>
        <v>1248</v>
      </c>
      <c r="K262" s="28">
        <f t="shared" si="11"/>
        <v>6266</v>
      </c>
      <c r="L262" s="134">
        <f t="shared" si="11"/>
        <v>129</v>
      </c>
      <c r="M262" s="28">
        <f t="shared" si="11"/>
        <v>4616</v>
      </c>
      <c r="N262" s="134">
        <f t="shared" si="11"/>
        <v>611</v>
      </c>
      <c r="O262" s="28">
        <f t="shared" si="11"/>
        <v>517</v>
      </c>
      <c r="P262" s="134">
        <f t="shared" si="11"/>
        <v>1132</v>
      </c>
      <c r="Q262" s="28">
        <f t="shared" si="11"/>
        <v>4537</v>
      </c>
      <c r="R262" s="134">
        <f>SUM(R237:R260)</f>
        <v>3701</v>
      </c>
      <c r="S262" s="28">
        <f t="shared" si="11"/>
        <v>88</v>
      </c>
      <c r="T262" s="134">
        <f t="shared" si="11"/>
        <v>129</v>
      </c>
      <c r="U262" s="28">
        <f t="shared" si="11"/>
        <v>2</v>
      </c>
      <c r="V262" s="134">
        <f t="shared" si="11"/>
        <v>0</v>
      </c>
      <c r="W262" s="122">
        <f t="shared" si="11"/>
        <v>2550</v>
      </c>
    </row>
    <row r="263" spans="1:23" ht="15" thickBot="1">
      <c r="A263" s="217"/>
      <c r="B263" s="104"/>
      <c r="C263" s="251"/>
      <c r="D263" s="252"/>
      <c r="E263" s="208"/>
      <c r="F263" s="208"/>
      <c r="G263" s="208"/>
      <c r="H263" s="253"/>
      <c r="I263" s="208"/>
      <c r="J263" s="253"/>
      <c r="K263" s="208"/>
      <c r="L263" s="253"/>
      <c r="M263" s="208"/>
      <c r="N263" s="253"/>
      <c r="O263" s="208"/>
      <c r="P263" s="208"/>
      <c r="Q263" s="213"/>
      <c r="R263" s="213"/>
      <c r="S263" s="213"/>
      <c r="T263" s="213"/>
      <c r="U263" s="213"/>
      <c r="V263" s="213"/>
      <c r="W263" s="301"/>
    </row>
    <row r="264" spans="1:23" ht="15" thickTop="1">
      <c r="C264" s="31"/>
      <c r="D264" s="32"/>
      <c r="E264" s="134"/>
      <c r="F264" s="134"/>
      <c r="G264" s="134"/>
      <c r="H264" s="134"/>
      <c r="I264" s="134"/>
      <c r="J264" s="134"/>
      <c r="K264" s="134"/>
      <c r="L264" s="134"/>
      <c r="M264" s="134"/>
      <c r="N264" s="134"/>
      <c r="O264" s="134"/>
      <c r="P264" s="134"/>
      <c r="Q264" s="134"/>
      <c r="R264" s="134"/>
      <c r="S264" s="134"/>
      <c r="T264" s="134"/>
      <c r="U264" s="134"/>
      <c r="V264" s="134"/>
      <c r="W264" s="134"/>
    </row>
    <row r="265" spans="1:23">
      <c r="C265" s="31"/>
      <c r="D265" s="32"/>
      <c r="E265" s="134"/>
      <c r="F265" s="134"/>
      <c r="G265" s="134"/>
      <c r="H265" s="134"/>
      <c r="I265" s="134"/>
      <c r="J265" s="134"/>
      <c r="K265" s="134"/>
      <c r="L265" s="134"/>
      <c r="M265" s="134"/>
      <c r="N265" s="134"/>
      <c r="O265" s="134"/>
      <c r="P265" s="134"/>
      <c r="Q265" s="134"/>
      <c r="R265" s="134"/>
      <c r="S265" s="134"/>
      <c r="T265" s="134"/>
      <c r="U265" s="134"/>
      <c r="V265" s="134"/>
      <c r="W265" s="134"/>
    </row>
    <row r="266" spans="1:23" ht="15">
      <c r="C266" s="249"/>
      <c r="D266" s="31"/>
      <c r="E266" s="31"/>
      <c r="F266" s="31"/>
      <c r="G266" s="31"/>
      <c r="H266" s="31"/>
      <c r="I266" s="31"/>
      <c r="J266" s="31"/>
      <c r="K266" s="31"/>
      <c r="L266" s="31"/>
      <c r="M266" s="31"/>
      <c r="N266" s="31"/>
      <c r="O266" s="31"/>
      <c r="P266" s="31"/>
      <c r="Q266" s="31"/>
      <c r="R266" s="31"/>
      <c r="S266" s="31"/>
      <c r="T266" s="31"/>
      <c r="U266" s="31"/>
      <c r="V266" s="31"/>
      <c r="W266" s="250"/>
    </row>
    <row r="267" spans="1:23">
      <c r="C267" s="47"/>
      <c r="D267" s="32"/>
      <c r="E267" s="134"/>
      <c r="F267" s="134"/>
      <c r="G267" s="134"/>
      <c r="H267" s="134"/>
      <c r="I267" s="134"/>
      <c r="J267" s="134"/>
      <c r="K267" s="134"/>
      <c r="L267" s="134"/>
      <c r="M267" s="134"/>
      <c r="N267" s="134"/>
      <c r="O267" s="134"/>
      <c r="P267" s="134"/>
      <c r="Q267" s="134"/>
      <c r="R267" s="134"/>
      <c r="S267" s="134"/>
      <c r="T267" s="134"/>
      <c r="U267" s="134"/>
      <c r="V267" s="134"/>
      <c r="W267" s="134"/>
    </row>
    <row r="268" spans="1:23">
      <c r="C268" s="31"/>
      <c r="D268" s="32"/>
      <c r="E268" s="134"/>
      <c r="F268" s="134"/>
      <c r="G268" s="134"/>
      <c r="H268" s="134"/>
      <c r="I268" s="134"/>
      <c r="J268" s="134"/>
      <c r="K268" s="134"/>
      <c r="L268" s="134"/>
      <c r="M268" s="134"/>
      <c r="N268" s="134"/>
      <c r="O268" s="134"/>
      <c r="P268" s="134"/>
      <c r="Q268" s="134"/>
      <c r="R268" s="134"/>
      <c r="S268" s="134"/>
      <c r="T268" s="134"/>
      <c r="U268" s="134"/>
      <c r="V268" s="134"/>
      <c r="W268" s="134"/>
    </row>
    <row r="269" spans="1:23">
      <c r="C269" s="31"/>
      <c r="D269" s="32"/>
      <c r="E269" s="134"/>
      <c r="F269" s="134"/>
      <c r="G269" s="134"/>
      <c r="H269" s="134"/>
      <c r="I269" s="134"/>
      <c r="J269" s="134"/>
      <c r="K269" s="134"/>
      <c r="L269" s="134"/>
      <c r="M269" s="134"/>
      <c r="N269" s="134"/>
      <c r="O269" s="134"/>
      <c r="P269" s="134"/>
      <c r="Q269" s="134"/>
      <c r="R269" s="134"/>
      <c r="S269" s="134"/>
      <c r="T269" s="134"/>
      <c r="U269" s="134"/>
      <c r="V269" s="134"/>
      <c r="W269" s="134"/>
    </row>
    <row r="270" spans="1:23">
      <c r="C270" s="31"/>
      <c r="D270" s="32"/>
      <c r="E270" s="134"/>
      <c r="F270" s="134"/>
      <c r="G270" s="134"/>
      <c r="H270" s="134"/>
      <c r="I270" s="134"/>
      <c r="J270" s="134"/>
      <c r="K270" s="134"/>
      <c r="L270" s="134"/>
      <c r="M270" s="134"/>
      <c r="N270" s="134"/>
      <c r="O270" s="134"/>
      <c r="P270" s="134"/>
      <c r="Q270" s="134"/>
      <c r="R270" s="134"/>
      <c r="S270" s="134"/>
      <c r="T270" s="134"/>
      <c r="U270" s="134"/>
      <c r="V270" s="134"/>
      <c r="W270" s="134"/>
    </row>
    <row r="271" spans="1:23">
      <c r="C271" s="31"/>
      <c r="D271" s="32"/>
      <c r="E271" s="134"/>
      <c r="F271" s="134"/>
      <c r="G271" s="134"/>
      <c r="H271" s="134"/>
      <c r="I271" s="134"/>
      <c r="J271" s="134"/>
      <c r="K271" s="134"/>
      <c r="L271" s="134"/>
      <c r="M271" s="134"/>
      <c r="N271" s="134"/>
      <c r="O271" s="134"/>
      <c r="P271" s="134"/>
      <c r="Q271" s="134"/>
      <c r="R271" s="134"/>
      <c r="S271" s="134"/>
      <c r="T271" s="134"/>
      <c r="U271" s="134"/>
      <c r="V271" s="134"/>
      <c r="W271" s="134"/>
    </row>
  </sheetData>
  <mergeCells count="1">
    <mergeCell ref="C5:C8"/>
  </mergeCells>
  <pageMargins left="0.7" right="0.7" top="0.75" bottom="0.75" header="0.3" footer="0.3"/>
  <pageSetup paperSize="9" orientation="portrait"/>
  <legacy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1"/>
  </sheetPr>
  <dimension ref="A2:T270"/>
  <sheetViews>
    <sheetView topLeftCell="B1" workbookViewId="0">
      <selection activeCell="D270" sqref="D270"/>
    </sheetView>
  </sheetViews>
  <sheetFormatPr baseColWidth="10" defaultColWidth="8.83203125" defaultRowHeight="14" x14ac:dyDescent="0"/>
  <cols>
    <col min="1" max="1" width="31.5" customWidth="1"/>
    <col min="2" max="2" width="21.5" customWidth="1"/>
    <col min="3" max="3" width="10.1640625" customWidth="1"/>
    <col min="4" max="4" width="11.1640625" customWidth="1"/>
    <col min="5" max="5" width="11.5" customWidth="1"/>
    <col min="6" max="6" width="10.5" customWidth="1"/>
    <col min="7" max="7" width="10.6640625" customWidth="1"/>
    <col min="8" max="8" width="11.83203125" customWidth="1"/>
    <col min="9" max="10" width="11" customWidth="1"/>
    <col min="11" max="11" width="12" customWidth="1"/>
    <col min="12" max="12" width="11.5" customWidth="1"/>
    <col min="13" max="13" width="14" customWidth="1"/>
    <col min="14" max="14" width="11.5" customWidth="1"/>
    <col min="15" max="15" width="12" customWidth="1"/>
    <col min="16" max="16" width="13.5" customWidth="1"/>
    <col min="17" max="17" width="11.33203125" customWidth="1"/>
    <col min="18" max="18" width="13.1640625" customWidth="1"/>
    <col min="19" max="19" width="14.1640625" customWidth="1"/>
  </cols>
  <sheetData>
    <row r="2" spans="1:20" ht="18">
      <c r="A2" s="705" t="s">
        <v>347</v>
      </c>
      <c r="B2" s="262" t="s">
        <v>348</v>
      </c>
    </row>
    <row r="3" spans="1:20" ht="19" thickBot="1">
      <c r="A3" s="278"/>
    </row>
    <row r="4" spans="1:20" ht="15" thickTop="1">
      <c r="A4" s="33"/>
      <c r="B4" s="7"/>
      <c r="C4" s="710" t="s">
        <v>306</v>
      </c>
      <c r="D4" s="65"/>
      <c r="E4" s="142"/>
      <c r="F4" s="142"/>
      <c r="G4" s="142"/>
      <c r="H4" s="142"/>
      <c r="I4" s="142"/>
      <c r="J4" s="142"/>
      <c r="K4" s="142"/>
      <c r="L4" s="142"/>
      <c r="M4" s="142"/>
      <c r="N4" s="142"/>
      <c r="O4" s="159"/>
      <c r="P4" s="53"/>
      <c r="Q4" s="156"/>
      <c r="R4" s="159"/>
      <c r="S4" s="33"/>
      <c r="T4" s="319"/>
    </row>
    <row r="5" spans="1:20">
      <c r="A5" s="140" t="s">
        <v>42</v>
      </c>
      <c r="B5" s="97"/>
      <c r="C5" s="711"/>
      <c r="D5" s="115" t="s">
        <v>350</v>
      </c>
      <c r="E5" s="143" t="s">
        <v>351</v>
      </c>
      <c r="F5" s="143" t="s">
        <v>352</v>
      </c>
      <c r="G5" s="143" t="s">
        <v>353</v>
      </c>
      <c r="H5" s="143" t="s">
        <v>354</v>
      </c>
      <c r="I5" s="143" t="s">
        <v>355</v>
      </c>
      <c r="J5" s="143" t="s">
        <v>356</v>
      </c>
      <c r="K5" s="143" t="s">
        <v>357</v>
      </c>
      <c r="L5" s="143" t="s">
        <v>358</v>
      </c>
      <c r="M5" s="143" t="s">
        <v>359</v>
      </c>
      <c r="N5" s="143" t="s">
        <v>360</v>
      </c>
      <c r="O5" s="143" t="s">
        <v>361</v>
      </c>
      <c r="P5" s="155" t="s">
        <v>362</v>
      </c>
      <c r="Q5" s="158" t="s">
        <v>363</v>
      </c>
      <c r="R5" s="154" t="s">
        <v>364</v>
      </c>
      <c r="S5" s="160" t="s">
        <v>365</v>
      </c>
      <c r="T5" s="319"/>
    </row>
    <row r="6" spans="1:20">
      <c r="A6" s="141">
        <v>4145</v>
      </c>
      <c r="B6" s="241"/>
      <c r="C6" s="711"/>
      <c r="D6" s="17" t="s">
        <v>63</v>
      </c>
      <c r="E6" s="18" t="s">
        <v>63</v>
      </c>
      <c r="F6" s="18" t="s">
        <v>63</v>
      </c>
      <c r="G6" s="18" t="s">
        <v>63</v>
      </c>
      <c r="H6" s="18" t="s">
        <v>63</v>
      </c>
      <c r="I6" s="18" t="s">
        <v>63</v>
      </c>
      <c r="J6" s="18" t="s">
        <v>63</v>
      </c>
      <c r="K6" s="18" t="s">
        <v>63</v>
      </c>
      <c r="L6" s="18" t="s">
        <v>63</v>
      </c>
      <c r="M6" s="18" t="s">
        <v>63</v>
      </c>
      <c r="N6" s="18" t="s">
        <v>63</v>
      </c>
      <c r="O6" s="18" t="s">
        <v>63</v>
      </c>
      <c r="P6" s="18" t="s">
        <v>63</v>
      </c>
      <c r="Q6" s="18" t="s">
        <v>63</v>
      </c>
      <c r="R6" s="18" t="s">
        <v>63</v>
      </c>
      <c r="S6" s="161" t="s">
        <v>63</v>
      </c>
      <c r="T6" s="319"/>
    </row>
    <row r="7" spans="1:20">
      <c r="A7" s="3"/>
      <c r="B7" s="5"/>
      <c r="C7" s="712"/>
      <c r="D7" s="40"/>
      <c r="E7" s="14"/>
      <c r="F7" s="14"/>
      <c r="G7" s="14"/>
      <c r="H7" s="14"/>
      <c r="I7" s="14"/>
      <c r="J7" s="14"/>
      <c r="K7" s="14"/>
      <c r="L7" s="14"/>
      <c r="M7" s="14"/>
      <c r="N7" s="14"/>
      <c r="O7" s="14"/>
      <c r="P7" s="39"/>
      <c r="Q7" s="30"/>
      <c r="R7" s="14"/>
      <c r="S7" s="3"/>
      <c r="T7" s="319"/>
    </row>
    <row r="8" spans="1:20">
      <c r="A8" s="31"/>
      <c r="B8" s="4"/>
      <c r="C8" s="10"/>
      <c r="D8" s="120"/>
      <c r="E8" s="28"/>
      <c r="F8" s="28"/>
      <c r="G8" s="22"/>
      <c r="H8" s="22"/>
      <c r="I8" s="22"/>
      <c r="J8" s="22"/>
      <c r="K8" s="22"/>
      <c r="L8" s="22"/>
      <c r="M8" s="22"/>
      <c r="N8" s="22"/>
      <c r="O8" s="22"/>
      <c r="P8" s="70"/>
      <c r="Q8" s="316"/>
      <c r="R8" s="24"/>
      <c r="S8" s="23"/>
      <c r="T8" s="319"/>
    </row>
    <row r="9" spans="1:20">
      <c r="A9" s="145" t="s">
        <v>61</v>
      </c>
      <c r="B9" s="235"/>
      <c r="C9" s="244"/>
      <c r="D9" s="120">
        <f>SUM(D12:D15)</f>
        <v>134518641</v>
      </c>
      <c r="E9" s="28">
        <f t="shared" ref="E9:S9" si="0">SUM(E12:E15)</f>
        <v>433089140</v>
      </c>
      <c r="F9" s="28">
        <f t="shared" si="0"/>
        <v>76927176</v>
      </c>
      <c r="G9" s="28">
        <f t="shared" si="0"/>
        <v>7150279</v>
      </c>
      <c r="H9" s="28">
        <f t="shared" si="0"/>
        <v>98346093</v>
      </c>
      <c r="I9" s="28">
        <f t="shared" si="0"/>
        <v>52226237</v>
      </c>
      <c r="J9" s="28">
        <f t="shared" si="0"/>
        <v>119895284</v>
      </c>
      <c r="K9" s="28">
        <f t="shared" si="0"/>
        <v>39393006</v>
      </c>
      <c r="L9" s="28">
        <f t="shared" si="0"/>
        <v>13852200</v>
      </c>
      <c r="M9" s="28">
        <f t="shared" si="0"/>
        <v>798022</v>
      </c>
      <c r="N9" s="28">
        <f t="shared" si="0"/>
        <v>324274</v>
      </c>
      <c r="O9" s="28">
        <f t="shared" si="0"/>
        <v>61436959</v>
      </c>
      <c r="P9" s="28">
        <f t="shared" si="0"/>
        <v>7940400</v>
      </c>
      <c r="Q9" s="28">
        <f t="shared" si="0"/>
        <v>179710</v>
      </c>
      <c r="R9" s="28">
        <f t="shared" si="0"/>
        <v>607194</v>
      </c>
      <c r="S9" s="28">
        <f t="shared" si="0"/>
        <v>14191924</v>
      </c>
      <c r="T9" s="319"/>
    </row>
    <row r="10" spans="1:20" ht="15" thickBot="1">
      <c r="A10" s="47" t="s">
        <v>62</v>
      </c>
      <c r="B10" s="8"/>
      <c r="C10" s="17"/>
      <c r="D10" s="147"/>
      <c r="E10" s="148"/>
      <c r="F10" s="148"/>
      <c r="G10" s="148"/>
      <c r="H10" s="148"/>
      <c r="I10" s="149"/>
      <c r="J10" s="148"/>
      <c r="K10" s="149"/>
      <c r="L10" s="148"/>
      <c r="M10" s="149"/>
      <c r="N10" s="148"/>
      <c r="O10" s="168"/>
      <c r="P10" s="168"/>
      <c r="Q10" s="168"/>
      <c r="R10" s="168"/>
      <c r="S10" s="314"/>
      <c r="T10" s="319"/>
    </row>
    <row r="11" spans="1:20">
      <c r="A11" s="47"/>
      <c r="B11" s="8"/>
      <c r="C11" s="17"/>
      <c r="D11" s="63"/>
      <c r="E11" s="22"/>
      <c r="F11" s="22"/>
      <c r="G11" s="22"/>
      <c r="H11" s="22"/>
      <c r="I11" s="32"/>
      <c r="J11" s="22"/>
      <c r="K11" s="32"/>
      <c r="L11" s="22"/>
      <c r="M11" s="32"/>
      <c r="N11" s="22"/>
      <c r="O11" s="28"/>
      <c r="P11" s="28"/>
      <c r="Q11" s="28"/>
      <c r="R11" s="28"/>
      <c r="S11" s="45"/>
      <c r="T11" s="319"/>
    </row>
    <row r="12" spans="1:20">
      <c r="A12" s="31" t="s">
        <v>4</v>
      </c>
      <c r="B12" s="4"/>
      <c r="C12" s="10"/>
      <c r="D12" s="63">
        <v>84830450</v>
      </c>
      <c r="E12" s="28">
        <v>176009303</v>
      </c>
      <c r="F12" s="22">
        <v>58408358</v>
      </c>
      <c r="G12" s="22">
        <v>4520160</v>
      </c>
      <c r="H12" s="22">
        <v>74286628</v>
      </c>
      <c r="I12" s="32">
        <v>42184149</v>
      </c>
      <c r="J12" s="22">
        <v>70508714</v>
      </c>
      <c r="K12" s="32">
        <v>20184064</v>
      </c>
      <c r="L12" s="22">
        <v>7719052</v>
      </c>
      <c r="M12" s="32">
        <v>553420</v>
      </c>
      <c r="N12" s="22">
        <v>109037</v>
      </c>
      <c r="O12" s="28">
        <v>4025091</v>
      </c>
      <c r="P12" s="28">
        <v>6622627</v>
      </c>
      <c r="Q12" s="28">
        <v>143375</v>
      </c>
      <c r="R12" s="28">
        <v>443885</v>
      </c>
      <c r="S12" s="45">
        <v>12207923</v>
      </c>
      <c r="T12" s="319"/>
    </row>
    <row r="13" spans="1:20">
      <c r="A13" s="68" t="s">
        <v>1</v>
      </c>
      <c r="B13" s="111"/>
      <c r="C13" s="245"/>
      <c r="D13" s="63">
        <v>4411178</v>
      </c>
      <c r="E13" s="22">
        <v>19452408</v>
      </c>
      <c r="F13" s="22">
        <v>6473792</v>
      </c>
      <c r="G13" s="22">
        <v>357088</v>
      </c>
      <c r="H13" s="22">
        <v>6097217</v>
      </c>
      <c r="I13" s="32">
        <v>1285730</v>
      </c>
      <c r="J13" s="22">
        <v>15915371</v>
      </c>
      <c r="K13" s="32">
        <v>12039496</v>
      </c>
      <c r="L13" s="22">
        <v>3530646</v>
      </c>
      <c r="M13" s="32">
        <v>93646</v>
      </c>
      <c r="N13" s="22">
        <v>65657</v>
      </c>
      <c r="O13" s="28">
        <v>56928602</v>
      </c>
      <c r="P13" s="28">
        <v>689775</v>
      </c>
      <c r="Q13" s="28">
        <v>2491</v>
      </c>
      <c r="R13" s="28">
        <v>32112</v>
      </c>
      <c r="S13" s="45">
        <v>171032</v>
      </c>
      <c r="T13" s="319"/>
    </row>
    <row r="14" spans="1:20">
      <c r="A14" s="68" t="s">
        <v>2</v>
      </c>
      <c r="B14" s="111"/>
      <c r="C14" s="245"/>
      <c r="D14" s="63">
        <v>28137939</v>
      </c>
      <c r="E14" s="22">
        <v>155905914</v>
      </c>
      <c r="F14" s="22">
        <v>8251097</v>
      </c>
      <c r="G14" s="28">
        <v>799422</v>
      </c>
      <c r="H14" s="22">
        <v>9921860</v>
      </c>
      <c r="I14" s="32">
        <v>4346993</v>
      </c>
      <c r="J14" s="22">
        <v>32473773</v>
      </c>
      <c r="K14" s="32">
        <v>6884533</v>
      </c>
      <c r="L14" s="22">
        <v>2354078</v>
      </c>
      <c r="M14" s="32">
        <v>131298</v>
      </c>
      <c r="N14" s="22">
        <v>105837</v>
      </c>
      <c r="O14" s="28">
        <v>483266</v>
      </c>
      <c r="P14" s="28">
        <v>627998</v>
      </c>
      <c r="Q14" s="28">
        <v>15573</v>
      </c>
      <c r="R14" s="28">
        <v>87141</v>
      </c>
      <c r="S14" s="45">
        <v>1016360</v>
      </c>
      <c r="T14" s="319"/>
    </row>
    <row r="15" spans="1:20">
      <c r="A15" s="68" t="s">
        <v>3</v>
      </c>
      <c r="B15" s="111"/>
      <c r="C15" s="245"/>
      <c r="D15" s="63">
        <v>17139074</v>
      </c>
      <c r="E15" s="22">
        <v>81721515</v>
      </c>
      <c r="F15" s="22">
        <v>3793929</v>
      </c>
      <c r="G15" s="22">
        <v>1473609</v>
      </c>
      <c r="H15" s="22">
        <v>8040388</v>
      </c>
      <c r="I15" s="32">
        <v>4409365</v>
      </c>
      <c r="J15" s="22">
        <v>997426</v>
      </c>
      <c r="K15" s="32">
        <v>284913</v>
      </c>
      <c r="L15" s="22">
        <v>248424</v>
      </c>
      <c r="M15" s="32">
        <v>19658</v>
      </c>
      <c r="N15" s="22">
        <v>43743</v>
      </c>
      <c r="O15" s="28"/>
      <c r="P15" s="28"/>
      <c r="Q15" s="28">
        <v>18271</v>
      </c>
      <c r="R15" s="28">
        <v>44056</v>
      </c>
      <c r="S15" s="45">
        <v>796609</v>
      </c>
      <c r="T15" s="319"/>
    </row>
    <row r="16" spans="1:20">
      <c r="A16" s="68"/>
      <c r="B16" s="111"/>
      <c r="C16" s="245"/>
      <c r="D16" s="266"/>
      <c r="E16" s="43"/>
      <c r="F16" s="43"/>
      <c r="G16" s="43"/>
      <c r="H16" s="43"/>
      <c r="I16" s="32"/>
      <c r="J16" s="43"/>
      <c r="K16" s="32"/>
      <c r="L16" s="43"/>
      <c r="M16" s="32"/>
      <c r="N16" s="43"/>
      <c r="O16" s="22"/>
      <c r="P16" s="70"/>
      <c r="Q16" s="21"/>
      <c r="R16" s="43"/>
      <c r="S16" s="23"/>
      <c r="T16" s="319"/>
    </row>
    <row r="17" spans="1:20" ht="16" thickBot="1">
      <c r="A17" s="144" t="s">
        <v>5</v>
      </c>
      <c r="B17" s="242"/>
      <c r="C17" s="246"/>
      <c r="D17" s="265"/>
      <c r="E17" s="24"/>
      <c r="F17" s="24"/>
      <c r="G17" s="24"/>
      <c r="H17" s="24"/>
      <c r="I17" s="24"/>
      <c r="J17" s="317"/>
      <c r="K17" s="24"/>
      <c r="L17" s="204"/>
      <c r="M17" s="24"/>
      <c r="N17" s="24"/>
      <c r="O17" s="24"/>
      <c r="P17" s="24"/>
      <c r="Q17" s="24"/>
      <c r="R17" s="24"/>
      <c r="S17" s="316"/>
      <c r="T17" s="319"/>
    </row>
    <row r="18" spans="1:20">
      <c r="A18" s="100">
        <v>1</v>
      </c>
      <c r="B18" s="4" t="s">
        <v>300</v>
      </c>
      <c r="C18" s="17" t="s">
        <v>368</v>
      </c>
      <c r="D18" s="162">
        <v>155120</v>
      </c>
      <c r="E18" s="28">
        <v>963620</v>
      </c>
      <c r="F18" s="28">
        <v>36959</v>
      </c>
      <c r="G18" s="28">
        <v>14810</v>
      </c>
      <c r="H18" s="134">
        <v>50041</v>
      </c>
      <c r="I18" s="28">
        <v>24391</v>
      </c>
      <c r="J18" s="134">
        <v>53127</v>
      </c>
      <c r="K18" s="28">
        <v>4225</v>
      </c>
      <c r="L18" s="134">
        <v>21690</v>
      </c>
      <c r="M18" s="28">
        <v>4830</v>
      </c>
      <c r="N18" s="134">
        <v>335</v>
      </c>
      <c r="O18" s="28"/>
      <c r="P18" s="28"/>
      <c r="Q18" s="28">
        <v>440</v>
      </c>
      <c r="R18" s="134">
        <v>436</v>
      </c>
      <c r="S18" s="45">
        <v>155066</v>
      </c>
      <c r="T18" s="319"/>
    </row>
    <row r="19" spans="1:20">
      <c r="A19" s="100">
        <v>2</v>
      </c>
      <c r="B19" s="4" t="s">
        <v>88</v>
      </c>
      <c r="C19" s="10"/>
      <c r="D19" s="162">
        <v>177541</v>
      </c>
      <c r="E19" s="28">
        <v>408487</v>
      </c>
      <c r="F19" s="28">
        <v>112900</v>
      </c>
      <c r="G19" s="28">
        <v>9432</v>
      </c>
      <c r="H19" s="134">
        <v>303461</v>
      </c>
      <c r="I19" s="28">
        <v>41844</v>
      </c>
      <c r="J19" s="134">
        <v>539925</v>
      </c>
      <c r="K19" s="28">
        <v>40340</v>
      </c>
      <c r="L19" s="134">
        <v>47675</v>
      </c>
      <c r="M19" s="28">
        <v>6766</v>
      </c>
      <c r="N19" s="134">
        <v>1620</v>
      </c>
      <c r="O19" s="28"/>
      <c r="P19" s="28"/>
      <c r="Q19" s="28">
        <v>1816</v>
      </c>
      <c r="R19" s="134">
        <v>8420</v>
      </c>
      <c r="S19" s="45">
        <v>37670</v>
      </c>
      <c r="T19" s="319"/>
    </row>
    <row r="20" spans="1:20">
      <c r="A20" s="100">
        <v>3</v>
      </c>
      <c r="B20" s="4" t="s">
        <v>89</v>
      </c>
      <c r="C20" s="10"/>
      <c r="D20" s="162">
        <v>721694</v>
      </c>
      <c r="E20" s="28">
        <v>4005660</v>
      </c>
      <c r="F20" s="28">
        <v>620039</v>
      </c>
      <c r="G20" s="28">
        <v>10831</v>
      </c>
      <c r="H20" s="134">
        <v>3386335</v>
      </c>
      <c r="I20" s="28">
        <v>57385</v>
      </c>
      <c r="J20" s="134">
        <v>1814843</v>
      </c>
      <c r="K20" s="28">
        <v>131590</v>
      </c>
      <c r="L20" s="134">
        <v>107022</v>
      </c>
      <c r="M20" s="28">
        <v>161835</v>
      </c>
      <c r="N20" s="134">
        <v>2640</v>
      </c>
      <c r="O20" s="28">
        <v>12187</v>
      </c>
      <c r="P20" s="28">
        <v>29050</v>
      </c>
      <c r="Q20" s="28">
        <v>85</v>
      </c>
      <c r="R20" s="134">
        <v>582</v>
      </c>
      <c r="S20" s="45">
        <v>111030</v>
      </c>
      <c r="T20" s="319"/>
    </row>
    <row r="21" spans="1:20">
      <c r="A21" s="100">
        <v>4</v>
      </c>
      <c r="B21" s="4" t="s">
        <v>90</v>
      </c>
      <c r="C21" s="10"/>
      <c r="D21" s="162">
        <v>683315</v>
      </c>
      <c r="E21" s="28">
        <v>8343860</v>
      </c>
      <c r="F21" s="28">
        <v>397864</v>
      </c>
      <c r="G21" s="28">
        <v>125712</v>
      </c>
      <c r="H21" s="134">
        <v>231530</v>
      </c>
      <c r="I21" s="28">
        <v>1053075</v>
      </c>
      <c r="J21" s="134">
        <v>27350</v>
      </c>
      <c r="K21" s="28">
        <v>1800</v>
      </c>
      <c r="L21" s="134">
        <v>6390</v>
      </c>
      <c r="M21" s="28">
        <v>2180</v>
      </c>
      <c r="N21" s="134"/>
      <c r="O21" s="28"/>
      <c r="P21" s="28"/>
      <c r="Q21" s="28">
        <v>2508</v>
      </c>
      <c r="R21" s="134">
        <v>7510</v>
      </c>
      <c r="S21" s="45">
        <v>55950</v>
      </c>
      <c r="T21" s="319"/>
    </row>
    <row r="22" spans="1:20">
      <c r="A22" s="100">
        <v>5</v>
      </c>
      <c r="B22" s="4" t="s">
        <v>91</v>
      </c>
      <c r="C22" s="10"/>
      <c r="D22" s="162">
        <v>110245</v>
      </c>
      <c r="E22" s="28">
        <v>617488</v>
      </c>
      <c r="F22" s="28">
        <v>24370</v>
      </c>
      <c r="G22" s="28">
        <v>3576</v>
      </c>
      <c r="H22" s="134">
        <v>116926</v>
      </c>
      <c r="I22" s="28">
        <v>65328</v>
      </c>
      <c r="J22" s="134">
        <v>196345</v>
      </c>
      <c r="K22" s="28">
        <v>20830</v>
      </c>
      <c r="L22" s="134">
        <v>26905</v>
      </c>
      <c r="M22" s="28">
        <v>1760</v>
      </c>
      <c r="N22" s="134">
        <v>350</v>
      </c>
      <c r="O22" s="28"/>
      <c r="P22" s="28">
        <v>4000</v>
      </c>
      <c r="Q22" s="28"/>
      <c r="R22" s="134"/>
      <c r="S22" s="45">
        <v>44500</v>
      </c>
      <c r="T22" s="319"/>
    </row>
    <row r="23" spans="1:20" ht="15">
      <c r="A23" s="100">
        <v>6</v>
      </c>
      <c r="B23" s="4" t="s">
        <v>92</v>
      </c>
      <c r="C23" s="248"/>
      <c r="D23" s="63">
        <v>2192495</v>
      </c>
      <c r="E23" s="28">
        <v>11639229</v>
      </c>
      <c r="F23" s="28">
        <v>2552671</v>
      </c>
      <c r="G23" s="28">
        <v>402689</v>
      </c>
      <c r="H23" s="28">
        <v>332188</v>
      </c>
      <c r="I23" s="28">
        <v>1153861</v>
      </c>
      <c r="J23" s="45">
        <v>35020</v>
      </c>
      <c r="K23" s="28">
        <v>940</v>
      </c>
      <c r="L23" s="123">
        <v>13570</v>
      </c>
      <c r="M23" s="28">
        <v>800</v>
      </c>
      <c r="N23" s="28">
        <v>3100</v>
      </c>
      <c r="O23" s="22"/>
      <c r="P23" s="28">
        <v>100</v>
      </c>
      <c r="Q23" s="28">
        <v>1552</v>
      </c>
      <c r="R23" s="134">
        <v>4200</v>
      </c>
      <c r="S23" s="45">
        <v>27875</v>
      </c>
      <c r="T23" s="319"/>
    </row>
    <row r="24" spans="1:20">
      <c r="A24" s="100">
        <v>7</v>
      </c>
      <c r="B24" s="4" t="s">
        <v>93</v>
      </c>
      <c r="C24" s="17"/>
      <c r="D24" s="162">
        <v>27879</v>
      </c>
      <c r="E24" s="28">
        <v>1229340</v>
      </c>
      <c r="F24" s="28">
        <v>11015</v>
      </c>
      <c r="G24" s="28">
        <v>11970</v>
      </c>
      <c r="H24" s="134">
        <v>35460</v>
      </c>
      <c r="I24" s="28">
        <v>78820</v>
      </c>
      <c r="J24" s="134"/>
      <c r="K24" s="28"/>
      <c r="L24" s="134"/>
      <c r="M24" s="28"/>
      <c r="N24" s="134"/>
      <c r="O24" s="28"/>
      <c r="P24" s="28"/>
      <c r="Q24" s="28">
        <v>285</v>
      </c>
      <c r="R24" s="134">
        <v>495</v>
      </c>
      <c r="S24" s="45">
        <v>18200</v>
      </c>
      <c r="T24" s="319"/>
    </row>
    <row r="25" spans="1:20">
      <c r="A25" s="100">
        <v>8</v>
      </c>
      <c r="B25" s="4" t="s">
        <v>94</v>
      </c>
      <c r="C25" s="10"/>
      <c r="D25" s="162">
        <v>1059960</v>
      </c>
      <c r="E25" s="28">
        <v>4804640</v>
      </c>
      <c r="F25" s="28">
        <v>39720</v>
      </c>
      <c r="G25" s="28">
        <v>63000</v>
      </c>
      <c r="H25" s="134">
        <v>287130</v>
      </c>
      <c r="I25" s="28">
        <v>231490</v>
      </c>
      <c r="J25" s="134">
        <v>11200</v>
      </c>
      <c r="K25" s="28">
        <v>520</v>
      </c>
      <c r="L25" s="134">
        <v>370</v>
      </c>
      <c r="M25" s="28"/>
      <c r="N25" s="134"/>
      <c r="O25" s="28"/>
      <c r="P25" s="28"/>
      <c r="Q25" s="28"/>
      <c r="R25" s="134"/>
      <c r="S25" s="45">
        <v>33810</v>
      </c>
      <c r="T25" s="319"/>
    </row>
    <row r="26" spans="1:20">
      <c r="A26" s="100">
        <v>9</v>
      </c>
      <c r="B26" s="4" t="s">
        <v>95</v>
      </c>
      <c r="C26" s="10"/>
      <c r="D26" s="162">
        <v>226690</v>
      </c>
      <c r="E26" s="28">
        <v>194070</v>
      </c>
      <c r="F26" s="28">
        <v>225470</v>
      </c>
      <c r="G26" s="28">
        <v>520</v>
      </c>
      <c r="H26" s="134">
        <v>10381390</v>
      </c>
      <c r="I26" s="28">
        <v>112325</v>
      </c>
      <c r="J26" s="134">
        <v>6476110</v>
      </c>
      <c r="K26" s="28">
        <v>2093395</v>
      </c>
      <c r="L26" s="134">
        <v>337640</v>
      </c>
      <c r="M26" s="28">
        <v>7863</v>
      </c>
      <c r="N26" s="134">
        <v>1500</v>
      </c>
      <c r="O26" s="205">
        <v>284880</v>
      </c>
      <c r="P26" s="28">
        <v>4030104</v>
      </c>
      <c r="Q26" s="28"/>
      <c r="R26" s="134"/>
      <c r="S26" s="45">
        <v>6600</v>
      </c>
      <c r="T26" s="319"/>
    </row>
    <row r="27" spans="1:20">
      <c r="A27" s="100">
        <v>10</v>
      </c>
      <c r="B27" s="4" t="s">
        <v>96</v>
      </c>
      <c r="C27" s="10"/>
      <c r="D27" s="162">
        <v>179100</v>
      </c>
      <c r="E27" s="28">
        <v>923189</v>
      </c>
      <c r="F27" s="28">
        <v>47414</v>
      </c>
      <c r="G27" s="28">
        <v>80714</v>
      </c>
      <c r="H27" s="134">
        <v>150362</v>
      </c>
      <c r="I27" s="28">
        <v>152960</v>
      </c>
      <c r="J27" s="134">
        <v>170570</v>
      </c>
      <c r="K27" s="28">
        <v>16510</v>
      </c>
      <c r="L27" s="134">
        <v>53945</v>
      </c>
      <c r="M27" s="28">
        <v>1800</v>
      </c>
      <c r="N27" s="134">
        <v>300</v>
      </c>
      <c r="O27" s="28"/>
      <c r="P27" s="28"/>
      <c r="Q27" s="28">
        <v>1985</v>
      </c>
      <c r="R27" s="134">
        <v>637</v>
      </c>
      <c r="S27" s="45">
        <v>243740</v>
      </c>
      <c r="T27" s="319"/>
    </row>
    <row r="28" spans="1:20">
      <c r="A28" s="100">
        <v>11</v>
      </c>
      <c r="B28" s="4" t="s">
        <v>97</v>
      </c>
      <c r="C28" s="10"/>
      <c r="D28" s="162">
        <v>44670</v>
      </c>
      <c r="E28" s="28">
        <v>50440</v>
      </c>
      <c r="F28" s="28">
        <v>3596</v>
      </c>
      <c r="G28" s="28">
        <v>830</v>
      </c>
      <c r="H28" s="134">
        <v>37719</v>
      </c>
      <c r="I28" s="28">
        <v>12910</v>
      </c>
      <c r="J28" s="134">
        <v>57650</v>
      </c>
      <c r="K28" s="28">
        <v>11460</v>
      </c>
      <c r="L28" s="134">
        <v>3310</v>
      </c>
      <c r="M28" s="28">
        <v>1060</v>
      </c>
      <c r="N28" s="134">
        <v>2000</v>
      </c>
      <c r="O28" s="28"/>
      <c r="P28" s="28"/>
      <c r="Q28" s="28">
        <v>1285</v>
      </c>
      <c r="R28" s="134">
        <v>3240</v>
      </c>
      <c r="S28" s="45">
        <v>500</v>
      </c>
      <c r="T28" s="319"/>
    </row>
    <row r="29" spans="1:20" ht="15">
      <c r="A29" s="100">
        <v>12</v>
      </c>
      <c r="B29" s="4" t="s">
        <v>98</v>
      </c>
      <c r="C29" s="248"/>
      <c r="D29" s="63">
        <v>37884</v>
      </c>
      <c r="E29" s="28">
        <v>212680</v>
      </c>
      <c r="F29" s="28">
        <v>33222</v>
      </c>
      <c r="G29" s="28">
        <v>577</v>
      </c>
      <c r="H29" s="28">
        <v>41487</v>
      </c>
      <c r="I29" s="28">
        <v>125860</v>
      </c>
      <c r="J29" s="45">
        <v>55915</v>
      </c>
      <c r="K29" s="28">
        <v>3650</v>
      </c>
      <c r="L29" s="123">
        <v>16107</v>
      </c>
      <c r="M29" s="28"/>
      <c r="N29" s="28">
        <v>915</v>
      </c>
      <c r="O29" s="28">
        <v>2610</v>
      </c>
      <c r="P29" s="28"/>
      <c r="Q29" s="28"/>
      <c r="R29" s="134">
        <v>30</v>
      </c>
      <c r="S29" s="45">
        <v>77270</v>
      </c>
      <c r="T29" s="319"/>
    </row>
    <row r="30" spans="1:20">
      <c r="A30" s="100">
        <v>13</v>
      </c>
      <c r="B30" s="4" t="s">
        <v>99</v>
      </c>
      <c r="C30" s="17"/>
      <c r="D30" s="162">
        <v>158477</v>
      </c>
      <c r="E30" s="28">
        <v>712000</v>
      </c>
      <c r="F30" s="28">
        <v>3555</v>
      </c>
      <c r="G30" s="28">
        <v>134090</v>
      </c>
      <c r="H30" s="134">
        <v>45555</v>
      </c>
      <c r="I30" s="28">
        <v>21150</v>
      </c>
      <c r="J30" s="134">
        <v>81605</v>
      </c>
      <c r="K30" s="28">
        <v>3300</v>
      </c>
      <c r="L30" s="134">
        <v>3400</v>
      </c>
      <c r="M30" s="28">
        <v>5</v>
      </c>
      <c r="N30" s="134"/>
      <c r="O30" s="22"/>
      <c r="P30" s="28"/>
      <c r="Q30" s="28">
        <v>73</v>
      </c>
      <c r="R30" s="27">
        <v>1409</v>
      </c>
      <c r="S30" s="45">
        <v>12850</v>
      </c>
      <c r="T30" s="319"/>
    </row>
    <row r="31" spans="1:20">
      <c r="A31" s="100">
        <v>14</v>
      </c>
      <c r="B31" s="4" t="s">
        <v>100</v>
      </c>
      <c r="C31" s="10"/>
      <c r="D31" s="162">
        <v>682265</v>
      </c>
      <c r="E31" s="28">
        <v>1850983</v>
      </c>
      <c r="F31" s="28">
        <v>418017</v>
      </c>
      <c r="G31" s="28">
        <v>12150</v>
      </c>
      <c r="H31" s="134">
        <v>3836653</v>
      </c>
      <c r="I31" s="28">
        <v>629582</v>
      </c>
      <c r="J31" s="134">
        <v>312335</v>
      </c>
      <c r="K31" s="28">
        <v>45305</v>
      </c>
      <c r="L31" s="134">
        <v>107203</v>
      </c>
      <c r="M31" s="28">
        <v>1010</v>
      </c>
      <c r="N31" s="134">
        <v>1430</v>
      </c>
      <c r="O31" s="28">
        <v>1385</v>
      </c>
      <c r="P31" s="28"/>
      <c r="Q31" s="28">
        <v>3112</v>
      </c>
      <c r="R31" s="134"/>
      <c r="S31" s="45">
        <v>301547</v>
      </c>
      <c r="T31" s="319"/>
    </row>
    <row r="32" spans="1:20">
      <c r="A32" s="100">
        <v>15</v>
      </c>
      <c r="B32" s="4" t="s">
        <v>101</v>
      </c>
      <c r="C32" s="10"/>
      <c r="D32" s="162">
        <v>59383</v>
      </c>
      <c r="E32" s="28">
        <v>429540</v>
      </c>
      <c r="F32" s="28">
        <v>25643</v>
      </c>
      <c r="G32" s="28">
        <v>3060</v>
      </c>
      <c r="H32" s="134">
        <v>172766</v>
      </c>
      <c r="I32" s="28">
        <v>140530</v>
      </c>
      <c r="J32" s="134">
        <v>191402</v>
      </c>
      <c r="K32" s="28">
        <v>20501</v>
      </c>
      <c r="L32" s="134">
        <v>13900</v>
      </c>
      <c r="M32" s="28">
        <v>16</v>
      </c>
      <c r="N32" s="134">
        <v>500</v>
      </c>
      <c r="O32" s="28"/>
      <c r="P32" s="28">
        <v>300</v>
      </c>
      <c r="Q32" s="28">
        <v>4320</v>
      </c>
      <c r="R32" s="134">
        <v>330</v>
      </c>
      <c r="S32" s="45">
        <v>772350</v>
      </c>
      <c r="T32" s="319"/>
    </row>
    <row r="33" spans="1:20">
      <c r="A33" s="100">
        <v>16</v>
      </c>
      <c r="B33" s="4" t="s">
        <v>102</v>
      </c>
      <c r="C33" s="10"/>
      <c r="D33" s="162">
        <v>347041</v>
      </c>
      <c r="E33" s="28">
        <v>871843</v>
      </c>
      <c r="F33" s="28">
        <v>291169</v>
      </c>
      <c r="G33" s="28">
        <v>5990</v>
      </c>
      <c r="H33" s="134">
        <v>495449</v>
      </c>
      <c r="I33" s="28">
        <v>549434</v>
      </c>
      <c r="J33" s="134">
        <v>53000</v>
      </c>
      <c r="K33" s="28">
        <v>10503</v>
      </c>
      <c r="L33" s="134">
        <v>46500</v>
      </c>
      <c r="M33" s="28">
        <v>4025</v>
      </c>
      <c r="N33" s="134">
        <v>1258</v>
      </c>
      <c r="O33" s="28">
        <v>6128</v>
      </c>
      <c r="P33" s="28"/>
      <c r="Q33" s="28">
        <v>4775</v>
      </c>
      <c r="R33" s="134"/>
      <c r="S33" s="45">
        <v>147937</v>
      </c>
      <c r="T33" s="319"/>
    </row>
    <row r="34" spans="1:20">
      <c r="A34" s="100">
        <v>17</v>
      </c>
      <c r="B34" s="4" t="s">
        <v>301</v>
      </c>
      <c r="C34" s="10"/>
      <c r="D34" s="162">
        <v>162630</v>
      </c>
      <c r="E34" s="28">
        <v>877097</v>
      </c>
      <c r="F34" s="28">
        <v>51505</v>
      </c>
      <c r="G34" s="28">
        <v>7809</v>
      </c>
      <c r="H34" s="134">
        <v>244760</v>
      </c>
      <c r="I34" s="28">
        <v>88672</v>
      </c>
      <c r="J34" s="134">
        <v>25150</v>
      </c>
      <c r="K34" s="28">
        <v>5304</v>
      </c>
      <c r="L34" s="134">
        <v>3350</v>
      </c>
      <c r="M34" s="28"/>
      <c r="N34" s="134"/>
      <c r="O34" s="28"/>
      <c r="P34" s="28"/>
      <c r="Q34" s="28">
        <v>1342</v>
      </c>
      <c r="R34" s="134">
        <v>26</v>
      </c>
      <c r="S34" s="45">
        <v>384500</v>
      </c>
      <c r="T34" s="319"/>
    </row>
    <row r="35" spans="1:20" ht="15">
      <c r="A35" s="100">
        <v>18</v>
      </c>
      <c r="B35" s="4" t="s">
        <v>302</v>
      </c>
      <c r="C35" s="248"/>
      <c r="D35" s="63">
        <v>670432</v>
      </c>
      <c r="E35" s="28">
        <v>3531325</v>
      </c>
      <c r="F35" s="28">
        <v>716043</v>
      </c>
      <c r="G35" s="28">
        <v>164265</v>
      </c>
      <c r="H35" s="28">
        <v>1352653</v>
      </c>
      <c r="I35" s="28">
        <v>432796</v>
      </c>
      <c r="J35" s="45">
        <v>448149</v>
      </c>
      <c r="K35" s="28">
        <v>31392</v>
      </c>
      <c r="L35" s="123">
        <v>45600</v>
      </c>
      <c r="M35" s="28">
        <v>6690</v>
      </c>
      <c r="N35" s="28">
        <v>250</v>
      </c>
      <c r="O35" s="28"/>
      <c r="P35" s="28"/>
      <c r="Q35" s="28">
        <v>150</v>
      </c>
      <c r="R35" s="134"/>
      <c r="S35" s="45">
        <v>114124</v>
      </c>
      <c r="T35" s="319"/>
    </row>
    <row r="36" spans="1:20">
      <c r="A36" s="100">
        <v>19</v>
      </c>
      <c r="B36" s="4" t="s">
        <v>105</v>
      </c>
      <c r="C36" s="17"/>
      <c r="D36" s="162">
        <v>50530</v>
      </c>
      <c r="E36" s="28">
        <v>1024528</v>
      </c>
      <c r="F36" s="28">
        <v>87144</v>
      </c>
      <c r="G36" s="28">
        <v>21280</v>
      </c>
      <c r="H36" s="134">
        <v>176959</v>
      </c>
      <c r="I36" s="28">
        <v>130715</v>
      </c>
      <c r="J36" s="134">
        <v>468760</v>
      </c>
      <c r="K36" s="28">
        <v>139650</v>
      </c>
      <c r="L36" s="134">
        <v>30690</v>
      </c>
      <c r="M36" s="28">
        <v>300</v>
      </c>
      <c r="N36" s="134">
        <v>40</v>
      </c>
      <c r="O36" s="22"/>
      <c r="P36" s="28"/>
      <c r="Q36" s="28">
        <v>3005</v>
      </c>
      <c r="R36" s="134">
        <v>16599</v>
      </c>
      <c r="S36" s="45">
        <v>1200</v>
      </c>
      <c r="T36" s="319"/>
    </row>
    <row r="37" spans="1:20">
      <c r="A37" s="100">
        <v>20</v>
      </c>
      <c r="B37" s="4" t="s">
        <v>106</v>
      </c>
      <c r="C37" s="10"/>
      <c r="D37" s="162">
        <v>333023</v>
      </c>
      <c r="E37" s="28">
        <v>590622</v>
      </c>
      <c r="F37" s="28">
        <v>18028</v>
      </c>
      <c r="G37" s="28">
        <v>4506</v>
      </c>
      <c r="H37" s="134">
        <v>11195</v>
      </c>
      <c r="I37" s="28">
        <v>35850</v>
      </c>
      <c r="J37" s="134">
        <v>4247588</v>
      </c>
      <c r="K37" s="28">
        <v>419835</v>
      </c>
      <c r="L37" s="134">
        <v>212773</v>
      </c>
      <c r="M37" s="28">
        <v>600</v>
      </c>
      <c r="N37" s="134">
        <v>1200</v>
      </c>
      <c r="O37" s="28">
        <v>17185</v>
      </c>
      <c r="P37" s="28"/>
      <c r="Q37" s="28">
        <v>2168</v>
      </c>
      <c r="R37" s="134">
        <v>3372</v>
      </c>
      <c r="S37" s="45">
        <v>74954</v>
      </c>
      <c r="T37" s="319"/>
    </row>
    <row r="38" spans="1:20">
      <c r="A38" s="100">
        <v>21</v>
      </c>
      <c r="B38" s="4" t="s">
        <v>107</v>
      </c>
      <c r="C38" s="10"/>
      <c r="D38" s="162">
        <v>357462</v>
      </c>
      <c r="E38" s="28">
        <v>3130374</v>
      </c>
      <c r="F38" s="28">
        <v>100260</v>
      </c>
      <c r="G38" s="28">
        <v>18212</v>
      </c>
      <c r="H38" s="134">
        <v>575225</v>
      </c>
      <c r="I38" s="28">
        <v>275500</v>
      </c>
      <c r="J38" s="134">
        <v>17552</v>
      </c>
      <c r="K38" s="28">
        <v>985</v>
      </c>
      <c r="L38" s="134">
        <v>545</v>
      </c>
      <c r="M38" s="28">
        <v>400</v>
      </c>
      <c r="N38" s="134"/>
      <c r="O38" s="28"/>
      <c r="P38" s="28"/>
      <c r="Q38" s="28">
        <v>125</v>
      </c>
      <c r="R38" s="134"/>
      <c r="S38" s="45">
        <v>5380</v>
      </c>
      <c r="T38" s="319"/>
    </row>
    <row r="39" spans="1:20">
      <c r="A39" s="214">
        <v>22</v>
      </c>
      <c r="B39" s="96" t="s">
        <v>108</v>
      </c>
      <c r="C39" s="10"/>
      <c r="D39" s="162">
        <v>2121803</v>
      </c>
      <c r="E39" s="28">
        <v>28304893</v>
      </c>
      <c r="F39" s="28">
        <v>1209502</v>
      </c>
      <c r="G39" s="28">
        <v>270510</v>
      </c>
      <c r="H39" s="134">
        <v>1356536</v>
      </c>
      <c r="I39" s="28">
        <v>1894890</v>
      </c>
      <c r="J39" s="134">
        <v>863174</v>
      </c>
      <c r="K39" s="28">
        <v>78550</v>
      </c>
      <c r="L39" s="134">
        <v>130870</v>
      </c>
      <c r="M39" s="28">
        <v>16710</v>
      </c>
      <c r="N39" s="134">
        <v>1412</v>
      </c>
      <c r="O39" s="28"/>
      <c r="P39" s="28"/>
      <c r="Q39" s="28">
        <v>14344</v>
      </c>
      <c r="R39" s="134">
        <v>900</v>
      </c>
      <c r="S39" s="45">
        <v>660800</v>
      </c>
      <c r="T39" s="319"/>
    </row>
    <row r="40" spans="1:20">
      <c r="A40" s="100">
        <v>23</v>
      </c>
      <c r="B40" s="4" t="s">
        <v>109</v>
      </c>
      <c r="C40" s="10"/>
      <c r="D40" s="162">
        <v>175120</v>
      </c>
      <c r="E40" s="28">
        <v>373130</v>
      </c>
      <c r="F40" s="28">
        <v>40850</v>
      </c>
      <c r="G40" s="28">
        <v>17800</v>
      </c>
      <c r="H40" s="134">
        <v>83250</v>
      </c>
      <c r="I40" s="28">
        <v>23919</v>
      </c>
      <c r="J40" s="134">
        <v>4900</v>
      </c>
      <c r="K40" s="28">
        <v>50</v>
      </c>
      <c r="L40" s="134"/>
      <c r="M40" s="22"/>
      <c r="N40" s="134"/>
      <c r="O40" s="28"/>
      <c r="P40" s="28"/>
      <c r="Q40" s="28">
        <v>300</v>
      </c>
      <c r="R40" s="134">
        <v>8835</v>
      </c>
      <c r="S40" s="45">
        <v>202950</v>
      </c>
      <c r="T40" s="319"/>
    </row>
    <row r="41" spans="1:20">
      <c r="A41" s="100">
        <v>24</v>
      </c>
      <c r="B41" s="4" t="s">
        <v>110</v>
      </c>
      <c r="C41" s="10"/>
      <c r="D41" s="63">
        <v>30228</v>
      </c>
      <c r="E41" s="28">
        <v>1149905</v>
      </c>
      <c r="F41" s="205">
        <v>42715</v>
      </c>
      <c r="G41" s="134">
        <v>1000</v>
      </c>
      <c r="H41" s="28">
        <v>1014009</v>
      </c>
      <c r="I41" s="134">
        <v>5275</v>
      </c>
      <c r="J41" s="28">
        <v>5877589</v>
      </c>
      <c r="K41" s="134">
        <v>2134462</v>
      </c>
      <c r="L41" s="28">
        <v>329592</v>
      </c>
      <c r="M41" s="28">
        <v>54455</v>
      </c>
      <c r="N41" s="28">
        <v>4640</v>
      </c>
      <c r="O41" s="28">
        <v>1081373</v>
      </c>
      <c r="P41" s="28">
        <v>2015695</v>
      </c>
      <c r="Q41" s="28">
        <v>50</v>
      </c>
      <c r="R41" s="134">
        <v>57</v>
      </c>
      <c r="S41" s="45">
        <v>6100</v>
      </c>
      <c r="T41" s="319"/>
    </row>
    <row r="42" spans="1:20" ht="15">
      <c r="A42" s="100">
        <v>25</v>
      </c>
      <c r="B42" s="4" t="s">
        <v>111</v>
      </c>
      <c r="C42" s="248"/>
      <c r="D42" s="63">
        <v>310206</v>
      </c>
      <c r="E42" s="205">
        <v>1155210</v>
      </c>
      <c r="F42" s="28">
        <v>169184</v>
      </c>
      <c r="G42" s="28">
        <v>415</v>
      </c>
      <c r="H42" s="28">
        <v>175052</v>
      </c>
      <c r="I42" s="28">
        <v>73470</v>
      </c>
      <c r="J42" s="45">
        <v>336810</v>
      </c>
      <c r="K42" s="28">
        <v>31375</v>
      </c>
      <c r="L42" s="123">
        <v>23860</v>
      </c>
      <c r="M42" s="134">
        <v>6325</v>
      </c>
      <c r="N42" s="28">
        <v>800</v>
      </c>
      <c r="O42" s="32"/>
      <c r="P42" s="28"/>
      <c r="Q42" s="28">
        <v>1506</v>
      </c>
      <c r="R42" s="134">
        <v>839</v>
      </c>
      <c r="S42" s="45">
        <v>28600</v>
      </c>
      <c r="T42" s="319"/>
    </row>
    <row r="43" spans="1:20">
      <c r="A43" s="100">
        <v>26</v>
      </c>
      <c r="B43" s="4" t="s">
        <v>112</v>
      </c>
      <c r="C43" s="17"/>
      <c r="D43" s="162">
        <v>50647</v>
      </c>
      <c r="E43" s="28">
        <v>412091</v>
      </c>
      <c r="F43" s="28">
        <v>8735</v>
      </c>
      <c r="G43" s="28">
        <v>3064</v>
      </c>
      <c r="H43" s="134">
        <v>172393</v>
      </c>
      <c r="I43" s="28">
        <v>131104</v>
      </c>
      <c r="J43" s="134">
        <v>2840</v>
      </c>
      <c r="K43" s="28">
        <v>690</v>
      </c>
      <c r="L43" s="134">
        <v>5133</v>
      </c>
      <c r="M43" s="22"/>
      <c r="N43" s="134"/>
      <c r="O43" s="205"/>
      <c r="P43" s="28"/>
      <c r="Q43" s="28">
        <v>1877</v>
      </c>
      <c r="R43" s="134">
        <v>4330</v>
      </c>
      <c r="S43" s="45">
        <v>2233404</v>
      </c>
      <c r="T43" s="319"/>
    </row>
    <row r="44" spans="1:20">
      <c r="A44" s="100">
        <v>27</v>
      </c>
      <c r="B44" s="4" t="s">
        <v>113</v>
      </c>
      <c r="C44" s="10"/>
      <c r="D44" s="162">
        <v>280116</v>
      </c>
      <c r="E44" s="28">
        <v>1368183</v>
      </c>
      <c r="F44" s="28">
        <v>385913</v>
      </c>
      <c r="G44" s="28">
        <v>37530</v>
      </c>
      <c r="H44" s="134">
        <v>581607</v>
      </c>
      <c r="I44" s="28">
        <v>998630</v>
      </c>
      <c r="J44" s="134">
        <v>770770</v>
      </c>
      <c r="K44" s="28">
        <v>47128</v>
      </c>
      <c r="L44" s="134">
        <v>72364</v>
      </c>
      <c r="M44" s="28">
        <v>9450</v>
      </c>
      <c r="N44" s="134">
        <v>87</v>
      </c>
      <c r="O44" s="22">
        <v>3115</v>
      </c>
      <c r="P44" s="28"/>
      <c r="Q44" s="28">
        <v>368</v>
      </c>
      <c r="R44" s="134"/>
      <c r="S44" s="45">
        <v>168700</v>
      </c>
      <c r="T44" s="319"/>
    </row>
    <row r="45" spans="1:20">
      <c r="A45" s="100">
        <v>28</v>
      </c>
      <c r="B45" s="4" t="s">
        <v>114</v>
      </c>
      <c r="C45" s="10"/>
      <c r="D45" s="162">
        <v>83280</v>
      </c>
      <c r="E45" s="28">
        <v>460110</v>
      </c>
      <c r="F45" s="28">
        <v>5780</v>
      </c>
      <c r="G45" s="28">
        <v>700</v>
      </c>
      <c r="H45" s="134">
        <v>83784</v>
      </c>
      <c r="I45" s="28">
        <v>10079</v>
      </c>
      <c r="J45" s="134">
        <v>77190</v>
      </c>
      <c r="K45" s="28">
        <v>29850</v>
      </c>
      <c r="L45" s="134">
        <v>53830</v>
      </c>
      <c r="M45" s="28">
        <v>4540</v>
      </c>
      <c r="N45" s="134"/>
      <c r="O45" s="28"/>
      <c r="P45" s="28"/>
      <c r="Q45" s="28">
        <v>620</v>
      </c>
      <c r="R45" s="134">
        <v>1940</v>
      </c>
      <c r="S45" s="45"/>
      <c r="T45" s="319"/>
    </row>
    <row r="46" spans="1:20">
      <c r="A46" s="100">
        <v>29</v>
      </c>
      <c r="B46" s="4" t="s">
        <v>115</v>
      </c>
      <c r="C46" s="10"/>
      <c r="D46" s="162">
        <v>1834097</v>
      </c>
      <c r="E46" s="28">
        <v>5769230</v>
      </c>
      <c r="F46" s="28">
        <v>387055</v>
      </c>
      <c r="G46" s="28">
        <v>99585</v>
      </c>
      <c r="H46" s="134">
        <v>1014820</v>
      </c>
      <c r="I46" s="28">
        <v>507193</v>
      </c>
      <c r="J46" s="134">
        <v>754045</v>
      </c>
      <c r="K46" s="28">
        <v>69122</v>
      </c>
      <c r="L46" s="134">
        <v>60470</v>
      </c>
      <c r="M46" s="28">
        <v>38617</v>
      </c>
      <c r="N46" s="134">
        <v>2</v>
      </c>
      <c r="O46" s="22"/>
      <c r="P46" s="28"/>
      <c r="Q46" s="28">
        <v>1264</v>
      </c>
      <c r="R46" s="134">
        <v>1410</v>
      </c>
      <c r="S46" s="45">
        <v>129305</v>
      </c>
      <c r="T46" s="319"/>
    </row>
    <row r="47" spans="1:20">
      <c r="A47" s="100">
        <v>30</v>
      </c>
      <c r="B47" s="4" t="s">
        <v>116</v>
      </c>
      <c r="C47" s="10"/>
      <c r="D47" s="162">
        <v>217500</v>
      </c>
      <c r="E47" s="28">
        <v>1409740</v>
      </c>
      <c r="F47" s="28">
        <v>360038</v>
      </c>
      <c r="G47" s="28">
        <v>19175</v>
      </c>
      <c r="H47" s="134">
        <v>533790</v>
      </c>
      <c r="I47" s="28">
        <v>185400</v>
      </c>
      <c r="J47" s="134">
        <v>30</v>
      </c>
      <c r="K47" s="28"/>
      <c r="L47" s="134"/>
      <c r="M47" s="28"/>
      <c r="N47" s="134"/>
      <c r="O47" s="28"/>
      <c r="P47" s="28"/>
      <c r="Q47" s="28">
        <v>309</v>
      </c>
      <c r="R47" s="134">
        <v>8701</v>
      </c>
      <c r="S47" s="45">
        <v>11030</v>
      </c>
      <c r="T47" s="319"/>
    </row>
    <row r="48" spans="1:20" ht="15">
      <c r="A48" s="100">
        <v>31</v>
      </c>
      <c r="B48" s="4" t="s">
        <v>117</v>
      </c>
      <c r="C48" s="248"/>
      <c r="D48" s="162">
        <v>194891</v>
      </c>
      <c r="E48" s="28">
        <v>1670742</v>
      </c>
      <c r="F48" s="28">
        <v>2360</v>
      </c>
      <c r="G48" s="28">
        <v>22710</v>
      </c>
      <c r="H48" s="28">
        <v>423343</v>
      </c>
      <c r="I48" s="28">
        <v>23161</v>
      </c>
      <c r="J48" s="45">
        <v>54981</v>
      </c>
      <c r="K48" s="28">
        <v>10590</v>
      </c>
      <c r="L48" s="123">
        <v>6100</v>
      </c>
      <c r="M48" s="28">
        <v>218</v>
      </c>
      <c r="N48" s="28"/>
      <c r="O48" s="28"/>
      <c r="P48" s="28"/>
      <c r="Q48" s="28">
        <v>10</v>
      </c>
      <c r="R48" s="134">
        <v>680</v>
      </c>
      <c r="S48" s="45">
        <v>297437</v>
      </c>
      <c r="T48" s="319"/>
    </row>
    <row r="49" spans="1:20">
      <c r="A49" s="100">
        <v>32</v>
      </c>
      <c r="B49" s="4" t="s">
        <v>118</v>
      </c>
      <c r="C49" s="17"/>
      <c r="D49" s="162">
        <v>267650</v>
      </c>
      <c r="E49" s="28">
        <v>2655079</v>
      </c>
      <c r="F49" s="28">
        <v>10960</v>
      </c>
      <c r="G49" s="28">
        <v>16520</v>
      </c>
      <c r="H49" s="134">
        <v>75045</v>
      </c>
      <c r="I49" s="28">
        <v>4570</v>
      </c>
      <c r="J49" s="134">
        <v>155275</v>
      </c>
      <c r="K49" s="28">
        <v>9800</v>
      </c>
      <c r="L49" s="134">
        <v>23700</v>
      </c>
      <c r="M49" s="28">
        <v>1300</v>
      </c>
      <c r="N49" s="134">
        <v>50</v>
      </c>
      <c r="O49" s="28"/>
      <c r="P49" s="28"/>
      <c r="Q49" s="28">
        <v>130</v>
      </c>
      <c r="R49" s="134">
        <v>15</v>
      </c>
      <c r="S49" s="45">
        <v>206640</v>
      </c>
      <c r="T49" s="319"/>
    </row>
    <row r="50" spans="1:20">
      <c r="A50" s="100">
        <v>33</v>
      </c>
      <c r="B50" s="4" t="s">
        <v>119</v>
      </c>
      <c r="C50" s="10"/>
      <c r="D50" s="162">
        <v>26326</v>
      </c>
      <c r="E50" s="28">
        <v>123120</v>
      </c>
      <c r="F50" s="28">
        <v>3552</v>
      </c>
      <c r="G50" s="28">
        <v>1736</v>
      </c>
      <c r="H50" s="134">
        <v>450</v>
      </c>
      <c r="I50" s="28">
        <v>2450</v>
      </c>
      <c r="J50" s="134"/>
      <c r="K50" s="28"/>
      <c r="L50" s="134">
        <v>300</v>
      </c>
      <c r="M50" s="22"/>
      <c r="N50" s="134"/>
      <c r="O50" s="22"/>
      <c r="P50" s="28"/>
      <c r="Q50" s="28"/>
      <c r="R50" s="134"/>
      <c r="S50" s="45">
        <v>300</v>
      </c>
      <c r="T50" s="319"/>
    </row>
    <row r="51" spans="1:20">
      <c r="A51" s="100">
        <v>34</v>
      </c>
      <c r="B51" s="4" t="s">
        <v>120</v>
      </c>
      <c r="C51" s="10"/>
      <c r="D51" s="162">
        <v>106280</v>
      </c>
      <c r="E51" s="28">
        <v>328265</v>
      </c>
      <c r="F51" s="28">
        <v>24553</v>
      </c>
      <c r="G51" s="28">
        <v>2415</v>
      </c>
      <c r="H51" s="134">
        <v>79789</v>
      </c>
      <c r="I51" s="28">
        <v>11814</v>
      </c>
      <c r="J51" s="134">
        <v>38260</v>
      </c>
      <c r="K51" s="28">
        <v>5420</v>
      </c>
      <c r="L51" s="134">
        <v>6630</v>
      </c>
      <c r="M51" s="28">
        <v>900</v>
      </c>
      <c r="N51" s="134"/>
      <c r="O51" s="22"/>
      <c r="P51" s="28"/>
      <c r="Q51" s="28">
        <v>1625</v>
      </c>
      <c r="R51" s="134"/>
      <c r="S51" s="45">
        <v>164695</v>
      </c>
      <c r="T51" s="319"/>
    </row>
    <row r="52" spans="1:20">
      <c r="A52" s="100">
        <v>35</v>
      </c>
      <c r="B52" s="4" t="s">
        <v>121</v>
      </c>
      <c r="C52" s="10"/>
      <c r="D52" s="63">
        <v>134007</v>
      </c>
      <c r="E52" s="28">
        <v>3851916</v>
      </c>
      <c r="F52" s="28">
        <v>176184</v>
      </c>
      <c r="G52" s="28">
        <v>3730</v>
      </c>
      <c r="H52" s="134">
        <v>5473332</v>
      </c>
      <c r="I52" s="28">
        <v>292420</v>
      </c>
      <c r="J52" s="134">
        <v>10510896</v>
      </c>
      <c r="K52" s="28">
        <v>5499000</v>
      </c>
      <c r="L52" s="134">
        <v>244549</v>
      </c>
      <c r="M52" s="28">
        <v>20500</v>
      </c>
      <c r="N52" s="134">
        <v>2</v>
      </c>
      <c r="O52" s="28">
        <v>19616</v>
      </c>
      <c r="P52" s="28"/>
      <c r="Q52" s="28">
        <v>501</v>
      </c>
      <c r="R52" s="134">
        <v>30</v>
      </c>
      <c r="S52" s="45">
        <v>195711</v>
      </c>
      <c r="T52" s="319"/>
    </row>
    <row r="53" spans="1:20">
      <c r="A53" s="100">
        <v>36</v>
      </c>
      <c r="B53" s="4" t="s">
        <v>122</v>
      </c>
      <c r="C53" s="10"/>
      <c r="D53" s="162">
        <v>271887</v>
      </c>
      <c r="E53" s="28">
        <v>226423</v>
      </c>
      <c r="F53" s="28">
        <v>79741</v>
      </c>
      <c r="G53" s="28">
        <v>3110</v>
      </c>
      <c r="H53" s="134">
        <v>304230</v>
      </c>
      <c r="I53" s="28">
        <v>62120</v>
      </c>
      <c r="J53" s="134">
        <v>126576</v>
      </c>
      <c r="K53" s="28">
        <v>5918</v>
      </c>
      <c r="L53" s="134">
        <v>39626</v>
      </c>
      <c r="M53" s="28">
        <v>7850</v>
      </c>
      <c r="N53" s="134">
        <v>3</v>
      </c>
      <c r="O53" s="28"/>
      <c r="P53" s="28"/>
      <c r="Q53" s="28">
        <v>578</v>
      </c>
      <c r="R53" s="134">
        <v>7726</v>
      </c>
      <c r="S53" s="45">
        <v>297120</v>
      </c>
      <c r="T53" s="319"/>
    </row>
    <row r="54" spans="1:20" ht="15">
      <c r="A54" s="100">
        <v>37</v>
      </c>
      <c r="B54" s="4" t="s">
        <v>123</v>
      </c>
      <c r="C54" s="248"/>
      <c r="D54" s="63">
        <v>82432</v>
      </c>
      <c r="E54" s="28">
        <v>377679</v>
      </c>
      <c r="F54" s="28">
        <v>7141</v>
      </c>
      <c r="G54" s="28">
        <v>910</v>
      </c>
      <c r="H54" s="28">
        <v>53491</v>
      </c>
      <c r="I54" s="28">
        <v>562</v>
      </c>
      <c r="J54" s="45">
        <v>40185</v>
      </c>
      <c r="K54" s="28">
        <v>7194</v>
      </c>
      <c r="L54" s="123">
        <v>30162</v>
      </c>
      <c r="M54" s="28"/>
      <c r="N54" s="28"/>
      <c r="O54" s="28"/>
      <c r="P54" s="28"/>
      <c r="Q54" s="28"/>
      <c r="R54" s="134">
        <v>2</v>
      </c>
      <c r="S54" s="45">
        <v>96531</v>
      </c>
      <c r="T54" s="319"/>
    </row>
    <row r="55" spans="1:20">
      <c r="A55" s="100">
        <v>38</v>
      </c>
      <c r="B55" s="4" t="s">
        <v>124</v>
      </c>
      <c r="C55" s="17"/>
      <c r="D55" s="162">
        <v>56894</v>
      </c>
      <c r="E55" s="28">
        <v>489610</v>
      </c>
      <c r="F55" s="28">
        <v>19345</v>
      </c>
      <c r="G55" s="28">
        <v>24871</v>
      </c>
      <c r="H55" s="134">
        <v>89400</v>
      </c>
      <c r="I55" s="28">
        <v>147495</v>
      </c>
      <c r="J55" s="134">
        <v>238940</v>
      </c>
      <c r="K55" s="28">
        <v>25990</v>
      </c>
      <c r="L55" s="134">
        <v>25570</v>
      </c>
      <c r="M55" s="28">
        <v>10</v>
      </c>
      <c r="N55" s="134">
        <v>5745</v>
      </c>
      <c r="O55" s="28"/>
      <c r="P55" s="28"/>
      <c r="Q55" s="28">
        <v>70</v>
      </c>
      <c r="R55" s="134"/>
      <c r="S55" s="45">
        <v>12230</v>
      </c>
      <c r="T55" s="319"/>
    </row>
    <row r="56" spans="1:20">
      <c r="A56" s="100">
        <v>39</v>
      </c>
      <c r="B56" s="4" t="s">
        <v>125</v>
      </c>
      <c r="C56" s="10"/>
      <c r="D56" s="162">
        <v>174677</v>
      </c>
      <c r="E56" s="28">
        <v>914801</v>
      </c>
      <c r="F56" s="28">
        <v>132216</v>
      </c>
      <c r="G56" s="28">
        <v>5230</v>
      </c>
      <c r="H56" s="134">
        <v>708559</v>
      </c>
      <c r="I56" s="28">
        <v>33443</v>
      </c>
      <c r="J56" s="134">
        <v>1703266</v>
      </c>
      <c r="K56" s="28">
        <v>132577</v>
      </c>
      <c r="L56" s="134">
        <v>157615</v>
      </c>
      <c r="M56" s="28">
        <v>23532</v>
      </c>
      <c r="N56" s="134">
        <v>7</v>
      </c>
      <c r="O56" s="22">
        <v>2260</v>
      </c>
      <c r="P56" s="28">
        <v>243</v>
      </c>
      <c r="Q56" s="28">
        <v>541</v>
      </c>
      <c r="R56" s="134">
        <v>30</v>
      </c>
      <c r="S56" s="45">
        <v>46375</v>
      </c>
      <c r="T56" s="319"/>
    </row>
    <row r="57" spans="1:20">
      <c r="A57" s="100">
        <v>40</v>
      </c>
      <c r="B57" s="4" t="s">
        <v>126</v>
      </c>
      <c r="C57" s="10"/>
      <c r="D57" s="162">
        <v>73932</v>
      </c>
      <c r="E57" s="28">
        <v>757640</v>
      </c>
      <c r="F57" s="28">
        <v>6456</v>
      </c>
      <c r="G57" s="28">
        <v>762</v>
      </c>
      <c r="H57" s="134">
        <v>92634</v>
      </c>
      <c r="I57" s="28">
        <v>233395</v>
      </c>
      <c r="J57" s="134">
        <v>334989</v>
      </c>
      <c r="K57" s="28">
        <v>4615</v>
      </c>
      <c r="L57" s="134">
        <v>47082</v>
      </c>
      <c r="M57" s="28">
        <v>350</v>
      </c>
      <c r="N57" s="134">
        <v>2100</v>
      </c>
      <c r="O57" s="22">
        <v>15800</v>
      </c>
      <c r="P57" s="28"/>
      <c r="Q57" s="28">
        <v>500</v>
      </c>
      <c r="R57" s="134">
        <v>2876</v>
      </c>
      <c r="S57" s="45">
        <v>75735</v>
      </c>
      <c r="T57" s="319"/>
    </row>
    <row r="58" spans="1:20">
      <c r="A58" s="100">
        <v>41</v>
      </c>
      <c r="B58" s="4" t="s">
        <v>127</v>
      </c>
      <c r="C58" s="10"/>
      <c r="D58" s="162">
        <v>39200</v>
      </c>
      <c r="E58" s="28">
        <v>176784</v>
      </c>
      <c r="F58" s="28">
        <v>324934</v>
      </c>
      <c r="G58" s="28">
        <v>800</v>
      </c>
      <c r="H58" s="134">
        <v>200520</v>
      </c>
      <c r="I58" s="28">
        <v>121766</v>
      </c>
      <c r="J58" s="134">
        <v>1162610</v>
      </c>
      <c r="K58" s="28">
        <v>297385</v>
      </c>
      <c r="L58" s="134">
        <v>1117785</v>
      </c>
      <c r="M58" s="28">
        <v>4190</v>
      </c>
      <c r="N58" s="134">
        <v>1270</v>
      </c>
      <c r="O58" s="28">
        <v>74190</v>
      </c>
      <c r="P58" s="28">
        <v>70</v>
      </c>
      <c r="Q58" s="28"/>
      <c r="R58" s="134"/>
      <c r="S58" s="45">
        <v>8310</v>
      </c>
      <c r="T58" s="319"/>
    </row>
    <row r="59" spans="1:20">
      <c r="A59" s="100">
        <v>42</v>
      </c>
      <c r="B59" s="4" t="s">
        <v>303</v>
      </c>
      <c r="C59" s="10"/>
      <c r="D59" s="162">
        <v>194155</v>
      </c>
      <c r="E59" s="28">
        <v>1547750</v>
      </c>
      <c r="F59" s="28">
        <v>32934</v>
      </c>
      <c r="G59" s="28">
        <v>9565</v>
      </c>
      <c r="H59" s="134">
        <v>216320</v>
      </c>
      <c r="I59" s="28">
        <v>403745</v>
      </c>
      <c r="J59" s="134">
        <v>1187840</v>
      </c>
      <c r="K59" s="28">
        <v>154420</v>
      </c>
      <c r="L59" s="134">
        <v>85680</v>
      </c>
      <c r="M59" s="28"/>
      <c r="N59" s="134"/>
      <c r="O59" s="22"/>
      <c r="P59" s="28"/>
      <c r="Q59" s="28">
        <v>1970</v>
      </c>
      <c r="R59" s="29">
        <v>50</v>
      </c>
      <c r="S59" s="45">
        <v>56390</v>
      </c>
      <c r="T59" s="319"/>
    </row>
    <row r="60" spans="1:20" ht="15">
      <c r="A60" s="175">
        <v>43</v>
      </c>
      <c r="B60" s="111" t="s">
        <v>129</v>
      </c>
      <c r="C60" s="248"/>
      <c r="D60" s="63">
        <v>146050</v>
      </c>
      <c r="E60" s="28">
        <v>1475680</v>
      </c>
      <c r="F60" s="28">
        <v>104050</v>
      </c>
      <c r="G60" s="28">
        <v>3700</v>
      </c>
      <c r="H60" s="28">
        <v>128636</v>
      </c>
      <c r="I60" s="28">
        <v>272105</v>
      </c>
      <c r="J60" s="45">
        <v>781950</v>
      </c>
      <c r="K60" s="28">
        <v>62550</v>
      </c>
      <c r="L60" s="123">
        <v>20500</v>
      </c>
      <c r="M60" s="28">
        <v>5000</v>
      </c>
      <c r="N60" s="28">
        <v>500</v>
      </c>
      <c r="O60" s="28"/>
      <c r="P60" s="28"/>
      <c r="Q60" s="28">
        <v>11083</v>
      </c>
      <c r="R60" s="134">
        <v>11032</v>
      </c>
      <c r="S60" s="45">
        <v>50200</v>
      </c>
      <c r="T60" s="319"/>
    </row>
    <row r="61" spans="1:20">
      <c r="A61" s="175">
        <v>44</v>
      </c>
      <c r="B61" s="111" t="s">
        <v>130</v>
      </c>
      <c r="C61" s="17"/>
      <c r="D61" s="162">
        <v>2368792</v>
      </c>
      <c r="E61" s="28">
        <v>724006</v>
      </c>
      <c r="F61" s="28">
        <v>334698</v>
      </c>
      <c r="G61" s="28">
        <v>11885</v>
      </c>
      <c r="H61" s="134">
        <v>509300</v>
      </c>
      <c r="I61" s="28">
        <v>180614</v>
      </c>
      <c r="J61" s="134">
        <v>549119</v>
      </c>
      <c r="K61" s="28">
        <v>211028</v>
      </c>
      <c r="L61" s="134">
        <v>70004</v>
      </c>
      <c r="M61" s="28">
        <v>2010</v>
      </c>
      <c r="N61" s="134">
        <v>2600</v>
      </c>
      <c r="O61" s="28">
        <v>4765</v>
      </c>
      <c r="P61" s="28"/>
      <c r="Q61" s="28">
        <v>6609</v>
      </c>
      <c r="R61" s="134">
        <v>2450</v>
      </c>
      <c r="S61" s="45">
        <v>122670</v>
      </c>
      <c r="T61" s="319"/>
    </row>
    <row r="62" spans="1:20">
      <c r="A62" s="175">
        <v>45</v>
      </c>
      <c r="B62" s="111" t="s">
        <v>131</v>
      </c>
      <c r="C62" s="10"/>
      <c r="D62" s="162">
        <v>603942</v>
      </c>
      <c r="E62" s="28">
        <v>3317014</v>
      </c>
      <c r="F62" s="205">
        <v>159910</v>
      </c>
      <c r="G62" s="28">
        <v>74070</v>
      </c>
      <c r="H62" s="134">
        <v>351692</v>
      </c>
      <c r="I62" s="28">
        <v>308120</v>
      </c>
      <c r="J62" s="134">
        <v>81600</v>
      </c>
      <c r="K62" s="28">
        <v>12290</v>
      </c>
      <c r="L62" s="134">
        <v>26104</v>
      </c>
      <c r="M62" s="28">
        <v>1536</v>
      </c>
      <c r="N62" s="134"/>
      <c r="O62" s="22"/>
      <c r="P62" s="28"/>
      <c r="Q62" s="28">
        <v>1224</v>
      </c>
      <c r="R62" s="134">
        <v>100</v>
      </c>
      <c r="S62" s="45">
        <v>124692</v>
      </c>
      <c r="T62" s="319"/>
    </row>
    <row r="63" spans="1:20">
      <c r="A63" s="175">
        <v>46</v>
      </c>
      <c r="B63" s="111" t="s">
        <v>132</v>
      </c>
      <c r="C63" s="10"/>
      <c r="D63" s="162">
        <v>10032</v>
      </c>
      <c r="E63" s="28">
        <v>255510</v>
      </c>
      <c r="F63" s="28">
        <v>14133</v>
      </c>
      <c r="G63" s="28">
        <v>3390</v>
      </c>
      <c r="H63" s="134">
        <v>18328</v>
      </c>
      <c r="I63" s="28">
        <v>49014</v>
      </c>
      <c r="J63" s="134">
        <v>800</v>
      </c>
      <c r="K63" s="28">
        <v>80</v>
      </c>
      <c r="L63" s="134"/>
      <c r="M63" s="28"/>
      <c r="N63" s="134"/>
      <c r="O63" s="28"/>
      <c r="P63" s="28"/>
      <c r="Q63" s="28">
        <v>65</v>
      </c>
      <c r="R63" s="134">
        <v>1558</v>
      </c>
      <c r="S63" s="45">
        <v>900</v>
      </c>
      <c r="T63" s="319"/>
    </row>
    <row r="64" spans="1:20">
      <c r="A64" s="175">
        <v>47</v>
      </c>
      <c r="B64" s="111" t="s">
        <v>133</v>
      </c>
      <c r="C64" s="10"/>
      <c r="D64" s="162">
        <v>221640</v>
      </c>
      <c r="E64" s="28">
        <v>1211786</v>
      </c>
      <c r="F64" s="28">
        <v>769000</v>
      </c>
      <c r="G64" s="28">
        <v>27662</v>
      </c>
      <c r="H64" s="134">
        <v>1270979</v>
      </c>
      <c r="I64" s="28">
        <v>377890</v>
      </c>
      <c r="J64" s="134">
        <v>1854200</v>
      </c>
      <c r="K64" s="28">
        <v>442343</v>
      </c>
      <c r="L64" s="134">
        <v>61050</v>
      </c>
      <c r="M64" s="28">
        <v>1370</v>
      </c>
      <c r="N64" s="134">
        <v>400</v>
      </c>
      <c r="O64" s="28">
        <v>600</v>
      </c>
      <c r="P64" s="28"/>
      <c r="Q64" s="28">
        <v>3580</v>
      </c>
      <c r="R64" s="134">
        <v>435</v>
      </c>
      <c r="S64" s="45">
        <v>28585</v>
      </c>
      <c r="T64" s="319"/>
    </row>
    <row r="65" spans="1:20">
      <c r="A65" s="175">
        <v>48</v>
      </c>
      <c r="B65" s="111" t="s">
        <v>134</v>
      </c>
      <c r="C65" s="10"/>
      <c r="D65" s="162">
        <v>152470</v>
      </c>
      <c r="E65" s="28">
        <v>836530</v>
      </c>
      <c r="F65" s="28">
        <v>64670</v>
      </c>
      <c r="G65" s="28">
        <v>335</v>
      </c>
      <c r="H65" s="134">
        <v>75950</v>
      </c>
      <c r="I65" s="28">
        <v>107615</v>
      </c>
      <c r="J65" s="134">
        <v>785800</v>
      </c>
      <c r="K65" s="28">
        <v>49230</v>
      </c>
      <c r="L65" s="134">
        <v>104380</v>
      </c>
      <c r="M65" s="28">
        <v>1600</v>
      </c>
      <c r="N65" s="134">
        <v>600</v>
      </c>
      <c r="O65" s="205">
        <v>62374</v>
      </c>
      <c r="P65" s="28"/>
      <c r="Q65" s="28"/>
      <c r="R65" s="134">
        <v>20920</v>
      </c>
      <c r="S65" s="45">
        <v>78200</v>
      </c>
      <c r="T65" s="319"/>
    </row>
    <row r="66" spans="1:20" ht="15">
      <c r="A66" s="175">
        <v>49</v>
      </c>
      <c r="B66" s="111" t="s">
        <v>135</v>
      </c>
      <c r="C66" s="248"/>
      <c r="D66" s="63">
        <v>262377</v>
      </c>
      <c r="E66" s="28">
        <v>3528460</v>
      </c>
      <c r="F66" s="28">
        <v>196712</v>
      </c>
      <c r="G66" s="28">
        <v>59460</v>
      </c>
      <c r="H66" s="28">
        <v>151530</v>
      </c>
      <c r="I66" s="28">
        <v>261970</v>
      </c>
      <c r="J66" s="45">
        <v>9260</v>
      </c>
      <c r="K66" s="28">
        <v>375</v>
      </c>
      <c r="L66" s="123">
        <v>14440</v>
      </c>
      <c r="M66" s="28"/>
      <c r="N66" s="28"/>
      <c r="O66" s="28"/>
      <c r="P66" s="28"/>
      <c r="Q66" s="28">
        <v>303</v>
      </c>
      <c r="R66" s="29">
        <v>300</v>
      </c>
      <c r="S66" s="45">
        <v>70140</v>
      </c>
      <c r="T66" s="319"/>
    </row>
    <row r="67" spans="1:20">
      <c r="A67" s="175">
        <v>50</v>
      </c>
      <c r="B67" s="111" t="s">
        <v>136</v>
      </c>
      <c r="C67" s="17"/>
      <c r="D67" s="162">
        <v>7076</v>
      </c>
      <c r="E67" s="28">
        <v>29763</v>
      </c>
      <c r="F67" s="28">
        <v>215</v>
      </c>
      <c r="G67" s="28"/>
      <c r="H67" s="134">
        <v>7777</v>
      </c>
      <c r="I67" s="28">
        <v>2177</v>
      </c>
      <c r="J67" s="134">
        <v>79040</v>
      </c>
      <c r="K67" s="28">
        <v>7890</v>
      </c>
      <c r="L67" s="134">
        <v>5715</v>
      </c>
      <c r="M67" s="28"/>
      <c r="N67" s="134"/>
      <c r="O67" s="28"/>
      <c r="P67" s="28"/>
      <c r="Q67" s="28">
        <v>217</v>
      </c>
      <c r="R67" s="134">
        <v>2032</v>
      </c>
      <c r="S67" s="45">
        <v>45878</v>
      </c>
      <c r="T67" s="319"/>
    </row>
    <row r="68" spans="1:20">
      <c r="A68" s="218">
        <v>51</v>
      </c>
      <c r="B68" s="111" t="s">
        <v>137</v>
      </c>
      <c r="C68" s="10"/>
      <c r="D68" s="162">
        <v>759697</v>
      </c>
      <c r="E68" s="28">
        <v>1805207</v>
      </c>
      <c r="F68" s="28">
        <v>135373</v>
      </c>
      <c r="G68" s="28">
        <v>25924</v>
      </c>
      <c r="H68" s="134">
        <v>504860</v>
      </c>
      <c r="I68" s="28">
        <v>488154</v>
      </c>
      <c r="J68" s="134">
        <v>2494207</v>
      </c>
      <c r="K68" s="28">
        <v>351556</v>
      </c>
      <c r="L68" s="134">
        <v>158695</v>
      </c>
      <c r="M68" s="28">
        <v>4908</v>
      </c>
      <c r="N68" s="134">
        <v>3432</v>
      </c>
      <c r="O68" s="28">
        <v>215</v>
      </c>
      <c r="P68" s="28"/>
      <c r="Q68" s="28">
        <v>5026</v>
      </c>
      <c r="R68" s="27"/>
      <c r="S68" s="45">
        <v>249386</v>
      </c>
      <c r="T68" s="319"/>
    </row>
    <row r="69" spans="1:20">
      <c r="A69" s="218">
        <v>52</v>
      </c>
      <c r="B69" s="111" t="s">
        <v>138</v>
      </c>
      <c r="C69" s="10"/>
      <c r="D69" s="162">
        <v>46249242</v>
      </c>
      <c r="E69" s="28">
        <v>7542165</v>
      </c>
      <c r="F69" s="28">
        <v>28727758</v>
      </c>
      <c r="G69" s="28">
        <v>1861450</v>
      </c>
      <c r="H69" s="134">
        <v>16750000</v>
      </c>
      <c r="I69" s="28">
        <v>9788327</v>
      </c>
      <c r="J69" s="134">
        <v>6694321</v>
      </c>
      <c r="K69" s="28">
        <v>4760038</v>
      </c>
      <c r="L69" s="134">
        <v>1374327</v>
      </c>
      <c r="M69" s="28">
        <v>8485</v>
      </c>
      <c r="N69" s="134">
        <v>34416</v>
      </c>
      <c r="O69" s="22">
        <v>6431</v>
      </c>
      <c r="P69" s="28"/>
      <c r="Q69" s="28">
        <v>23500</v>
      </c>
      <c r="R69" s="27">
        <v>187689</v>
      </c>
      <c r="S69" s="45">
        <v>239546</v>
      </c>
      <c r="T69" s="319"/>
    </row>
    <row r="70" spans="1:20">
      <c r="A70" s="218">
        <v>53</v>
      </c>
      <c r="B70" s="111" t="s">
        <v>139</v>
      </c>
      <c r="C70" s="10"/>
      <c r="D70" s="162">
        <v>11338</v>
      </c>
      <c r="E70" s="28">
        <v>76480</v>
      </c>
      <c r="F70" s="28">
        <v>1385</v>
      </c>
      <c r="G70" s="28">
        <v>150</v>
      </c>
      <c r="H70" s="134">
        <v>59512</v>
      </c>
      <c r="I70" s="28">
        <v>8325</v>
      </c>
      <c r="J70" s="134">
        <v>172325</v>
      </c>
      <c r="K70" s="28">
        <v>21865</v>
      </c>
      <c r="L70" s="134">
        <v>29150</v>
      </c>
      <c r="M70" s="28">
        <v>1500</v>
      </c>
      <c r="N70" s="134">
        <v>10</v>
      </c>
      <c r="O70" s="28">
        <v>83750</v>
      </c>
      <c r="P70" s="28">
        <v>538140</v>
      </c>
      <c r="Q70" s="28"/>
      <c r="R70" s="27">
        <v>10</v>
      </c>
      <c r="S70" s="45">
        <v>12550</v>
      </c>
      <c r="T70" s="319"/>
    </row>
    <row r="71" spans="1:20">
      <c r="A71" s="218">
        <v>54</v>
      </c>
      <c r="B71" s="111" t="s">
        <v>140</v>
      </c>
      <c r="C71" s="10"/>
      <c r="D71" s="162">
        <v>88370</v>
      </c>
      <c r="E71" s="28">
        <v>1424966</v>
      </c>
      <c r="F71" s="28">
        <v>24809</v>
      </c>
      <c r="G71" s="28">
        <v>22135</v>
      </c>
      <c r="H71" s="134">
        <v>263660</v>
      </c>
      <c r="I71" s="28">
        <v>59850</v>
      </c>
      <c r="J71" s="134">
        <v>114690</v>
      </c>
      <c r="K71" s="28">
        <v>10190</v>
      </c>
      <c r="L71" s="134">
        <v>11290</v>
      </c>
      <c r="M71" s="28">
        <v>1203</v>
      </c>
      <c r="N71" s="134">
        <v>40</v>
      </c>
      <c r="O71" s="28"/>
      <c r="P71" s="28"/>
      <c r="Q71" s="28">
        <v>508</v>
      </c>
      <c r="R71" s="21"/>
      <c r="S71" s="45">
        <v>38605</v>
      </c>
      <c r="T71" s="319"/>
    </row>
    <row r="72" spans="1:20">
      <c r="A72" s="218">
        <v>55</v>
      </c>
      <c r="B72" s="111" t="s">
        <v>141</v>
      </c>
      <c r="C72" s="10"/>
      <c r="D72" s="63">
        <v>724373</v>
      </c>
      <c r="E72" s="28">
        <v>1474840</v>
      </c>
      <c r="F72" s="28">
        <v>54232</v>
      </c>
      <c r="G72" s="134">
        <v>403</v>
      </c>
      <c r="H72" s="28">
        <v>48977</v>
      </c>
      <c r="I72" s="134">
        <v>90400</v>
      </c>
      <c r="J72" s="28">
        <v>1682780</v>
      </c>
      <c r="K72" s="28">
        <v>147650</v>
      </c>
      <c r="L72" s="28">
        <v>214551</v>
      </c>
      <c r="M72" s="28">
        <v>3450</v>
      </c>
      <c r="N72" s="28">
        <v>2333</v>
      </c>
      <c r="O72" s="28">
        <v>54324</v>
      </c>
      <c r="P72" s="28"/>
      <c r="Q72" s="28">
        <v>1998</v>
      </c>
      <c r="R72" s="27">
        <v>3351</v>
      </c>
      <c r="S72" s="45">
        <v>115820</v>
      </c>
      <c r="T72" s="319"/>
    </row>
    <row r="73" spans="1:20" ht="15">
      <c r="A73" s="218">
        <v>56</v>
      </c>
      <c r="B73" s="111" t="s">
        <v>142</v>
      </c>
      <c r="C73" s="248"/>
      <c r="D73" s="63">
        <v>1230</v>
      </c>
      <c r="E73" s="205">
        <v>3700</v>
      </c>
      <c r="F73" s="205">
        <v>6801</v>
      </c>
      <c r="G73" s="28">
        <v>100</v>
      </c>
      <c r="H73" s="28">
        <v>11620</v>
      </c>
      <c r="I73" s="28">
        <v>1787</v>
      </c>
      <c r="J73" s="45">
        <v>31650</v>
      </c>
      <c r="K73" s="28">
        <v>8100</v>
      </c>
      <c r="L73" s="123">
        <v>4870</v>
      </c>
      <c r="M73" s="28">
        <v>520</v>
      </c>
      <c r="N73" s="28">
        <v>100</v>
      </c>
      <c r="O73" s="28"/>
      <c r="P73" s="22"/>
      <c r="Q73" s="28"/>
      <c r="R73" s="27">
        <v>1340</v>
      </c>
      <c r="S73" s="45">
        <v>1414</v>
      </c>
      <c r="T73" s="319"/>
    </row>
    <row r="74" spans="1:20">
      <c r="A74" s="218">
        <v>57</v>
      </c>
      <c r="B74" s="111" t="s">
        <v>143</v>
      </c>
      <c r="C74" s="17"/>
      <c r="D74" s="162">
        <v>1800</v>
      </c>
      <c r="E74" s="28">
        <v>1600</v>
      </c>
      <c r="F74" s="28">
        <v>960</v>
      </c>
      <c r="G74" s="28"/>
      <c r="H74" s="134">
        <v>900</v>
      </c>
      <c r="I74" s="28">
        <v>1800</v>
      </c>
      <c r="J74" s="134">
        <v>1000</v>
      </c>
      <c r="K74" s="28">
        <v>1200</v>
      </c>
      <c r="L74" s="134">
        <v>120</v>
      </c>
      <c r="M74" s="28"/>
      <c r="N74" s="134"/>
      <c r="O74" s="205">
        <v>3000</v>
      </c>
      <c r="P74" s="28"/>
      <c r="Q74" s="28"/>
      <c r="R74" s="27"/>
      <c r="S74" s="45">
        <v>1610</v>
      </c>
      <c r="T74" s="319"/>
    </row>
    <row r="75" spans="1:20">
      <c r="A75" s="218">
        <v>58</v>
      </c>
      <c r="B75" s="111" t="s">
        <v>144</v>
      </c>
      <c r="C75" s="10"/>
      <c r="D75" s="162">
        <v>29432</v>
      </c>
      <c r="E75" s="28">
        <v>138774</v>
      </c>
      <c r="F75" s="28">
        <v>1671</v>
      </c>
      <c r="G75" s="28">
        <v>1870</v>
      </c>
      <c r="H75" s="134">
        <v>3585</v>
      </c>
      <c r="I75" s="28">
        <v>2138</v>
      </c>
      <c r="J75" s="134">
        <v>4426</v>
      </c>
      <c r="K75" s="28">
        <v>320</v>
      </c>
      <c r="L75" s="134">
        <v>300</v>
      </c>
      <c r="M75" s="28">
        <v>65</v>
      </c>
      <c r="N75" s="134"/>
      <c r="O75" s="22"/>
      <c r="P75" s="28"/>
      <c r="Q75" s="28">
        <v>120</v>
      </c>
      <c r="R75" s="27"/>
      <c r="S75" s="45">
        <v>63455</v>
      </c>
      <c r="T75" s="319"/>
    </row>
    <row r="76" spans="1:20">
      <c r="A76" s="218">
        <v>59</v>
      </c>
      <c r="B76" s="111" t="s">
        <v>145</v>
      </c>
      <c r="C76" s="17" t="s">
        <v>366</v>
      </c>
      <c r="D76" s="133">
        <v>46580</v>
      </c>
      <c r="E76" s="28">
        <v>350180</v>
      </c>
      <c r="F76" s="28">
        <v>18470</v>
      </c>
      <c r="G76" s="28">
        <v>2375</v>
      </c>
      <c r="H76" s="29">
        <v>22005</v>
      </c>
      <c r="I76" s="28">
        <v>17523</v>
      </c>
      <c r="J76" s="134">
        <v>219240</v>
      </c>
      <c r="K76" s="28">
        <v>8730</v>
      </c>
      <c r="L76" s="134">
        <v>12950</v>
      </c>
      <c r="M76" s="28"/>
      <c r="N76" s="134"/>
      <c r="O76" s="28">
        <v>120</v>
      </c>
      <c r="P76" s="28"/>
      <c r="Q76" s="28">
        <v>990</v>
      </c>
      <c r="R76" s="27">
        <v>1020</v>
      </c>
      <c r="S76" s="45">
        <v>87150</v>
      </c>
      <c r="T76" s="319"/>
    </row>
    <row r="77" spans="1:20">
      <c r="A77" s="218">
        <v>60</v>
      </c>
      <c r="B77" s="111" t="s">
        <v>146</v>
      </c>
      <c r="C77" s="10"/>
      <c r="D77" s="162">
        <v>598649</v>
      </c>
      <c r="E77" s="28">
        <v>2567034</v>
      </c>
      <c r="F77" s="28">
        <v>392107</v>
      </c>
      <c r="G77" s="28">
        <v>74688</v>
      </c>
      <c r="H77" s="134">
        <v>543680</v>
      </c>
      <c r="I77" s="28">
        <v>359558</v>
      </c>
      <c r="J77" s="134">
        <v>461650</v>
      </c>
      <c r="K77" s="28">
        <v>17782</v>
      </c>
      <c r="L77" s="134">
        <v>60185</v>
      </c>
      <c r="M77" s="28">
        <v>23022</v>
      </c>
      <c r="N77" s="134">
        <v>100</v>
      </c>
      <c r="O77" s="28"/>
      <c r="P77" s="28"/>
      <c r="Q77" s="28">
        <v>1506</v>
      </c>
      <c r="R77" s="27">
        <v>13314</v>
      </c>
      <c r="S77" s="45">
        <v>190771</v>
      </c>
      <c r="T77" s="319"/>
    </row>
    <row r="78" spans="1:20">
      <c r="A78" s="218">
        <v>61</v>
      </c>
      <c r="B78" s="111" t="s">
        <v>147</v>
      </c>
      <c r="C78" s="10"/>
      <c r="D78" s="162">
        <v>68884</v>
      </c>
      <c r="E78" s="28">
        <v>500740</v>
      </c>
      <c r="F78" s="28">
        <v>47450</v>
      </c>
      <c r="G78" s="28">
        <v>12211</v>
      </c>
      <c r="H78" s="134">
        <v>113017</v>
      </c>
      <c r="I78" s="28">
        <v>106428</v>
      </c>
      <c r="J78" s="134">
        <v>397</v>
      </c>
      <c r="K78" s="28"/>
      <c r="L78" s="134">
        <v>300</v>
      </c>
      <c r="M78" s="28"/>
      <c r="N78" s="134"/>
      <c r="O78" s="28"/>
      <c r="P78" s="28"/>
      <c r="Q78" s="28">
        <v>230</v>
      </c>
      <c r="R78" s="27">
        <v>446</v>
      </c>
      <c r="S78" s="45">
        <v>25230</v>
      </c>
      <c r="T78" s="319"/>
    </row>
    <row r="79" spans="1:20" ht="15">
      <c r="A79" s="218">
        <v>62</v>
      </c>
      <c r="B79" s="111" t="s">
        <v>148</v>
      </c>
      <c r="C79" s="248"/>
      <c r="D79" s="63">
        <v>131819</v>
      </c>
      <c r="E79" s="28">
        <v>905640</v>
      </c>
      <c r="F79" s="28">
        <v>53902</v>
      </c>
      <c r="G79" s="28">
        <v>8850</v>
      </c>
      <c r="H79" s="28">
        <v>427268</v>
      </c>
      <c r="I79" s="28">
        <v>219984</v>
      </c>
      <c r="J79" s="45">
        <v>984555</v>
      </c>
      <c r="K79" s="28">
        <v>199155</v>
      </c>
      <c r="L79" s="70">
        <v>90290</v>
      </c>
      <c r="M79" s="22">
        <v>1950</v>
      </c>
      <c r="N79" s="28">
        <v>2956</v>
      </c>
      <c r="O79" s="22">
        <v>3705</v>
      </c>
      <c r="P79" s="22"/>
      <c r="Q79" s="28">
        <v>245</v>
      </c>
      <c r="R79" s="27">
        <v>2138</v>
      </c>
      <c r="S79" s="45">
        <v>334870</v>
      </c>
      <c r="T79" s="319"/>
    </row>
    <row r="80" spans="1:20">
      <c r="A80" s="218">
        <v>63</v>
      </c>
      <c r="B80" s="111" t="s">
        <v>149</v>
      </c>
      <c r="C80" s="17"/>
      <c r="D80" s="162">
        <v>146029</v>
      </c>
      <c r="E80" s="28">
        <v>869321</v>
      </c>
      <c r="F80" s="28">
        <v>108690</v>
      </c>
      <c r="G80" s="28">
        <v>6450</v>
      </c>
      <c r="H80" s="134">
        <v>151916</v>
      </c>
      <c r="I80" s="28">
        <v>89252</v>
      </c>
      <c r="J80" s="134">
        <v>658425</v>
      </c>
      <c r="K80" s="28">
        <v>37335</v>
      </c>
      <c r="L80" s="134">
        <v>27910</v>
      </c>
      <c r="M80" s="28">
        <v>1480</v>
      </c>
      <c r="N80" s="134">
        <v>800</v>
      </c>
      <c r="O80" s="28">
        <v>650</v>
      </c>
      <c r="P80" s="28"/>
      <c r="Q80" s="28">
        <v>7154</v>
      </c>
      <c r="R80" s="27">
        <v>30459</v>
      </c>
      <c r="S80" s="45">
        <v>2440</v>
      </c>
      <c r="T80" s="319"/>
    </row>
    <row r="81" spans="1:20">
      <c r="A81" s="218">
        <v>64</v>
      </c>
      <c r="B81" s="111" t="s">
        <v>150</v>
      </c>
      <c r="C81" s="10"/>
      <c r="D81" s="162">
        <v>11400</v>
      </c>
      <c r="E81" s="28">
        <v>4235</v>
      </c>
      <c r="F81" s="28">
        <v>3200</v>
      </c>
      <c r="G81" s="28"/>
      <c r="H81" s="134">
        <v>28100</v>
      </c>
      <c r="I81" s="28">
        <v>350</v>
      </c>
      <c r="J81" s="134">
        <v>1060</v>
      </c>
      <c r="K81" s="28">
        <v>300</v>
      </c>
      <c r="L81" s="134">
        <v>1660</v>
      </c>
      <c r="M81" s="28">
        <v>100</v>
      </c>
      <c r="N81" s="134"/>
      <c r="O81" s="28"/>
      <c r="P81" s="28"/>
      <c r="Q81" s="28"/>
      <c r="R81" s="27"/>
      <c r="S81" s="45">
        <v>10000</v>
      </c>
      <c r="T81" s="319"/>
    </row>
    <row r="82" spans="1:20">
      <c r="A82" s="218">
        <v>65</v>
      </c>
      <c r="B82" s="111" t="s">
        <v>151</v>
      </c>
      <c r="C82" s="10"/>
      <c r="D82" s="162">
        <v>742126</v>
      </c>
      <c r="E82" s="28">
        <v>1434208</v>
      </c>
      <c r="F82" s="28">
        <v>354683</v>
      </c>
      <c r="G82" s="28">
        <v>9987</v>
      </c>
      <c r="H82" s="134">
        <v>608771</v>
      </c>
      <c r="I82" s="28">
        <v>92934</v>
      </c>
      <c r="J82" s="134">
        <v>354180</v>
      </c>
      <c r="K82" s="28">
        <v>38125</v>
      </c>
      <c r="L82" s="134">
        <v>69221</v>
      </c>
      <c r="M82" s="28">
        <v>15630</v>
      </c>
      <c r="N82" s="134">
        <v>6270</v>
      </c>
      <c r="O82" s="28"/>
      <c r="P82" s="28"/>
      <c r="Q82" s="28">
        <v>860</v>
      </c>
      <c r="R82" s="27">
        <v>2922</v>
      </c>
      <c r="S82" s="45">
        <v>178920</v>
      </c>
      <c r="T82" s="319"/>
    </row>
    <row r="83" spans="1:20">
      <c r="A83" s="218">
        <v>66</v>
      </c>
      <c r="B83" s="111" t="s">
        <v>152</v>
      </c>
      <c r="C83" s="10"/>
      <c r="D83" s="162">
        <v>5533480</v>
      </c>
      <c r="E83" s="28">
        <v>3782766</v>
      </c>
      <c r="F83" s="28">
        <v>9008823</v>
      </c>
      <c r="G83" s="28">
        <v>53370</v>
      </c>
      <c r="H83" s="134">
        <v>3667214</v>
      </c>
      <c r="I83" s="28">
        <v>6619946</v>
      </c>
      <c r="J83" s="134">
        <v>487041</v>
      </c>
      <c r="K83" s="28">
        <v>34755</v>
      </c>
      <c r="L83" s="134">
        <v>211240</v>
      </c>
      <c r="M83" s="28">
        <v>9515</v>
      </c>
      <c r="N83" s="134">
        <v>3836</v>
      </c>
      <c r="O83" s="28">
        <v>2040</v>
      </c>
      <c r="P83" s="28"/>
      <c r="Q83" s="28">
        <v>1551</v>
      </c>
      <c r="R83" s="27">
        <v>700</v>
      </c>
      <c r="S83" s="45">
        <v>74080</v>
      </c>
      <c r="T83" s="319"/>
    </row>
    <row r="84" spans="1:20">
      <c r="A84" s="218">
        <v>67</v>
      </c>
      <c r="B84" s="111" t="s">
        <v>153</v>
      </c>
      <c r="C84" s="10"/>
      <c r="D84" s="162">
        <v>161700</v>
      </c>
      <c r="E84" s="28">
        <v>1639490</v>
      </c>
      <c r="F84" s="28">
        <v>49540</v>
      </c>
      <c r="G84" s="28">
        <v>24375</v>
      </c>
      <c r="H84" s="134">
        <v>61635</v>
      </c>
      <c r="I84" s="28">
        <v>116920</v>
      </c>
      <c r="J84" s="134">
        <v>13200</v>
      </c>
      <c r="K84" s="28">
        <v>1660</v>
      </c>
      <c r="L84" s="134">
        <v>750</v>
      </c>
      <c r="M84" s="28"/>
      <c r="N84" s="134"/>
      <c r="O84" s="28"/>
      <c r="P84" s="28"/>
      <c r="Q84" s="28">
        <v>644</v>
      </c>
      <c r="R84" s="27">
        <v>2247</v>
      </c>
      <c r="S84" s="45">
        <v>19250</v>
      </c>
      <c r="T84" s="319"/>
    </row>
    <row r="85" spans="1:20" ht="15">
      <c r="A85" s="218">
        <v>68</v>
      </c>
      <c r="B85" s="111" t="s">
        <v>154</v>
      </c>
      <c r="C85" s="248"/>
      <c r="D85" s="63">
        <v>118317</v>
      </c>
      <c r="E85" s="28">
        <v>272339</v>
      </c>
      <c r="F85" s="28">
        <v>41960</v>
      </c>
      <c r="G85" s="28">
        <v>13750</v>
      </c>
      <c r="H85" s="28">
        <v>187849</v>
      </c>
      <c r="I85" s="28">
        <v>80560</v>
      </c>
      <c r="J85" s="45">
        <v>231935</v>
      </c>
      <c r="K85" s="28">
        <v>17730</v>
      </c>
      <c r="L85" s="70">
        <v>30310</v>
      </c>
      <c r="M85" s="22">
        <v>2000</v>
      </c>
      <c r="N85" s="28">
        <v>950</v>
      </c>
      <c r="O85" s="22"/>
      <c r="P85" s="22"/>
      <c r="Q85" s="28">
        <v>635</v>
      </c>
      <c r="R85" s="27"/>
      <c r="S85" s="45">
        <v>152630</v>
      </c>
      <c r="T85" s="319"/>
    </row>
    <row r="86" spans="1:20">
      <c r="A86" s="218">
        <v>69</v>
      </c>
      <c r="B86" s="111" t="s">
        <v>155</v>
      </c>
      <c r="C86" s="17"/>
      <c r="D86" s="162">
        <v>163704</v>
      </c>
      <c r="E86" s="28">
        <v>861374</v>
      </c>
      <c r="F86" s="28">
        <v>33228</v>
      </c>
      <c r="G86" s="28">
        <v>2170</v>
      </c>
      <c r="H86" s="134">
        <v>193218</v>
      </c>
      <c r="I86" s="28">
        <v>19504</v>
      </c>
      <c r="J86" s="134">
        <v>637515</v>
      </c>
      <c r="K86" s="28">
        <v>21405</v>
      </c>
      <c r="L86" s="134">
        <v>55610</v>
      </c>
      <c r="M86" s="28">
        <v>14644</v>
      </c>
      <c r="N86" s="134">
        <v>61</v>
      </c>
      <c r="O86" s="28">
        <v>108</v>
      </c>
      <c r="P86" s="28"/>
      <c r="Q86" s="28">
        <v>27</v>
      </c>
      <c r="R86" s="27">
        <v>2128</v>
      </c>
      <c r="S86" s="45">
        <v>8700</v>
      </c>
      <c r="T86" s="319"/>
    </row>
    <row r="87" spans="1:20">
      <c r="A87" s="218">
        <v>70</v>
      </c>
      <c r="B87" s="111" t="s">
        <v>156</v>
      </c>
      <c r="C87" s="10"/>
      <c r="D87" s="162">
        <v>340825</v>
      </c>
      <c r="E87" s="28">
        <v>579376</v>
      </c>
      <c r="F87" s="28">
        <v>236125</v>
      </c>
      <c r="G87" s="28">
        <v>2791</v>
      </c>
      <c r="H87" s="134">
        <v>1076750</v>
      </c>
      <c r="I87" s="28">
        <v>65063</v>
      </c>
      <c r="J87" s="134">
        <v>706200</v>
      </c>
      <c r="K87" s="28">
        <v>60354</v>
      </c>
      <c r="L87" s="134">
        <v>79255</v>
      </c>
      <c r="M87" s="28">
        <v>6600</v>
      </c>
      <c r="N87" s="29">
        <v>974</v>
      </c>
      <c r="O87" s="28"/>
      <c r="P87" s="28"/>
      <c r="Q87" s="28">
        <v>237</v>
      </c>
      <c r="R87" s="27">
        <v>9792</v>
      </c>
      <c r="S87" s="45">
        <v>26395</v>
      </c>
      <c r="T87" s="319"/>
    </row>
    <row r="88" spans="1:20">
      <c r="A88" s="218">
        <v>71</v>
      </c>
      <c r="B88" s="111" t="s">
        <v>157</v>
      </c>
      <c r="C88" s="10"/>
      <c r="D88" s="162">
        <v>11300</v>
      </c>
      <c r="E88" s="28">
        <v>311716</v>
      </c>
      <c r="F88" s="28">
        <v>3600</v>
      </c>
      <c r="G88" s="28">
        <v>650</v>
      </c>
      <c r="H88" s="134">
        <v>140205</v>
      </c>
      <c r="I88" s="28">
        <v>101175</v>
      </c>
      <c r="J88" s="134">
        <v>9000</v>
      </c>
      <c r="K88" s="28">
        <v>1600</v>
      </c>
      <c r="L88" s="134">
        <v>3250</v>
      </c>
      <c r="M88" s="28"/>
      <c r="N88" s="134"/>
      <c r="O88" s="28"/>
      <c r="P88" s="28"/>
      <c r="Q88" s="28">
        <v>1400</v>
      </c>
      <c r="R88" s="27"/>
      <c r="S88" s="45">
        <v>138500</v>
      </c>
      <c r="T88" s="319"/>
    </row>
    <row r="89" spans="1:20">
      <c r="A89" s="218">
        <v>72</v>
      </c>
      <c r="B89" s="111" t="s">
        <v>158</v>
      </c>
      <c r="C89" s="10"/>
      <c r="D89" s="162">
        <v>323330</v>
      </c>
      <c r="E89" s="28">
        <v>483608</v>
      </c>
      <c r="F89" s="28">
        <v>31108</v>
      </c>
      <c r="G89" s="28">
        <v>9785</v>
      </c>
      <c r="H89" s="134">
        <v>265360</v>
      </c>
      <c r="I89" s="28">
        <v>67610</v>
      </c>
      <c r="J89" s="134">
        <v>1179024</v>
      </c>
      <c r="K89" s="28">
        <v>88511</v>
      </c>
      <c r="L89" s="134">
        <v>49812</v>
      </c>
      <c r="M89" s="28">
        <v>880</v>
      </c>
      <c r="N89" s="134">
        <v>220</v>
      </c>
      <c r="O89" s="28"/>
      <c r="P89" s="28"/>
      <c r="Q89" s="28">
        <v>715</v>
      </c>
      <c r="R89" s="27">
        <v>465</v>
      </c>
      <c r="S89" s="45">
        <v>8591</v>
      </c>
      <c r="T89" s="319"/>
    </row>
    <row r="90" spans="1:20">
      <c r="A90" s="218">
        <v>73</v>
      </c>
      <c r="B90" s="111" t="s">
        <v>159</v>
      </c>
      <c r="C90" s="10"/>
      <c r="D90" s="162">
        <v>498889</v>
      </c>
      <c r="E90" s="28">
        <v>2931619</v>
      </c>
      <c r="F90" s="28">
        <v>110686</v>
      </c>
      <c r="G90" s="28">
        <v>14613</v>
      </c>
      <c r="H90" s="134">
        <v>82092</v>
      </c>
      <c r="I90" s="28">
        <v>376531</v>
      </c>
      <c r="J90" s="134">
        <v>30750</v>
      </c>
      <c r="K90" s="28">
        <v>2750</v>
      </c>
      <c r="L90" s="134">
        <v>4200</v>
      </c>
      <c r="M90" s="28">
        <v>1570</v>
      </c>
      <c r="N90" s="29">
        <v>75</v>
      </c>
      <c r="O90" s="28"/>
      <c r="P90" s="28"/>
      <c r="Q90" s="28">
        <v>2275</v>
      </c>
      <c r="R90" s="27">
        <v>6555</v>
      </c>
      <c r="S90" s="45">
        <v>53474</v>
      </c>
      <c r="T90" s="319"/>
    </row>
    <row r="91" spans="1:20" ht="15">
      <c r="A91" s="218">
        <v>74</v>
      </c>
      <c r="B91" s="111" t="s">
        <v>160</v>
      </c>
      <c r="C91" s="248"/>
      <c r="D91" s="63">
        <v>3406220</v>
      </c>
      <c r="E91" s="28">
        <v>1726280</v>
      </c>
      <c r="F91" s="28">
        <v>3388396</v>
      </c>
      <c r="G91" s="28">
        <v>29380</v>
      </c>
      <c r="H91" s="28">
        <v>240508</v>
      </c>
      <c r="I91" s="28">
        <v>92092</v>
      </c>
      <c r="J91" s="45">
        <v>845700</v>
      </c>
      <c r="K91" s="28">
        <v>98642</v>
      </c>
      <c r="L91" s="70">
        <v>76345</v>
      </c>
      <c r="M91" s="22">
        <v>100</v>
      </c>
      <c r="N91" s="134">
        <v>110</v>
      </c>
      <c r="O91" s="22">
        <v>3850</v>
      </c>
      <c r="P91" s="22"/>
      <c r="Q91" s="28">
        <v>513</v>
      </c>
      <c r="R91" s="27"/>
      <c r="S91" s="45">
        <v>39095</v>
      </c>
      <c r="T91" s="319"/>
    </row>
    <row r="92" spans="1:20">
      <c r="A92" s="218">
        <v>75</v>
      </c>
      <c r="B92" s="111" t="s">
        <v>161</v>
      </c>
      <c r="C92" s="17"/>
      <c r="D92" s="162">
        <v>219555</v>
      </c>
      <c r="E92" s="28">
        <v>865137</v>
      </c>
      <c r="F92" s="28">
        <v>210152</v>
      </c>
      <c r="G92" s="28">
        <v>23230</v>
      </c>
      <c r="H92" s="134">
        <v>2493309</v>
      </c>
      <c r="I92" s="28">
        <v>288160</v>
      </c>
      <c r="J92" s="134">
        <v>2208778</v>
      </c>
      <c r="K92" s="28">
        <v>624511</v>
      </c>
      <c r="L92" s="134">
        <v>201078</v>
      </c>
      <c r="M92" s="28">
        <v>23535</v>
      </c>
      <c r="N92" s="134">
        <v>1818</v>
      </c>
      <c r="O92" s="28">
        <v>3130</v>
      </c>
      <c r="P92" s="28">
        <v>325</v>
      </c>
      <c r="Q92" s="28">
        <v>1270</v>
      </c>
      <c r="R92" s="27">
        <v>60</v>
      </c>
      <c r="S92" s="45">
        <v>218292</v>
      </c>
      <c r="T92" s="319"/>
    </row>
    <row r="93" spans="1:20">
      <c r="A93" s="218">
        <v>76</v>
      </c>
      <c r="B93" s="111" t="s">
        <v>162</v>
      </c>
      <c r="C93" s="10"/>
      <c r="D93" s="162">
        <v>951515</v>
      </c>
      <c r="E93" s="28">
        <v>2354858</v>
      </c>
      <c r="F93" s="28">
        <v>992788</v>
      </c>
      <c r="G93" s="28">
        <v>185820</v>
      </c>
      <c r="H93" s="134">
        <v>2481307</v>
      </c>
      <c r="I93" s="28">
        <v>2729042</v>
      </c>
      <c r="J93" s="134">
        <v>2138707</v>
      </c>
      <c r="K93" s="28">
        <v>313455</v>
      </c>
      <c r="L93" s="134">
        <v>161142</v>
      </c>
      <c r="M93" s="28">
        <v>1440</v>
      </c>
      <c r="N93" s="28">
        <v>740</v>
      </c>
      <c r="O93" s="28"/>
      <c r="P93" s="28"/>
      <c r="Q93" s="28">
        <v>1655</v>
      </c>
      <c r="R93" s="27">
        <v>20570</v>
      </c>
      <c r="S93" s="45">
        <v>18800</v>
      </c>
      <c r="T93" s="319"/>
    </row>
    <row r="94" spans="1:20">
      <c r="A94" s="218">
        <v>77</v>
      </c>
      <c r="B94" s="111" t="s">
        <v>163</v>
      </c>
      <c r="C94" s="10"/>
      <c r="D94" s="162">
        <v>23200</v>
      </c>
      <c r="E94" s="28">
        <v>42272</v>
      </c>
      <c r="F94" s="28">
        <v>4600</v>
      </c>
      <c r="G94" s="28"/>
      <c r="H94" s="134">
        <v>10150</v>
      </c>
      <c r="I94" s="28">
        <v>10070</v>
      </c>
      <c r="J94" s="134">
        <v>234250</v>
      </c>
      <c r="K94" s="28">
        <v>31022</v>
      </c>
      <c r="L94" s="134">
        <v>51043</v>
      </c>
      <c r="M94" s="28"/>
      <c r="N94" s="134">
        <v>200</v>
      </c>
      <c r="O94" s="28"/>
      <c r="P94" s="28"/>
      <c r="Q94" s="28"/>
      <c r="R94" s="27"/>
      <c r="S94" s="45">
        <v>47900</v>
      </c>
      <c r="T94" s="319"/>
    </row>
    <row r="95" spans="1:20">
      <c r="A95" s="218">
        <v>78</v>
      </c>
      <c r="B95" s="111" t="s">
        <v>164</v>
      </c>
      <c r="C95" s="10"/>
      <c r="D95" s="162">
        <v>47458</v>
      </c>
      <c r="E95" s="28">
        <v>139975</v>
      </c>
      <c r="F95" s="28">
        <v>55020</v>
      </c>
      <c r="G95" s="28">
        <v>10500</v>
      </c>
      <c r="H95" s="134">
        <v>347886</v>
      </c>
      <c r="I95" s="28">
        <v>6048</v>
      </c>
      <c r="J95" s="134">
        <v>790340</v>
      </c>
      <c r="K95" s="28">
        <v>104990</v>
      </c>
      <c r="L95" s="134">
        <v>97805</v>
      </c>
      <c r="M95" s="28">
        <v>6660</v>
      </c>
      <c r="N95" s="134">
        <v>1250</v>
      </c>
      <c r="O95" s="28"/>
      <c r="P95" s="28"/>
      <c r="Q95" s="28">
        <v>800</v>
      </c>
      <c r="R95" s="27">
        <v>5365</v>
      </c>
      <c r="S95" s="45">
        <v>121465</v>
      </c>
      <c r="T95" s="319"/>
    </row>
    <row r="96" spans="1:20">
      <c r="A96" s="218">
        <v>79</v>
      </c>
      <c r="B96" s="111" t="s">
        <v>165</v>
      </c>
      <c r="C96" s="10"/>
      <c r="D96" s="162">
        <v>43000</v>
      </c>
      <c r="E96" s="28">
        <v>270508</v>
      </c>
      <c r="F96" s="28">
        <v>10700</v>
      </c>
      <c r="G96" s="28">
        <v>11200</v>
      </c>
      <c r="H96" s="134">
        <v>63050</v>
      </c>
      <c r="I96" s="28">
        <v>27691</v>
      </c>
      <c r="J96" s="134">
        <v>9400</v>
      </c>
      <c r="K96" s="28">
        <v>450</v>
      </c>
      <c r="L96" s="134">
        <v>3600</v>
      </c>
      <c r="M96" s="28"/>
      <c r="N96" s="134"/>
      <c r="O96" s="28"/>
      <c r="P96" s="28"/>
      <c r="Q96" s="28">
        <v>350</v>
      </c>
      <c r="R96" s="27">
        <v>202</v>
      </c>
      <c r="S96" s="45">
        <v>32225</v>
      </c>
      <c r="T96" s="319"/>
    </row>
    <row r="97" spans="1:20" ht="15">
      <c r="A97" s="218">
        <v>80</v>
      </c>
      <c r="B97" s="111" t="s">
        <v>166</v>
      </c>
      <c r="C97" s="248"/>
      <c r="D97" s="63">
        <v>159650</v>
      </c>
      <c r="E97" s="28">
        <v>312960</v>
      </c>
      <c r="F97" s="28">
        <v>71020</v>
      </c>
      <c r="G97" s="28">
        <v>7200</v>
      </c>
      <c r="H97" s="28">
        <v>54270</v>
      </c>
      <c r="I97" s="28">
        <v>301930</v>
      </c>
      <c r="J97" s="45">
        <v>290700</v>
      </c>
      <c r="K97" s="28">
        <v>34000</v>
      </c>
      <c r="L97" s="70">
        <v>8400</v>
      </c>
      <c r="M97" s="22"/>
      <c r="N97" s="134"/>
      <c r="O97" s="22"/>
      <c r="P97" s="22"/>
      <c r="Q97" s="28">
        <v>520</v>
      </c>
      <c r="R97" s="27">
        <v>3025</v>
      </c>
      <c r="S97" s="45">
        <v>29800</v>
      </c>
      <c r="T97" s="319"/>
    </row>
    <row r="98" spans="1:20">
      <c r="A98" s="218">
        <v>81</v>
      </c>
      <c r="B98" s="111" t="s">
        <v>167</v>
      </c>
      <c r="C98" s="17"/>
      <c r="D98" s="162">
        <v>116574</v>
      </c>
      <c r="E98" s="28">
        <v>7008983</v>
      </c>
      <c r="F98" s="28">
        <v>78966</v>
      </c>
      <c r="G98" s="28">
        <v>20190</v>
      </c>
      <c r="H98" s="134">
        <v>103800</v>
      </c>
      <c r="I98" s="28">
        <v>1628800</v>
      </c>
      <c r="J98" s="134">
        <v>50100</v>
      </c>
      <c r="K98" s="28">
        <v>20000</v>
      </c>
      <c r="L98" s="134">
        <v>6000</v>
      </c>
      <c r="M98" s="28">
        <v>550</v>
      </c>
      <c r="N98" s="134">
        <v>700</v>
      </c>
      <c r="O98" s="28"/>
      <c r="P98" s="28"/>
      <c r="Q98" s="28">
        <v>490</v>
      </c>
      <c r="R98" s="27">
        <v>6125</v>
      </c>
      <c r="S98" s="45">
        <v>39500</v>
      </c>
      <c r="T98" s="319"/>
    </row>
    <row r="99" spans="1:20">
      <c r="A99" s="218">
        <v>82</v>
      </c>
      <c r="B99" s="111" t="s">
        <v>168</v>
      </c>
      <c r="C99" s="10"/>
      <c r="D99" s="162">
        <v>2162431</v>
      </c>
      <c r="E99" s="28">
        <v>4822608</v>
      </c>
      <c r="F99" s="28">
        <v>2723169</v>
      </c>
      <c r="G99" s="28">
        <v>127715</v>
      </c>
      <c r="H99" s="134">
        <v>3412789</v>
      </c>
      <c r="I99" s="28">
        <v>5846375</v>
      </c>
      <c r="J99" s="134">
        <v>1283160</v>
      </c>
      <c r="K99" s="28">
        <v>598328</v>
      </c>
      <c r="L99" s="134">
        <v>221476</v>
      </c>
      <c r="M99" s="28">
        <v>2180</v>
      </c>
      <c r="N99" s="28">
        <v>2980</v>
      </c>
      <c r="O99" s="28">
        <v>7080</v>
      </c>
      <c r="P99" s="28">
        <v>5</v>
      </c>
      <c r="Q99" s="28">
        <v>5095</v>
      </c>
      <c r="R99" s="169">
        <v>2100</v>
      </c>
      <c r="S99" s="315">
        <v>1450</v>
      </c>
      <c r="T99" s="319"/>
    </row>
    <row r="100" spans="1:20">
      <c r="A100" s="219"/>
      <c r="B100" s="240"/>
      <c r="C100" s="12"/>
      <c r="D100" s="265"/>
      <c r="E100" s="206"/>
      <c r="F100" s="206"/>
      <c r="G100" s="206"/>
      <c r="H100" s="256"/>
      <c r="I100" s="206"/>
      <c r="J100" s="256"/>
      <c r="K100" s="206"/>
      <c r="L100" s="256"/>
      <c r="M100" s="206"/>
      <c r="N100" s="256"/>
      <c r="O100" s="206"/>
      <c r="P100" s="206"/>
      <c r="Q100" s="206"/>
      <c r="R100" s="27"/>
      <c r="S100" s="317"/>
      <c r="T100" s="319"/>
    </row>
    <row r="101" spans="1:20" ht="15">
      <c r="A101" s="220" t="s">
        <v>86</v>
      </c>
      <c r="B101" s="232"/>
      <c r="C101" s="10"/>
      <c r="D101" s="133">
        <f>SUM(D18:D99)</f>
        <v>82827660</v>
      </c>
      <c r="E101" s="28">
        <f>SUM(E18:E99)</f>
        <v>158817024</v>
      </c>
      <c r="F101" s="28">
        <f t="shared" ref="F101:S101" si="1">SUM(F18:F99)</f>
        <v>57871512</v>
      </c>
      <c r="G101" s="28">
        <f t="shared" si="1"/>
        <v>4381995</v>
      </c>
      <c r="H101" s="28">
        <f t="shared" si="1"/>
        <v>71931053</v>
      </c>
      <c r="I101" s="28">
        <f t="shared" si="1"/>
        <v>41845211</v>
      </c>
      <c r="J101" s="28">
        <f t="shared" si="1"/>
        <v>68687237</v>
      </c>
      <c r="K101" s="28">
        <f t="shared" si="1"/>
        <v>19988466</v>
      </c>
      <c r="L101" s="28">
        <f t="shared" si="1"/>
        <v>7178831</v>
      </c>
      <c r="M101" s="28">
        <f t="shared" si="1"/>
        <v>534390</v>
      </c>
      <c r="N101" s="28">
        <f t="shared" si="1"/>
        <v>102027</v>
      </c>
      <c r="O101" s="28">
        <f t="shared" si="1"/>
        <v>1756871</v>
      </c>
      <c r="P101" s="28">
        <f t="shared" si="1"/>
        <v>6618032</v>
      </c>
      <c r="Q101" s="28">
        <f t="shared" si="1"/>
        <v>138984</v>
      </c>
      <c r="R101" s="28">
        <f t="shared" si="1"/>
        <v>426557</v>
      </c>
      <c r="S101" s="28">
        <f t="shared" si="1"/>
        <v>10628595</v>
      </c>
      <c r="T101" s="319"/>
    </row>
    <row r="102" spans="1:20" ht="16" thickBot="1">
      <c r="A102" s="221"/>
      <c r="B102" s="233"/>
      <c r="C102" s="251"/>
      <c r="D102" s="252"/>
      <c r="E102" s="208"/>
      <c r="F102" s="208"/>
      <c r="G102" s="208"/>
      <c r="H102" s="208"/>
      <c r="I102" s="208"/>
      <c r="J102" s="253"/>
      <c r="K102" s="208"/>
      <c r="L102" s="253"/>
      <c r="M102" s="208"/>
      <c r="N102" s="253"/>
      <c r="O102" s="208"/>
      <c r="P102" s="208"/>
      <c r="Q102" s="186"/>
      <c r="R102" s="186"/>
      <c r="S102" s="276"/>
      <c r="T102" s="319"/>
    </row>
    <row r="103" spans="1:20" ht="15" thickTop="1">
      <c r="A103" s="222" t="s">
        <v>21</v>
      </c>
      <c r="B103" s="97"/>
      <c r="C103" s="10"/>
      <c r="D103" s="63"/>
      <c r="E103" s="32"/>
      <c r="F103" s="320"/>
      <c r="G103" s="32"/>
      <c r="H103" s="22"/>
      <c r="I103" s="32"/>
      <c r="J103" s="22"/>
      <c r="K103" s="32"/>
      <c r="L103" s="22"/>
      <c r="M103" s="32"/>
      <c r="N103" s="22"/>
      <c r="O103" s="32"/>
      <c r="P103" s="22"/>
      <c r="Q103" s="22"/>
      <c r="R103" s="22"/>
      <c r="S103" s="23"/>
      <c r="T103" s="319"/>
    </row>
    <row r="104" spans="1:20" ht="15">
      <c r="A104" s="145">
        <v>83</v>
      </c>
      <c r="B104" s="4" t="s">
        <v>169</v>
      </c>
      <c r="C104" s="248"/>
      <c r="D104" s="63">
        <v>44000</v>
      </c>
      <c r="E104" s="22">
        <v>3140300</v>
      </c>
      <c r="F104" s="22">
        <v>3600</v>
      </c>
      <c r="G104" s="22">
        <v>4800</v>
      </c>
      <c r="H104" s="22">
        <v>246500</v>
      </c>
      <c r="I104" s="22">
        <v>30200</v>
      </c>
      <c r="J104" s="23">
        <v>202400</v>
      </c>
      <c r="K104" s="22">
        <v>56480</v>
      </c>
      <c r="L104" s="70">
        <v>72510</v>
      </c>
      <c r="M104" s="22">
        <v>170</v>
      </c>
      <c r="N104" s="22">
        <v>225</v>
      </c>
      <c r="O104" s="22"/>
      <c r="P104" s="22"/>
      <c r="Q104" s="28"/>
      <c r="R104" s="28"/>
      <c r="S104" s="45">
        <v>1376100</v>
      </c>
      <c r="T104" s="319"/>
    </row>
    <row r="105" spans="1:20">
      <c r="A105" s="145">
        <v>84</v>
      </c>
      <c r="B105" s="4" t="s">
        <v>170</v>
      </c>
      <c r="C105" s="17"/>
      <c r="D105" s="162">
        <v>152126</v>
      </c>
      <c r="E105" s="28">
        <v>1680420</v>
      </c>
      <c r="F105" s="28">
        <v>4944</v>
      </c>
      <c r="G105" s="28">
        <v>2700</v>
      </c>
      <c r="H105" s="134">
        <v>38060</v>
      </c>
      <c r="I105" s="28">
        <v>3974</v>
      </c>
      <c r="J105" s="134">
        <v>11440</v>
      </c>
      <c r="K105" s="28">
        <v>1080</v>
      </c>
      <c r="L105" s="134">
        <v>61200</v>
      </c>
      <c r="M105" s="28">
        <v>1200</v>
      </c>
      <c r="N105" s="134"/>
      <c r="O105" s="28"/>
      <c r="P105" s="28"/>
      <c r="Q105" s="28">
        <v>22</v>
      </c>
      <c r="R105" s="28">
        <v>290</v>
      </c>
      <c r="S105" s="45">
        <v>7804</v>
      </c>
      <c r="T105" s="319"/>
    </row>
    <row r="106" spans="1:20">
      <c r="A106" s="145">
        <v>85</v>
      </c>
      <c r="B106" s="4" t="s">
        <v>171</v>
      </c>
      <c r="C106" s="10"/>
      <c r="D106" s="162">
        <v>38410</v>
      </c>
      <c r="E106" s="28">
        <v>252970</v>
      </c>
      <c r="F106" s="28">
        <v>21462</v>
      </c>
      <c r="G106" s="28">
        <v>2250</v>
      </c>
      <c r="H106" s="134">
        <v>7507</v>
      </c>
      <c r="I106" s="28">
        <v>1353</v>
      </c>
      <c r="J106" s="134">
        <v>33000</v>
      </c>
      <c r="K106" s="28">
        <v>400</v>
      </c>
      <c r="L106" s="134">
        <v>43</v>
      </c>
      <c r="M106" s="28"/>
      <c r="N106" s="134">
        <v>400</v>
      </c>
      <c r="O106" s="28"/>
      <c r="P106" s="28"/>
      <c r="Q106" s="28">
        <v>500</v>
      </c>
      <c r="R106" s="28">
        <v>35</v>
      </c>
      <c r="S106" s="45">
        <v>60550</v>
      </c>
      <c r="T106" s="319"/>
    </row>
    <row r="107" spans="1:20">
      <c r="A107" s="145">
        <v>86</v>
      </c>
      <c r="B107" s="4" t="s">
        <v>172</v>
      </c>
      <c r="C107" s="10"/>
      <c r="D107" s="162">
        <v>84670</v>
      </c>
      <c r="E107" s="28">
        <v>141860</v>
      </c>
      <c r="F107" s="28">
        <v>67254</v>
      </c>
      <c r="G107" s="28">
        <v>3200</v>
      </c>
      <c r="H107" s="134">
        <v>3874</v>
      </c>
      <c r="I107" s="28">
        <v>366</v>
      </c>
      <c r="J107" s="134">
        <v>300</v>
      </c>
      <c r="K107" s="28"/>
      <c r="L107" s="134">
        <v>100</v>
      </c>
      <c r="M107" s="28"/>
      <c r="N107" s="92"/>
      <c r="O107" s="28"/>
      <c r="P107" s="28"/>
      <c r="Q107" s="28"/>
      <c r="R107" s="28"/>
      <c r="S107" s="45">
        <v>11575</v>
      </c>
      <c r="T107" s="319"/>
    </row>
    <row r="108" spans="1:20">
      <c r="A108" s="145">
        <v>87</v>
      </c>
      <c r="B108" s="4" t="s">
        <v>173</v>
      </c>
      <c r="C108" s="10"/>
      <c r="D108" s="162">
        <v>192840</v>
      </c>
      <c r="E108" s="28">
        <v>1148030</v>
      </c>
      <c r="F108" s="28">
        <v>1279</v>
      </c>
      <c r="G108" s="28">
        <v>255</v>
      </c>
      <c r="H108" s="134">
        <v>7963</v>
      </c>
      <c r="I108" s="28">
        <v>2689</v>
      </c>
      <c r="J108" s="134">
        <v>23390</v>
      </c>
      <c r="K108" s="28">
        <v>800</v>
      </c>
      <c r="L108" s="134">
        <v>5850</v>
      </c>
      <c r="M108" s="28">
        <v>220</v>
      </c>
      <c r="N108" s="134"/>
      <c r="O108" s="28"/>
      <c r="P108" s="28"/>
      <c r="Q108" s="28">
        <v>40</v>
      </c>
      <c r="R108" s="28"/>
      <c r="S108" s="45">
        <v>4500</v>
      </c>
      <c r="T108" s="319"/>
    </row>
    <row r="109" spans="1:20">
      <c r="A109" s="215"/>
      <c r="B109" s="203"/>
      <c r="C109" s="12"/>
      <c r="D109" s="265"/>
      <c r="E109" s="206"/>
      <c r="F109" s="206"/>
      <c r="G109" s="206"/>
      <c r="H109" s="256"/>
      <c r="I109" s="206"/>
      <c r="J109" s="256"/>
      <c r="K109" s="206"/>
      <c r="L109" s="256"/>
      <c r="M109" s="206"/>
      <c r="N109" s="24"/>
      <c r="O109" s="206"/>
      <c r="P109" s="206"/>
      <c r="Q109" s="206"/>
      <c r="R109" s="206"/>
      <c r="S109" s="317"/>
      <c r="T109" s="319"/>
    </row>
    <row r="110" spans="1:20" ht="15">
      <c r="A110" s="145" t="s">
        <v>293</v>
      </c>
      <c r="B110" s="4"/>
      <c r="C110" s="248"/>
      <c r="D110" s="120">
        <f>SUM(D104:D108)</f>
        <v>512046</v>
      </c>
      <c r="E110" s="28">
        <f>SUM(E104:E108)</f>
        <v>6363580</v>
      </c>
      <c r="F110" s="28">
        <f t="shared" ref="F110:S110" si="2">SUM(F104:F108)</f>
        <v>98539</v>
      </c>
      <c r="G110" s="28">
        <f t="shared" si="2"/>
        <v>13205</v>
      </c>
      <c r="H110" s="28">
        <f t="shared" si="2"/>
        <v>303904</v>
      </c>
      <c r="I110" s="28">
        <f t="shared" si="2"/>
        <v>38582</v>
      </c>
      <c r="J110" s="28">
        <f t="shared" si="2"/>
        <v>270530</v>
      </c>
      <c r="K110" s="28">
        <f t="shared" si="2"/>
        <v>58760</v>
      </c>
      <c r="L110" s="28">
        <f t="shared" si="2"/>
        <v>139703</v>
      </c>
      <c r="M110" s="28">
        <f t="shared" si="2"/>
        <v>1590</v>
      </c>
      <c r="N110" s="28">
        <f t="shared" si="2"/>
        <v>625</v>
      </c>
      <c r="O110" s="28">
        <f t="shared" si="2"/>
        <v>0</v>
      </c>
      <c r="P110" s="28">
        <f t="shared" si="2"/>
        <v>0</v>
      </c>
      <c r="Q110" s="28">
        <f t="shared" si="2"/>
        <v>562</v>
      </c>
      <c r="R110" s="28">
        <f t="shared" si="2"/>
        <v>325</v>
      </c>
      <c r="S110" s="28">
        <f t="shared" si="2"/>
        <v>1460529</v>
      </c>
      <c r="T110" s="319"/>
    </row>
    <row r="111" spans="1:20" ht="15" thickBot="1">
      <c r="A111" s="217"/>
      <c r="B111" s="104"/>
      <c r="C111" s="257"/>
      <c r="D111" s="252"/>
      <c r="E111" s="208"/>
      <c r="F111" s="208"/>
      <c r="G111" s="208"/>
      <c r="H111" s="253"/>
      <c r="I111" s="208"/>
      <c r="J111" s="253"/>
      <c r="K111" s="208"/>
      <c r="L111" s="253"/>
      <c r="M111" s="208"/>
      <c r="N111" s="253"/>
      <c r="O111" s="208"/>
      <c r="P111" s="208"/>
      <c r="Q111" s="208"/>
      <c r="R111" s="208"/>
      <c r="S111" s="321"/>
      <c r="T111" s="319"/>
    </row>
    <row r="112" spans="1:20" ht="15" thickTop="1">
      <c r="A112" s="223" t="s">
        <v>22</v>
      </c>
      <c r="B112" s="112"/>
      <c r="C112" s="10"/>
      <c r="D112" s="162"/>
      <c r="E112" s="28"/>
      <c r="F112" s="28"/>
      <c r="G112" s="28"/>
      <c r="H112" s="134"/>
      <c r="I112" s="28"/>
      <c r="J112" s="134"/>
      <c r="K112" s="28"/>
      <c r="L112" s="134"/>
      <c r="M112" s="28"/>
      <c r="N112" s="134"/>
      <c r="O112" s="28"/>
      <c r="P112" s="28"/>
      <c r="Q112" s="22"/>
      <c r="R112" s="22"/>
      <c r="S112" s="23"/>
      <c r="T112" s="319"/>
    </row>
    <row r="113" spans="1:20">
      <c r="A113" s="222" t="s">
        <v>23</v>
      </c>
      <c r="B113" s="97"/>
      <c r="C113" s="10"/>
      <c r="D113" s="162"/>
      <c r="E113" s="28"/>
      <c r="F113" s="28"/>
      <c r="G113" s="28"/>
      <c r="H113" s="134"/>
      <c r="I113" s="28"/>
      <c r="J113" s="134"/>
      <c r="K113" s="28"/>
      <c r="L113" s="134"/>
      <c r="M113" s="28"/>
      <c r="N113" s="134"/>
      <c r="O113" s="28"/>
      <c r="P113" s="28"/>
      <c r="Q113" s="22"/>
      <c r="R113" s="21"/>
      <c r="S113" s="23"/>
      <c r="T113" s="319"/>
    </row>
    <row r="114" spans="1:20">
      <c r="A114" s="145">
        <v>88</v>
      </c>
      <c r="B114" s="4" t="s">
        <v>174</v>
      </c>
      <c r="C114" s="10"/>
      <c r="D114" s="272">
        <v>60121</v>
      </c>
      <c r="E114" s="28">
        <v>424125</v>
      </c>
      <c r="F114" s="28">
        <v>24572</v>
      </c>
      <c r="G114" s="51">
        <v>1553</v>
      </c>
      <c r="H114" s="134">
        <v>38618</v>
      </c>
      <c r="I114" s="28">
        <v>6193</v>
      </c>
      <c r="J114" s="134">
        <v>15087</v>
      </c>
      <c r="K114" s="28"/>
      <c r="L114" s="134">
        <v>5350</v>
      </c>
      <c r="M114" s="28"/>
      <c r="N114" s="134">
        <v>200</v>
      </c>
      <c r="O114" s="28"/>
      <c r="P114" s="28"/>
      <c r="Q114" s="28"/>
      <c r="R114" s="28">
        <v>896</v>
      </c>
      <c r="S114" s="45"/>
      <c r="T114" s="319"/>
    </row>
    <row r="115" spans="1:20">
      <c r="A115" s="145">
        <v>89</v>
      </c>
      <c r="B115" s="4" t="s">
        <v>175</v>
      </c>
      <c r="C115" s="10"/>
      <c r="D115" s="272">
        <v>128842</v>
      </c>
      <c r="E115" s="28">
        <v>794500</v>
      </c>
      <c r="F115" s="28">
        <v>42732</v>
      </c>
      <c r="G115" s="51">
        <v>9992</v>
      </c>
      <c r="H115" s="134">
        <v>52796</v>
      </c>
      <c r="I115" s="28">
        <v>11167</v>
      </c>
      <c r="J115" s="134">
        <v>336</v>
      </c>
      <c r="K115" s="28">
        <v>568</v>
      </c>
      <c r="L115" s="134">
        <v>2110</v>
      </c>
      <c r="M115" s="28"/>
      <c r="N115" s="134"/>
      <c r="O115" s="28"/>
      <c r="P115" s="28"/>
      <c r="Q115" s="28">
        <v>81</v>
      </c>
      <c r="R115" s="28">
        <v>634</v>
      </c>
      <c r="S115" s="45"/>
      <c r="T115" s="319"/>
    </row>
    <row r="116" spans="1:20" ht="15">
      <c r="A116" s="145">
        <v>90</v>
      </c>
      <c r="B116" s="4" t="s">
        <v>176</v>
      </c>
      <c r="C116" s="248"/>
      <c r="D116" s="273">
        <v>71780</v>
      </c>
      <c r="E116" s="22">
        <v>213772</v>
      </c>
      <c r="F116" s="22">
        <v>31075</v>
      </c>
      <c r="G116" s="51">
        <v>6500</v>
      </c>
      <c r="H116" s="22">
        <v>32850</v>
      </c>
      <c r="I116" s="22">
        <v>11041</v>
      </c>
      <c r="J116" s="23">
        <v>183025</v>
      </c>
      <c r="K116" s="22">
        <v>6650</v>
      </c>
      <c r="L116" s="70">
        <v>30935</v>
      </c>
      <c r="M116" s="22">
        <v>80</v>
      </c>
      <c r="N116" s="22">
        <v>800</v>
      </c>
      <c r="O116" s="28"/>
      <c r="P116" s="22"/>
      <c r="Q116" s="28"/>
      <c r="R116" s="28">
        <v>7</v>
      </c>
      <c r="S116" s="45">
        <v>35315</v>
      </c>
      <c r="T116" s="319"/>
    </row>
    <row r="117" spans="1:20">
      <c r="A117" s="145">
        <v>91</v>
      </c>
      <c r="B117" s="4" t="s">
        <v>177</v>
      </c>
      <c r="C117" s="17"/>
      <c r="D117" s="272">
        <v>237735</v>
      </c>
      <c r="E117" s="28">
        <v>1776027</v>
      </c>
      <c r="F117" s="28">
        <v>155870</v>
      </c>
      <c r="G117" s="51">
        <v>36530</v>
      </c>
      <c r="H117" s="134">
        <v>769695</v>
      </c>
      <c r="I117" s="28">
        <v>178329</v>
      </c>
      <c r="J117" s="134">
        <v>103315</v>
      </c>
      <c r="K117" s="28">
        <v>2000</v>
      </c>
      <c r="L117" s="134">
        <v>6430</v>
      </c>
      <c r="M117" s="28"/>
      <c r="N117" s="134"/>
      <c r="O117" s="28"/>
      <c r="P117" s="28"/>
      <c r="Q117" s="28">
        <v>30</v>
      </c>
      <c r="R117" s="28">
        <v>2710</v>
      </c>
      <c r="S117" s="45">
        <v>3830</v>
      </c>
      <c r="T117" s="319"/>
    </row>
    <row r="118" spans="1:20">
      <c r="A118" s="145">
        <v>92</v>
      </c>
      <c r="B118" s="4" t="s">
        <v>178</v>
      </c>
      <c r="C118" s="10"/>
      <c r="D118" s="272">
        <v>2123</v>
      </c>
      <c r="E118" s="28">
        <v>75200</v>
      </c>
      <c r="F118" s="28">
        <v>3270</v>
      </c>
      <c r="G118" s="51">
        <v>2040</v>
      </c>
      <c r="H118" s="134">
        <v>6865</v>
      </c>
      <c r="I118" s="28">
        <v>5265</v>
      </c>
      <c r="J118" s="134">
        <v>60</v>
      </c>
      <c r="K118" s="28"/>
      <c r="L118" s="134">
        <v>6</v>
      </c>
      <c r="M118" s="28"/>
      <c r="N118" s="134"/>
      <c r="O118" s="28"/>
      <c r="P118" s="28"/>
      <c r="Q118" s="28"/>
      <c r="R118" s="28"/>
      <c r="S118" s="45"/>
      <c r="T118" s="319"/>
    </row>
    <row r="119" spans="1:20">
      <c r="A119" s="145">
        <v>93</v>
      </c>
      <c r="B119" s="4" t="s">
        <v>179</v>
      </c>
      <c r="C119" s="10"/>
      <c r="D119" s="272">
        <v>100</v>
      </c>
      <c r="E119" s="28">
        <v>200</v>
      </c>
      <c r="F119" s="28">
        <v>10</v>
      </c>
      <c r="G119" s="51">
        <v>10</v>
      </c>
      <c r="H119" s="134">
        <v>60</v>
      </c>
      <c r="I119" s="28">
        <v>80</v>
      </c>
      <c r="J119" s="134">
        <v>260</v>
      </c>
      <c r="K119" s="28">
        <v>120</v>
      </c>
      <c r="L119" s="134"/>
      <c r="M119" s="28"/>
      <c r="N119" s="134"/>
      <c r="O119" s="28"/>
      <c r="P119" s="28"/>
      <c r="Q119" s="28"/>
      <c r="R119" s="28"/>
      <c r="S119" s="45"/>
      <c r="T119" s="319"/>
    </row>
    <row r="120" spans="1:20">
      <c r="A120" s="145">
        <v>94</v>
      </c>
      <c r="B120" s="4" t="s">
        <v>180</v>
      </c>
      <c r="C120" s="10"/>
      <c r="D120" s="272">
        <v>3100</v>
      </c>
      <c r="E120" s="28">
        <v>16235</v>
      </c>
      <c r="F120" s="28">
        <v>100</v>
      </c>
      <c r="G120" s="51">
        <v>150</v>
      </c>
      <c r="H120" s="134">
        <v>3510</v>
      </c>
      <c r="I120" s="28">
        <v>1565</v>
      </c>
      <c r="J120" s="134">
        <v>2011</v>
      </c>
      <c r="K120" s="28"/>
      <c r="L120" s="134">
        <v>5</v>
      </c>
      <c r="M120" s="28"/>
      <c r="N120" s="134"/>
      <c r="O120" s="28"/>
      <c r="P120" s="28"/>
      <c r="Q120" s="28"/>
      <c r="R120" s="28">
        <v>330</v>
      </c>
      <c r="S120" s="45">
        <v>700</v>
      </c>
      <c r="T120" s="319"/>
    </row>
    <row r="121" spans="1:20">
      <c r="A121" s="145">
        <v>95</v>
      </c>
      <c r="B121" s="4" t="s">
        <v>181</v>
      </c>
      <c r="C121" s="10"/>
      <c r="D121" s="272">
        <v>20800</v>
      </c>
      <c r="E121" s="28">
        <v>18500</v>
      </c>
      <c r="F121" s="28">
        <v>960</v>
      </c>
      <c r="G121" s="51"/>
      <c r="H121" s="22">
        <v>2425</v>
      </c>
      <c r="I121" s="28">
        <v>1800</v>
      </c>
      <c r="J121" s="134">
        <v>1400</v>
      </c>
      <c r="K121" s="28">
        <v>400</v>
      </c>
      <c r="L121" s="134">
        <v>850</v>
      </c>
      <c r="M121" s="28"/>
      <c r="N121" s="134"/>
      <c r="O121" s="28"/>
      <c r="P121" s="28"/>
      <c r="Q121" s="28"/>
      <c r="R121" s="28">
        <v>25</v>
      </c>
      <c r="S121" s="45">
        <v>28</v>
      </c>
      <c r="T121" s="319"/>
    </row>
    <row r="122" spans="1:20" ht="15">
      <c r="A122" s="145">
        <v>96</v>
      </c>
      <c r="B122" s="4" t="s">
        <v>182</v>
      </c>
      <c r="C122" s="248"/>
      <c r="D122" s="273">
        <v>81680</v>
      </c>
      <c r="E122" s="22">
        <v>124845</v>
      </c>
      <c r="F122" s="22">
        <v>24300</v>
      </c>
      <c r="G122" s="51"/>
      <c r="H122" s="29">
        <v>68280</v>
      </c>
      <c r="I122" s="22">
        <v>2027</v>
      </c>
      <c r="J122" s="23">
        <v>38480</v>
      </c>
      <c r="K122" s="22">
        <v>7262</v>
      </c>
      <c r="L122" s="70">
        <v>22900</v>
      </c>
      <c r="M122" s="22">
        <v>20</v>
      </c>
      <c r="N122" s="22">
        <v>180</v>
      </c>
      <c r="O122" s="28"/>
      <c r="P122" s="22"/>
      <c r="Q122" s="28"/>
      <c r="R122" s="28">
        <v>306</v>
      </c>
      <c r="S122" s="45"/>
      <c r="T122" s="319"/>
    </row>
    <row r="123" spans="1:20">
      <c r="A123" s="222" t="s">
        <v>24</v>
      </c>
      <c r="B123" s="97"/>
      <c r="C123" s="17"/>
      <c r="D123" s="272"/>
      <c r="E123" s="28"/>
      <c r="F123" s="28"/>
      <c r="G123" s="51"/>
      <c r="H123" s="134"/>
      <c r="I123" s="28"/>
      <c r="J123" s="134"/>
      <c r="K123" s="28"/>
      <c r="L123" s="134"/>
      <c r="M123" s="28"/>
      <c r="N123" s="134"/>
      <c r="O123" s="28"/>
      <c r="P123" s="28"/>
      <c r="Q123" s="28"/>
      <c r="R123" s="28"/>
      <c r="S123" s="45"/>
      <c r="T123" s="319"/>
    </row>
    <row r="124" spans="1:20">
      <c r="A124" s="224">
        <v>97</v>
      </c>
      <c r="B124" s="113" t="s">
        <v>183</v>
      </c>
      <c r="C124" s="10"/>
      <c r="D124" s="272">
        <v>552906</v>
      </c>
      <c r="E124" s="28">
        <v>6310500</v>
      </c>
      <c r="F124" s="28">
        <v>18507</v>
      </c>
      <c r="G124" s="51">
        <v>24442</v>
      </c>
      <c r="H124" s="134">
        <v>427427</v>
      </c>
      <c r="I124" s="28">
        <v>36238</v>
      </c>
      <c r="J124" s="134">
        <v>4438</v>
      </c>
      <c r="K124" s="28">
        <v>507</v>
      </c>
      <c r="L124" s="134">
        <v>1422</v>
      </c>
      <c r="M124" s="28">
        <v>100</v>
      </c>
      <c r="N124" s="134">
        <v>400</v>
      </c>
      <c r="O124" s="28"/>
      <c r="P124" s="28"/>
      <c r="Q124" s="28">
        <v>3668</v>
      </c>
      <c r="R124" s="28">
        <v>10907</v>
      </c>
      <c r="S124" s="45">
        <v>6700</v>
      </c>
      <c r="T124" s="319"/>
    </row>
    <row r="125" spans="1:20">
      <c r="A125" s="145">
        <v>98</v>
      </c>
      <c r="B125" s="4" t="s">
        <v>184</v>
      </c>
      <c r="C125" s="10"/>
      <c r="D125" s="272">
        <v>24</v>
      </c>
      <c r="E125" s="28">
        <v>8760</v>
      </c>
      <c r="F125" s="28">
        <v>2144</v>
      </c>
      <c r="G125" s="51"/>
      <c r="H125" s="134">
        <v>260</v>
      </c>
      <c r="I125" s="28">
        <v>60</v>
      </c>
      <c r="J125" s="134">
        <v>25845</v>
      </c>
      <c r="K125" s="28">
        <v>80</v>
      </c>
      <c r="L125" s="134">
        <v>1700</v>
      </c>
      <c r="M125" s="28"/>
      <c r="N125" s="134"/>
      <c r="O125" s="28"/>
      <c r="P125" s="28">
        <v>123</v>
      </c>
      <c r="Q125" s="28"/>
      <c r="R125" s="28"/>
      <c r="S125" s="45">
        <v>300</v>
      </c>
      <c r="T125" s="319"/>
    </row>
    <row r="126" spans="1:20">
      <c r="A126" s="145">
        <v>99</v>
      </c>
      <c r="B126" s="4" t="s">
        <v>185</v>
      </c>
      <c r="C126" s="10"/>
      <c r="D126" s="272">
        <v>15454</v>
      </c>
      <c r="E126" s="28">
        <v>94386</v>
      </c>
      <c r="F126" s="28">
        <v>11365</v>
      </c>
      <c r="G126" s="51">
        <v>1743</v>
      </c>
      <c r="H126" s="134">
        <v>20985</v>
      </c>
      <c r="I126" s="28">
        <v>1402</v>
      </c>
      <c r="J126" s="134">
        <v>22802</v>
      </c>
      <c r="K126" s="28">
        <v>2770</v>
      </c>
      <c r="L126" s="134">
        <v>8950</v>
      </c>
      <c r="M126" s="28">
        <v>1250</v>
      </c>
      <c r="N126" s="134">
        <v>800</v>
      </c>
      <c r="O126" s="28">
        <v>1300</v>
      </c>
      <c r="P126" s="28"/>
      <c r="Q126" s="28">
        <v>5</v>
      </c>
      <c r="R126" s="28">
        <v>235</v>
      </c>
      <c r="S126" s="45">
        <v>470</v>
      </c>
      <c r="T126" s="319"/>
    </row>
    <row r="127" spans="1:20">
      <c r="A127" s="145">
        <v>100</v>
      </c>
      <c r="B127" s="4" t="s">
        <v>186</v>
      </c>
      <c r="C127" s="10"/>
      <c r="D127" s="272">
        <v>325</v>
      </c>
      <c r="E127" s="28">
        <v>1500</v>
      </c>
      <c r="F127" s="28"/>
      <c r="G127" s="51"/>
      <c r="H127" s="134">
        <v>1054</v>
      </c>
      <c r="I127" s="28"/>
      <c r="J127" s="134">
        <v>80100</v>
      </c>
      <c r="K127" s="28">
        <v>202</v>
      </c>
      <c r="L127" s="134">
        <v>5304</v>
      </c>
      <c r="M127" s="28"/>
      <c r="N127" s="134">
        <v>400</v>
      </c>
      <c r="O127" s="28">
        <v>3000</v>
      </c>
      <c r="P127" s="22">
        <v>450</v>
      </c>
      <c r="Q127" s="28"/>
      <c r="R127" s="28"/>
      <c r="S127" s="45"/>
      <c r="T127" s="319"/>
    </row>
    <row r="128" spans="1:20" ht="15">
      <c r="A128" s="145">
        <v>101</v>
      </c>
      <c r="B128" s="4" t="s">
        <v>304</v>
      </c>
      <c r="C128" s="248"/>
      <c r="D128" s="273">
        <v>65700</v>
      </c>
      <c r="E128" s="22">
        <v>116300</v>
      </c>
      <c r="F128" s="22">
        <v>6500</v>
      </c>
      <c r="G128" s="51">
        <v>200</v>
      </c>
      <c r="H128" s="22">
        <v>109600</v>
      </c>
      <c r="I128" s="22">
        <v>18800</v>
      </c>
      <c r="J128" s="23">
        <v>9000</v>
      </c>
      <c r="K128" s="22">
        <v>1000</v>
      </c>
      <c r="L128" s="70">
        <v>3700</v>
      </c>
      <c r="M128" s="22">
        <v>900</v>
      </c>
      <c r="N128" s="22"/>
      <c r="O128" s="28"/>
      <c r="P128" s="28"/>
      <c r="Q128" s="28">
        <v>20</v>
      </c>
      <c r="R128" s="28">
        <v>50</v>
      </c>
      <c r="S128" s="45"/>
      <c r="T128" s="319"/>
    </row>
    <row r="129" spans="1:20">
      <c r="A129" s="145">
        <v>102</v>
      </c>
      <c r="B129" s="4" t="s">
        <v>187</v>
      </c>
      <c r="C129" s="17"/>
      <c r="D129" s="272">
        <v>143943</v>
      </c>
      <c r="E129" s="28">
        <v>188730</v>
      </c>
      <c r="F129" s="28">
        <v>18774</v>
      </c>
      <c r="G129" s="51">
        <v>36100</v>
      </c>
      <c r="H129" s="134">
        <v>245828</v>
      </c>
      <c r="I129" s="28">
        <v>12492</v>
      </c>
      <c r="J129" s="134">
        <v>32470</v>
      </c>
      <c r="K129" s="28">
        <v>1150</v>
      </c>
      <c r="L129" s="134">
        <v>11973</v>
      </c>
      <c r="M129" s="28">
        <v>300</v>
      </c>
      <c r="N129" s="134"/>
      <c r="O129" s="28"/>
      <c r="P129" s="28"/>
      <c r="Q129" s="28">
        <v>4</v>
      </c>
      <c r="R129" s="28">
        <v>39</v>
      </c>
      <c r="S129" s="45">
        <v>3700</v>
      </c>
      <c r="T129" s="319"/>
    </row>
    <row r="130" spans="1:20">
      <c r="A130" s="145">
        <v>103</v>
      </c>
      <c r="B130" s="4" t="s">
        <v>188</v>
      </c>
      <c r="C130" s="10"/>
      <c r="D130" s="272">
        <v>39570</v>
      </c>
      <c r="E130" s="28">
        <v>100290</v>
      </c>
      <c r="F130" s="28">
        <v>52640</v>
      </c>
      <c r="G130" s="51">
        <v>4050</v>
      </c>
      <c r="H130" s="134">
        <v>70410</v>
      </c>
      <c r="I130" s="28">
        <v>7406</v>
      </c>
      <c r="J130" s="134">
        <v>1500</v>
      </c>
      <c r="K130" s="28">
        <v>200</v>
      </c>
      <c r="L130" s="134">
        <v>700</v>
      </c>
      <c r="M130" s="28"/>
      <c r="N130" s="134"/>
      <c r="O130" s="28"/>
      <c r="P130" s="28"/>
      <c r="Q130" s="28"/>
      <c r="R130" s="28">
        <v>245</v>
      </c>
      <c r="S130" s="45">
        <v>3600</v>
      </c>
      <c r="T130" s="319"/>
    </row>
    <row r="131" spans="1:20">
      <c r="A131" s="222" t="s">
        <v>25</v>
      </c>
      <c r="B131" s="97"/>
      <c r="C131" s="10"/>
      <c r="D131" s="272"/>
      <c r="E131" s="28"/>
      <c r="F131" s="28"/>
      <c r="G131" s="270"/>
      <c r="H131" s="134"/>
      <c r="I131" s="28"/>
      <c r="J131" s="134"/>
      <c r="K131" s="28"/>
      <c r="L131" s="134"/>
      <c r="M131" s="28"/>
      <c r="N131" s="134"/>
      <c r="O131" s="28"/>
      <c r="P131" s="21"/>
      <c r="Q131" s="28"/>
      <c r="R131" s="28"/>
      <c r="S131" s="45"/>
      <c r="T131" s="319"/>
    </row>
    <row r="132" spans="1:20">
      <c r="A132" s="145">
        <v>104</v>
      </c>
      <c r="B132" s="4" t="s">
        <v>189</v>
      </c>
      <c r="C132" s="10"/>
      <c r="D132" s="272">
        <v>19212</v>
      </c>
      <c r="E132" s="28">
        <v>140429</v>
      </c>
      <c r="F132" s="28">
        <v>25560</v>
      </c>
      <c r="G132" s="51">
        <v>100</v>
      </c>
      <c r="H132" s="134">
        <v>20558</v>
      </c>
      <c r="I132" s="28">
        <v>490</v>
      </c>
      <c r="J132" s="134">
        <v>128650</v>
      </c>
      <c r="K132" s="28">
        <v>100</v>
      </c>
      <c r="L132" s="134">
        <v>58000</v>
      </c>
      <c r="M132" s="28">
        <v>3480</v>
      </c>
      <c r="N132" s="134">
        <v>1100</v>
      </c>
      <c r="O132" s="28"/>
      <c r="P132" s="28"/>
      <c r="Q132" s="28">
        <v>10</v>
      </c>
      <c r="R132" s="28">
        <v>250</v>
      </c>
      <c r="S132" s="45">
        <v>13800</v>
      </c>
      <c r="T132" s="319"/>
    </row>
    <row r="133" spans="1:20">
      <c r="A133" s="145">
        <v>105</v>
      </c>
      <c r="B133" s="4" t="s">
        <v>190</v>
      </c>
      <c r="C133" s="10"/>
      <c r="D133" s="273">
        <v>3800</v>
      </c>
      <c r="E133" s="28">
        <v>14100</v>
      </c>
      <c r="F133" s="28">
        <v>960</v>
      </c>
      <c r="G133" s="51"/>
      <c r="H133" s="134">
        <v>19100</v>
      </c>
      <c r="I133" s="28">
        <v>1000</v>
      </c>
      <c r="J133" s="134">
        <v>42000</v>
      </c>
      <c r="K133" s="28">
        <v>1000</v>
      </c>
      <c r="L133" s="134">
        <v>29500</v>
      </c>
      <c r="M133" s="28">
        <v>2200</v>
      </c>
      <c r="N133" s="134"/>
      <c r="O133" s="28">
        <v>400</v>
      </c>
      <c r="P133" s="28"/>
      <c r="Q133" s="28"/>
      <c r="R133" s="28">
        <v>125</v>
      </c>
      <c r="S133" s="45"/>
      <c r="T133" s="319"/>
    </row>
    <row r="134" spans="1:20">
      <c r="A134" s="145">
        <v>106</v>
      </c>
      <c r="B134" s="4" t="s">
        <v>191</v>
      </c>
      <c r="C134" s="10"/>
      <c r="D134" s="273">
        <v>5444</v>
      </c>
      <c r="E134" s="32">
        <v>21210</v>
      </c>
      <c r="F134" s="22">
        <v>60</v>
      </c>
      <c r="G134" s="274"/>
      <c r="H134" s="22">
        <v>2440</v>
      </c>
      <c r="I134" s="32">
        <v>52</v>
      </c>
      <c r="J134" s="22">
        <v>142990</v>
      </c>
      <c r="K134" s="32">
        <v>9720</v>
      </c>
      <c r="L134" s="22">
        <v>36570</v>
      </c>
      <c r="M134" s="32">
        <v>6650</v>
      </c>
      <c r="N134" s="22">
        <v>350</v>
      </c>
      <c r="O134" s="32">
        <v>24900</v>
      </c>
      <c r="P134" s="22">
        <v>480</v>
      </c>
      <c r="Q134" s="28"/>
      <c r="R134" s="28">
        <v>52</v>
      </c>
      <c r="S134" s="45">
        <v>780</v>
      </c>
      <c r="T134" s="319"/>
    </row>
    <row r="135" spans="1:20" ht="15">
      <c r="A135" s="145">
        <v>107</v>
      </c>
      <c r="B135" s="4" t="s">
        <v>192</v>
      </c>
      <c r="C135" s="248"/>
      <c r="D135" s="273">
        <v>3450</v>
      </c>
      <c r="E135" s="22">
        <v>42518</v>
      </c>
      <c r="F135" s="22">
        <v>952</v>
      </c>
      <c r="G135" s="51">
        <v>10</v>
      </c>
      <c r="H135" s="22">
        <v>19940</v>
      </c>
      <c r="I135" s="22">
        <v>1415</v>
      </c>
      <c r="J135" s="23">
        <v>16800</v>
      </c>
      <c r="K135" s="22">
        <v>210</v>
      </c>
      <c r="L135" s="70">
        <v>5688</v>
      </c>
      <c r="M135" s="22">
        <v>20</v>
      </c>
      <c r="N135" s="22">
        <v>1005</v>
      </c>
      <c r="O135" s="22"/>
      <c r="P135" s="22"/>
      <c r="Q135" s="28"/>
      <c r="R135" s="28">
        <v>27</v>
      </c>
      <c r="S135" s="45">
        <v>500</v>
      </c>
      <c r="T135" s="319"/>
    </row>
    <row r="136" spans="1:20">
      <c r="A136" s="145">
        <v>108</v>
      </c>
      <c r="B136" s="4" t="s">
        <v>193</v>
      </c>
      <c r="C136" s="17"/>
      <c r="D136" s="272">
        <v>14264</v>
      </c>
      <c r="E136" s="28">
        <v>164120</v>
      </c>
      <c r="F136" s="28">
        <v>460</v>
      </c>
      <c r="G136" s="51"/>
      <c r="H136" s="134">
        <v>51200</v>
      </c>
      <c r="I136" s="28">
        <v>160</v>
      </c>
      <c r="J136" s="134">
        <v>400</v>
      </c>
      <c r="K136" s="28"/>
      <c r="L136" s="134">
        <v>200</v>
      </c>
      <c r="M136" s="28"/>
      <c r="N136" s="134"/>
      <c r="O136" s="28"/>
      <c r="P136" s="28"/>
      <c r="Q136" s="28">
        <v>6</v>
      </c>
      <c r="R136" s="28">
        <v>154</v>
      </c>
      <c r="S136" s="45">
        <v>70</v>
      </c>
      <c r="T136" s="319"/>
    </row>
    <row r="137" spans="1:20">
      <c r="A137" s="145">
        <v>109</v>
      </c>
      <c r="B137" s="4" t="s">
        <v>194</v>
      </c>
      <c r="C137" s="10"/>
      <c r="D137" s="272">
        <v>15768</v>
      </c>
      <c r="E137" s="28">
        <v>45080</v>
      </c>
      <c r="F137" s="28">
        <v>12006</v>
      </c>
      <c r="G137" s="51"/>
      <c r="H137" s="134">
        <v>13950</v>
      </c>
      <c r="I137" s="28">
        <v>2104</v>
      </c>
      <c r="J137" s="134">
        <v>95318</v>
      </c>
      <c r="K137" s="28">
        <v>10415</v>
      </c>
      <c r="L137" s="134">
        <v>24845</v>
      </c>
      <c r="M137" s="28">
        <v>740</v>
      </c>
      <c r="N137" s="134">
        <v>650</v>
      </c>
      <c r="O137" s="28">
        <v>24080</v>
      </c>
      <c r="P137" s="28">
        <v>1282</v>
      </c>
      <c r="Q137" s="28"/>
      <c r="R137" s="28">
        <v>1</v>
      </c>
      <c r="S137" s="45">
        <v>3250</v>
      </c>
      <c r="T137" s="319"/>
    </row>
    <row r="138" spans="1:20">
      <c r="A138" s="222" t="s">
        <v>26</v>
      </c>
      <c r="B138" s="97"/>
      <c r="C138" s="10"/>
      <c r="D138" s="162"/>
      <c r="E138" s="28"/>
      <c r="F138" s="28"/>
      <c r="G138" s="28"/>
      <c r="H138" s="134"/>
      <c r="I138" s="28"/>
      <c r="J138" s="134"/>
      <c r="K138" s="28"/>
      <c r="L138" s="134"/>
      <c r="M138" s="28"/>
      <c r="N138" s="134"/>
      <c r="O138" s="28"/>
      <c r="P138" s="28"/>
      <c r="Q138" s="28"/>
      <c r="R138" s="28"/>
      <c r="S138" s="45"/>
      <c r="T138" s="319"/>
    </row>
    <row r="139" spans="1:20">
      <c r="A139" s="145">
        <v>110</v>
      </c>
      <c r="B139" s="4" t="s">
        <v>195</v>
      </c>
      <c r="C139" s="17" t="s">
        <v>367</v>
      </c>
      <c r="D139" s="162"/>
      <c r="E139" s="28"/>
      <c r="F139" s="28"/>
      <c r="G139" s="28"/>
      <c r="H139" s="134"/>
      <c r="I139" s="28"/>
      <c r="J139" s="134"/>
      <c r="K139" s="28"/>
      <c r="L139" s="134"/>
      <c r="M139" s="28"/>
      <c r="N139" s="134"/>
      <c r="O139" s="28"/>
      <c r="P139" s="28"/>
      <c r="Q139" s="28"/>
      <c r="R139" s="28"/>
      <c r="S139" s="45"/>
      <c r="T139" s="319"/>
    </row>
    <row r="140" spans="1:20">
      <c r="A140" s="145">
        <v>111</v>
      </c>
      <c r="B140" s="4" t="s">
        <v>196</v>
      </c>
      <c r="C140" s="10"/>
      <c r="D140" s="162"/>
      <c r="E140" s="28"/>
      <c r="F140" s="28"/>
      <c r="G140" s="28"/>
      <c r="H140" s="134"/>
      <c r="I140" s="28"/>
      <c r="J140" s="134"/>
      <c r="K140" s="28"/>
      <c r="L140" s="134"/>
      <c r="M140" s="28"/>
      <c r="N140" s="134"/>
      <c r="O140" s="28"/>
      <c r="P140" s="28"/>
      <c r="Q140" s="28"/>
      <c r="R140" s="28"/>
      <c r="S140" s="45"/>
      <c r="T140" s="319"/>
    </row>
    <row r="141" spans="1:20" ht="15">
      <c r="A141" s="145">
        <v>112</v>
      </c>
      <c r="B141" s="4" t="s">
        <v>197</v>
      </c>
      <c r="C141" s="248"/>
      <c r="D141" s="63">
        <v>73</v>
      </c>
      <c r="E141" s="22">
        <v>26180</v>
      </c>
      <c r="F141" s="22">
        <v>120</v>
      </c>
      <c r="G141" s="22">
        <v>100</v>
      </c>
      <c r="H141" s="22">
        <v>9950</v>
      </c>
      <c r="I141" s="22"/>
      <c r="J141" s="23">
        <v>560</v>
      </c>
      <c r="K141" s="22">
        <v>24</v>
      </c>
      <c r="L141" s="70">
        <v>260</v>
      </c>
      <c r="M141" s="22"/>
      <c r="N141" s="22"/>
      <c r="O141" s="22"/>
      <c r="P141" s="22"/>
      <c r="Q141" s="28"/>
      <c r="R141" s="28"/>
      <c r="S141" s="45">
        <v>2820</v>
      </c>
      <c r="T141" s="319"/>
    </row>
    <row r="142" spans="1:20">
      <c r="A142" s="145">
        <v>113</v>
      </c>
      <c r="B142" s="4" t="s">
        <v>198</v>
      </c>
      <c r="C142" s="17"/>
      <c r="D142" s="162"/>
      <c r="E142" s="28"/>
      <c r="F142" s="28"/>
      <c r="G142" s="28"/>
      <c r="H142" s="134"/>
      <c r="I142" s="28"/>
      <c r="J142" s="134"/>
      <c r="K142" s="28"/>
      <c r="L142" s="134"/>
      <c r="M142" s="28"/>
      <c r="N142" s="134"/>
      <c r="O142" s="28"/>
      <c r="P142" s="28"/>
      <c r="Q142" s="28"/>
      <c r="R142" s="28"/>
      <c r="S142" s="45"/>
      <c r="T142" s="319"/>
    </row>
    <row r="143" spans="1:20">
      <c r="A143" s="145">
        <v>114</v>
      </c>
      <c r="B143" s="4" t="s">
        <v>199</v>
      </c>
      <c r="C143" s="10"/>
      <c r="D143" s="162">
        <v>920</v>
      </c>
      <c r="E143" s="28">
        <v>92962</v>
      </c>
      <c r="F143" s="28">
        <v>1710</v>
      </c>
      <c r="G143" s="28">
        <v>50</v>
      </c>
      <c r="H143" s="134">
        <v>57650</v>
      </c>
      <c r="I143" s="28">
        <v>500</v>
      </c>
      <c r="J143" s="134">
        <v>77200</v>
      </c>
      <c r="K143" s="28">
        <v>800</v>
      </c>
      <c r="L143" s="134">
        <v>19600</v>
      </c>
      <c r="M143" s="28">
        <v>300</v>
      </c>
      <c r="N143" s="134"/>
      <c r="O143" s="28">
        <v>14540</v>
      </c>
      <c r="P143" s="28">
        <v>300</v>
      </c>
      <c r="Q143" s="28"/>
      <c r="R143" s="28"/>
      <c r="S143" s="45">
        <v>42736</v>
      </c>
      <c r="T143" s="319"/>
    </row>
    <row r="144" spans="1:20">
      <c r="A144" s="145">
        <v>115</v>
      </c>
      <c r="B144" s="4" t="s">
        <v>305</v>
      </c>
      <c r="C144" s="10"/>
      <c r="D144" s="162">
        <v>1200</v>
      </c>
      <c r="E144" s="28">
        <v>3400</v>
      </c>
      <c r="F144" s="28">
        <v>1000</v>
      </c>
      <c r="G144" s="28"/>
      <c r="H144" s="134">
        <v>1000</v>
      </c>
      <c r="I144" s="28"/>
      <c r="J144" s="134">
        <v>525300</v>
      </c>
      <c r="K144" s="28">
        <v>91500</v>
      </c>
      <c r="L144" s="134">
        <v>123300</v>
      </c>
      <c r="M144" s="28">
        <v>1400</v>
      </c>
      <c r="N144" s="134">
        <v>500</v>
      </c>
      <c r="O144" s="28">
        <v>2200000</v>
      </c>
      <c r="P144" s="28">
        <v>2000</v>
      </c>
      <c r="Q144" s="28"/>
      <c r="R144" s="28"/>
      <c r="S144" s="45"/>
      <c r="T144" s="319"/>
    </row>
    <row r="145" spans="1:20">
      <c r="A145" s="145">
        <v>116</v>
      </c>
      <c r="B145" s="4" t="s">
        <v>200</v>
      </c>
      <c r="C145" s="10"/>
      <c r="D145" s="162">
        <v>2410</v>
      </c>
      <c r="E145" s="28">
        <v>14830</v>
      </c>
      <c r="F145" s="28">
        <v>2660</v>
      </c>
      <c r="G145" s="28">
        <v>1390</v>
      </c>
      <c r="H145" s="134">
        <v>5220</v>
      </c>
      <c r="I145" s="28">
        <v>770</v>
      </c>
      <c r="J145" s="134">
        <v>1600</v>
      </c>
      <c r="K145" s="28">
        <v>160</v>
      </c>
      <c r="L145" s="134">
        <v>220</v>
      </c>
      <c r="M145" s="28"/>
      <c r="N145" s="134"/>
      <c r="O145" s="28"/>
      <c r="P145" s="28"/>
      <c r="Q145" s="28">
        <v>5</v>
      </c>
      <c r="R145" s="28">
        <v>10</v>
      </c>
      <c r="S145" s="45">
        <v>200</v>
      </c>
      <c r="T145" s="319"/>
    </row>
    <row r="146" spans="1:20">
      <c r="A146" s="215"/>
      <c r="B146" s="203"/>
      <c r="C146" s="12"/>
      <c r="D146" s="265"/>
      <c r="E146" s="206"/>
      <c r="F146" s="206"/>
      <c r="G146" s="206"/>
      <c r="H146" s="256"/>
      <c r="I146" s="206"/>
      <c r="J146" s="256"/>
      <c r="K146" s="206"/>
      <c r="L146" s="256"/>
      <c r="M146" s="206"/>
      <c r="N146" s="206"/>
      <c r="O146" s="204"/>
      <c r="P146" s="206"/>
      <c r="Q146" s="24"/>
      <c r="R146" s="24"/>
      <c r="S146" s="316"/>
      <c r="T146" s="319"/>
    </row>
    <row r="147" spans="1:20" ht="15">
      <c r="A147" s="145" t="s">
        <v>294</v>
      </c>
      <c r="B147" s="4"/>
      <c r="C147" s="248"/>
      <c r="D147" s="133">
        <f>SUM(D114:D145)</f>
        <v>1490744</v>
      </c>
      <c r="E147" s="28">
        <f>SUM(E114:E145)</f>
        <v>10828699</v>
      </c>
      <c r="F147" s="28">
        <f t="shared" ref="F147:S147" si="3">SUM(F114:F145)</f>
        <v>438307</v>
      </c>
      <c r="G147" s="28">
        <f t="shared" si="3"/>
        <v>124960</v>
      </c>
      <c r="H147" s="28">
        <f t="shared" si="3"/>
        <v>2051671</v>
      </c>
      <c r="I147" s="28">
        <f t="shared" si="3"/>
        <v>300356</v>
      </c>
      <c r="J147" s="28">
        <f t="shared" si="3"/>
        <v>1550947</v>
      </c>
      <c r="K147" s="28">
        <f t="shared" si="3"/>
        <v>136838</v>
      </c>
      <c r="L147" s="28">
        <f>SUM(L114:L145)</f>
        <v>400518</v>
      </c>
      <c r="M147" s="28">
        <f t="shared" si="3"/>
        <v>17440</v>
      </c>
      <c r="N147" s="28">
        <f t="shared" si="3"/>
        <v>6385</v>
      </c>
      <c r="O147" s="28">
        <f t="shared" si="3"/>
        <v>2268220</v>
      </c>
      <c r="P147" s="28">
        <f t="shared" si="3"/>
        <v>4635</v>
      </c>
      <c r="Q147" s="28">
        <f t="shared" si="3"/>
        <v>3829</v>
      </c>
      <c r="R147" s="28">
        <f t="shared" si="3"/>
        <v>17003</v>
      </c>
      <c r="S147" s="28">
        <f t="shared" si="3"/>
        <v>118799</v>
      </c>
      <c r="T147" s="319"/>
    </row>
    <row r="148" spans="1:20" ht="15" thickBot="1">
      <c r="A148" s="217"/>
      <c r="B148" s="104"/>
      <c r="C148" s="257"/>
      <c r="D148" s="252"/>
      <c r="E148" s="208"/>
      <c r="F148" s="208"/>
      <c r="G148" s="208"/>
      <c r="H148" s="253"/>
      <c r="I148" s="208"/>
      <c r="J148" s="253"/>
      <c r="K148" s="208"/>
      <c r="L148" s="253"/>
      <c r="M148" s="208"/>
      <c r="N148" s="253"/>
      <c r="O148" s="208"/>
      <c r="P148" s="208"/>
      <c r="Q148" s="186"/>
      <c r="R148" s="186"/>
      <c r="S148" s="276"/>
      <c r="T148" s="319"/>
    </row>
    <row r="149" spans="1:20" ht="15" thickTop="1">
      <c r="A149" s="145"/>
      <c r="B149" s="4"/>
      <c r="C149" s="10"/>
      <c r="D149" s="162"/>
      <c r="E149" s="28"/>
      <c r="F149" s="28"/>
      <c r="G149" s="28"/>
      <c r="H149" s="134"/>
      <c r="I149" s="28"/>
      <c r="J149" s="134"/>
      <c r="K149" s="28"/>
      <c r="L149" s="134"/>
      <c r="M149" s="28"/>
      <c r="N149" s="134"/>
      <c r="O149" s="28"/>
      <c r="P149" s="28"/>
      <c r="Q149" s="22"/>
      <c r="R149" s="22"/>
      <c r="S149" s="23"/>
      <c r="T149" s="319"/>
    </row>
    <row r="150" spans="1:20">
      <c r="A150" s="218">
        <v>117</v>
      </c>
      <c r="B150" s="111" t="s">
        <v>201</v>
      </c>
      <c r="C150" s="10"/>
      <c r="D150" s="162"/>
      <c r="E150" s="28"/>
      <c r="F150" s="28"/>
      <c r="G150" s="28"/>
      <c r="H150" s="134"/>
      <c r="I150" s="28"/>
      <c r="J150" s="134"/>
      <c r="K150" s="28"/>
      <c r="L150" s="134"/>
      <c r="M150" s="28"/>
      <c r="N150" s="134"/>
      <c r="O150" s="28"/>
      <c r="P150" s="28"/>
      <c r="Q150" s="22"/>
      <c r="R150" s="22"/>
      <c r="S150" s="23"/>
      <c r="T150" s="319"/>
    </row>
    <row r="151" spans="1:20" ht="15" thickBot="1">
      <c r="A151" s="225"/>
      <c r="B151" s="234"/>
      <c r="C151" s="10"/>
      <c r="D151" s="162"/>
      <c r="E151" s="28"/>
      <c r="F151" s="28"/>
      <c r="G151" s="28"/>
      <c r="H151" s="134"/>
      <c r="I151" s="28"/>
      <c r="J151" s="134"/>
      <c r="K151" s="28"/>
      <c r="L151" s="134"/>
      <c r="M151" s="28"/>
      <c r="N151" s="134"/>
      <c r="O151" s="28"/>
      <c r="P151" s="28"/>
      <c r="Q151" s="186"/>
      <c r="R151" s="186"/>
      <c r="S151" s="276"/>
      <c r="T151" s="319"/>
    </row>
    <row r="152" spans="1:20" ht="15" thickTop="1">
      <c r="A152" s="218"/>
      <c r="B152" s="111"/>
      <c r="C152" s="9"/>
      <c r="D152" s="258"/>
      <c r="E152" s="259"/>
      <c r="F152" s="259"/>
      <c r="G152" s="259"/>
      <c r="H152" s="260"/>
      <c r="I152" s="259"/>
      <c r="J152" s="260"/>
      <c r="K152" s="259"/>
      <c r="L152" s="260"/>
      <c r="M152" s="259"/>
      <c r="N152" s="260"/>
      <c r="O152" s="259"/>
      <c r="P152" s="259"/>
      <c r="Q152" s="22"/>
      <c r="R152" s="22"/>
      <c r="S152" s="23"/>
      <c r="T152" s="319"/>
    </row>
    <row r="153" spans="1:20" ht="15">
      <c r="A153" s="218" t="s">
        <v>86</v>
      </c>
      <c r="B153" s="111"/>
      <c r="C153" s="248"/>
      <c r="D153" s="133">
        <f>D101+D110+D147</f>
        <v>84830450</v>
      </c>
      <c r="E153" s="28">
        <f>E101+E110+E147</f>
        <v>176009303</v>
      </c>
      <c r="F153" s="28">
        <f t="shared" ref="F153:S153" si="4">F101+F110+F147</f>
        <v>58408358</v>
      </c>
      <c r="G153" s="28">
        <f t="shared" si="4"/>
        <v>4520160</v>
      </c>
      <c r="H153" s="28">
        <f t="shared" si="4"/>
        <v>74286628</v>
      </c>
      <c r="I153" s="28">
        <f t="shared" si="4"/>
        <v>42184149</v>
      </c>
      <c r="J153" s="28">
        <f t="shared" si="4"/>
        <v>70508714</v>
      </c>
      <c r="K153" s="28">
        <f t="shared" si="4"/>
        <v>20184064</v>
      </c>
      <c r="L153" s="28">
        <f t="shared" si="4"/>
        <v>7719052</v>
      </c>
      <c r="M153" s="28">
        <f t="shared" si="4"/>
        <v>553420</v>
      </c>
      <c r="N153" s="28">
        <f t="shared" si="4"/>
        <v>109037</v>
      </c>
      <c r="O153" s="28">
        <f t="shared" si="4"/>
        <v>4025091</v>
      </c>
      <c r="P153" s="28">
        <f t="shared" si="4"/>
        <v>6622667</v>
      </c>
      <c r="Q153" s="28">
        <f t="shared" si="4"/>
        <v>143375</v>
      </c>
      <c r="R153" s="28">
        <f t="shared" si="4"/>
        <v>443885</v>
      </c>
      <c r="S153" s="28">
        <f t="shared" si="4"/>
        <v>12207923</v>
      </c>
      <c r="T153" s="319"/>
    </row>
    <row r="154" spans="1:20" ht="15" thickBot="1">
      <c r="A154" s="225"/>
      <c r="B154" s="234"/>
      <c r="C154" s="257"/>
      <c r="D154" s="252"/>
      <c r="E154" s="208"/>
      <c r="F154" s="208"/>
      <c r="G154" s="208"/>
      <c r="H154" s="253"/>
      <c r="I154" s="208"/>
      <c r="J154" s="253"/>
      <c r="K154" s="208"/>
      <c r="L154" s="253"/>
      <c r="M154" s="208"/>
      <c r="N154" s="253"/>
      <c r="O154" s="208"/>
      <c r="P154" s="208"/>
      <c r="Q154" s="186"/>
      <c r="R154" s="186"/>
      <c r="S154" s="276"/>
      <c r="T154" s="319"/>
    </row>
    <row r="155" spans="1:20" ht="17" thickTop="1" thickBot="1">
      <c r="A155" s="226" t="s">
        <v>27</v>
      </c>
      <c r="B155" s="94"/>
      <c r="C155" s="10"/>
      <c r="D155" s="162"/>
      <c r="E155" s="28"/>
      <c r="F155" s="28"/>
      <c r="G155" s="28"/>
      <c r="H155" s="134"/>
      <c r="I155" s="28"/>
      <c r="J155" s="134"/>
      <c r="K155" s="28"/>
      <c r="L155" s="134"/>
      <c r="M155" s="28"/>
      <c r="N155" s="134"/>
      <c r="O155" s="28"/>
      <c r="P155" s="28"/>
      <c r="Q155" s="22"/>
      <c r="R155" s="22"/>
      <c r="S155" s="23"/>
      <c r="T155" s="319"/>
    </row>
    <row r="156" spans="1:20">
      <c r="A156" s="227">
        <v>1</v>
      </c>
      <c r="B156" s="4" t="s">
        <v>203</v>
      </c>
      <c r="C156" s="309"/>
      <c r="D156" s="162">
        <v>420</v>
      </c>
      <c r="E156" s="28">
        <v>45424</v>
      </c>
      <c r="F156" s="28">
        <v>240</v>
      </c>
      <c r="G156" s="28">
        <v>820</v>
      </c>
      <c r="H156" s="134">
        <v>1806</v>
      </c>
      <c r="I156" s="28">
        <v>9090</v>
      </c>
      <c r="J156" s="134">
        <v>206817</v>
      </c>
      <c r="K156" s="28">
        <v>87762</v>
      </c>
      <c r="L156" s="134">
        <v>35798</v>
      </c>
      <c r="M156" s="28">
        <v>570</v>
      </c>
      <c r="N156" s="134">
        <v>182</v>
      </c>
      <c r="O156" s="28">
        <v>2630994</v>
      </c>
      <c r="P156" s="28">
        <v>24615</v>
      </c>
      <c r="Q156" s="28"/>
      <c r="R156" s="28"/>
      <c r="S156" s="45"/>
      <c r="T156" s="319"/>
    </row>
    <row r="157" spans="1:20">
      <c r="A157" s="145">
        <v>2</v>
      </c>
      <c r="B157" s="4" t="s">
        <v>204</v>
      </c>
      <c r="C157" s="309"/>
      <c r="D157" s="162">
        <v>13150</v>
      </c>
      <c r="E157" s="28">
        <v>202980</v>
      </c>
      <c r="F157" s="28">
        <v>16720</v>
      </c>
      <c r="G157" s="28">
        <v>600</v>
      </c>
      <c r="H157" s="134">
        <v>90034</v>
      </c>
      <c r="I157" s="28">
        <v>7502</v>
      </c>
      <c r="J157" s="134">
        <v>320561</v>
      </c>
      <c r="K157" s="28">
        <v>10670</v>
      </c>
      <c r="L157" s="134">
        <v>80240</v>
      </c>
      <c r="M157" s="28">
        <v>1400</v>
      </c>
      <c r="N157" s="134">
        <v>80</v>
      </c>
      <c r="O157" s="28"/>
      <c r="P157" s="28">
        <v>310</v>
      </c>
      <c r="Q157" s="28">
        <v>103</v>
      </c>
      <c r="R157" s="28"/>
      <c r="S157" s="45">
        <v>3500</v>
      </c>
      <c r="T157" s="319"/>
    </row>
    <row r="158" spans="1:20">
      <c r="A158" s="145">
        <v>3</v>
      </c>
      <c r="B158" s="4" t="s">
        <v>205</v>
      </c>
      <c r="C158" s="309"/>
      <c r="D158" s="162">
        <v>413360</v>
      </c>
      <c r="E158" s="28">
        <v>1206600</v>
      </c>
      <c r="F158" s="28">
        <v>75624</v>
      </c>
      <c r="G158" s="28">
        <v>1700</v>
      </c>
      <c r="H158" s="134">
        <v>43955</v>
      </c>
      <c r="I158" s="28">
        <v>8070</v>
      </c>
      <c r="J158" s="134">
        <v>47270</v>
      </c>
      <c r="K158" s="28">
        <v>2635</v>
      </c>
      <c r="L158" s="134">
        <v>9900</v>
      </c>
      <c r="M158" s="28">
        <v>150</v>
      </c>
      <c r="N158" s="134"/>
      <c r="O158" s="28"/>
      <c r="P158" s="28"/>
      <c r="Q158" s="28"/>
      <c r="R158" s="28"/>
      <c r="S158" s="45">
        <v>14000</v>
      </c>
      <c r="T158" s="319"/>
    </row>
    <row r="159" spans="1:20" ht="15">
      <c r="A159" s="145">
        <v>4</v>
      </c>
      <c r="B159" s="4" t="s">
        <v>206</v>
      </c>
      <c r="C159" s="310"/>
      <c r="D159" s="63">
        <v>9240</v>
      </c>
      <c r="E159" s="22">
        <v>22904</v>
      </c>
      <c r="F159" s="22">
        <v>30120</v>
      </c>
      <c r="G159" s="22"/>
      <c r="H159" s="22">
        <v>29514</v>
      </c>
      <c r="I159" s="22">
        <v>1200</v>
      </c>
      <c r="J159" s="23">
        <v>110920</v>
      </c>
      <c r="K159" s="22">
        <v>10160</v>
      </c>
      <c r="L159" s="70">
        <v>25532</v>
      </c>
      <c r="M159" s="22">
        <v>260</v>
      </c>
      <c r="N159" s="22"/>
      <c r="O159" s="22">
        <v>3100</v>
      </c>
      <c r="P159" s="22">
        <v>10585</v>
      </c>
      <c r="Q159" s="28">
        <v>200</v>
      </c>
      <c r="R159" s="28">
        <v>190</v>
      </c>
      <c r="S159" s="45"/>
      <c r="T159" s="319"/>
    </row>
    <row r="160" spans="1:20">
      <c r="A160" s="145">
        <v>5</v>
      </c>
      <c r="B160" s="4" t="s">
        <v>207</v>
      </c>
      <c r="C160" s="309"/>
      <c r="D160" s="162">
        <v>22630</v>
      </c>
      <c r="E160" s="28">
        <v>97023</v>
      </c>
      <c r="F160" s="28">
        <v>214600</v>
      </c>
      <c r="G160" s="28">
        <v>165</v>
      </c>
      <c r="H160" s="134">
        <v>92804</v>
      </c>
      <c r="I160" s="28">
        <v>451430</v>
      </c>
      <c r="J160" s="134">
        <v>1991354</v>
      </c>
      <c r="K160" s="28">
        <v>963980</v>
      </c>
      <c r="L160" s="134">
        <v>67440</v>
      </c>
      <c r="M160" s="28">
        <v>2700</v>
      </c>
      <c r="N160" s="134"/>
      <c r="O160" s="28">
        <v>2100</v>
      </c>
      <c r="P160" s="28">
        <v>27060</v>
      </c>
      <c r="Q160" s="28"/>
      <c r="R160" s="28">
        <v>10</v>
      </c>
      <c r="S160" s="45">
        <v>740</v>
      </c>
      <c r="T160" s="319"/>
    </row>
    <row r="161" spans="1:20">
      <c r="A161" s="145">
        <v>6</v>
      </c>
      <c r="B161" s="4" t="s">
        <v>208</v>
      </c>
      <c r="C161" s="309"/>
      <c r="D161" s="162">
        <v>276012</v>
      </c>
      <c r="E161" s="28">
        <v>802864</v>
      </c>
      <c r="F161" s="28">
        <v>73572</v>
      </c>
      <c r="G161" s="28">
        <v>6180</v>
      </c>
      <c r="H161" s="134">
        <v>60048</v>
      </c>
      <c r="I161" s="28">
        <v>26142</v>
      </c>
      <c r="J161" s="134">
        <v>353155</v>
      </c>
      <c r="K161" s="28">
        <v>35776</v>
      </c>
      <c r="L161" s="134">
        <v>46570</v>
      </c>
      <c r="M161" s="28">
        <v>3990</v>
      </c>
      <c r="N161" s="134"/>
      <c r="O161" s="28"/>
      <c r="P161" s="28"/>
      <c r="Q161" s="28">
        <v>60</v>
      </c>
      <c r="R161" s="28">
        <v>138</v>
      </c>
      <c r="S161" s="45">
        <v>7000</v>
      </c>
      <c r="T161" s="319"/>
    </row>
    <row r="162" spans="1:20">
      <c r="A162" s="145">
        <v>7</v>
      </c>
      <c r="B162" s="4" t="s">
        <v>209</v>
      </c>
      <c r="C162" s="309"/>
      <c r="D162" s="162">
        <v>240</v>
      </c>
      <c r="E162" s="28">
        <v>2290</v>
      </c>
      <c r="F162" s="28"/>
      <c r="G162" s="28"/>
      <c r="H162" s="134">
        <v>1652</v>
      </c>
      <c r="I162" s="28">
        <v>3964</v>
      </c>
      <c r="J162" s="134">
        <v>122956</v>
      </c>
      <c r="K162" s="28">
        <v>90995</v>
      </c>
      <c r="L162" s="134">
        <v>17225</v>
      </c>
      <c r="M162" s="28">
        <v>120</v>
      </c>
      <c r="N162" s="134"/>
      <c r="O162" s="28">
        <v>240050</v>
      </c>
      <c r="P162" s="28">
        <v>1115</v>
      </c>
      <c r="Q162" s="28"/>
      <c r="R162" s="28"/>
      <c r="S162" s="45"/>
      <c r="T162" s="319"/>
    </row>
    <row r="163" spans="1:20">
      <c r="A163" s="145">
        <v>8</v>
      </c>
      <c r="B163" s="4" t="s">
        <v>210</v>
      </c>
      <c r="C163" s="309"/>
      <c r="D163" s="162">
        <v>905468</v>
      </c>
      <c r="E163" s="28">
        <v>3460964</v>
      </c>
      <c r="F163" s="28">
        <v>945400</v>
      </c>
      <c r="G163" s="28">
        <v>102770</v>
      </c>
      <c r="H163" s="134">
        <v>879440</v>
      </c>
      <c r="I163" s="28">
        <v>430754</v>
      </c>
      <c r="J163" s="134">
        <v>44440</v>
      </c>
      <c r="K163" s="28">
        <v>28952</v>
      </c>
      <c r="L163" s="134">
        <v>32182</v>
      </c>
      <c r="M163" s="28">
        <v>48</v>
      </c>
      <c r="N163" s="134">
        <v>160</v>
      </c>
      <c r="O163" s="28">
        <v>180</v>
      </c>
      <c r="P163" s="28"/>
      <c r="Q163" s="28"/>
      <c r="R163" s="28">
        <v>500</v>
      </c>
      <c r="S163" s="45">
        <v>22960</v>
      </c>
      <c r="T163" s="319"/>
    </row>
    <row r="164" spans="1:20">
      <c r="A164" s="145">
        <v>9</v>
      </c>
      <c r="B164" s="4" t="s">
        <v>211</v>
      </c>
      <c r="C164" s="309"/>
      <c r="D164" s="162">
        <v>108096</v>
      </c>
      <c r="E164" s="28">
        <v>326976</v>
      </c>
      <c r="F164" s="28">
        <v>24672</v>
      </c>
      <c r="G164" s="28">
        <v>1500</v>
      </c>
      <c r="H164" s="134">
        <v>29040</v>
      </c>
      <c r="I164" s="28">
        <v>2620</v>
      </c>
      <c r="J164" s="134">
        <v>191255</v>
      </c>
      <c r="K164" s="28">
        <v>15975</v>
      </c>
      <c r="L164" s="134">
        <v>8020</v>
      </c>
      <c r="M164" s="28">
        <v>24</v>
      </c>
      <c r="N164" s="134">
        <v>8200</v>
      </c>
      <c r="O164" s="28">
        <v>460</v>
      </c>
      <c r="P164" s="28"/>
      <c r="Q164" s="28">
        <v>200</v>
      </c>
      <c r="R164" s="28">
        <v>545</v>
      </c>
      <c r="S164" s="45"/>
      <c r="T164" s="319"/>
    </row>
    <row r="165" spans="1:20">
      <c r="A165" s="145">
        <v>10</v>
      </c>
      <c r="B165" s="4" t="s">
        <v>212</v>
      </c>
      <c r="C165" s="309"/>
      <c r="D165" s="63">
        <v>201716</v>
      </c>
      <c r="E165" s="32">
        <v>358592</v>
      </c>
      <c r="F165" s="22">
        <v>95340</v>
      </c>
      <c r="G165" s="32">
        <v>71000</v>
      </c>
      <c r="H165" s="22">
        <v>194016</v>
      </c>
      <c r="I165" s="32">
        <v>18594</v>
      </c>
      <c r="J165" s="22">
        <v>6425</v>
      </c>
      <c r="K165" s="32">
        <v>1232</v>
      </c>
      <c r="L165" s="22">
        <v>3554</v>
      </c>
      <c r="M165" s="32"/>
      <c r="N165" s="22">
        <v>200</v>
      </c>
      <c r="O165" s="32"/>
      <c r="P165" s="22"/>
      <c r="Q165" s="28">
        <v>62</v>
      </c>
      <c r="R165" s="28">
        <v>19</v>
      </c>
      <c r="S165" s="45">
        <v>420</v>
      </c>
      <c r="T165" s="319"/>
    </row>
    <row r="166" spans="1:20" ht="15">
      <c r="A166" s="145">
        <v>11</v>
      </c>
      <c r="B166" s="4" t="s">
        <v>213</v>
      </c>
      <c r="C166" s="310"/>
      <c r="D166" s="63">
        <v>360</v>
      </c>
      <c r="E166" s="22">
        <v>1600</v>
      </c>
      <c r="F166" s="22">
        <v>240</v>
      </c>
      <c r="G166" s="22"/>
      <c r="H166" s="22">
        <v>300</v>
      </c>
      <c r="I166" s="22"/>
      <c r="J166" s="23">
        <v>150</v>
      </c>
      <c r="K166" s="22">
        <v>70</v>
      </c>
      <c r="L166" s="70">
        <v>125</v>
      </c>
      <c r="M166" s="22"/>
      <c r="N166" s="22"/>
      <c r="O166" s="22"/>
      <c r="P166" s="22"/>
      <c r="Q166" s="28"/>
      <c r="R166" s="28"/>
      <c r="S166" s="45"/>
      <c r="T166" s="319"/>
    </row>
    <row r="167" spans="1:20">
      <c r="A167" s="145">
        <v>12</v>
      </c>
      <c r="B167" s="4" t="s">
        <v>214</v>
      </c>
      <c r="C167" s="309"/>
      <c r="D167" s="162">
        <v>120</v>
      </c>
      <c r="E167" s="28">
        <v>118648</v>
      </c>
      <c r="F167" s="28">
        <v>72</v>
      </c>
      <c r="G167" s="28"/>
      <c r="H167" s="134">
        <v>2916</v>
      </c>
      <c r="I167" s="28">
        <v>12228</v>
      </c>
      <c r="J167" s="134">
        <v>643219</v>
      </c>
      <c r="K167" s="28">
        <v>5373106</v>
      </c>
      <c r="L167" s="134">
        <v>97051</v>
      </c>
      <c r="M167" s="28">
        <v>1154</v>
      </c>
      <c r="N167" s="134">
        <v>1900</v>
      </c>
      <c r="O167" s="28">
        <v>280692</v>
      </c>
      <c r="P167" s="28">
        <v>41142</v>
      </c>
      <c r="Q167" s="28"/>
      <c r="R167" s="28"/>
      <c r="S167" s="45"/>
      <c r="T167" s="319"/>
    </row>
    <row r="168" spans="1:20">
      <c r="A168" s="145">
        <v>13</v>
      </c>
      <c r="B168" s="4" t="s">
        <v>215</v>
      </c>
      <c r="C168" s="309"/>
      <c r="D168" s="162">
        <v>137472</v>
      </c>
      <c r="E168" s="28">
        <v>500944</v>
      </c>
      <c r="F168" s="28">
        <v>945312</v>
      </c>
      <c r="G168" s="28">
        <v>28180</v>
      </c>
      <c r="H168" s="134">
        <v>600420</v>
      </c>
      <c r="I168" s="28">
        <v>81885</v>
      </c>
      <c r="J168" s="134">
        <v>208430</v>
      </c>
      <c r="K168" s="28">
        <v>4316</v>
      </c>
      <c r="L168" s="134">
        <v>17416</v>
      </c>
      <c r="M168" s="28">
        <v>265</v>
      </c>
      <c r="N168" s="134">
        <v>250</v>
      </c>
      <c r="O168" s="28"/>
      <c r="P168" s="28"/>
      <c r="Q168" s="28"/>
      <c r="R168" s="28"/>
      <c r="S168" s="45"/>
      <c r="T168" s="319"/>
    </row>
    <row r="169" spans="1:20">
      <c r="A169" s="145">
        <v>14</v>
      </c>
      <c r="B169" s="4" t="s">
        <v>216</v>
      </c>
      <c r="C169" s="309"/>
      <c r="D169" s="162">
        <v>34613</v>
      </c>
      <c r="E169" s="28">
        <v>166030</v>
      </c>
      <c r="F169" s="28">
        <v>44616</v>
      </c>
      <c r="G169" s="28">
        <v>26525</v>
      </c>
      <c r="H169" s="134">
        <v>91001</v>
      </c>
      <c r="I169" s="28">
        <v>12787</v>
      </c>
      <c r="J169" s="134">
        <v>154891</v>
      </c>
      <c r="K169" s="28">
        <v>24298</v>
      </c>
      <c r="L169" s="134">
        <v>118057</v>
      </c>
      <c r="M169" s="28">
        <v>12</v>
      </c>
      <c r="N169" s="134">
        <v>24</v>
      </c>
      <c r="O169" s="28">
        <v>397</v>
      </c>
      <c r="P169" s="28">
        <v>2061</v>
      </c>
      <c r="Q169" s="28">
        <v>200</v>
      </c>
      <c r="R169" s="205"/>
      <c r="S169" s="45">
        <v>20970</v>
      </c>
      <c r="T169" s="319"/>
    </row>
    <row r="170" spans="1:20">
      <c r="A170" s="145">
        <v>15</v>
      </c>
      <c r="B170" s="4" t="s">
        <v>217</v>
      </c>
      <c r="C170" s="309"/>
      <c r="D170" s="162">
        <v>158216</v>
      </c>
      <c r="E170" s="28">
        <v>928393</v>
      </c>
      <c r="F170" s="28">
        <v>44390</v>
      </c>
      <c r="G170" s="28">
        <v>9830</v>
      </c>
      <c r="H170" s="134">
        <v>328332</v>
      </c>
      <c r="I170" s="28">
        <v>14160</v>
      </c>
      <c r="J170" s="134">
        <v>491750</v>
      </c>
      <c r="K170" s="28">
        <v>29533</v>
      </c>
      <c r="L170" s="134">
        <v>22505</v>
      </c>
      <c r="M170" s="28">
        <v>4740</v>
      </c>
      <c r="N170" s="134">
        <v>1245</v>
      </c>
      <c r="O170" s="28">
        <v>300</v>
      </c>
      <c r="P170" s="28"/>
      <c r="Q170" s="28"/>
      <c r="R170" s="28">
        <v>1000</v>
      </c>
      <c r="S170" s="45">
        <v>3428</v>
      </c>
      <c r="T170" s="319"/>
    </row>
    <row r="171" spans="1:20">
      <c r="A171" s="145">
        <v>16</v>
      </c>
      <c r="B171" s="4" t="s">
        <v>218</v>
      </c>
      <c r="C171" s="309"/>
      <c r="D171" s="162">
        <v>51492</v>
      </c>
      <c r="E171" s="28">
        <v>427312</v>
      </c>
      <c r="F171" s="28">
        <v>231360</v>
      </c>
      <c r="G171" s="28">
        <v>2700</v>
      </c>
      <c r="H171" s="134">
        <v>191580</v>
      </c>
      <c r="I171" s="28">
        <v>1212</v>
      </c>
      <c r="J171" s="134">
        <v>137320</v>
      </c>
      <c r="K171" s="28">
        <v>8578</v>
      </c>
      <c r="L171" s="134">
        <v>11930</v>
      </c>
      <c r="M171" s="28">
        <v>710</v>
      </c>
      <c r="N171" s="134">
        <v>1020</v>
      </c>
      <c r="O171" s="28">
        <v>3900</v>
      </c>
      <c r="P171" s="28">
        <v>6962</v>
      </c>
      <c r="Q171" s="28"/>
      <c r="R171" s="28">
        <v>170</v>
      </c>
      <c r="S171" s="45"/>
      <c r="T171" s="319"/>
    </row>
    <row r="172" spans="1:20" ht="15">
      <c r="A172" s="145">
        <v>17</v>
      </c>
      <c r="B172" s="4" t="s">
        <v>219</v>
      </c>
      <c r="C172" s="310"/>
      <c r="D172" s="63">
        <v>123404</v>
      </c>
      <c r="E172" s="22">
        <v>535808</v>
      </c>
      <c r="F172" s="22">
        <v>1857408</v>
      </c>
      <c r="G172" s="22">
        <v>7150</v>
      </c>
      <c r="H172" s="22">
        <v>1392294</v>
      </c>
      <c r="I172" s="22">
        <v>47796</v>
      </c>
      <c r="J172" s="23">
        <v>27800</v>
      </c>
      <c r="K172" s="22">
        <v>3050</v>
      </c>
      <c r="L172" s="70">
        <v>20365</v>
      </c>
      <c r="M172" s="22">
        <v>140</v>
      </c>
      <c r="N172" s="22"/>
      <c r="O172" s="22"/>
      <c r="P172" s="22"/>
      <c r="Q172" s="28"/>
      <c r="R172" s="28">
        <v>10</v>
      </c>
      <c r="S172" s="45"/>
      <c r="T172" s="319"/>
    </row>
    <row r="173" spans="1:20">
      <c r="A173" s="145">
        <v>18</v>
      </c>
      <c r="B173" s="4" t="s">
        <v>220</v>
      </c>
      <c r="C173" s="309"/>
      <c r="D173" s="162"/>
      <c r="E173" s="28">
        <v>8350</v>
      </c>
      <c r="F173" s="28">
        <v>50</v>
      </c>
      <c r="G173" s="28"/>
      <c r="H173" s="134">
        <v>3209</v>
      </c>
      <c r="I173" s="28">
        <v>265</v>
      </c>
      <c r="J173" s="134">
        <v>1181399</v>
      </c>
      <c r="K173" s="28">
        <v>892005</v>
      </c>
      <c r="L173" s="134">
        <v>421485</v>
      </c>
      <c r="M173" s="28">
        <v>6877</v>
      </c>
      <c r="N173" s="134">
        <v>23420</v>
      </c>
      <c r="O173" s="28">
        <v>1934142</v>
      </c>
      <c r="P173" s="28">
        <v>27131</v>
      </c>
      <c r="Q173" s="28"/>
      <c r="R173" s="28">
        <v>26800</v>
      </c>
      <c r="S173" s="45"/>
      <c r="T173" s="319"/>
    </row>
    <row r="174" spans="1:20">
      <c r="A174" s="145">
        <v>19</v>
      </c>
      <c r="B174" s="4" t="s">
        <v>221</v>
      </c>
      <c r="C174" s="309"/>
      <c r="D174" s="162"/>
      <c r="E174" s="28">
        <v>39700</v>
      </c>
      <c r="F174" s="28">
        <v>640</v>
      </c>
      <c r="G174" s="28"/>
      <c r="H174" s="134">
        <v>750</v>
      </c>
      <c r="I174" s="28"/>
      <c r="J174" s="134">
        <v>1643630</v>
      </c>
      <c r="K174" s="28">
        <v>674820</v>
      </c>
      <c r="L174" s="134">
        <v>315440</v>
      </c>
      <c r="M174" s="28">
        <v>2000</v>
      </c>
      <c r="N174" s="134">
        <v>528</v>
      </c>
      <c r="O174" s="28">
        <v>3982958</v>
      </c>
      <c r="P174" s="28">
        <v>189145</v>
      </c>
      <c r="Q174" s="28"/>
      <c r="R174" s="28"/>
      <c r="S174" s="45"/>
      <c r="T174" s="319"/>
    </row>
    <row r="175" spans="1:20">
      <c r="A175" s="145">
        <v>20</v>
      </c>
      <c r="B175" s="4" t="s">
        <v>222</v>
      </c>
      <c r="C175" s="309"/>
      <c r="D175" s="162"/>
      <c r="E175" s="28"/>
      <c r="F175" s="28"/>
      <c r="G175" s="28"/>
      <c r="H175" s="134"/>
      <c r="I175" s="28"/>
      <c r="J175" s="134"/>
      <c r="K175" s="28"/>
      <c r="L175" s="134"/>
      <c r="M175" s="28"/>
      <c r="N175" s="134"/>
      <c r="O175" s="28"/>
      <c r="P175" s="28"/>
      <c r="Q175" s="28"/>
      <c r="R175" s="28"/>
      <c r="S175" s="45"/>
      <c r="T175" s="319"/>
    </row>
    <row r="176" spans="1:20">
      <c r="A176" s="145">
        <v>21</v>
      </c>
      <c r="B176" s="4" t="s">
        <v>223</v>
      </c>
      <c r="C176" s="309"/>
      <c r="D176" s="162">
        <v>119148</v>
      </c>
      <c r="E176" s="28">
        <v>809656</v>
      </c>
      <c r="F176" s="28">
        <v>300444</v>
      </c>
      <c r="G176" s="28">
        <v>21840</v>
      </c>
      <c r="H176" s="134">
        <v>569214</v>
      </c>
      <c r="I176" s="28">
        <v>16788</v>
      </c>
      <c r="J176" s="134">
        <v>207310</v>
      </c>
      <c r="K176" s="28">
        <v>49642</v>
      </c>
      <c r="L176" s="134">
        <v>79713</v>
      </c>
      <c r="M176" s="28">
        <v>1204</v>
      </c>
      <c r="N176" s="134">
        <v>3150</v>
      </c>
      <c r="O176" s="28">
        <v>17050</v>
      </c>
      <c r="P176" s="28">
        <v>1388</v>
      </c>
      <c r="Q176" s="205">
        <v>2</v>
      </c>
      <c r="R176" s="28">
        <v>60</v>
      </c>
      <c r="S176" s="45">
        <v>1330</v>
      </c>
      <c r="T176" s="319"/>
    </row>
    <row r="177" spans="1:20">
      <c r="A177" s="145">
        <v>22</v>
      </c>
      <c r="B177" s="4" t="s">
        <v>224</v>
      </c>
      <c r="C177" s="309"/>
      <c r="D177" s="162">
        <v>503992</v>
      </c>
      <c r="E177" s="28">
        <v>2182590</v>
      </c>
      <c r="F177" s="28">
        <v>359149</v>
      </c>
      <c r="G177" s="28">
        <v>26660</v>
      </c>
      <c r="H177" s="134">
        <v>369051</v>
      </c>
      <c r="I177" s="28">
        <v>39124</v>
      </c>
      <c r="J177" s="134">
        <v>243995</v>
      </c>
      <c r="K177" s="28">
        <v>12830</v>
      </c>
      <c r="L177" s="134">
        <v>39354</v>
      </c>
      <c r="M177" s="28">
        <v>3682</v>
      </c>
      <c r="N177" s="134"/>
      <c r="O177" s="28"/>
      <c r="P177" s="28"/>
      <c r="Q177" s="27">
        <v>362</v>
      </c>
      <c r="R177" s="28">
        <v>470</v>
      </c>
      <c r="S177" s="45">
        <v>56952</v>
      </c>
      <c r="T177" s="319"/>
    </row>
    <row r="178" spans="1:20">
      <c r="A178" s="145">
        <v>23</v>
      </c>
      <c r="B178" s="4" t="s">
        <v>225</v>
      </c>
      <c r="C178" s="311"/>
      <c r="D178" s="63">
        <v>9646</v>
      </c>
      <c r="E178" s="22">
        <v>140640</v>
      </c>
      <c r="F178" s="22">
        <v>1464</v>
      </c>
      <c r="G178" s="22">
        <v>1590</v>
      </c>
      <c r="H178" s="22">
        <v>6480</v>
      </c>
      <c r="I178" s="22">
        <v>100</v>
      </c>
      <c r="J178" s="23">
        <v>364060</v>
      </c>
      <c r="K178" s="22">
        <v>86000</v>
      </c>
      <c r="L178" s="70">
        <v>44750</v>
      </c>
      <c r="M178" s="22">
        <v>1260</v>
      </c>
      <c r="N178" s="22">
        <v>250</v>
      </c>
      <c r="O178" s="22">
        <v>110300</v>
      </c>
      <c r="P178" s="22">
        <v>630</v>
      </c>
      <c r="Q178" s="28">
        <v>150</v>
      </c>
      <c r="R178" s="28">
        <v>46</v>
      </c>
      <c r="S178" s="45"/>
      <c r="T178" s="319"/>
    </row>
    <row r="179" spans="1:20" ht="15">
      <c r="A179" s="145">
        <v>24</v>
      </c>
      <c r="B179" s="4" t="s">
        <v>226</v>
      </c>
      <c r="C179" s="310"/>
      <c r="D179" s="162">
        <v>663952</v>
      </c>
      <c r="E179" s="28">
        <v>1803968</v>
      </c>
      <c r="F179" s="28">
        <v>10200</v>
      </c>
      <c r="G179" s="28">
        <v>900</v>
      </c>
      <c r="H179" s="134">
        <v>49374</v>
      </c>
      <c r="I179" s="28">
        <v>1290</v>
      </c>
      <c r="J179" s="134">
        <v>423320</v>
      </c>
      <c r="K179" s="28">
        <v>19765</v>
      </c>
      <c r="L179" s="134">
        <v>5640</v>
      </c>
      <c r="M179" s="28">
        <v>150</v>
      </c>
      <c r="N179" s="134">
        <v>80</v>
      </c>
      <c r="O179" s="28">
        <v>2000</v>
      </c>
      <c r="P179" s="28">
        <v>58</v>
      </c>
      <c r="Q179" s="28">
        <v>50</v>
      </c>
      <c r="R179" s="28">
        <v>132</v>
      </c>
      <c r="S179" s="45"/>
      <c r="T179" s="319"/>
    </row>
    <row r="180" spans="1:20">
      <c r="A180" s="145">
        <v>25</v>
      </c>
      <c r="B180" s="4" t="s">
        <v>147</v>
      </c>
      <c r="C180" s="309"/>
      <c r="D180" s="162">
        <v>26592</v>
      </c>
      <c r="E180" s="28">
        <v>429280</v>
      </c>
      <c r="F180" s="28">
        <v>606132</v>
      </c>
      <c r="G180" s="28">
        <v>24400</v>
      </c>
      <c r="H180" s="134">
        <v>275154</v>
      </c>
      <c r="I180" s="28">
        <v>15846</v>
      </c>
      <c r="J180" s="134">
        <v>261700</v>
      </c>
      <c r="K180" s="28">
        <v>113640</v>
      </c>
      <c r="L180" s="134">
        <v>287940</v>
      </c>
      <c r="M180" s="28">
        <v>1750</v>
      </c>
      <c r="N180" s="134">
        <v>200</v>
      </c>
      <c r="O180" s="28">
        <v>780</v>
      </c>
      <c r="P180" s="28">
        <v>672</v>
      </c>
      <c r="Q180" s="28"/>
      <c r="R180" s="28"/>
      <c r="S180" s="45"/>
      <c r="T180" s="319"/>
    </row>
    <row r="181" spans="1:20">
      <c r="A181" s="145">
        <v>26</v>
      </c>
      <c r="B181" s="4" t="s">
        <v>227</v>
      </c>
      <c r="C181" s="309"/>
      <c r="D181" s="162">
        <v>22146</v>
      </c>
      <c r="E181" s="28">
        <v>106236</v>
      </c>
      <c r="F181" s="28">
        <v>245298</v>
      </c>
      <c r="G181" s="28">
        <v>380</v>
      </c>
      <c r="H181" s="134">
        <v>44202</v>
      </c>
      <c r="I181" s="28">
        <v>6642</v>
      </c>
      <c r="J181" s="134">
        <v>85056</v>
      </c>
      <c r="K181" s="28">
        <v>67350</v>
      </c>
      <c r="L181" s="134">
        <v>133252</v>
      </c>
      <c r="M181" s="28">
        <v>2420</v>
      </c>
      <c r="N181" s="134">
        <v>680</v>
      </c>
      <c r="O181" s="28">
        <v>9000</v>
      </c>
      <c r="P181" s="28">
        <v>1213</v>
      </c>
      <c r="Q181" s="28"/>
      <c r="R181" s="28">
        <v>44</v>
      </c>
      <c r="S181" s="45">
        <v>296</v>
      </c>
      <c r="T181" s="319"/>
    </row>
    <row r="182" spans="1:20">
      <c r="A182" s="145">
        <v>27</v>
      </c>
      <c r="B182" s="4" t="s">
        <v>228</v>
      </c>
      <c r="C182" s="309"/>
      <c r="D182" s="162">
        <v>29894</v>
      </c>
      <c r="E182" s="28">
        <v>103215</v>
      </c>
      <c r="F182" s="28">
        <v>1587</v>
      </c>
      <c r="G182" s="28">
        <v>632</v>
      </c>
      <c r="H182" s="134">
        <v>29375</v>
      </c>
      <c r="I182" s="28">
        <v>35864</v>
      </c>
      <c r="J182" s="134">
        <v>5021725</v>
      </c>
      <c r="K182" s="28">
        <v>3017364</v>
      </c>
      <c r="L182" s="134">
        <v>1006363</v>
      </c>
      <c r="M182" s="28">
        <v>43900</v>
      </c>
      <c r="N182" s="134">
        <v>19594</v>
      </c>
      <c r="O182" s="28">
        <v>46877123</v>
      </c>
      <c r="P182" s="28">
        <v>336066</v>
      </c>
      <c r="Q182" s="28"/>
      <c r="R182" s="28"/>
      <c r="S182" s="45">
        <v>50</v>
      </c>
      <c r="T182" s="319"/>
    </row>
    <row r="183" spans="1:20">
      <c r="A183" s="145">
        <v>28</v>
      </c>
      <c r="B183" s="4" t="s">
        <v>229</v>
      </c>
      <c r="C183" s="309"/>
      <c r="D183" s="162">
        <v>115932</v>
      </c>
      <c r="E183" s="28">
        <v>998356</v>
      </c>
      <c r="F183" s="28">
        <v>267780</v>
      </c>
      <c r="G183" s="28">
        <v>9630</v>
      </c>
      <c r="H183" s="134">
        <v>415578</v>
      </c>
      <c r="I183" s="28">
        <v>22128</v>
      </c>
      <c r="J183" s="134">
        <v>375605</v>
      </c>
      <c r="K183" s="28">
        <v>231200</v>
      </c>
      <c r="L183" s="134">
        <v>263520</v>
      </c>
      <c r="M183" s="28">
        <v>1260</v>
      </c>
      <c r="N183" s="134">
        <v>224</v>
      </c>
      <c r="O183" s="28">
        <v>23640</v>
      </c>
      <c r="P183" s="28">
        <v>103</v>
      </c>
      <c r="Q183" s="28">
        <v>122</v>
      </c>
      <c r="R183" s="28">
        <v>148</v>
      </c>
      <c r="S183" s="45">
        <v>21000</v>
      </c>
      <c r="T183" s="319"/>
    </row>
    <row r="184" spans="1:20">
      <c r="A184" s="145">
        <v>29</v>
      </c>
      <c r="B184" s="4" t="s">
        <v>230</v>
      </c>
      <c r="C184" s="309"/>
      <c r="D184" s="63">
        <v>66686</v>
      </c>
      <c r="E184" s="22">
        <v>324466</v>
      </c>
      <c r="F184" s="22">
        <v>10304</v>
      </c>
      <c r="G184" s="22">
        <v>4000</v>
      </c>
      <c r="H184" s="22">
        <v>7342</v>
      </c>
      <c r="I184" s="22">
        <v>42</v>
      </c>
      <c r="J184" s="23">
        <v>88506</v>
      </c>
      <c r="K184" s="22">
        <v>2442</v>
      </c>
      <c r="L184" s="70">
        <v>3800</v>
      </c>
      <c r="M184" s="22">
        <v>300</v>
      </c>
      <c r="N184" s="22"/>
      <c r="O184" s="22"/>
      <c r="P184" s="22"/>
      <c r="Q184" s="28"/>
      <c r="R184" s="28">
        <v>1830</v>
      </c>
      <c r="S184" s="45">
        <v>16240</v>
      </c>
      <c r="T184" s="319"/>
    </row>
    <row r="185" spans="1:20" ht="15">
      <c r="A185" s="145">
        <v>30</v>
      </c>
      <c r="B185" s="4" t="s">
        <v>231</v>
      </c>
      <c r="C185" s="310"/>
      <c r="D185" s="162">
        <v>241923</v>
      </c>
      <c r="E185" s="28">
        <v>2349433</v>
      </c>
      <c r="F185" s="28">
        <v>27348</v>
      </c>
      <c r="G185" s="28">
        <v>1310</v>
      </c>
      <c r="H185" s="134">
        <v>113660</v>
      </c>
      <c r="I185" s="28">
        <v>6021</v>
      </c>
      <c r="J185" s="134">
        <v>586252</v>
      </c>
      <c r="K185" s="28">
        <v>66900</v>
      </c>
      <c r="L185" s="21">
        <v>205798</v>
      </c>
      <c r="M185" s="28">
        <v>8300</v>
      </c>
      <c r="N185" s="134">
        <v>1680</v>
      </c>
      <c r="O185" s="28">
        <v>47370</v>
      </c>
      <c r="P185" s="28">
        <v>93</v>
      </c>
      <c r="Q185" s="28">
        <v>980</v>
      </c>
      <c r="R185" s="28"/>
      <c r="S185" s="45">
        <v>2146</v>
      </c>
      <c r="T185" s="319"/>
    </row>
    <row r="186" spans="1:20">
      <c r="A186" s="145">
        <v>31</v>
      </c>
      <c r="B186" s="4" t="s">
        <v>232</v>
      </c>
      <c r="C186" s="309"/>
      <c r="D186" s="162">
        <v>143558</v>
      </c>
      <c r="E186" s="28">
        <v>854156</v>
      </c>
      <c r="F186" s="28">
        <v>29310</v>
      </c>
      <c r="G186" s="28">
        <v>1826</v>
      </c>
      <c r="H186" s="134">
        <v>129836</v>
      </c>
      <c r="I186" s="28">
        <v>10668</v>
      </c>
      <c r="J186" s="134">
        <v>93295</v>
      </c>
      <c r="K186" s="28">
        <v>5720</v>
      </c>
      <c r="L186" s="134">
        <v>4442</v>
      </c>
      <c r="M186" s="28">
        <v>3860</v>
      </c>
      <c r="N186" s="134">
        <v>1600</v>
      </c>
      <c r="O186" s="28">
        <v>14400</v>
      </c>
      <c r="P186" s="28"/>
      <c r="Q186" s="28"/>
      <c r="R186" s="28"/>
      <c r="S186" s="45"/>
      <c r="T186" s="319"/>
    </row>
    <row r="187" spans="1:20">
      <c r="A187" s="215"/>
      <c r="B187" s="203"/>
      <c r="C187" s="312"/>
      <c r="D187" s="265"/>
      <c r="E187" s="206"/>
      <c r="F187" s="206"/>
      <c r="G187" s="206"/>
      <c r="H187" s="256"/>
      <c r="I187" s="206"/>
      <c r="J187" s="256"/>
      <c r="K187" s="206"/>
      <c r="L187" s="256"/>
      <c r="M187" s="206"/>
      <c r="N187" s="256"/>
      <c r="O187" s="206"/>
      <c r="P187" s="206"/>
      <c r="Q187" s="206"/>
      <c r="R187" s="206"/>
      <c r="S187" s="317"/>
      <c r="T187" s="319"/>
    </row>
    <row r="188" spans="1:20">
      <c r="A188" s="145" t="s">
        <v>297</v>
      </c>
      <c r="B188" s="4"/>
      <c r="C188" s="162"/>
      <c r="D188" s="162">
        <f>SUM(D156:D186)</f>
        <v>4399478</v>
      </c>
      <c r="E188" s="28">
        <f>SUM(E156:E186)</f>
        <v>19355398</v>
      </c>
      <c r="F188" s="28">
        <f t="shared" ref="F188:S188" si="5">SUM(F156:F186)</f>
        <v>6459392</v>
      </c>
      <c r="G188" s="28">
        <f t="shared" si="5"/>
        <v>352288</v>
      </c>
      <c r="H188" s="28">
        <f t="shared" si="5"/>
        <v>6042377</v>
      </c>
      <c r="I188" s="28">
        <f t="shared" si="5"/>
        <v>1284212</v>
      </c>
      <c r="J188" s="28">
        <f t="shared" si="5"/>
        <v>15634566</v>
      </c>
      <c r="K188" s="28">
        <f t="shared" si="5"/>
        <v>11930766</v>
      </c>
      <c r="L188" s="28">
        <f t="shared" si="5"/>
        <v>3425407</v>
      </c>
      <c r="M188" s="28">
        <f t="shared" si="5"/>
        <v>93246</v>
      </c>
      <c r="N188" s="28">
        <f t="shared" si="5"/>
        <v>64667</v>
      </c>
      <c r="O188" s="28">
        <f t="shared" si="5"/>
        <v>56180936</v>
      </c>
      <c r="P188" s="28">
        <f t="shared" si="5"/>
        <v>670349</v>
      </c>
      <c r="Q188" s="28">
        <f t="shared" si="5"/>
        <v>2491</v>
      </c>
      <c r="R188" s="28">
        <f t="shared" si="5"/>
        <v>32112</v>
      </c>
      <c r="S188" s="28">
        <f t="shared" si="5"/>
        <v>171032</v>
      </c>
      <c r="T188" s="319"/>
    </row>
    <row r="189" spans="1:20" ht="15" thickBot="1">
      <c r="A189" s="217"/>
      <c r="B189" s="104"/>
      <c r="C189" s="252"/>
      <c r="D189" s="252"/>
      <c r="E189" s="208"/>
      <c r="F189" s="208"/>
      <c r="G189" s="208"/>
      <c r="H189" s="253"/>
      <c r="I189" s="208"/>
      <c r="J189" s="253"/>
      <c r="K189" s="208"/>
      <c r="L189" s="253"/>
      <c r="M189" s="208"/>
      <c r="N189" s="253"/>
      <c r="O189" s="208"/>
      <c r="P189" s="208"/>
      <c r="Q189" s="186"/>
      <c r="R189" s="186"/>
      <c r="S189" s="276"/>
      <c r="T189" s="319"/>
    </row>
    <row r="190" spans="1:20" ht="16" thickTop="1">
      <c r="A190" s="222" t="s">
        <v>28</v>
      </c>
      <c r="B190" s="97"/>
      <c r="C190" s="248"/>
      <c r="D190" s="63"/>
      <c r="E190" s="22"/>
      <c r="F190" s="22"/>
      <c r="G190" s="22"/>
      <c r="H190" s="22"/>
      <c r="I190" s="22"/>
      <c r="J190" s="23"/>
      <c r="K190" s="22"/>
      <c r="L190" s="70"/>
      <c r="M190" s="22"/>
      <c r="N190" s="22"/>
      <c r="O190" s="22"/>
      <c r="P190" s="22"/>
      <c r="Q190" s="22"/>
      <c r="R190" s="22"/>
      <c r="S190" s="23"/>
      <c r="T190" s="319"/>
    </row>
    <row r="191" spans="1:20">
      <c r="A191" s="145">
        <v>32</v>
      </c>
      <c r="B191" s="235" t="s">
        <v>233</v>
      </c>
      <c r="C191" s="17"/>
      <c r="D191" s="162">
        <v>3000</v>
      </c>
      <c r="E191" s="28">
        <v>14800</v>
      </c>
      <c r="F191" s="28"/>
      <c r="G191" s="28"/>
      <c r="H191" s="134">
        <v>4800</v>
      </c>
      <c r="I191" s="28">
        <v>600</v>
      </c>
      <c r="J191" s="134">
        <v>88365</v>
      </c>
      <c r="K191" s="28">
        <v>49640</v>
      </c>
      <c r="L191" s="134">
        <v>49850</v>
      </c>
      <c r="M191" s="28">
        <v>200</v>
      </c>
      <c r="N191" s="134"/>
      <c r="O191" s="28">
        <v>39546</v>
      </c>
      <c r="P191" s="28">
        <v>848</v>
      </c>
      <c r="Q191" s="28"/>
      <c r="R191" s="28"/>
      <c r="S191" s="45"/>
      <c r="T191" s="319"/>
    </row>
    <row r="192" spans="1:20">
      <c r="A192" s="145">
        <v>33</v>
      </c>
      <c r="B192" s="4" t="s">
        <v>234</v>
      </c>
      <c r="C192" s="10"/>
      <c r="D192" s="162"/>
      <c r="E192" s="28">
        <v>23840</v>
      </c>
      <c r="F192" s="28">
        <v>1800</v>
      </c>
      <c r="G192" s="28"/>
      <c r="H192" s="134">
        <v>2850</v>
      </c>
      <c r="I192" s="28">
        <v>120</v>
      </c>
      <c r="J192" s="134">
        <v>61300</v>
      </c>
      <c r="K192" s="28">
        <v>13760</v>
      </c>
      <c r="L192" s="134">
        <v>20740</v>
      </c>
      <c r="M192" s="28">
        <v>150</v>
      </c>
      <c r="N192" s="134">
        <v>600</v>
      </c>
      <c r="O192" s="28">
        <v>137960</v>
      </c>
      <c r="P192" s="28">
        <v>5680</v>
      </c>
      <c r="Q192" s="28"/>
      <c r="R192" s="28"/>
      <c r="S192" s="45"/>
      <c r="T192" s="319"/>
    </row>
    <row r="193" spans="1:20">
      <c r="A193" s="145">
        <v>34</v>
      </c>
      <c r="B193" s="4" t="s">
        <v>235</v>
      </c>
      <c r="C193" s="10"/>
      <c r="D193" s="162"/>
      <c r="E193" s="28">
        <v>1824</v>
      </c>
      <c r="F193" s="28"/>
      <c r="G193" s="28"/>
      <c r="H193" s="134"/>
      <c r="I193" s="28"/>
      <c r="J193" s="134">
        <v>300</v>
      </c>
      <c r="K193" s="28">
        <v>320</v>
      </c>
      <c r="L193" s="134">
        <v>300</v>
      </c>
      <c r="M193" s="28"/>
      <c r="N193" s="134"/>
      <c r="O193" s="28">
        <v>5400</v>
      </c>
      <c r="P193" s="28"/>
      <c r="Q193" s="28"/>
      <c r="R193" s="28"/>
      <c r="S193" s="45"/>
      <c r="T193" s="319"/>
    </row>
    <row r="194" spans="1:20">
      <c r="A194" s="145">
        <v>35</v>
      </c>
      <c r="B194" s="4" t="s">
        <v>236</v>
      </c>
      <c r="C194" s="10"/>
      <c r="D194" s="162"/>
      <c r="E194" s="28"/>
      <c r="F194" s="28"/>
      <c r="G194" s="28"/>
      <c r="H194" s="134"/>
      <c r="I194" s="28"/>
      <c r="J194" s="134"/>
      <c r="K194" s="28">
        <v>8000</v>
      </c>
      <c r="L194" s="134"/>
      <c r="M194" s="28"/>
      <c r="N194" s="134">
        <v>90</v>
      </c>
      <c r="O194" s="28">
        <v>18000</v>
      </c>
      <c r="P194" s="28">
        <v>50</v>
      </c>
      <c r="Q194" s="28"/>
      <c r="R194" s="28"/>
      <c r="S194" s="45"/>
      <c r="T194" s="319"/>
    </row>
    <row r="195" spans="1:20">
      <c r="A195" s="145">
        <v>36</v>
      </c>
      <c r="B195" s="4" t="s">
        <v>237</v>
      </c>
      <c r="C195" s="10"/>
      <c r="D195" s="162">
        <v>6000</v>
      </c>
      <c r="E195" s="28">
        <v>11120</v>
      </c>
      <c r="F195" s="28"/>
      <c r="G195" s="28"/>
      <c r="H195" s="134">
        <v>1710</v>
      </c>
      <c r="I195" s="28">
        <v>600</v>
      </c>
      <c r="J195" s="134">
        <v>22290</v>
      </c>
      <c r="K195" s="28">
        <v>5120</v>
      </c>
      <c r="L195" s="134">
        <v>12425</v>
      </c>
      <c r="M195" s="28"/>
      <c r="N195" s="134"/>
      <c r="O195" s="28">
        <v>37200</v>
      </c>
      <c r="P195" s="28">
        <v>600</v>
      </c>
      <c r="Q195" s="28"/>
      <c r="R195" s="28"/>
      <c r="S195" s="45"/>
      <c r="T195" s="319"/>
    </row>
    <row r="196" spans="1:20">
      <c r="A196" s="145">
        <v>37</v>
      </c>
      <c r="B196" s="4" t="s">
        <v>238</v>
      </c>
      <c r="C196" s="10"/>
      <c r="D196" s="63"/>
      <c r="E196" s="32">
        <v>2960</v>
      </c>
      <c r="F196" s="22"/>
      <c r="G196" s="32">
        <v>3900</v>
      </c>
      <c r="H196" s="22"/>
      <c r="I196" s="32"/>
      <c r="J196" s="22">
        <v>96625</v>
      </c>
      <c r="K196" s="32">
        <v>29600</v>
      </c>
      <c r="L196" s="22">
        <v>12000</v>
      </c>
      <c r="M196" s="32"/>
      <c r="N196" s="22"/>
      <c r="O196" s="32">
        <v>491640</v>
      </c>
      <c r="P196" s="22">
        <v>10625</v>
      </c>
      <c r="Q196" s="28"/>
      <c r="R196" s="28"/>
      <c r="S196" s="45"/>
      <c r="T196" s="319"/>
    </row>
    <row r="197" spans="1:20" ht="15">
      <c r="A197" s="145">
        <v>38</v>
      </c>
      <c r="B197" s="4" t="s">
        <v>239</v>
      </c>
      <c r="C197" s="248"/>
      <c r="D197" s="63"/>
      <c r="E197" s="22"/>
      <c r="F197" s="22"/>
      <c r="G197" s="22"/>
      <c r="H197" s="22"/>
      <c r="I197" s="22"/>
      <c r="J197" s="23">
        <v>2400</v>
      </c>
      <c r="K197" s="22"/>
      <c r="L197" s="70"/>
      <c r="M197" s="22"/>
      <c r="N197" s="22"/>
      <c r="O197" s="22"/>
      <c r="P197" s="22"/>
      <c r="Q197" s="28"/>
      <c r="R197" s="28"/>
      <c r="S197" s="45"/>
      <c r="T197" s="319"/>
    </row>
    <row r="198" spans="1:20">
      <c r="A198" s="145">
        <v>39</v>
      </c>
      <c r="B198" s="4" t="s">
        <v>240</v>
      </c>
      <c r="C198" s="17"/>
      <c r="D198" s="162">
        <v>300</v>
      </c>
      <c r="E198" s="28">
        <v>37666</v>
      </c>
      <c r="F198" s="28">
        <v>3000</v>
      </c>
      <c r="G198" s="28">
        <v>600</v>
      </c>
      <c r="H198" s="134">
        <v>45420</v>
      </c>
      <c r="I198" s="28">
        <v>138</v>
      </c>
      <c r="J198" s="134">
        <v>8015</v>
      </c>
      <c r="K198" s="28">
        <v>1000</v>
      </c>
      <c r="L198" s="134">
        <v>1024</v>
      </c>
      <c r="M198" s="28">
        <v>50</v>
      </c>
      <c r="N198" s="134">
        <v>300</v>
      </c>
      <c r="O198" s="28">
        <v>13320</v>
      </c>
      <c r="P198" s="28">
        <v>23</v>
      </c>
      <c r="Q198" s="28"/>
      <c r="R198" s="28"/>
      <c r="S198" s="45"/>
      <c r="T198" s="319"/>
    </row>
    <row r="199" spans="1:20">
      <c r="A199" s="145">
        <v>40</v>
      </c>
      <c r="B199" s="4" t="s">
        <v>241</v>
      </c>
      <c r="C199" s="10"/>
      <c r="D199" s="162">
        <v>2400</v>
      </c>
      <c r="E199" s="28">
        <v>4800</v>
      </c>
      <c r="F199" s="28">
        <v>9600</v>
      </c>
      <c r="G199" s="28">
        <v>300</v>
      </c>
      <c r="H199" s="134">
        <v>60</v>
      </c>
      <c r="I199" s="28">
        <v>60</v>
      </c>
      <c r="J199" s="134">
        <v>750</v>
      </c>
      <c r="K199" s="28">
        <v>800</v>
      </c>
      <c r="L199" s="134">
        <v>1100</v>
      </c>
      <c r="M199" s="28"/>
      <c r="N199" s="134"/>
      <c r="O199" s="28"/>
      <c r="P199" s="28"/>
      <c r="Q199" s="28"/>
      <c r="R199" s="28"/>
      <c r="S199" s="45"/>
      <c r="T199" s="319"/>
    </row>
    <row r="200" spans="1:20">
      <c r="A200" s="145">
        <v>41</v>
      </c>
      <c r="B200" s="4" t="s">
        <v>242</v>
      </c>
      <c r="C200" s="10"/>
      <c r="D200" s="162"/>
      <c r="E200" s="28"/>
      <c r="F200" s="28"/>
      <c r="G200" s="28"/>
      <c r="H200" s="134"/>
      <c r="I200" s="28"/>
      <c r="J200" s="134"/>
      <c r="K200" s="28"/>
      <c r="L200" s="134"/>
      <c r="M200" s="28"/>
      <c r="N200" s="134"/>
      <c r="O200" s="28"/>
      <c r="P200" s="28"/>
      <c r="Q200" s="28"/>
      <c r="R200" s="28"/>
      <c r="S200" s="45"/>
      <c r="T200" s="319"/>
    </row>
    <row r="201" spans="1:20">
      <c r="A201" s="145">
        <v>42</v>
      </c>
      <c r="B201" s="4" t="s">
        <v>243</v>
      </c>
      <c r="C201" s="10"/>
      <c r="D201" s="162"/>
      <c r="E201" s="28"/>
      <c r="F201" s="28"/>
      <c r="G201" s="28"/>
      <c r="H201" s="134"/>
      <c r="I201" s="28"/>
      <c r="J201" s="134">
        <v>760</v>
      </c>
      <c r="K201" s="28">
        <v>490</v>
      </c>
      <c r="L201" s="134">
        <v>7800</v>
      </c>
      <c r="M201" s="28"/>
      <c r="N201" s="134"/>
      <c r="O201" s="28">
        <v>4600</v>
      </c>
      <c r="P201" s="28">
        <v>1600</v>
      </c>
      <c r="Q201" s="28"/>
      <c r="R201" s="28"/>
      <c r="S201" s="45"/>
      <c r="T201" s="319"/>
    </row>
    <row r="202" spans="1:20">
      <c r="A202" s="215"/>
      <c r="B202" s="203"/>
      <c r="C202" s="12"/>
      <c r="D202" s="265"/>
      <c r="E202" s="206"/>
      <c r="F202" s="206"/>
      <c r="G202" s="206"/>
      <c r="H202" s="256"/>
      <c r="I202" s="206"/>
      <c r="J202" s="256"/>
      <c r="K202" s="206"/>
      <c r="L202" s="256"/>
      <c r="M202" s="206"/>
      <c r="N202" s="256"/>
      <c r="O202" s="206"/>
      <c r="P202" s="206"/>
      <c r="Q202" s="206"/>
      <c r="R202" s="206"/>
      <c r="S202" s="317"/>
      <c r="T202" s="319"/>
    </row>
    <row r="203" spans="1:20" ht="15">
      <c r="A203" s="145" t="s">
        <v>298</v>
      </c>
      <c r="B203" s="4"/>
      <c r="C203" s="248"/>
      <c r="D203" s="162">
        <f>SUM(D191:D201)</f>
        <v>11700</v>
      </c>
      <c r="E203" s="22">
        <f>SUM(E191:E201)</f>
        <v>97010</v>
      </c>
      <c r="F203" s="22">
        <f t="shared" ref="F203:S203" si="6">SUM(F191:F201)</f>
        <v>14400</v>
      </c>
      <c r="G203" s="22">
        <f t="shared" si="6"/>
        <v>4800</v>
      </c>
      <c r="H203" s="22">
        <f t="shared" si="6"/>
        <v>54840</v>
      </c>
      <c r="I203" s="22">
        <f t="shared" si="6"/>
        <v>1518</v>
      </c>
      <c r="J203" s="22">
        <f t="shared" si="6"/>
        <v>280805</v>
      </c>
      <c r="K203" s="22">
        <f t="shared" si="6"/>
        <v>108730</v>
      </c>
      <c r="L203" s="22">
        <f t="shared" si="6"/>
        <v>105239</v>
      </c>
      <c r="M203" s="22">
        <f t="shared" si="6"/>
        <v>400</v>
      </c>
      <c r="N203" s="28">
        <f t="shared" si="6"/>
        <v>990</v>
      </c>
      <c r="O203" s="28">
        <f t="shared" si="6"/>
        <v>747666</v>
      </c>
      <c r="P203" s="28">
        <f t="shared" si="6"/>
        <v>19426</v>
      </c>
      <c r="Q203" s="28">
        <f t="shared" si="6"/>
        <v>0</v>
      </c>
      <c r="R203" s="28">
        <f t="shared" si="6"/>
        <v>0</v>
      </c>
      <c r="S203" s="28">
        <f t="shared" si="6"/>
        <v>0</v>
      </c>
      <c r="T203" s="319"/>
    </row>
    <row r="204" spans="1:20" ht="15" thickBot="1">
      <c r="A204" s="217"/>
      <c r="B204" s="104"/>
      <c r="C204" s="257"/>
      <c r="D204" s="252"/>
      <c r="E204" s="208"/>
      <c r="F204" s="208"/>
      <c r="G204" s="208"/>
      <c r="H204" s="253"/>
      <c r="I204" s="208"/>
      <c r="J204" s="253"/>
      <c r="K204" s="208"/>
      <c r="L204" s="253"/>
      <c r="M204" s="208"/>
      <c r="N204" s="253"/>
      <c r="O204" s="208"/>
      <c r="P204" s="208"/>
      <c r="Q204" s="208"/>
      <c r="R204" s="208"/>
      <c r="S204" s="321"/>
      <c r="T204" s="319"/>
    </row>
    <row r="205" spans="1:20" ht="15" thickTop="1">
      <c r="A205" s="145"/>
      <c r="B205" s="4"/>
      <c r="C205" s="9"/>
      <c r="D205" s="258"/>
      <c r="E205" s="259"/>
      <c r="F205" s="259"/>
      <c r="G205" s="259"/>
      <c r="H205" s="260"/>
      <c r="I205" s="259"/>
      <c r="J205" s="260"/>
      <c r="K205" s="259"/>
      <c r="L205" s="260"/>
      <c r="M205" s="259"/>
      <c r="N205" s="260"/>
      <c r="O205" s="259"/>
      <c r="P205" s="259"/>
      <c r="Q205" s="28"/>
      <c r="R205" s="28"/>
      <c r="S205" s="45"/>
      <c r="T205" s="319"/>
    </row>
    <row r="206" spans="1:20">
      <c r="A206" s="145" t="s">
        <v>299</v>
      </c>
      <c r="B206" s="4"/>
      <c r="C206" s="10"/>
      <c r="D206" s="162">
        <f>D203+D188</f>
        <v>4411178</v>
      </c>
      <c r="E206" s="22">
        <f>E203+E188</f>
        <v>19452408</v>
      </c>
      <c r="F206" s="22">
        <f t="shared" ref="F206:S206" si="7">F203+F188</f>
        <v>6473792</v>
      </c>
      <c r="G206" s="22">
        <f t="shared" si="7"/>
        <v>357088</v>
      </c>
      <c r="H206" s="22">
        <f t="shared" si="7"/>
        <v>6097217</v>
      </c>
      <c r="I206" s="22">
        <f t="shared" si="7"/>
        <v>1285730</v>
      </c>
      <c r="J206" s="22">
        <f t="shared" si="7"/>
        <v>15915371</v>
      </c>
      <c r="K206" s="22">
        <f t="shared" si="7"/>
        <v>12039496</v>
      </c>
      <c r="L206" s="22">
        <f t="shared" si="7"/>
        <v>3530646</v>
      </c>
      <c r="M206" s="22">
        <f t="shared" si="7"/>
        <v>93646</v>
      </c>
      <c r="N206" s="22">
        <f t="shared" si="7"/>
        <v>65657</v>
      </c>
      <c r="O206" s="22">
        <f t="shared" si="7"/>
        <v>56928602</v>
      </c>
      <c r="P206" s="22">
        <f t="shared" si="7"/>
        <v>689775</v>
      </c>
      <c r="Q206" s="22">
        <f t="shared" si="7"/>
        <v>2491</v>
      </c>
      <c r="R206" s="22">
        <f t="shared" si="7"/>
        <v>32112</v>
      </c>
      <c r="S206" s="22">
        <f t="shared" si="7"/>
        <v>171032</v>
      </c>
      <c r="T206" s="319"/>
    </row>
    <row r="207" spans="1:20" ht="15" thickBot="1">
      <c r="A207" s="217"/>
      <c r="B207" s="104"/>
      <c r="C207" s="251"/>
      <c r="D207" s="252"/>
      <c r="E207" s="208"/>
      <c r="F207" s="208"/>
      <c r="G207" s="208"/>
      <c r="H207" s="253"/>
      <c r="I207" s="208"/>
      <c r="J207" s="253"/>
      <c r="K207" s="208"/>
      <c r="L207" s="253"/>
      <c r="M207" s="208"/>
      <c r="N207" s="253"/>
      <c r="O207" s="208"/>
      <c r="P207" s="208"/>
      <c r="Q207" s="186"/>
      <c r="R207" s="186"/>
      <c r="S207" s="276"/>
      <c r="T207" s="319"/>
    </row>
    <row r="208" spans="1:20" ht="17" thickTop="1" thickBot="1">
      <c r="A208" s="226" t="s">
        <v>38</v>
      </c>
      <c r="B208" s="94"/>
      <c r="C208" s="10"/>
      <c r="D208" s="162"/>
      <c r="E208" s="28"/>
      <c r="F208" s="28"/>
      <c r="G208" s="28"/>
      <c r="H208" s="134"/>
      <c r="I208" s="28"/>
      <c r="J208" s="134"/>
      <c r="K208" s="28"/>
      <c r="L208" s="134"/>
      <c r="M208" s="28"/>
      <c r="N208" s="134"/>
      <c r="O208" s="28"/>
      <c r="P208" s="28"/>
      <c r="Q208" s="22"/>
      <c r="R208" s="22"/>
      <c r="S208" s="23"/>
      <c r="T208" s="319"/>
    </row>
    <row r="209" spans="1:20">
      <c r="A209" s="145">
        <v>1</v>
      </c>
      <c r="B209" s="4" t="s">
        <v>244</v>
      </c>
      <c r="C209" s="277" t="s">
        <v>369</v>
      </c>
      <c r="D209" s="63">
        <v>16896</v>
      </c>
      <c r="E209" s="22">
        <v>56232</v>
      </c>
      <c r="F209" s="22">
        <v>10570</v>
      </c>
      <c r="G209" s="22"/>
      <c r="H209" s="22">
        <v>26842</v>
      </c>
      <c r="I209" s="22">
        <v>10100</v>
      </c>
      <c r="J209" s="23">
        <v>471240</v>
      </c>
      <c r="K209" s="22">
        <v>1010172</v>
      </c>
      <c r="L209" s="70">
        <v>98453</v>
      </c>
      <c r="M209" s="22">
        <v>1050</v>
      </c>
      <c r="N209" s="22">
        <v>3030</v>
      </c>
      <c r="O209" s="22">
        <v>115160</v>
      </c>
      <c r="P209" s="22">
        <v>32931</v>
      </c>
      <c r="Q209" s="28"/>
      <c r="R209" s="28"/>
      <c r="S209" s="45">
        <v>249</v>
      </c>
      <c r="T209" s="319"/>
    </row>
    <row r="210" spans="1:20">
      <c r="A210" s="145">
        <v>2</v>
      </c>
      <c r="B210" s="4" t="s">
        <v>245</v>
      </c>
      <c r="C210" s="17"/>
      <c r="D210" s="162">
        <v>122415</v>
      </c>
      <c r="E210" s="28">
        <v>752377</v>
      </c>
      <c r="F210" s="28">
        <v>16285</v>
      </c>
      <c r="G210" s="28">
        <v>6349</v>
      </c>
      <c r="H210" s="134">
        <v>74529</v>
      </c>
      <c r="I210" s="28">
        <v>5403</v>
      </c>
      <c r="J210" s="134"/>
      <c r="K210" s="28"/>
      <c r="L210" s="134"/>
      <c r="M210" s="28"/>
      <c r="N210" s="134"/>
      <c r="O210" s="28"/>
      <c r="P210" s="28"/>
      <c r="Q210" s="28"/>
      <c r="R210" s="28">
        <v>30</v>
      </c>
      <c r="S210" s="45">
        <v>1030</v>
      </c>
      <c r="T210" s="319"/>
    </row>
    <row r="211" spans="1:20">
      <c r="A211" s="145">
        <v>3</v>
      </c>
      <c r="B211" s="4" t="s">
        <v>246</v>
      </c>
      <c r="C211" s="10"/>
      <c r="D211" s="162">
        <v>194948</v>
      </c>
      <c r="E211" s="28">
        <v>936300</v>
      </c>
      <c r="F211" s="28">
        <v>25262</v>
      </c>
      <c r="G211" s="28">
        <v>27150</v>
      </c>
      <c r="H211" s="134">
        <v>59370</v>
      </c>
      <c r="I211" s="28">
        <v>7210</v>
      </c>
      <c r="J211" s="134">
        <v>4510</v>
      </c>
      <c r="K211" s="28"/>
      <c r="L211" s="134">
        <v>12000</v>
      </c>
      <c r="M211" s="28">
        <v>61</v>
      </c>
      <c r="N211" s="134"/>
      <c r="O211" s="28"/>
      <c r="P211" s="28"/>
      <c r="Q211" s="28">
        <v>165</v>
      </c>
      <c r="R211" s="28"/>
      <c r="S211" s="45">
        <v>73920</v>
      </c>
      <c r="T211" s="319"/>
    </row>
    <row r="212" spans="1:20">
      <c r="A212" s="145">
        <v>4</v>
      </c>
      <c r="B212" s="4" t="s">
        <v>247</v>
      </c>
      <c r="C212" s="10"/>
      <c r="D212" s="162">
        <v>28291</v>
      </c>
      <c r="E212" s="28">
        <v>177500</v>
      </c>
      <c r="F212" s="28">
        <v>15500</v>
      </c>
      <c r="G212" s="28">
        <v>1100</v>
      </c>
      <c r="H212" s="134">
        <v>1710</v>
      </c>
      <c r="I212" s="28">
        <v>613</v>
      </c>
      <c r="J212" s="29">
        <v>100</v>
      </c>
      <c r="K212" s="28"/>
      <c r="L212" s="134"/>
      <c r="M212" s="28"/>
      <c r="N212" s="134"/>
      <c r="O212" s="28"/>
      <c r="P212" s="28"/>
      <c r="Q212" s="28"/>
      <c r="R212" s="28"/>
      <c r="S212" s="45"/>
      <c r="T212" s="319"/>
    </row>
    <row r="213" spans="1:20">
      <c r="A213" s="145">
        <v>5</v>
      </c>
      <c r="B213" s="4" t="s">
        <v>248</v>
      </c>
      <c r="C213" s="10"/>
      <c r="D213" s="162">
        <v>1236888</v>
      </c>
      <c r="E213" s="28">
        <v>4549080</v>
      </c>
      <c r="F213" s="28">
        <v>653584</v>
      </c>
      <c r="G213" s="28">
        <v>12280</v>
      </c>
      <c r="H213" s="134">
        <v>656274</v>
      </c>
      <c r="I213" s="28">
        <v>90864</v>
      </c>
      <c r="J213" s="134">
        <v>14000</v>
      </c>
      <c r="K213" s="28"/>
      <c r="L213" s="134">
        <v>1150</v>
      </c>
      <c r="M213" s="28"/>
      <c r="N213" s="134"/>
      <c r="O213" s="28"/>
      <c r="P213" s="28"/>
      <c r="Q213" s="28">
        <v>42</v>
      </c>
      <c r="R213" s="28">
        <v>6327</v>
      </c>
      <c r="S213" s="45">
        <v>7700</v>
      </c>
      <c r="T213" s="319"/>
    </row>
    <row r="214" spans="1:20">
      <c r="A214" s="145">
        <v>6</v>
      </c>
      <c r="B214" s="4" t="s">
        <v>249</v>
      </c>
      <c r="C214" s="10"/>
      <c r="D214" s="162">
        <v>319500</v>
      </c>
      <c r="E214" s="28">
        <v>1780800</v>
      </c>
      <c r="F214" s="28">
        <v>142450</v>
      </c>
      <c r="G214" s="28">
        <v>11000</v>
      </c>
      <c r="H214" s="134">
        <v>504300</v>
      </c>
      <c r="I214" s="28">
        <v>36115</v>
      </c>
      <c r="J214" s="134">
        <v>51800</v>
      </c>
      <c r="K214" s="28">
        <v>200</v>
      </c>
      <c r="L214" s="134">
        <v>1210</v>
      </c>
      <c r="M214" s="28"/>
      <c r="N214" s="134"/>
      <c r="O214" s="28"/>
      <c r="P214" s="28"/>
      <c r="Q214" s="28"/>
      <c r="R214" s="28">
        <v>4343</v>
      </c>
      <c r="S214" s="45">
        <v>64500</v>
      </c>
      <c r="T214" s="319"/>
    </row>
    <row r="215" spans="1:20" ht="15">
      <c r="A215" s="145">
        <v>7</v>
      </c>
      <c r="B215" s="4" t="s">
        <v>250</v>
      </c>
      <c r="C215" s="248"/>
      <c r="D215" s="63">
        <v>478290</v>
      </c>
      <c r="E215" s="22">
        <v>937816</v>
      </c>
      <c r="F215" s="22">
        <v>705430</v>
      </c>
      <c r="G215" s="22">
        <v>124940</v>
      </c>
      <c r="H215" s="22">
        <v>122280</v>
      </c>
      <c r="I215" s="22">
        <v>44260</v>
      </c>
      <c r="J215" s="134">
        <v>51920</v>
      </c>
      <c r="K215" s="22">
        <v>4720</v>
      </c>
      <c r="L215" s="70">
        <v>4020</v>
      </c>
      <c r="M215" s="22">
        <v>2000</v>
      </c>
      <c r="N215" s="22"/>
      <c r="O215" s="22"/>
      <c r="P215" s="22"/>
      <c r="Q215" s="28">
        <v>130</v>
      </c>
      <c r="R215" s="28">
        <v>800</v>
      </c>
      <c r="S215" s="45">
        <v>4200</v>
      </c>
      <c r="T215" s="319"/>
    </row>
    <row r="216" spans="1:20">
      <c r="A216" s="224">
        <v>8</v>
      </c>
      <c r="B216" s="113" t="s">
        <v>251</v>
      </c>
      <c r="C216" s="17"/>
      <c r="D216" s="162">
        <v>1451496</v>
      </c>
      <c r="E216" s="28">
        <v>6963184</v>
      </c>
      <c r="F216" s="28">
        <v>244676</v>
      </c>
      <c r="G216" s="28">
        <v>90260</v>
      </c>
      <c r="H216" s="134">
        <v>1019304</v>
      </c>
      <c r="I216" s="28">
        <v>580802</v>
      </c>
      <c r="J216" s="23">
        <v>58130</v>
      </c>
      <c r="K216" s="28">
        <v>4100</v>
      </c>
      <c r="L216" s="134">
        <v>9175</v>
      </c>
      <c r="M216" s="28">
        <v>175</v>
      </c>
      <c r="N216" s="134">
        <v>30</v>
      </c>
      <c r="O216" s="28"/>
      <c r="P216" s="28"/>
      <c r="Q216" s="28">
        <v>105</v>
      </c>
      <c r="R216" s="28">
        <v>7405</v>
      </c>
      <c r="S216" s="45">
        <v>56777</v>
      </c>
      <c r="T216" s="319"/>
    </row>
    <row r="217" spans="1:20">
      <c r="A217" s="224">
        <v>9</v>
      </c>
      <c r="B217" s="113" t="s">
        <v>252</v>
      </c>
      <c r="C217" s="10"/>
      <c r="D217" s="162">
        <v>733855</v>
      </c>
      <c r="E217" s="28">
        <v>2617170</v>
      </c>
      <c r="F217" s="28">
        <v>872760</v>
      </c>
      <c r="G217" s="28">
        <v>108493</v>
      </c>
      <c r="H217" s="134">
        <v>389333</v>
      </c>
      <c r="I217" s="28">
        <v>246898</v>
      </c>
      <c r="J217" s="134">
        <v>198660</v>
      </c>
      <c r="K217" s="28">
        <v>11810</v>
      </c>
      <c r="L217" s="134">
        <v>20755</v>
      </c>
      <c r="M217" s="28">
        <v>541</v>
      </c>
      <c r="N217" s="134">
        <v>192</v>
      </c>
      <c r="O217" s="28"/>
      <c r="P217" s="28"/>
      <c r="Q217" s="28">
        <v>682</v>
      </c>
      <c r="R217" s="28">
        <v>21240</v>
      </c>
      <c r="S217" s="45">
        <v>66080</v>
      </c>
      <c r="T217" s="319"/>
    </row>
    <row r="218" spans="1:20">
      <c r="A218" s="224">
        <v>10</v>
      </c>
      <c r="B218" s="113" t="s">
        <v>253</v>
      </c>
      <c r="C218" s="10"/>
      <c r="D218" s="162">
        <v>2407080</v>
      </c>
      <c r="E218" s="28">
        <v>9914000</v>
      </c>
      <c r="F218" s="28">
        <v>510793</v>
      </c>
      <c r="G218" s="28">
        <v>104290</v>
      </c>
      <c r="H218" s="134">
        <v>699300</v>
      </c>
      <c r="I218" s="28">
        <v>667458</v>
      </c>
      <c r="J218" s="134">
        <v>386065</v>
      </c>
      <c r="K218" s="28">
        <v>37090</v>
      </c>
      <c r="L218" s="134">
        <v>82640</v>
      </c>
      <c r="M218" s="28">
        <v>1407</v>
      </c>
      <c r="N218" s="134">
        <v>1600</v>
      </c>
      <c r="O218" s="28"/>
      <c r="P218" s="28"/>
      <c r="Q218" s="28">
        <v>582</v>
      </c>
      <c r="R218" s="28">
        <v>14599</v>
      </c>
      <c r="S218" s="45">
        <v>35959</v>
      </c>
      <c r="T218" s="319"/>
    </row>
    <row r="219" spans="1:20">
      <c r="A219" s="228">
        <v>11</v>
      </c>
      <c r="B219" s="236" t="s">
        <v>254</v>
      </c>
      <c r="C219" s="10"/>
      <c r="D219" s="162">
        <v>303360</v>
      </c>
      <c r="E219" s="28">
        <v>4044936</v>
      </c>
      <c r="F219" s="28">
        <v>9324</v>
      </c>
      <c r="G219" s="28">
        <v>6500</v>
      </c>
      <c r="H219" s="134">
        <v>84902</v>
      </c>
      <c r="I219" s="28">
        <v>51498</v>
      </c>
      <c r="J219" s="134">
        <v>4694</v>
      </c>
      <c r="K219" s="28">
        <v>501</v>
      </c>
      <c r="L219" s="134">
        <v>1800</v>
      </c>
      <c r="M219" s="28">
        <v>25</v>
      </c>
      <c r="N219" s="134">
        <v>200</v>
      </c>
      <c r="O219" s="28"/>
      <c r="P219" s="28"/>
      <c r="Q219" s="28">
        <v>377</v>
      </c>
      <c r="R219" s="28">
        <v>287</v>
      </c>
      <c r="S219" s="45">
        <v>35910</v>
      </c>
      <c r="T219" s="319"/>
    </row>
    <row r="220" spans="1:20">
      <c r="A220" s="228">
        <v>12</v>
      </c>
      <c r="B220" s="236" t="s">
        <v>255</v>
      </c>
      <c r="C220" s="10"/>
      <c r="D220" s="162">
        <v>891912</v>
      </c>
      <c r="E220" s="28">
        <v>6056448</v>
      </c>
      <c r="F220" s="28">
        <v>149496</v>
      </c>
      <c r="G220" s="28">
        <v>19450</v>
      </c>
      <c r="H220" s="134">
        <v>316212</v>
      </c>
      <c r="I220" s="28">
        <v>127074</v>
      </c>
      <c r="J220" s="134">
        <v>1059213</v>
      </c>
      <c r="K220" s="28">
        <v>366943</v>
      </c>
      <c r="L220" s="134">
        <v>144293</v>
      </c>
      <c r="M220" s="28">
        <v>13265</v>
      </c>
      <c r="N220" s="134">
        <v>180</v>
      </c>
      <c r="O220" s="28">
        <v>78706</v>
      </c>
      <c r="P220" s="28">
        <v>576235</v>
      </c>
      <c r="Q220" s="28">
        <v>54</v>
      </c>
      <c r="R220" s="28">
        <v>1049</v>
      </c>
      <c r="S220" s="45">
        <v>37270</v>
      </c>
      <c r="T220" s="319"/>
    </row>
    <row r="221" spans="1:20" ht="15">
      <c r="A221" s="228">
        <v>13</v>
      </c>
      <c r="B221" s="236" t="s">
        <v>256</v>
      </c>
      <c r="C221" s="248"/>
      <c r="D221" s="63">
        <v>1359434</v>
      </c>
      <c r="E221" s="22">
        <v>8785585</v>
      </c>
      <c r="F221" s="22">
        <v>15087</v>
      </c>
      <c r="G221" s="22">
        <v>3360</v>
      </c>
      <c r="H221" s="22">
        <v>359101</v>
      </c>
      <c r="I221" s="22">
        <v>171598</v>
      </c>
      <c r="J221" s="134">
        <v>4552009</v>
      </c>
      <c r="K221" s="22">
        <v>449319</v>
      </c>
      <c r="L221" s="70">
        <v>148854</v>
      </c>
      <c r="M221" s="22">
        <v>11780</v>
      </c>
      <c r="N221" s="22">
        <v>8004</v>
      </c>
      <c r="O221" s="22">
        <v>1694</v>
      </c>
      <c r="P221" s="22"/>
      <c r="Q221" s="28">
        <v>78</v>
      </c>
      <c r="R221" s="28">
        <v>4610</v>
      </c>
      <c r="S221" s="45">
        <v>34580</v>
      </c>
      <c r="T221" s="319"/>
    </row>
    <row r="222" spans="1:20">
      <c r="A222" s="228">
        <v>14</v>
      </c>
      <c r="B222" s="236" t="s">
        <v>257</v>
      </c>
      <c r="C222" s="17"/>
      <c r="D222" s="162">
        <v>1724010</v>
      </c>
      <c r="E222" s="28">
        <v>15091536</v>
      </c>
      <c r="F222" s="28">
        <v>357048</v>
      </c>
      <c r="G222" s="28">
        <v>36060</v>
      </c>
      <c r="H222" s="134">
        <v>750762</v>
      </c>
      <c r="I222" s="28">
        <v>361626</v>
      </c>
      <c r="J222" s="23">
        <v>434012</v>
      </c>
      <c r="K222" s="28">
        <v>89021</v>
      </c>
      <c r="L222" s="134">
        <v>29736</v>
      </c>
      <c r="M222" s="28">
        <v>920</v>
      </c>
      <c r="N222" s="134">
        <v>890</v>
      </c>
      <c r="O222" s="28">
        <v>320</v>
      </c>
      <c r="P222" s="28"/>
      <c r="Q222" s="28">
        <v>480</v>
      </c>
      <c r="R222" s="28">
        <v>3725</v>
      </c>
      <c r="S222" s="45">
        <v>303261</v>
      </c>
      <c r="T222" s="319"/>
    </row>
    <row r="223" spans="1:20">
      <c r="A223" s="228">
        <v>15</v>
      </c>
      <c r="B223" s="236" t="s">
        <v>258</v>
      </c>
      <c r="C223" s="10"/>
      <c r="D223" s="162">
        <v>582300</v>
      </c>
      <c r="E223" s="28">
        <v>7949960</v>
      </c>
      <c r="F223" s="28">
        <v>153540</v>
      </c>
      <c r="G223" s="28">
        <v>2640</v>
      </c>
      <c r="H223" s="134">
        <v>209790</v>
      </c>
      <c r="I223" s="28">
        <v>25104</v>
      </c>
      <c r="J223" s="134">
        <v>341085</v>
      </c>
      <c r="K223" s="28">
        <v>15804</v>
      </c>
      <c r="L223" s="134">
        <v>39980</v>
      </c>
      <c r="M223" s="28"/>
      <c r="N223" s="134">
        <v>5</v>
      </c>
      <c r="O223" s="28">
        <v>10255</v>
      </c>
      <c r="P223" s="28"/>
      <c r="Q223" s="28"/>
      <c r="R223" s="28">
        <v>3545</v>
      </c>
      <c r="S223" s="45"/>
      <c r="T223" s="319"/>
    </row>
    <row r="224" spans="1:20">
      <c r="A224" s="228">
        <v>16</v>
      </c>
      <c r="B224" s="236" t="s">
        <v>259</v>
      </c>
      <c r="C224" s="10"/>
      <c r="D224" s="162">
        <v>3730752</v>
      </c>
      <c r="E224" s="28">
        <v>11082224</v>
      </c>
      <c r="F224" s="28">
        <v>828012</v>
      </c>
      <c r="G224" s="28">
        <v>83330</v>
      </c>
      <c r="H224" s="134">
        <v>1092508</v>
      </c>
      <c r="I224" s="28">
        <v>510270</v>
      </c>
      <c r="J224" s="134">
        <v>610418</v>
      </c>
      <c r="K224" s="28">
        <v>66844</v>
      </c>
      <c r="L224" s="134">
        <v>21740</v>
      </c>
      <c r="M224" s="28">
        <v>1751</v>
      </c>
      <c r="N224" s="134">
        <v>1050</v>
      </c>
      <c r="O224" s="28"/>
      <c r="P224" s="28"/>
      <c r="Q224" s="28">
        <v>1765</v>
      </c>
      <c r="R224" s="28">
        <v>11304</v>
      </c>
      <c r="S224" s="45">
        <v>35987</v>
      </c>
      <c r="T224" s="319"/>
    </row>
    <row r="225" spans="1:20">
      <c r="A225" s="228">
        <v>17</v>
      </c>
      <c r="B225" s="236" t="s">
        <v>260</v>
      </c>
      <c r="C225" s="10"/>
      <c r="D225" s="162">
        <v>7451272</v>
      </c>
      <c r="E225" s="28">
        <v>32189976</v>
      </c>
      <c r="F225" s="28">
        <v>1840344</v>
      </c>
      <c r="G225" s="28">
        <v>63890</v>
      </c>
      <c r="H225" s="134">
        <v>1983282</v>
      </c>
      <c r="I225" s="28">
        <v>764420</v>
      </c>
      <c r="J225" s="134">
        <v>4612118</v>
      </c>
      <c r="K225" s="28">
        <v>891048</v>
      </c>
      <c r="L225" s="134">
        <v>540934</v>
      </c>
      <c r="M225" s="28">
        <v>39070</v>
      </c>
      <c r="N225" s="134">
        <v>14485</v>
      </c>
      <c r="O225" s="28">
        <v>15600</v>
      </c>
      <c r="P225" s="28"/>
      <c r="Q225" s="28">
        <v>1032</v>
      </c>
      <c r="R225" s="28">
        <v>3246</v>
      </c>
      <c r="S225" s="45">
        <v>91357</v>
      </c>
      <c r="T225" s="319"/>
    </row>
    <row r="226" spans="1:20">
      <c r="A226" s="228">
        <v>18</v>
      </c>
      <c r="B226" s="236" t="s">
        <v>261</v>
      </c>
      <c r="C226" s="10"/>
      <c r="D226" s="162">
        <v>3320200</v>
      </c>
      <c r="E226" s="28">
        <v>30646096</v>
      </c>
      <c r="F226" s="28">
        <v>331416</v>
      </c>
      <c r="G226" s="28">
        <v>39560</v>
      </c>
      <c r="H226" s="134">
        <v>189366</v>
      </c>
      <c r="I226" s="205">
        <v>397632</v>
      </c>
      <c r="J226" s="134">
        <v>12412025</v>
      </c>
      <c r="K226" s="28">
        <v>2318705</v>
      </c>
      <c r="L226" s="134">
        <v>658017</v>
      </c>
      <c r="M226" s="28">
        <v>25586</v>
      </c>
      <c r="N226" s="134">
        <v>25905</v>
      </c>
      <c r="O226" s="28">
        <v>133320</v>
      </c>
      <c r="P226" s="28">
        <v>7</v>
      </c>
      <c r="Q226" s="28">
        <v>6867</v>
      </c>
      <c r="R226" s="28">
        <v>1308</v>
      </c>
      <c r="S226" s="45">
        <v>97822</v>
      </c>
      <c r="T226" s="319"/>
    </row>
    <row r="227" spans="1:20">
      <c r="A227" s="228">
        <v>19</v>
      </c>
      <c r="B227" s="236" t="s">
        <v>262</v>
      </c>
      <c r="C227" s="10"/>
      <c r="D227" s="63">
        <v>224676</v>
      </c>
      <c r="E227" s="32">
        <v>499048</v>
      </c>
      <c r="F227" s="22">
        <v>25548</v>
      </c>
      <c r="G227" s="32">
        <v>5800</v>
      </c>
      <c r="H227" s="22">
        <v>122682</v>
      </c>
      <c r="I227" s="28">
        <v>30864</v>
      </c>
      <c r="J227" s="28">
        <v>2400</v>
      </c>
      <c r="K227" s="32"/>
      <c r="L227" s="22"/>
      <c r="M227" s="32"/>
      <c r="N227" s="22"/>
      <c r="O227" s="32"/>
      <c r="P227" s="22"/>
      <c r="Q227" s="28">
        <v>12</v>
      </c>
      <c r="R227" s="28">
        <v>205</v>
      </c>
      <c r="S227" s="45">
        <v>106</v>
      </c>
      <c r="T227" s="319"/>
    </row>
    <row r="228" spans="1:20" ht="15">
      <c r="A228" s="228">
        <v>20</v>
      </c>
      <c r="B228" s="236" t="s">
        <v>263</v>
      </c>
      <c r="C228" s="248"/>
      <c r="D228" s="63">
        <v>165456</v>
      </c>
      <c r="E228" s="22">
        <v>1801592</v>
      </c>
      <c r="F228" s="22">
        <v>96444</v>
      </c>
      <c r="G228" s="22">
        <v>24770</v>
      </c>
      <c r="H228" s="22">
        <v>255780</v>
      </c>
      <c r="I228" s="32">
        <v>32388</v>
      </c>
      <c r="J228" s="22">
        <v>56070</v>
      </c>
      <c r="K228" s="22">
        <v>1200</v>
      </c>
      <c r="L228" s="70">
        <v>5100</v>
      </c>
      <c r="M228" s="22">
        <v>3000</v>
      </c>
      <c r="N228" s="22">
        <v>3500</v>
      </c>
      <c r="O228" s="22">
        <v>90</v>
      </c>
      <c r="P228" s="22"/>
      <c r="Q228" s="28">
        <v>730</v>
      </c>
      <c r="R228" s="28">
        <v>1204</v>
      </c>
      <c r="S228" s="45">
        <v>20</v>
      </c>
      <c r="T228" s="319"/>
    </row>
    <row r="229" spans="1:20">
      <c r="A229" s="228">
        <v>21</v>
      </c>
      <c r="B229" s="236" t="s">
        <v>264</v>
      </c>
      <c r="C229" s="17"/>
      <c r="D229" s="162">
        <v>566380</v>
      </c>
      <c r="E229" s="28">
        <v>3292959</v>
      </c>
      <c r="F229" s="28">
        <v>185450</v>
      </c>
      <c r="G229" s="28">
        <v>4100</v>
      </c>
      <c r="H229" s="134">
        <v>72830</v>
      </c>
      <c r="I229" s="22">
        <v>82931</v>
      </c>
      <c r="J229" s="23">
        <v>5413120</v>
      </c>
      <c r="K229" s="28">
        <v>1348646</v>
      </c>
      <c r="L229" s="134">
        <v>249836</v>
      </c>
      <c r="M229" s="28">
        <v>27784</v>
      </c>
      <c r="N229" s="134">
        <v>44190</v>
      </c>
      <c r="O229" s="28">
        <v>21078</v>
      </c>
      <c r="P229" s="28">
        <v>750</v>
      </c>
      <c r="Q229" s="28">
        <v>2403</v>
      </c>
      <c r="R229" s="28">
        <v>1180</v>
      </c>
      <c r="S229" s="45">
        <v>33060</v>
      </c>
      <c r="T229" s="319"/>
    </row>
    <row r="230" spans="1:20">
      <c r="A230" s="228">
        <v>22</v>
      </c>
      <c r="B230" s="236" t="s">
        <v>265</v>
      </c>
      <c r="C230" s="10"/>
      <c r="D230" s="162">
        <v>251400</v>
      </c>
      <c r="E230" s="28">
        <v>1481015</v>
      </c>
      <c r="F230" s="28">
        <v>47730</v>
      </c>
      <c r="G230" s="28">
        <v>2260</v>
      </c>
      <c r="H230" s="134">
        <v>125225</v>
      </c>
      <c r="I230" s="28">
        <v>39975</v>
      </c>
      <c r="J230" s="134">
        <v>8030</v>
      </c>
      <c r="K230" s="28">
        <v>500</v>
      </c>
      <c r="L230" s="134">
        <v>1635</v>
      </c>
      <c r="M230" s="28"/>
      <c r="N230" s="134"/>
      <c r="O230" s="28"/>
      <c r="P230" s="28"/>
      <c r="Q230" s="28"/>
      <c r="R230" s="28">
        <v>375</v>
      </c>
      <c r="S230" s="45">
        <v>35620</v>
      </c>
      <c r="T230" s="319"/>
    </row>
    <row r="231" spans="1:20">
      <c r="A231" s="228">
        <v>23</v>
      </c>
      <c r="B231" s="236" t="s">
        <v>266</v>
      </c>
      <c r="C231" s="10"/>
      <c r="D231" s="162">
        <v>577128</v>
      </c>
      <c r="E231" s="28">
        <v>4300080</v>
      </c>
      <c r="F231" s="28">
        <v>1014348</v>
      </c>
      <c r="G231" s="28">
        <v>21840</v>
      </c>
      <c r="H231" s="134">
        <v>806178</v>
      </c>
      <c r="I231" s="28">
        <v>61890</v>
      </c>
      <c r="J231" s="134">
        <v>1732154</v>
      </c>
      <c r="K231" s="28">
        <v>267910</v>
      </c>
      <c r="L231" s="134">
        <v>282750</v>
      </c>
      <c r="M231" s="28">
        <v>2883</v>
      </c>
      <c r="N231" s="134">
        <v>2576</v>
      </c>
      <c r="O231" s="28">
        <v>107043</v>
      </c>
      <c r="P231" s="28">
        <v>18075</v>
      </c>
      <c r="Q231" s="28">
        <v>69</v>
      </c>
      <c r="R231" s="28">
        <v>359</v>
      </c>
      <c r="S231" s="45">
        <v>952</v>
      </c>
      <c r="T231" s="319"/>
    </row>
    <row r="232" spans="1:20">
      <c r="A232" s="229"/>
      <c r="B232" s="237"/>
      <c r="C232" s="12"/>
      <c r="D232" s="265"/>
      <c r="E232" s="206"/>
      <c r="F232" s="206"/>
      <c r="G232" s="206"/>
      <c r="H232" s="256"/>
      <c r="I232" s="206"/>
      <c r="J232" s="256"/>
      <c r="K232" s="206"/>
      <c r="L232" s="256"/>
      <c r="M232" s="206"/>
      <c r="N232" s="256"/>
      <c r="O232" s="206"/>
      <c r="P232" s="206"/>
      <c r="Q232" s="206"/>
      <c r="R232" s="206"/>
      <c r="S232" s="317"/>
      <c r="T232" s="319"/>
    </row>
    <row r="233" spans="1:20">
      <c r="A233" s="228" t="s">
        <v>296</v>
      </c>
      <c r="B233" s="236"/>
      <c r="C233" s="10"/>
      <c r="D233" s="162">
        <f>SUM(D209:D231)</f>
        <v>28137939</v>
      </c>
      <c r="E233" s="28">
        <f>SUM(E209:E231)</f>
        <v>155905914</v>
      </c>
      <c r="F233" s="28">
        <f t="shared" ref="F233:S233" si="8">SUM(F209:F231)</f>
        <v>8251097</v>
      </c>
      <c r="G233" s="28">
        <f t="shared" si="8"/>
        <v>799422</v>
      </c>
      <c r="H233" s="28">
        <f t="shared" si="8"/>
        <v>9921860</v>
      </c>
      <c r="I233" s="28">
        <f t="shared" si="8"/>
        <v>4346993</v>
      </c>
      <c r="J233" s="28">
        <f t="shared" si="8"/>
        <v>32473773</v>
      </c>
      <c r="K233" s="28">
        <f t="shared" si="8"/>
        <v>6884533</v>
      </c>
      <c r="L233" s="28">
        <f t="shared" si="8"/>
        <v>2354078</v>
      </c>
      <c r="M233" s="28">
        <f t="shared" si="8"/>
        <v>131298</v>
      </c>
      <c r="N233" s="28">
        <f t="shared" si="8"/>
        <v>105837</v>
      </c>
      <c r="O233" s="28">
        <f t="shared" si="8"/>
        <v>483266</v>
      </c>
      <c r="P233" s="28">
        <f t="shared" si="8"/>
        <v>627998</v>
      </c>
      <c r="Q233" s="28">
        <f t="shared" si="8"/>
        <v>15573</v>
      </c>
      <c r="R233" s="28">
        <f t="shared" si="8"/>
        <v>87141</v>
      </c>
      <c r="S233" s="28">
        <f t="shared" si="8"/>
        <v>1016360</v>
      </c>
      <c r="T233" s="319"/>
    </row>
    <row r="234" spans="1:20" ht="16" thickBot="1">
      <c r="A234" s="230"/>
      <c r="B234" s="238"/>
      <c r="C234" s="261"/>
      <c r="D234" s="275"/>
      <c r="E234" s="186"/>
      <c r="F234" s="186"/>
      <c r="G234" s="186"/>
      <c r="H234" s="186"/>
      <c r="I234" s="186"/>
      <c r="J234" s="276"/>
      <c r="K234" s="186"/>
      <c r="L234" s="207"/>
      <c r="M234" s="186"/>
      <c r="N234" s="186"/>
      <c r="O234" s="186"/>
      <c r="P234" s="186"/>
      <c r="Q234" s="322"/>
      <c r="R234" s="322"/>
      <c r="S234" s="323"/>
      <c r="T234" s="319"/>
    </row>
    <row r="235" spans="1:20" ht="17" thickTop="1" thickBot="1">
      <c r="A235" s="226" t="s">
        <v>40</v>
      </c>
      <c r="B235" s="94"/>
      <c r="C235" s="17"/>
      <c r="D235" s="162"/>
      <c r="E235" s="28"/>
      <c r="F235" s="28"/>
      <c r="G235" s="28"/>
      <c r="H235" s="134"/>
      <c r="I235" s="28"/>
      <c r="J235" s="134"/>
      <c r="K235" s="28"/>
      <c r="L235" s="134"/>
      <c r="M235" s="28"/>
      <c r="N235" s="134"/>
      <c r="O235" s="28"/>
      <c r="P235" s="28"/>
      <c r="Q235" s="22"/>
      <c r="R235" s="22"/>
      <c r="S235" s="23"/>
      <c r="T235" s="319"/>
    </row>
    <row r="236" spans="1:20">
      <c r="A236" s="228">
        <v>1</v>
      </c>
      <c r="B236" s="236" t="s">
        <v>267</v>
      </c>
      <c r="C236" s="10"/>
      <c r="D236" s="162">
        <v>4474224</v>
      </c>
      <c r="E236" s="28">
        <v>15234976</v>
      </c>
      <c r="F236" s="28">
        <v>765492</v>
      </c>
      <c r="G236" s="28">
        <v>193440</v>
      </c>
      <c r="H236" s="134">
        <v>959568</v>
      </c>
      <c r="I236" s="28">
        <v>920310</v>
      </c>
      <c r="J236" s="134">
        <v>17202</v>
      </c>
      <c r="K236" s="28">
        <v>900</v>
      </c>
      <c r="L236" s="134">
        <v>7677</v>
      </c>
      <c r="M236" s="28">
        <v>2000</v>
      </c>
      <c r="N236" s="134">
        <v>200</v>
      </c>
      <c r="O236" s="28"/>
      <c r="P236" s="28"/>
      <c r="Q236" s="28">
        <v>3148</v>
      </c>
      <c r="R236" s="28">
        <v>5275</v>
      </c>
      <c r="S236" s="45"/>
      <c r="T236" s="319"/>
    </row>
    <row r="237" spans="1:20">
      <c r="A237" s="228">
        <v>2</v>
      </c>
      <c r="B237" s="236" t="s">
        <v>268</v>
      </c>
      <c r="C237" s="10"/>
      <c r="D237" s="162">
        <v>283376</v>
      </c>
      <c r="E237" s="28">
        <v>5148286</v>
      </c>
      <c r="F237" s="28">
        <v>69790</v>
      </c>
      <c r="G237" s="28">
        <v>45430</v>
      </c>
      <c r="H237" s="134">
        <v>148895</v>
      </c>
      <c r="I237" s="28">
        <v>304667</v>
      </c>
      <c r="J237" s="134">
        <v>5050</v>
      </c>
      <c r="K237" s="28">
        <v>1650</v>
      </c>
      <c r="L237" s="134">
        <v>1812</v>
      </c>
      <c r="M237" s="28"/>
      <c r="N237" s="134"/>
      <c r="O237" s="28"/>
      <c r="P237" s="28"/>
      <c r="Q237" s="28">
        <v>2035</v>
      </c>
      <c r="R237" s="28">
        <v>564</v>
      </c>
      <c r="S237" s="45">
        <v>62967</v>
      </c>
      <c r="T237" s="319"/>
    </row>
    <row r="238" spans="1:20">
      <c r="A238" s="228">
        <v>3</v>
      </c>
      <c r="B238" s="236" t="s">
        <v>269</v>
      </c>
      <c r="C238" s="10"/>
      <c r="D238" s="162">
        <v>1073221</v>
      </c>
      <c r="E238" s="28">
        <v>4542551</v>
      </c>
      <c r="F238" s="28">
        <v>266791</v>
      </c>
      <c r="G238" s="28">
        <v>80120</v>
      </c>
      <c r="H238" s="134">
        <v>355868</v>
      </c>
      <c r="I238" s="28">
        <v>463252</v>
      </c>
      <c r="J238" s="134">
        <v>352105</v>
      </c>
      <c r="K238" s="28">
        <v>215290</v>
      </c>
      <c r="L238" s="134">
        <v>176530</v>
      </c>
      <c r="M238" s="28">
        <v>12390</v>
      </c>
      <c r="N238" s="134">
        <v>41400</v>
      </c>
      <c r="O238" s="28"/>
      <c r="P238" s="28"/>
      <c r="Q238" s="28">
        <v>1790</v>
      </c>
      <c r="R238" s="28">
        <v>1000</v>
      </c>
      <c r="S238" s="45"/>
      <c r="T238" s="319"/>
    </row>
    <row r="239" spans="1:20">
      <c r="A239" s="228">
        <v>4</v>
      </c>
      <c r="B239" s="236" t="s">
        <v>270</v>
      </c>
      <c r="C239" s="10"/>
      <c r="D239" s="162">
        <v>812416</v>
      </c>
      <c r="E239" s="28">
        <v>4991632</v>
      </c>
      <c r="F239" s="28">
        <v>55800</v>
      </c>
      <c r="G239" s="28">
        <v>117820</v>
      </c>
      <c r="H239" s="134">
        <v>258858</v>
      </c>
      <c r="I239" s="28">
        <v>94626</v>
      </c>
      <c r="J239" s="134">
        <v>51718</v>
      </c>
      <c r="K239" s="205">
        <v>3900</v>
      </c>
      <c r="L239" s="134">
        <v>1800</v>
      </c>
      <c r="M239" s="28">
        <v>1150</v>
      </c>
      <c r="N239" s="134"/>
      <c r="O239" s="28"/>
      <c r="P239" s="28"/>
      <c r="Q239" s="28">
        <v>118</v>
      </c>
      <c r="R239" s="28">
        <v>29</v>
      </c>
      <c r="S239" s="45">
        <v>123592</v>
      </c>
      <c r="T239" s="319"/>
    </row>
    <row r="240" spans="1:20" ht="15">
      <c r="A240" s="228">
        <v>5</v>
      </c>
      <c r="B240" s="236" t="s">
        <v>271</v>
      </c>
      <c r="C240" s="248"/>
      <c r="D240" s="63">
        <v>167552</v>
      </c>
      <c r="E240" s="22">
        <v>365704</v>
      </c>
      <c r="F240" s="22">
        <v>15676</v>
      </c>
      <c r="G240" s="22">
        <v>4000</v>
      </c>
      <c r="H240" s="22">
        <v>202027</v>
      </c>
      <c r="I240" s="22">
        <v>8858</v>
      </c>
      <c r="J240" s="23">
        <v>15000</v>
      </c>
      <c r="K240" s="28">
        <v>1000</v>
      </c>
      <c r="L240" s="70">
        <v>1650</v>
      </c>
      <c r="M240" s="22"/>
      <c r="N240" s="22"/>
      <c r="O240" s="22"/>
      <c r="P240" s="22"/>
      <c r="Q240" s="28">
        <v>140</v>
      </c>
      <c r="R240" s="28">
        <v>870</v>
      </c>
      <c r="S240" s="45">
        <v>35140</v>
      </c>
      <c r="T240" s="319"/>
    </row>
    <row r="241" spans="1:20">
      <c r="A241" s="228">
        <v>6</v>
      </c>
      <c r="B241" s="236" t="s">
        <v>272</v>
      </c>
      <c r="C241" s="17"/>
      <c r="D241" s="162">
        <v>104383</v>
      </c>
      <c r="E241" s="28">
        <v>1603560</v>
      </c>
      <c r="F241" s="28">
        <v>10912</v>
      </c>
      <c r="G241" s="28">
        <v>6775</v>
      </c>
      <c r="H241" s="134">
        <v>98368</v>
      </c>
      <c r="I241" s="28">
        <v>52610</v>
      </c>
      <c r="J241" s="134">
        <v>9350</v>
      </c>
      <c r="K241" s="28">
        <v>2480</v>
      </c>
      <c r="L241" s="134">
        <v>3625</v>
      </c>
      <c r="M241" s="28">
        <v>1750</v>
      </c>
      <c r="N241" s="134"/>
      <c r="O241" s="28"/>
      <c r="P241" s="28"/>
      <c r="Q241" s="28">
        <v>308</v>
      </c>
      <c r="R241" s="27">
        <v>43</v>
      </c>
      <c r="S241" s="45"/>
      <c r="T241" s="319"/>
    </row>
    <row r="242" spans="1:20">
      <c r="A242" s="228">
        <v>7</v>
      </c>
      <c r="B242" s="236" t="s">
        <v>273</v>
      </c>
      <c r="C242" s="10"/>
      <c r="D242" s="162">
        <v>193427</v>
      </c>
      <c r="E242" s="28">
        <v>1535859</v>
      </c>
      <c r="F242" s="28">
        <v>142684</v>
      </c>
      <c r="G242" s="28">
        <v>24623</v>
      </c>
      <c r="H242" s="134">
        <v>673504</v>
      </c>
      <c r="I242" s="28">
        <v>44549</v>
      </c>
      <c r="J242" s="134">
        <v>51532</v>
      </c>
      <c r="K242" s="28">
        <v>3128</v>
      </c>
      <c r="L242" s="134">
        <v>8048</v>
      </c>
      <c r="M242" s="28">
        <v>150</v>
      </c>
      <c r="N242" s="134"/>
      <c r="O242" s="28"/>
      <c r="P242" s="28"/>
      <c r="Q242" s="28">
        <v>1770</v>
      </c>
      <c r="R242" s="28">
        <v>1305</v>
      </c>
      <c r="S242" s="45">
        <v>400</v>
      </c>
      <c r="T242" s="319"/>
    </row>
    <row r="243" spans="1:20">
      <c r="A243" s="228">
        <v>8</v>
      </c>
      <c r="B243" s="236" t="s">
        <v>274</v>
      </c>
      <c r="C243" s="10"/>
      <c r="D243" s="162">
        <v>573084</v>
      </c>
      <c r="E243" s="28">
        <v>2628440</v>
      </c>
      <c r="F243" s="28">
        <v>173764</v>
      </c>
      <c r="G243" s="28">
        <v>17470</v>
      </c>
      <c r="H243" s="134">
        <v>799326</v>
      </c>
      <c r="I243" s="28">
        <v>42772</v>
      </c>
      <c r="J243" s="134">
        <v>1575</v>
      </c>
      <c r="K243" s="28"/>
      <c r="L243" s="134">
        <v>2500</v>
      </c>
      <c r="M243" s="28"/>
      <c r="N243" s="134"/>
      <c r="O243" s="28"/>
      <c r="P243" s="28"/>
      <c r="Q243" s="28">
        <v>15</v>
      </c>
      <c r="R243" s="28">
        <v>10500</v>
      </c>
      <c r="S243" s="45"/>
      <c r="T243" s="319"/>
    </row>
    <row r="244" spans="1:20">
      <c r="A244" s="228">
        <v>9</v>
      </c>
      <c r="B244" s="236" t="s">
        <v>275</v>
      </c>
      <c r="C244" s="10"/>
      <c r="D244" s="162">
        <v>329106</v>
      </c>
      <c r="E244" s="28">
        <v>2518960</v>
      </c>
      <c r="F244" s="28">
        <v>202668</v>
      </c>
      <c r="G244" s="28">
        <v>36920</v>
      </c>
      <c r="H244" s="134">
        <v>170560</v>
      </c>
      <c r="I244" s="28">
        <v>95592</v>
      </c>
      <c r="J244" s="134"/>
      <c r="K244" s="28">
        <v>120</v>
      </c>
      <c r="L244" s="134">
        <v>25</v>
      </c>
      <c r="M244" s="28"/>
      <c r="N244" s="134"/>
      <c r="O244" s="28"/>
      <c r="P244" s="28"/>
      <c r="Q244" s="28"/>
      <c r="R244" s="28"/>
      <c r="S244" s="45"/>
      <c r="T244" s="319"/>
    </row>
    <row r="245" spans="1:20">
      <c r="A245" s="228">
        <v>10</v>
      </c>
      <c r="B245" s="236" t="s">
        <v>276</v>
      </c>
      <c r="C245" s="10"/>
      <c r="D245" s="162">
        <v>982956</v>
      </c>
      <c r="E245" s="28">
        <v>1000008</v>
      </c>
      <c r="F245" s="28">
        <v>687585</v>
      </c>
      <c r="G245" s="28">
        <v>37600</v>
      </c>
      <c r="H245" s="134">
        <v>264070</v>
      </c>
      <c r="I245" s="28">
        <v>134032</v>
      </c>
      <c r="J245" s="134">
        <v>1000</v>
      </c>
      <c r="K245" s="28">
        <v>100</v>
      </c>
      <c r="L245" s="134"/>
      <c r="M245" s="28"/>
      <c r="N245" s="134"/>
      <c r="O245" s="28"/>
      <c r="P245" s="28"/>
      <c r="Q245" s="28">
        <v>40</v>
      </c>
      <c r="R245" s="28">
        <v>142</v>
      </c>
      <c r="S245" s="45">
        <v>3640</v>
      </c>
      <c r="T245" s="319"/>
    </row>
    <row r="246" spans="1:20" ht="15">
      <c r="A246" s="228">
        <v>11</v>
      </c>
      <c r="B246" s="236" t="s">
        <v>277</v>
      </c>
      <c r="C246" s="248"/>
      <c r="D246" s="63">
        <v>204704</v>
      </c>
      <c r="E246" s="22">
        <v>1808325</v>
      </c>
      <c r="F246" s="22">
        <v>11220</v>
      </c>
      <c r="G246" s="22">
        <v>63110</v>
      </c>
      <c r="H246" s="22">
        <v>312475</v>
      </c>
      <c r="I246" s="22">
        <v>100695</v>
      </c>
      <c r="J246" s="23">
        <v>16100</v>
      </c>
      <c r="K246" s="22">
        <v>3000</v>
      </c>
      <c r="L246" s="70">
        <v>500</v>
      </c>
      <c r="M246" s="22">
        <v>100</v>
      </c>
      <c r="N246" s="22">
        <v>1120</v>
      </c>
      <c r="O246" s="22"/>
      <c r="P246" s="22"/>
      <c r="Q246" s="28">
        <v>331</v>
      </c>
      <c r="R246" s="28">
        <v>151</v>
      </c>
      <c r="S246" s="45">
        <v>270630</v>
      </c>
      <c r="T246" s="319"/>
    </row>
    <row r="247" spans="1:20">
      <c r="A247" s="228">
        <v>12</v>
      </c>
      <c r="B247" s="236" t="s">
        <v>278</v>
      </c>
      <c r="C247" s="17"/>
      <c r="D247" s="162">
        <v>356340</v>
      </c>
      <c r="E247" s="28">
        <v>758372</v>
      </c>
      <c r="F247" s="28">
        <v>2776</v>
      </c>
      <c r="G247" s="28">
        <v>7000</v>
      </c>
      <c r="H247" s="134">
        <v>18900</v>
      </c>
      <c r="I247" s="28">
        <v>50050</v>
      </c>
      <c r="J247" s="134">
        <v>1675</v>
      </c>
      <c r="K247" s="28">
        <v>1200</v>
      </c>
      <c r="L247" s="134"/>
      <c r="M247" s="28"/>
      <c r="N247" s="134"/>
      <c r="O247" s="28"/>
      <c r="P247" s="28"/>
      <c r="Q247" s="28"/>
      <c r="R247" s="27">
        <v>600</v>
      </c>
      <c r="S247" s="45"/>
      <c r="T247" s="319"/>
    </row>
    <row r="248" spans="1:20">
      <c r="A248" s="228">
        <v>13</v>
      </c>
      <c r="B248" s="236" t="s">
        <v>279</v>
      </c>
      <c r="C248" s="10"/>
      <c r="D248" s="162">
        <v>593808</v>
      </c>
      <c r="E248" s="28">
        <v>3035616</v>
      </c>
      <c r="F248" s="28">
        <v>317040</v>
      </c>
      <c r="G248" s="28">
        <v>96830</v>
      </c>
      <c r="H248" s="134">
        <v>412278</v>
      </c>
      <c r="I248" s="28">
        <v>97592</v>
      </c>
      <c r="J248" s="134">
        <v>5625</v>
      </c>
      <c r="K248" s="28">
        <v>800</v>
      </c>
      <c r="L248" s="134"/>
      <c r="M248" s="28"/>
      <c r="N248" s="134"/>
      <c r="O248" s="28"/>
      <c r="P248" s="28"/>
      <c r="Q248" s="28">
        <v>91</v>
      </c>
      <c r="R248" s="28">
        <v>732</v>
      </c>
      <c r="S248" s="45">
        <v>28000</v>
      </c>
      <c r="T248" s="319"/>
    </row>
    <row r="249" spans="1:20">
      <c r="A249" s="228">
        <v>14</v>
      </c>
      <c r="B249" s="236" t="s">
        <v>280</v>
      </c>
      <c r="C249" s="10"/>
      <c r="D249" s="162">
        <v>443528</v>
      </c>
      <c r="E249" s="28">
        <v>2864765</v>
      </c>
      <c r="F249" s="28">
        <v>196256</v>
      </c>
      <c r="G249" s="28">
        <v>169350</v>
      </c>
      <c r="H249" s="134">
        <v>688752</v>
      </c>
      <c r="I249" s="28">
        <v>200681</v>
      </c>
      <c r="J249" s="134">
        <v>99492</v>
      </c>
      <c r="K249" s="28">
        <v>4230</v>
      </c>
      <c r="L249" s="134">
        <v>14545</v>
      </c>
      <c r="M249" s="28">
        <v>255</v>
      </c>
      <c r="N249" s="134">
        <v>560</v>
      </c>
      <c r="O249" s="28"/>
      <c r="P249" s="28"/>
      <c r="Q249" s="28">
        <v>594</v>
      </c>
      <c r="R249" s="28">
        <v>2255</v>
      </c>
      <c r="S249" s="45">
        <v>128780</v>
      </c>
      <c r="T249" s="319"/>
    </row>
    <row r="250" spans="1:20">
      <c r="A250" s="228">
        <v>15</v>
      </c>
      <c r="B250" s="236" t="s">
        <v>281</v>
      </c>
      <c r="C250" s="10"/>
      <c r="D250" s="162">
        <v>159000</v>
      </c>
      <c r="E250" s="28">
        <v>813928</v>
      </c>
      <c r="F250" s="28">
        <v>36732</v>
      </c>
      <c r="G250" s="28">
        <v>23310</v>
      </c>
      <c r="H250" s="134">
        <v>157692</v>
      </c>
      <c r="I250" s="28">
        <v>4956</v>
      </c>
      <c r="J250" s="134">
        <v>250</v>
      </c>
      <c r="K250" s="28"/>
      <c r="L250" s="134"/>
      <c r="M250" s="28"/>
      <c r="N250" s="134"/>
      <c r="O250" s="28"/>
      <c r="P250" s="28"/>
      <c r="Q250" s="28">
        <v>10</v>
      </c>
      <c r="R250" s="205">
        <v>28</v>
      </c>
      <c r="S250" s="45">
        <v>5285</v>
      </c>
      <c r="T250" s="319"/>
    </row>
    <row r="251" spans="1:20">
      <c r="A251" s="228">
        <v>16</v>
      </c>
      <c r="B251" s="236" t="s">
        <v>282</v>
      </c>
      <c r="C251" s="10"/>
      <c r="D251" s="162">
        <v>1724094</v>
      </c>
      <c r="E251" s="28">
        <v>887864</v>
      </c>
      <c r="F251" s="28">
        <v>28082</v>
      </c>
      <c r="G251" s="28">
        <v>30420</v>
      </c>
      <c r="H251" s="134">
        <v>143900</v>
      </c>
      <c r="I251" s="28">
        <v>476480</v>
      </c>
      <c r="J251" s="134">
        <v>150650</v>
      </c>
      <c r="K251" s="28">
        <v>30800</v>
      </c>
      <c r="L251" s="134">
        <v>10950</v>
      </c>
      <c r="M251" s="28">
        <v>500</v>
      </c>
      <c r="N251" s="134"/>
      <c r="O251" s="28"/>
      <c r="P251" s="28"/>
      <c r="Q251" s="28">
        <v>137</v>
      </c>
      <c r="R251" s="205">
        <v>560</v>
      </c>
      <c r="S251" s="45"/>
      <c r="T251" s="319"/>
    </row>
    <row r="252" spans="1:20" ht="15">
      <c r="A252" s="228">
        <v>17</v>
      </c>
      <c r="B252" s="236" t="s">
        <v>283</v>
      </c>
      <c r="C252" s="248"/>
      <c r="D252" s="63">
        <v>405710</v>
      </c>
      <c r="E252" s="22">
        <v>3563316</v>
      </c>
      <c r="F252" s="22">
        <v>44183</v>
      </c>
      <c r="G252" s="22">
        <v>148717</v>
      </c>
      <c r="H252" s="22">
        <v>200468</v>
      </c>
      <c r="I252" s="22">
        <v>252854</v>
      </c>
      <c r="J252" s="23">
        <v>101978</v>
      </c>
      <c r="K252" s="22">
        <v>3600</v>
      </c>
      <c r="L252" s="70">
        <v>5730</v>
      </c>
      <c r="M252" s="22">
        <v>950</v>
      </c>
      <c r="N252" s="22"/>
      <c r="O252" s="22"/>
      <c r="P252" s="22"/>
      <c r="Q252" s="28">
        <v>1256</v>
      </c>
      <c r="R252" s="28">
        <v>2848</v>
      </c>
      <c r="S252" s="45">
        <v>9100</v>
      </c>
      <c r="T252" s="319"/>
    </row>
    <row r="253" spans="1:20">
      <c r="A253" s="228">
        <v>18</v>
      </c>
      <c r="B253" s="236" t="s">
        <v>284</v>
      </c>
      <c r="C253" s="17"/>
      <c r="D253" s="162">
        <v>768038</v>
      </c>
      <c r="E253" s="28">
        <v>7016964</v>
      </c>
      <c r="F253" s="28">
        <v>276428</v>
      </c>
      <c r="G253" s="28">
        <v>114460</v>
      </c>
      <c r="H253" s="134">
        <v>262344</v>
      </c>
      <c r="I253" s="28">
        <v>194190</v>
      </c>
      <c r="J253" s="134">
        <v>79450</v>
      </c>
      <c r="K253" s="28">
        <v>9174</v>
      </c>
      <c r="L253" s="134">
        <v>10350</v>
      </c>
      <c r="M253" s="28">
        <v>25</v>
      </c>
      <c r="N253" s="134">
        <v>405</v>
      </c>
      <c r="O253" s="28"/>
      <c r="P253" s="28"/>
      <c r="Q253" s="28">
        <v>900</v>
      </c>
      <c r="R253" s="28">
        <v>143</v>
      </c>
      <c r="S253" s="21"/>
      <c r="T253" s="319"/>
    </row>
    <row r="254" spans="1:20">
      <c r="A254" s="228">
        <v>19</v>
      </c>
      <c r="B254" s="236" t="s">
        <v>285</v>
      </c>
      <c r="C254" s="10"/>
      <c r="D254" s="162">
        <v>60455</v>
      </c>
      <c r="E254" s="28">
        <v>2560545</v>
      </c>
      <c r="F254" s="28"/>
      <c r="G254" s="28">
        <v>8564</v>
      </c>
      <c r="H254" s="134">
        <v>147323</v>
      </c>
      <c r="I254" s="28">
        <v>99368</v>
      </c>
      <c r="J254" s="134">
        <v>8000</v>
      </c>
      <c r="K254" s="28">
        <v>2008</v>
      </c>
      <c r="L254" s="134">
        <v>600</v>
      </c>
      <c r="M254" s="28"/>
      <c r="N254" s="134"/>
      <c r="O254" s="28"/>
      <c r="P254" s="28"/>
      <c r="Q254" s="28">
        <v>965</v>
      </c>
      <c r="R254" s="27">
        <v>2432</v>
      </c>
      <c r="S254" s="45">
        <v>115120</v>
      </c>
      <c r="T254" s="319"/>
    </row>
    <row r="255" spans="1:20">
      <c r="A255" s="228">
        <v>20</v>
      </c>
      <c r="B255" s="236" t="s">
        <v>286</v>
      </c>
      <c r="C255" s="10"/>
      <c r="D255" s="162">
        <v>680752</v>
      </c>
      <c r="E255" s="28">
        <v>5507832</v>
      </c>
      <c r="F255" s="28">
        <v>44310</v>
      </c>
      <c r="G255" s="28">
        <v>8199</v>
      </c>
      <c r="H255" s="134">
        <v>604894</v>
      </c>
      <c r="I255" s="28">
        <v>194544</v>
      </c>
      <c r="J255" s="134">
        <v>945</v>
      </c>
      <c r="K255" s="28">
        <v>310</v>
      </c>
      <c r="L255" s="134">
        <v>282</v>
      </c>
      <c r="M255" s="28">
        <v>100</v>
      </c>
      <c r="N255" s="134">
        <v>50</v>
      </c>
      <c r="O255" s="28"/>
      <c r="P255" s="28"/>
      <c r="Q255" s="28">
        <v>320</v>
      </c>
      <c r="R255" s="28">
        <v>220</v>
      </c>
      <c r="S255" s="21"/>
      <c r="T255" s="319"/>
    </row>
    <row r="256" spans="1:20">
      <c r="A256" s="228">
        <v>21</v>
      </c>
      <c r="B256" s="236" t="s">
        <v>287</v>
      </c>
      <c r="C256" s="10"/>
      <c r="D256" s="162">
        <v>232824</v>
      </c>
      <c r="E256" s="28">
        <v>1313900</v>
      </c>
      <c r="F256" s="28">
        <v>131592</v>
      </c>
      <c r="G256" s="28">
        <v>12122</v>
      </c>
      <c r="H256" s="134">
        <v>52080</v>
      </c>
      <c r="I256" s="28">
        <v>47391</v>
      </c>
      <c r="J256" s="134"/>
      <c r="K256" s="28"/>
      <c r="L256" s="134"/>
      <c r="M256" s="28"/>
      <c r="N256" s="134"/>
      <c r="O256" s="28"/>
      <c r="P256" s="28"/>
      <c r="Q256" s="28">
        <v>40</v>
      </c>
      <c r="R256" s="27">
        <v>450</v>
      </c>
      <c r="S256" s="45">
        <v>3300</v>
      </c>
      <c r="T256" s="319"/>
    </row>
    <row r="257" spans="1:20">
      <c r="A257" s="228">
        <v>22</v>
      </c>
      <c r="B257" s="236" t="s">
        <v>288</v>
      </c>
      <c r="C257" s="10"/>
      <c r="D257" s="162">
        <v>336948</v>
      </c>
      <c r="E257" s="28">
        <v>3167004</v>
      </c>
      <c r="F257" s="28">
        <v>68952</v>
      </c>
      <c r="G257" s="28">
        <v>53375</v>
      </c>
      <c r="H257" s="134">
        <v>256916</v>
      </c>
      <c r="I257" s="28">
        <v>110118</v>
      </c>
      <c r="J257" s="134">
        <v>26209</v>
      </c>
      <c r="K257" s="28">
        <v>1155</v>
      </c>
      <c r="L257" s="134">
        <v>1200</v>
      </c>
      <c r="M257" s="28">
        <v>280</v>
      </c>
      <c r="N257" s="134"/>
      <c r="O257" s="28"/>
      <c r="P257" s="28"/>
      <c r="Q257" s="28">
        <v>500</v>
      </c>
      <c r="R257" s="28">
        <v>855</v>
      </c>
      <c r="S257" s="45">
        <v>10655</v>
      </c>
      <c r="T257" s="319"/>
    </row>
    <row r="258" spans="1:20">
      <c r="A258" s="228">
        <v>23</v>
      </c>
      <c r="B258" s="236" t="s">
        <v>289</v>
      </c>
      <c r="C258" s="10"/>
      <c r="D258" s="63">
        <v>1479088</v>
      </c>
      <c r="E258" s="32">
        <v>5276728</v>
      </c>
      <c r="F258" s="22">
        <v>66216</v>
      </c>
      <c r="G258" s="32">
        <v>8534</v>
      </c>
      <c r="H258" s="22">
        <v>251616</v>
      </c>
      <c r="I258" s="32">
        <v>148686</v>
      </c>
      <c r="J258" s="22">
        <v>1020</v>
      </c>
      <c r="K258" s="32">
        <v>20</v>
      </c>
      <c r="L258" s="22">
        <v>500</v>
      </c>
      <c r="M258" s="32"/>
      <c r="N258" s="22"/>
      <c r="O258" s="32"/>
      <c r="P258" s="22"/>
      <c r="Q258" s="28">
        <v>2722</v>
      </c>
      <c r="R258" s="28">
        <v>11332</v>
      </c>
      <c r="S258" s="45"/>
      <c r="T258" s="319"/>
    </row>
    <row r="259" spans="1:20" ht="15">
      <c r="A259" s="228">
        <v>24</v>
      </c>
      <c r="B259" s="236" t="s">
        <v>290</v>
      </c>
      <c r="C259" s="248"/>
      <c r="D259" s="63">
        <v>700040</v>
      </c>
      <c r="E259" s="22">
        <v>3576380</v>
      </c>
      <c r="F259" s="22">
        <v>178980</v>
      </c>
      <c r="G259" s="22">
        <v>165420</v>
      </c>
      <c r="H259" s="22">
        <v>599706</v>
      </c>
      <c r="I259" s="22">
        <v>270492</v>
      </c>
      <c r="J259" s="23">
        <v>1500</v>
      </c>
      <c r="K259" s="22">
        <v>48</v>
      </c>
      <c r="L259" s="70">
        <v>100</v>
      </c>
      <c r="M259" s="22">
        <v>8</v>
      </c>
      <c r="N259" s="22">
        <v>8</v>
      </c>
      <c r="O259" s="22"/>
      <c r="P259" s="22"/>
      <c r="Q259" s="28">
        <v>1041</v>
      </c>
      <c r="R259" s="28">
        <v>1722</v>
      </c>
      <c r="S259" s="45"/>
      <c r="T259" s="319"/>
    </row>
    <row r="260" spans="1:20">
      <c r="A260" s="215"/>
      <c r="B260" s="203"/>
      <c r="C260" s="16"/>
      <c r="D260" s="265"/>
      <c r="E260" s="206"/>
      <c r="F260" s="206"/>
      <c r="G260" s="206"/>
      <c r="H260" s="256"/>
      <c r="I260" s="206"/>
      <c r="J260" s="256"/>
      <c r="K260" s="206"/>
      <c r="L260" s="256"/>
      <c r="M260" s="206"/>
      <c r="N260" s="256"/>
      <c r="O260" s="206"/>
      <c r="P260" s="206"/>
      <c r="Q260" s="206"/>
      <c r="R260" s="206"/>
      <c r="S260" s="317"/>
      <c r="T260" s="319"/>
    </row>
    <row r="261" spans="1:20" ht="15">
      <c r="A261" s="216" t="s">
        <v>295</v>
      </c>
      <c r="B261" s="239"/>
      <c r="C261" s="10"/>
      <c r="D261" s="133">
        <f>SUM(D236:D259)</f>
        <v>17139074</v>
      </c>
      <c r="E261" s="28">
        <f>SUM(E236:E259)</f>
        <v>81721515</v>
      </c>
      <c r="F261" s="28">
        <f t="shared" ref="F261:S261" si="9">SUM(F236:F259)</f>
        <v>3793929</v>
      </c>
      <c r="G261" s="28">
        <f t="shared" si="9"/>
        <v>1473609</v>
      </c>
      <c r="H261" s="28">
        <f t="shared" si="9"/>
        <v>8040388</v>
      </c>
      <c r="I261" s="28">
        <f t="shared" si="9"/>
        <v>4409365</v>
      </c>
      <c r="J261" s="28">
        <f t="shared" si="9"/>
        <v>997426</v>
      </c>
      <c r="K261" s="28">
        <f t="shared" si="9"/>
        <v>284913</v>
      </c>
      <c r="L261" s="28">
        <f t="shared" si="9"/>
        <v>248424</v>
      </c>
      <c r="M261" s="28">
        <f t="shared" si="9"/>
        <v>19658</v>
      </c>
      <c r="N261" s="28">
        <f t="shared" si="9"/>
        <v>43743</v>
      </c>
      <c r="O261" s="28">
        <f t="shared" si="9"/>
        <v>0</v>
      </c>
      <c r="P261" s="28">
        <f t="shared" si="9"/>
        <v>0</v>
      </c>
      <c r="Q261" s="28">
        <f t="shared" si="9"/>
        <v>18271</v>
      </c>
      <c r="R261" s="28">
        <f t="shared" si="9"/>
        <v>44056</v>
      </c>
      <c r="S261" s="28">
        <f t="shared" si="9"/>
        <v>796609</v>
      </c>
      <c r="T261" s="319"/>
    </row>
    <row r="262" spans="1:20" ht="15" thickBot="1">
      <c r="A262" s="217"/>
      <c r="B262" s="104"/>
      <c r="C262" s="251"/>
      <c r="D262" s="252"/>
      <c r="E262" s="208"/>
      <c r="F262" s="208"/>
      <c r="G262" s="208"/>
      <c r="H262" s="253"/>
      <c r="I262" s="208"/>
      <c r="J262" s="253"/>
      <c r="K262" s="208"/>
      <c r="L262" s="253"/>
      <c r="M262" s="208"/>
      <c r="N262" s="253"/>
      <c r="O262" s="208"/>
      <c r="P262" s="208"/>
      <c r="Q262" s="213"/>
      <c r="R262" s="213"/>
      <c r="S262" s="318"/>
      <c r="T262" s="319"/>
    </row>
    <row r="263" spans="1:20" ht="15" thickTop="1">
      <c r="C263" s="31"/>
      <c r="D263" s="32"/>
      <c r="E263" s="134"/>
      <c r="F263" s="134"/>
      <c r="G263" s="134"/>
      <c r="H263" s="134"/>
      <c r="I263" s="134"/>
      <c r="J263" s="134"/>
      <c r="K263" s="134"/>
      <c r="L263" s="134"/>
      <c r="M263" s="134"/>
      <c r="N263" s="134"/>
      <c r="O263" s="134"/>
      <c r="P263" s="134"/>
      <c r="Q263" s="134"/>
      <c r="R263" s="134"/>
      <c r="S263" s="134"/>
    </row>
    <row r="264" spans="1:20">
      <c r="C264" s="31"/>
      <c r="D264" s="32"/>
      <c r="E264" s="134"/>
      <c r="F264" s="134"/>
      <c r="G264" s="134"/>
      <c r="H264" s="134"/>
      <c r="I264" s="134"/>
      <c r="J264" s="134"/>
      <c r="K264" s="134"/>
      <c r="L264" s="134"/>
      <c r="M264" s="134"/>
      <c r="N264" s="134"/>
      <c r="O264" s="134"/>
      <c r="P264" s="134"/>
      <c r="Q264" s="134"/>
      <c r="R264" s="134"/>
      <c r="S264" s="134"/>
    </row>
    <row r="265" spans="1:20" ht="15">
      <c r="C265" s="249"/>
      <c r="D265" s="31"/>
      <c r="E265" s="31"/>
      <c r="F265" s="31"/>
      <c r="G265" s="31"/>
      <c r="H265" s="31"/>
      <c r="I265" s="31"/>
      <c r="J265" s="31"/>
      <c r="K265" s="31"/>
      <c r="L265" s="31"/>
      <c r="M265" s="31"/>
      <c r="N265" s="31"/>
      <c r="O265" s="31"/>
      <c r="P265" s="31"/>
      <c r="Q265" s="31"/>
      <c r="R265" s="31"/>
      <c r="S265" s="31"/>
    </row>
    <row r="266" spans="1:20">
      <c r="C266" s="47"/>
      <c r="D266" s="32"/>
      <c r="E266" s="134"/>
      <c r="F266" s="134"/>
      <c r="G266" s="134"/>
      <c r="H266" s="134"/>
      <c r="I266" s="134"/>
      <c r="J266" s="134"/>
      <c r="K266" s="134"/>
      <c r="L266" s="134"/>
      <c r="M266" s="134"/>
      <c r="N266" s="134"/>
      <c r="O266" s="134"/>
      <c r="P266" s="134"/>
      <c r="Q266" s="134"/>
      <c r="R266" s="134"/>
      <c r="S266" s="134"/>
    </row>
    <row r="267" spans="1:20">
      <c r="C267" s="31"/>
      <c r="D267" s="32"/>
      <c r="E267" s="134"/>
      <c r="F267" s="134"/>
      <c r="G267" s="134"/>
      <c r="H267" s="134"/>
      <c r="I267" s="134"/>
      <c r="J267" s="134"/>
      <c r="K267" s="134"/>
      <c r="L267" s="134"/>
      <c r="M267" s="134"/>
      <c r="N267" s="134"/>
      <c r="O267" s="134"/>
      <c r="P267" s="134"/>
      <c r="Q267" s="134"/>
      <c r="R267" s="134"/>
      <c r="S267" s="134"/>
    </row>
    <row r="268" spans="1:20">
      <c r="C268" s="31"/>
      <c r="D268" s="32"/>
      <c r="E268" s="134"/>
      <c r="F268" s="134"/>
      <c r="G268" s="134"/>
      <c r="H268" s="134"/>
      <c r="I268" s="134"/>
      <c r="J268" s="134"/>
      <c r="K268" s="134"/>
      <c r="L268" s="134"/>
      <c r="M268" s="134"/>
      <c r="N268" s="134"/>
      <c r="O268" s="134"/>
      <c r="P268" s="134"/>
      <c r="Q268" s="134"/>
      <c r="R268" s="134"/>
      <c r="S268" s="134"/>
    </row>
    <row r="269" spans="1:20">
      <c r="C269" s="31"/>
      <c r="D269" s="32"/>
      <c r="E269" s="134"/>
      <c r="F269" s="134"/>
      <c r="G269" s="134"/>
      <c r="H269" s="134"/>
      <c r="I269" s="134"/>
      <c r="J269" s="134"/>
      <c r="K269" s="134"/>
      <c r="L269" s="134"/>
      <c r="M269" s="134"/>
      <c r="N269" s="134"/>
      <c r="O269" s="134"/>
      <c r="P269" s="134"/>
      <c r="Q269" s="134"/>
      <c r="R269" s="134"/>
      <c r="S269" s="134"/>
    </row>
    <row r="270" spans="1:20">
      <c r="C270" s="31"/>
      <c r="D270" s="32"/>
      <c r="E270" s="134"/>
      <c r="F270" s="134"/>
      <c r="G270" s="134"/>
      <c r="H270" s="134"/>
      <c r="I270" s="134"/>
      <c r="J270" s="134"/>
      <c r="K270" s="134"/>
      <c r="L270" s="134"/>
      <c r="M270" s="134"/>
      <c r="N270" s="134"/>
      <c r="O270" s="134"/>
      <c r="P270" s="134"/>
      <c r="Q270" s="134"/>
      <c r="R270" s="134"/>
      <c r="S270" s="134"/>
    </row>
  </sheetData>
  <mergeCells count="1">
    <mergeCell ref="C4:C7"/>
  </mergeCell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1"/>
  </sheetPr>
  <dimension ref="A2:K271"/>
  <sheetViews>
    <sheetView topLeftCell="A229" workbookViewId="0">
      <selection activeCell="D277" sqref="D277"/>
    </sheetView>
  </sheetViews>
  <sheetFormatPr baseColWidth="10" defaultColWidth="8.83203125" defaultRowHeight="14" x14ac:dyDescent="0"/>
  <cols>
    <col min="1" max="1" width="31.5" customWidth="1"/>
    <col min="2" max="2" width="21.5" customWidth="1"/>
    <col min="3" max="3" width="10.1640625" customWidth="1"/>
    <col min="4" max="4" width="11.1640625" customWidth="1"/>
    <col min="5" max="5" width="11.5" customWidth="1"/>
    <col min="6" max="6" width="10.5" customWidth="1"/>
    <col min="7" max="7" width="10.6640625" customWidth="1"/>
    <col min="8" max="8" width="11.83203125" customWidth="1"/>
    <col min="9" max="9" width="11" customWidth="1"/>
    <col min="10" max="10" width="11.83203125" customWidth="1"/>
  </cols>
  <sheetData>
    <row r="2" spans="1:11" ht="18">
      <c r="A2" s="705" t="s">
        <v>370</v>
      </c>
      <c r="B2" s="262" t="s">
        <v>371</v>
      </c>
    </row>
    <row r="3" spans="1:11" ht="18">
      <c r="A3" s="278"/>
      <c r="B3" s="262" t="s">
        <v>372</v>
      </c>
    </row>
    <row r="4" spans="1:11" ht="19" thickBot="1">
      <c r="A4" s="278"/>
    </row>
    <row r="5" spans="1:11" ht="15" thickTop="1">
      <c r="A5" s="33"/>
      <c r="B5" s="7"/>
      <c r="C5" s="710" t="s">
        <v>306</v>
      </c>
      <c r="D5" s="65"/>
      <c r="E5" s="142"/>
      <c r="F5" s="142"/>
      <c r="G5" s="142"/>
      <c r="H5" s="142"/>
      <c r="I5" s="142"/>
      <c r="J5" s="33"/>
      <c r="K5" s="319"/>
    </row>
    <row r="6" spans="1:11">
      <c r="A6" s="140" t="s">
        <v>42</v>
      </c>
      <c r="B6" s="97"/>
      <c r="C6" s="711"/>
      <c r="D6" s="115" t="s">
        <v>350</v>
      </c>
      <c r="E6" s="143" t="s">
        <v>351</v>
      </c>
      <c r="F6" s="143" t="s">
        <v>352</v>
      </c>
      <c r="G6" s="143" t="s">
        <v>353</v>
      </c>
      <c r="H6" s="143" t="s">
        <v>354</v>
      </c>
      <c r="I6" s="143" t="s">
        <v>355</v>
      </c>
      <c r="J6" s="160" t="s">
        <v>365</v>
      </c>
      <c r="K6" s="319"/>
    </row>
    <row r="7" spans="1:11">
      <c r="A7" s="141">
        <v>4145</v>
      </c>
      <c r="B7" s="241"/>
      <c r="C7" s="711"/>
      <c r="D7" s="17" t="s">
        <v>59</v>
      </c>
      <c r="E7" s="18" t="s">
        <v>59</v>
      </c>
      <c r="F7" s="47" t="s">
        <v>59</v>
      </c>
      <c r="G7" s="18" t="s">
        <v>59</v>
      </c>
      <c r="H7" s="47" t="s">
        <v>59</v>
      </c>
      <c r="I7" s="18" t="s">
        <v>59</v>
      </c>
      <c r="J7" s="47" t="s">
        <v>59</v>
      </c>
      <c r="K7" s="319"/>
    </row>
    <row r="8" spans="1:11">
      <c r="A8" s="3"/>
      <c r="B8" s="5"/>
      <c r="C8" s="712"/>
      <c r="D8" s="40"/>
      <c r="E8" s="14"/>
      <c r="F8" s="14"/>
      <c r="G8" s="14"/>
      <c r="H8" s="14"/>
      <c r="I8" s="14"/>
      <c r="J8" s="3"/>
      <c r="K8" s="319"/>
    </row>
    <row r="9" spans="1:11">
      <c r="A9" s="31"/>
      <c r="B9" s="4"/>
      <c r="C9" s="10"/>
      <c r="D9" s="120"/>
      <c r="E9" s="28"/>
      <c r="F9" s="28"/>
      <c r="G9" s="22"/>
      <c r="H9" s="22"/>
      <c r="I9" s="22"/>
      <c r="J9" s="23"/>
      <c r="K9" s="319"/>
    </row>
    <row r="10" spans="1:11">
      <c r="A10" s="145" t="s">
        <v>61</v>
      </c>
      <c r="B10" s="235"/>
      <c r="C10" s="244"/>
      <c r="D10" s="133">
        <f>SUM(D13:D16)</f>
        <v>635370</v>
      </c>
      <c r="E10" s="28">
        <f>SUM(E13:E16)</f>
        <v>2575049</v>
      </c>
      <c r="F10" s="28">
        <f t="shared" ref="F10:J10" si="0">SUM(F13:F16)</f>
        <v>641350</v>
      </c>
      <c r="G10" s="28">
        <f t="shared" si="0"/>
        <v>18152</v>
      </c>
      <c r="H10" s="28">
        <f t="shared" si="0"/>
        <v>115964</v>
      </c>
      <c r="I10" s="28">
        <f t="shared" si="0"/>
        <v>178306</v>
      </c>
      <c r="J10" s="28">
        <f t="shared" si="0"/>
        <v>54064</v>
      </c>
      <c r="K10" s="319"/>
    </row>
    <row r="11" spans="1:11" ht="15" thickBot="1">
      <c r="A11" s="47" t="s">
        <v>62</v>
      </c>
      <c r="B11" s="8"/>
      <c r="C11" s="17"/>
      <c r="D11" s="147"/>
      <c r="E11" s="148"/>
      <c r="F11" s="148"/>
      <c r="G11" s="148"/>
      <c r="H11" s="148"/>
      <c r="I11" s="149"/>
      <c r="J11" s="314"/>
      <c r="K11" s="319"/>
    </row>
    <row r="12" spans="1:11">
      <c r="A12" s="47"/>
      <c r="B12" s="8"/>
      <c r="C12" s="17"/>
      <c r="D12" s="63"/>
      <c r="E12" s="22"/>
      <c r="F12" s="22"/>
      <c r="G12" s="22"/>
      <c r="H12" s="22"/>
      <c r="I12" s="32"/>
      <c r="J12" s="45"/>
      <c r="K12" s="319"/>
    </row>
    <row r="13" spans="1:11">
      <c r="A13" s="31" t="s">
        <v>4</v>
      </c>
      <c r="B13" s="4"/>
      <c r="C13" s="10"/>
      <c r="D13" s="63">
        <v>481017</v>
      </c>
      <c r="E13" s="28">
        <v>1356219</v>
      </c>
      <c r="F13" s="22">
        <v>626431</v>
      </c>
      <c r="G13" s="22">
        <v>13495</v>
      </c>
      <c r="H13" s="22">
        <v>85116</v>
      </c>
      <c r="I13" s="32">
        <v>142427</v>
      </c>
      <c r="J13" s="45">
        <v>46720</v>
      </c>
      <c r="K13" s="319"/>
    </row>
    <row r="14" spans="1:11">
      <c r="A14" s="68" t="s">
        <v>1</v>
      </c>
      <c r="B14" s="111"/>
      <c r="C14" s="245"/>
      <c r="D14" s="63">
        <v>5018</v>
      </c>
      <c r="E14" s="22">
        <v>42458</v>
      </c>
      <c r="F14" s="22">
        <v>2766</v>
      </c>
      <c r="G14" s="22">
        <v>698</v>
      </c>
      <c r="H14" s="22">
        <v>5661</v>
      </c>
      <c r="I14" s="32">
        <v>594</v>
      </c>
      <c r="J14" s="45"/>
      <c r="K14" s="319"/>
    </row>
    <row r="15" spans="1:11">
      <c r="A15" s="68" t="s">
        <v>2</v>
      </c>
      <c r="B15" s="111"/>
      <c r="C15" s="245"/>
      <c r="D15" s="63">
        <v>101214</v>
      </c>
      <c r="E15" s="22">
        <v>708155</v>
      </c>
      <c r="F15" s="22">
        <v>8312</v>
      </c>
      <c r="G15" s="28">
        <v>343</v>
      </c>
      <c r="H15" s="22">
        <v>15336</v>
      </c>
      <c r="I15" s="32">
        <v>21173</v>
      </c>
      <c r="J15" s="45">
        <v>6494</v>
      </c>
      <c r="K15" s="319"/>
    </row>
    <row r="16" spans="1:11">
      <c r="A16" s="68" t="s">
        <v>3</v>
      </c>
      <c r="B16" s="111"/>
      <c r="C16" s="245"/>
      <c r="D16" s="63">
        <v>48121</v>
      </c>
      <c r="E16" s="22">
        <v>468217</v>
      </c>
      <c r="F16" s="22">
        <v>3841</v>
      </c>
      <c r="G16" s="22">
        <v>3616</v>
      </c>
      <c r="H16" s="22">
        <v>9851</v>
      </c>
      <c r="I16" s="32">
        <v>14112</v>
      </c>
      <c r="J16" s="45">
        <v>850</v>
      </c>
      <c r="K16" s="319"/>
    </row>
    <row r="17" spans="1:11">
      <c r="A17" s="68"/>
      <c r="B17" s="111"/>
      <c r="C17" s="706"/>
      <c r="D17" s="266"/>
      <c r="E17" s="43"/>
      <c r="F17" s="43"/>
      <c r="G17" s="43"/>
      <c r="H17" s="43"/>
      <c r="I17" s="32"/>
      <c r="J17" s="23"/>
      <c r="K17" s="319"/>
    </row>
    <row r="18" spans="1:11" ht="16" thickBot="1">
      <c r="A18" s="144" t="s">
        <v>5</v>
      </c>
      <c r="B18" s="242"/>
      <c r="C18" s="246"/>
      <c r="D18" s="265"/>
      <c r="E18" s="24"/>
      <c r="F18" s="24"/>
      <c r="G18" s="24"/>
      <c r="H18" s="24"/>
      <c r="I18" s="24"/>
      <c r="J18" s="316"/>
      <c r="K18" s="319"/>
    </row>
    <row r="19" spans="1:11">
      <c r="A19" s="100">
        <v>1</v>
      </c>
      <c r="B19" s="4" t="s">
        <v>300</v>
      </c>
      <c r="C19" s="17">
        <v>1312</v>
      </c>
      <c r="D19" s="133">
        <v>478</v>
      </c>
      <c r="E19" s="28">
        <v>4628</v>
      </c>
      <c r="F19" s="28"/>
      <c r="G19" s="28"/>
      <c r="H19" s="134">
        <v>60</v>
      </c>
      <c r="I19" s="28"/>
      <c r="J19" s="45">
        <v>100</v>
      </c>
      <c r="K19" s="319"/>
    </row>
    <row r="20" spans="1:11">
      <c r="A20" s="100">
        <v>2</v>
      </c>
      <c r="B20" s="4" t="s">
        <v>88</v>
      </c>
      <c r="C20" s="10"/>
      <c r="D20" s="133">
        <v>357</v>
      </c>
      <c r="E20" s="28">
        <v>1334</v>
      </c>
      <c r="F20" s="28">
        <v>15</v>
      </c>
      <c r="G20" s="28"/>
      <c r="H20" s="134">
        <v>65</v>
      </c>
      <c r="I20" s="28"/>
      <c r="J20" s="45"/>
      <c r="K20" s="319"/>
    </row>
    <row r="21" spans="1:11">
      <c r="A21" s="100">
        <v>3</v>
      </c>
      <c r="B21" s="4" t="s">
        <v>89</v>
      </c>
      <c r="C21" s="10"/>
      <c r="D21" s="133"/>
      <c r="E21" s="28">
        <v>332</v>
      </c>
      <c r="F21" s="28"/>
      <c r="G21" s="28"/>
      <c r="H21" s="134"/>
      <c r="I21" s="28">
        <v>15</v>
      </c>
      <c r="J21" s="45"/>
      <c r="K21" s="319"/>
    </row>
    <row r="22" spans="1:11">
      <c r="A22" s="100">
        <v>4</v>
      </c>
      <c r="B22" s="4" t="s">
        <v>90</v>
      </c>
      <c r="C22" s="10"/>
      <c r="D22" s="133">
        <v>4393</v>
      </c>
      <c r="E22" s="28">
        <v>88736</v>
      </c>
      <c r="F22" s="28">
        <v>1055</v>
      </c>
      <c r="G22" s="28">
        <v>449</v>
      </c>
      <c r="H22" s="134">
        <v>715</v>
      </c>
      <c r="I22" s="28">
        <v>7911</v>
      </c>
      <c r="J22" s="45">
        <v>50</v>
      </c>
      <c r="K22" s="319"/>
    </row>
    <row r="23" spans="1:11">
      <c r="A23" s="100">
        <v>5</v>
      </c>
      <c r="B23" s="4" t="s">
        <v>91</v>
      </c>
      <c r="C23" s="10"/>
      <c r="D23" s="133"/>
      <c r="E23" s="28">
        <v>34</v>
      </c>
      <c r="F23" s="28"/>
      <c r="G23" s="28"/>
      <c r="H23" s="134">
        <v>1200</v>
      </c>
      <c r="I23" s="28">
        <v>100</v>
      </c>
      <c r="J23" s="45">
        <v>2400</v>
      </c>
      <c r="K23" s="319"/>
    </row>
    <row r="24" spans="1:11" ht="15">
      <c r="A24" s="100">
        <v>6</v>
      </c>
      <c r="B24" s="4" t="s">
        <v>92</v>
      </c>
      <c r="C24" s="248"/>
      <c r="D24" s="120">
        <v>3072</v>
      </c>
      <c r="E24" s="28">
        <v>47747</v>
      </c>
      <c r="F24" s="28">
        <v>397</v>
      </c>
      <c r="G24" s="28">
        <v>30</v>
      </c>
      <c r="H24" s="28">
        <v>285</v>
      </c>
      <c r="I24" s="28">
        <v>3849</v>
      </c>
      <c r="J24" s="45">
        <v>50</v>
      </c>
      <c r="K24" s="319"/>
    </row>
    <row r="25" spans="1:11">
      <c r="A25" s="100">
        <v>7</v>
      </c>
      <c r="B25" s="4" t="s">
        <v>93</v>
      </c>
      <c r="C25" s="17"/>
      <c r="D25" s="133">
        <v>16</v>
      </c>
      <c r="E25" s="28">
        <v>3793</v>
      </c>
      <c r="F25" s="28">
        <v>200</v>
      </c>
      <c r="G25" s="28"/>
      <c r="H25" s="134"/>
      <c r="I25" s="28">
        <v>70</v>
      </c>
      <c r="J25" s="45"/>
      <c r="K25" s="319"/>
    </row>
    <row r="26" spans="1:11">
      <c r="A26" s="100">
        <v>8</v>
      </c>
      <c r="B26" s="4" t="s">
        <v>94</v>
      </c>
      <c r="C26" s="10"/>
      <c r="D26" s="133">
        <v>200</v>
      </c>
      <c r="E26" s="28">
        <v>1820</v>
      </c>
      <c r="F26" s="28"/>
      <c r="G26" s="28"/>
      <c r="H26" s="134"/>
      <c r="I26" s="28"/>
      <c r="J26" s="45"/>
      <c r="K26" s="319"/>
    </row>
    <row r="27" spans="1:11">
      <c r="A27" s="100">
        <v>9</v>
      </c>
      <c r="B27" s="4" t="s">
        <v>95</v>
      </c>
      <c r="C27" s="10"/>
      <c r="D27" s="133"/>
      <c r="E27" s="28">
        <v>80</v>
      </c>
      <c r="F27" s="28"/>
      <c r="G27" s="28">
        <v>6</v>
      </c>
      <c r="H27" s="134">
        <v>1360</v>
      </c>
      <c r="I27" s="13"/>
      <c r="K27" s="319"/>
    </row>
    <row r="28" spans="1:11">
      <c r="A28" s="100">
        <v>10</v>
      </c>
      <c r="B28" s="4" t="s">
        <v>96</v>
      </c>
      <c r="C28" s="10"/>
      <c r="D28" s="133">
        <v>2562</v>
      </c>
      <c r="E28" s="28">
        <v>20845</v>
      </c>
      <c r="F28" s="28">
        <v>110</v>
      </c>
      <c r="G28" s="28">
        <v>267</v>
      </c>
      <c r="H28" s="134">
        <v>3721</v>
      </c>
      <c r="I28" s="28">
        <v>12572</v>
      </c>
      <c r="J28" s="45">
        <v>280</v>
      </c>
      <c r="K28" s="319"/>
    </row>
    <row r="29" spans="1:11">
      <c r="A29" s="100">
        <v>11</v>
      </c>
      <c r="B29" s="4" t="s">
        <v>97</v>
      </c>
      <c r="C29" s="10"/>
      <c r="D29" s="133">
        <v>295</v>
      </c>
      <c r="E29" s="28">
        <v>365</v>
      </c>
      <c r="F29" s="28"/>
      <c r="G29" s="28"/>
      <c r="H29" s="134"/>
      <c r="I29" s="13"/>
      <c r="J29" s="45"/>
      <c r="K29" s="319"/>
    </row>
    <row r="30" spans="1:11" ht="15">
      <c r="A30" s="100">
        <v>12</v>
      </c>
      <c r="B30" s="4" t="s">
        <v>98</v>
      </c>
      <c r="C30" s="248"/>
      <c r="D30" s="120"/>
      <c r="E30" s="28">
        <v>390</v>
      </c>
      <c r="F30" s="28"/>
      <c r="G30" s="28"/>
      <c r="H30" s="28">
        <v>120</v>
      </c>
      <c r="I30" s="28">
        <v>582</v>
      </c>
      <c r="K30" s="319"/>
    </row>
    <row r="31" spans="1:11">
      <c r="A31" s="100">
        <v>13</v>
      </c>
      <c r="B31" s="4" t="s">
        <v>99</v>
      </c>
      <c r="C31" s="17"/>
      <c r="D31" s="133">
        <v>469</v>
      </c>
      <c r="E31" s="28">
        <v>5898</v>
      </c>
      <c r="F31" s="28"/>
      <c r="G31" s="28">
        <v>472</v>
      </c>
      <c r="H31" s="134">
        <v>315</v>
      </c>
      <c r="I31" s="28">
        <v>72</v>
      </c>
      <c r="J31" s="45">
        <v>97</v>
      </c>
      <c r="K31" s="319"/>
    </row>
    <row r="32" spans="1:11">
      <c r="A32" s="100">
        <v>14</v>
      </c>
      <c r="B32" s="4" t="s">
        <v>100</v>
      </c>
      <c r="C32" s="10"/>
      <c r="D32" s="133">
        <v>2406</v>
      </c>
      <c r="E32" s="28">
        <v>15536</v>
      </c>
      <c r="F32" s="28">
        <v>20</v>
      </c>
      <c r="G32" s="28"/>
      <c r="H32" s="134">
        <v>7305</v>
      </c>
      <c r="I32" s="28">
        <v>764</v>
      </c>
      <c r="K32" s="319"/>
    </row>
    <row r="33" spans="1:11">
      <c r="A33" s="100">
        <v>15</v>
      </c>
      <c r="B33" s="4" t="s">
        <v>101</v>
      </c>
      <c r="C33" s="10"/>
      <c r="D33" s="133">
        <v>42</v>
      </c>
      <c r="E33" s="28">
        <v>12650</v>
      </c>
      <c r="F33" s="28">
        <v>500</v>
      </c>
      <c r="G33" s="28">
        <v>100</v>
      </c>
      <c r="H33" s="134">
        <v>1085</v>
      </c>
      <c r="I33" s="28">
        <v>4040</v>
      </c>
      <c r="J33" s="45">
        <v>4380</v>
      </c>
      <c r="K33" s="319"/>
    </row>
    <row r="34" spans="1:11">
      <c r="A34" s="100">
        <v>16</v>
      </c>
      <c r="B34" s="4" t="s">
        <v>102</v>
      </c>
      <c r="C34" s="10"/>
      <c r="D34" s="133">
        <v>7000</v>
      </c>
      <c r="E34" s="28"/>
      <c r="F34" s="28"/>
      <c r="G34" s="28"/>
      <c r="H34" s="134">
        <v>200</v>
      </c>
      <c r="I34" s="13"/>
      <c r="K34" s="319"/>
    </row>
    <row r="35" spans="1:11">
      <c r="A35" s="100">
        <v>17</v>
      </c>
      <c r="B35" s="4" t="s">
        <v>301</v>
      </c>
      <c r="C35" s="10"/>
      <c r="D35" s="133">
        <v>285</v>
      </c>
      <c r="E35" s="28">
        <v>14187</v>
      </c>
      <c r="F35" s="28">
        <v>100</v>
      </c>
      <c r="G35" s="28">
        <v>95</v>
      </c>
      <c r="H35" s="134">
        <v>3496</v>
      </c>
      <c r="I35" s="28">
        <v>1200</v>
      </c>
      <c r="J35" s="45">
        <v>2610</v>
      </c>
      <c r="K35" s="319"/>
    </row>
    <row r="36" spans="1:11" ht="15">
      <c r="A36" s="100">
        <v>18</v>
      </c>
      <c r="B36" s="4" t="s">
        <v>302</v>
      </c>
      <c r="C36" s="248"/>
      <c r="D36" s="120">
        <v>226</v>
      </c>
      <c r="E36" s="28">
        <v>940</v>
      </c>
      <c r="F36" s="28">
        <v>50</v>
      </c>
      <c r="G36" s="28"/>
      <c r="H36" s="28">
        <v>129</v>
      </c>
      <c r="I36" s="28">
        <v>2</v>
      </c>
      <c r="J36" s="45"/>
      <c r="K36" s="319"/>
    </row>
    <row r="37" spans="1:11">
      <c r="A37" s="100">
        <v>19</v>
      </c>
      <c r="B37" s="4" t="s">
        <v>105</v>
      </c>
      <c r="C37" s="17"/>
      <c r="D37" s="133">
        <v>702</v>
      </c>
      <c r="E37" s="28">
        <v>55118</v>
      </c>
      <c r="F37" s="28">
        <v>150</v>
      </c>
      <c r="G37" s="28">
        <v>24</v>
      </c>
      <c r="H37" s="134">
        <v>7648</v>
      </c>
      <c r="I37" s="28">
        <v>4994</v>
      </c>
      <c r="K37" s="319"/>
    </row>
    <row r="38" spans="1:11">
      <c r="A38" s="100">
        <v>20</v>
      </c>
      <c r="B38" s="4" t="s">
        <v>106</v>
      </c>
      <c r="C38" s="10"/>
      <c r="D38" s="133">
        <v>18077</v>
      </c>
      <c r="E38" s="28">
        <v>60553</v>
      </c>
      <c r="F38" s="28">
        <v>812</v>
      </c>
      <c r="G38" s="28">
        <v>364</v>
      </c>
      <c r="H38" s="134">
        <v>2723</v>
      </c>
      <c r="I38" s="28">
        <v>980</v>
      </c>
      <c r="J38" s="45">
        <v>5</v>
      </c>
      <c r="K38" s="319"/>
    </row>
    <row r="39" spans="1:11">
      <c r="A39" s="100">
        <v>21</v>
      </c>
      <c r="B39" s="4" t="s">
        <v>107</v>
      </c>
      <c r="C39" s="10"/>
      <c r="D39" s="133">
        <v>1031</v>
      </c>
      <c r="E39" s="28">
        <v>25819</v>
      </c>
      <c r="F39" s="28">
        <v>35</v>
      </c>
      <c r="G39" s="28">
        <v>100</v>
      </c>
      <c r="H39" s="134">
        <v>1880</v>
      </c>
      <c r="I39" s="28">
        <v>1810</v>
      </c>
      <c r="J39" s="45">
        <v>110</v>
      </c>
      <c r="K39" s="319"/>
    </row>
    <row r="40" spans="1:11">
      <c r="A40" s="214">
        <v>22</v>
      </c>
      <c r="B40" s="96" t="s">
        <v>108</v>
      </c>
      <c r="C40" s="10"/>
      <c r="D40" s="133">
        <v>6097</v>
      </c>
      <c r="E40" s="28">
        <v>60865</v>
      </c>
      <c r="F40" s="28">
        <v>515</v>
      </c>
      <c r="G40" s="28">
        <v>840</v>
      </c>
      <c r="H40" s="134">
        <v>1115</v>
      </c>
      <c r="I40" s="28">
        <v>7583</v>
      </c>
      <c r="J40" s="45">
        <v>710</v>
      </c>
      <c r="K40" s="319"/>
    </row>
    <row r="41" spans="1:11">
      <c r="A41" s="100">
        <v>23</v>
      </c>
      <c r="B41" s="4" t="s">
        <v>109</v>
      </c>
      <c r="C41" s="10"/>
      <c r="D41" s="133">
        <v>320</v>
      </c>
      <c r="E41" s="28">
        <v>3190</v>
      </c>
      <c r="F41" s="28"/>
      <c r="G41" s="28">
        <v>54</v>
      </c>
      <c r="H41" s="134">
        <v>131</v>
      </c>
      <c r="I41" s="28">
        <v>170</v>
      </c>
      <c r="J41" s="45"/>
      <c r="K41" s="319"/>
    </row>
    <row r="42" spans="1:11">
      <c r="A42" s="100">
        <v>24</v>
      </c>
      <c r="B42" s="4" t="s">
        <v>110</v>
      </c>
      <c r="C42" s="10"/>
      <c r="D42" s="120"/>
      <c r="E42" s="28"/>
      <c r="F42" s="205"/>
      <c r="G42" s="134"/>
      <c r="H42" s="28">
        <v>100</v>
      </c>
      <c r="J42" s="45"/>
      <c r="K42" s="319"/>
    </row>
    <row r="43" spans="1:11" ht="15">
      <c r="A43" s="100">
        <v>25</v>
      </c>
      <c r="B43" s="4" t="s">
        <v>111</v>
      </c>
      <c r="C43" s="248"/>
      <c r="D43" s="120">
        <v>355</v>
      </c>
      <c r="E43" s="205">
        <v>969</v>
      </c>
      <c r="F43" s="28"/>
      <c r="G43" s="28"/>
      <c r="H43" s="28"/>
      <c r="I43" s="134">
        <v>50</v>
      </c>
      <c r="J43" s="324"/>
      <c r="K43" s="319"/>
    </row>
    <row r="44" spans="1:11">
      <c r="A44" s="100">
        <v>26</v>
      </c>
      <c r="B44" s="4" t="s">
        <v>112</v>
      </c>
      <c r="C44" s="17"/>
      <c r="D44" s="133">
        <v>286</v>
      </c>
      <c r="E44" s="28">
        <v>10770</v>
      </c>
      <c r="F44" s="28"/>
      <c r="G44" s="28"/>
      <c r="H44" s="134">
        <v>1773</v>
      </c>
      <c r="I44" s="28">
        <v>3552</v>
      </c>
      <c r="J44" s="45">
        <v>2130</v>
      </c>
      <c r="K44" s="319"/>
    </row>
    <row r="45" spans="1:11">
      <c r="A45" s="100">
        <v>27</v>
      </c>
      <c r="B45" s="4" t="s">
        <v>113</v>
      </c>
      <c r="C45" s="10"/>
      <c r="D45" s="133">
        <v>865</v>
      </c>
      <c r="E45" s="28">
        <v>10159</v>
      </c>
      <c r="F45" s="28">
        <v>6</v>
      </c>
      <c r="G45" s="28">
        <v>400</v>
      </c>
      <c r="H45" s="134">
        <v>326</v>
      </c>
      <c r="I45" s="28">
        <v>9497</v>
      </c>
      <c r="J45" s="45"/>
      <c r="K45" s="319"/>
    </row>
    <row r="46" spans="1:11">
      <c r="A46" s="100">
        <v>28</v>
      </c>
      <c r="B46" s="4" t="s">
        <v>114</v>
      </c>
      <c r="C46" s="10"/>
      <c r="D46" s="133">
        <v>9</v>
      </c>
      <c r="E46" s="28">
        <v>1335</v>
      </c>
      <c r="F46" s="28"/>
      <c r="G46" s="28"/>
      <c r="H46" s="134"/>
      <c r="I46" s="28"/>
      <c r="J46" s="45"/>
      <c r="K46" s="319"/>
    </row>
    <row r="47" spans="1:11">
      <c r="A47" s="100">
        <v>29</v>
      </c>
      <c r="B47" s="4" t="s">
        <v>115</v>
      </c>
      <c r="C47" s="10"/>
      <c r="D47" s="133">
        <v>1255</v>
      </c>
      <c r="E47" s="28">
        <v>26478</v>
      </c>
      <c r="F47" s="28">
        <v>155</v>
      </c>
      <c r="G47" s="28">
        <v>195</v>
      </c>
      <c r="H47" s="134">
        <v>1061</v>
      </c>
      <c r="I47" s="28">
        <v>1588</v>
      </c>
      <c r="J47" s="45">
        <v>754</v>
      </c>
      <c r="K47" s="319"/>
    </row>
    <row r="48" spans="1:11">
      <c r="A48" s="100">
        <v>30</v>
      </c>
      <c r="B48" s="4" t="s">
        <v>116</v>
      </c>
      <c r="C48" s="10"/>
      <c r="D48" s="133">
        <v>480</v>
      </c>
      <c r="E48" s="28">
        <v>8145</v>
      </c>
      <c r="F48" s="28">
        <v>20</v>
      </c>
      <c r="G48" s="28">
        <v>50</v>
      </c>
      <c r="H48" s="134">
        <v>3245</v>
      </c>
      <c r="I48" s="28">
        <v>1695</v>
      </c>
      <c r="J48" s="45"/>
      <c r="K48" s="319"/>
    </row>
    <row r="49" spans="1:11" ht="15">
      <c r="A49" s="100">
        <v>31</v>
      </c>
      <c r="B49" s="4" t="s">
        <v>117</v>
      </c>
      <c r="C49" s="248"/>
      <c r="D49" s="133">
        <v>435</v>
      </c>
      <c r="E49" s="28">
        <v>8114</v>
      </c>
      <c r="F49" s="28"/>
      <c r="G49" s="28">
        <v>15</v>
      </c>
      <c r="H49" s="28">
        <v>287</v>
      </c>
      <c r="I49" s="28">
        <v>40</v>
      </c>
      <c r="J49" s="45">
        <v>220</v>
      </c>
      <c r="K49" s="319"/>
    </row>
    <row r="50" spans="1:11">
      <c r="A50" s="100">
        <v>32</v>
      </c>
      <c r="B50" s="4" t="s">
        <v>118</v>
      </c>
      <c r="C50" s="17"/>
      <c r="D50" s="133">
        <v>598</v>
      </c>
      <c r="E50" s="28">
        <v>15470</v>
      </c>
      <c r="F50" s="28"/>
      <c r="G50" s="28">
        <v>30</v>
      </c>
      <c r="H50" s="134">
        <v>140</v>
      </c>
      <c r="I50" s="28"/>
      <c r="J50" s="45"/>
      <c r="K50" s="319"/>
    </row>
    <row r="51" spans="1:11">
      <c r="A51" s="100">
        <v>33</v>
      </c>
      <c r="B51" s="4" t="s">
        <v>119</v>
      </c>
      <c r="C51" s="10"/>
      <c r="D51" s="133"/>
      <c r="E51" s="28">
        <v>62</v>
      </c>
      <c r="F51" s="28"/>
      <c r="G51" s="28"/>
      <c r="H51" s="134"/>
      <c r="I51" s="28"/>
      <c r="J51" s="45"/>
      <c r="K51" s="319"/>
    </row>
    <row r="52" spans="1:11">
      <c r="A52" s="100">
        <v>34</v>
      </c>
      <c r="B52" s="4" t="s">
        <v>120</v>
      </c>
      <c r="C52" s="10"/>
      <c r="D52" s="133">
        <v>110</v>
      </c>
      <c r="E52" s="28">
        <v>1930</v>
      </c>
      <c r="F52" s="28"/>
      <c r="G52" s="28">
        <v>10</v>
      </c>
      <c r="H52" s="134">
        <v>2045</v>
      </c>
      <c r="I52" s="28"/>
      <c r="J52" s="45">
        <v>400</v>
      </c>
      <c r="K52" s="319"/>
    </row>
    <row r="53" spans="1:11">
      <c r="A53" s="100">
        <v>35</v>
      </c>
      <c r="B53" s="4" t="s">
        <v>121</v>
      </c>
      <c r="C53" s="10"/>
      <c r="D53" s="120">
        <v>250</v>
      </c>
      <c r="E53" s="28">
        <v>6748</v>
      </c>
      <c r="F53" s="28"/>
      <c r="G53" s="28"/>
      <c r="H53" s="134">
        <v>2972</v>
      </c>
      <c r="I53" s="28">
        <v>240</v>
      </c>
      <c r="J53" s="45">
        <v>45</v>
      </c>
      <c r="K53" s="319"/>
    </row>
    <row r="54" spans="1:11">
      <c r="A54" s="100">
        <v>36</v>
      </c>
      <c r="B54" s="4" t="s">
        <v>122</v>
      </c>
      <c r="C54" s="10"/>
      <c r="D54" s="133">
        <v>676</v>
      </c>
      <c r="E54" s="28">
        <v>3101</v>
      </c>
      <c r="F54" s="28"/>
      <c r="G54" s="28"/>
      <c r="H54" s="134">
        <v>1520</v>
      </c>
      <c r="I54" s="28">
        <v>1450</v>
      </c>
      <c r="J54" s="45">
        <v>1640</v>
      </c>
      <c r="K54" s="319"/>
    </row>
    <row r="55" spans="1:11" ht="15">
      <c r="A55" s="100">
        <v>37</v>
      </c>
      <c r="B55" s="4" t="s">
        <v>123</v>
      </c>
      <c r="C55" s="248"/>
      <c r="D55" s="120">
        <v>508</v>
      </c>
      <c r="E55" s="28">
        <v>2361</v>
      </c>
      <c r="F55" s="28"/>
      <c r="G55" s="28"/>
      <c r="H55" s="28">
        <v>100</v>
      </c>
      <c r="I55" s="28"/>
      <c r="J55" s="45">
        <v>160</v>
      </c>
      <c r="K55" s="319"/>
    </row>
    <row r="56" spans="1:11">
      <c r="A56" s="100">
        <v>38</v>
      </c>
      <c r="B56" s="4" t="s">
        <v>124</v>
      </c>
      <c r="C56" s="17"/>
      <c r="D56" s="133">
        <v>730</v>
      </c>
      <c r="E56" s="28">
        <v>2838</v>
      </c>
      <c r="F56" s="28"/>
      <c r="G56" s="28"/>
      <c r="H56" s="134">
        <v>250</v>
      </c>
      <c r="I56" s="28">
        <v>250</v>
      </c>
      <c r="K56" s="319"/>
    </row>
    <row r="57" spans="1:11">
      <c r="A57" s="100">
        <v>39</v>
      </c>
      <c r="B57" s="4" t="s">
        <v>125</v>
      </c>
      <c r="C57" s="10"/>
      <c r="D57" s="133">
        <v>87</v>
      </c>
      <c r="E57" s="28">
        <v>471</v>
      </c>
      <c r="F57" s="28">
        <v>6</v>
      </c>
      <c r="G57" s="28"/>
      <c r="H57" s="134">
        <v>71</v>
      </c>
      <c r="I57" s="28"/>
      <c r="K57" s="319"/>
    </row>
    <row r="58" spans="1:11">
      <c r="A58" s="100">
        <v>40</v>
      </c>
      <c r="B58" s="4" t="s">
        <v>126</v>
      </c>
      <c r="C58" s="10"/>
      <c r="D58" s="133">
        <v>1835</v>
      </c>
      <c r="E58" s="28">
        <v>10973</v>
      </c>
      <c r="F58" s="28">
        <v>30</v>
      </c>
      <c r="G58" s="28"/>
      <c r="H58" s="134">
        <v>1855</v>
      </c>
      <c r="I58" s="28">
        <v>952</v>
      </c>
      <c r="J58" s="45">
        <v>1065</v>
      </c>
      <c r="K58" s="319"/>
    </row>
    <row r="59" spans="1:11">
      <c r="A59" s="100">
        <v>41</v>
      </c>
      <c r="B59" s="4" t="s">
        <v>127</v>
      </c>
      <c r="C59" s="10"/>
      <c r="D59" s="133"/>
      <c r="E59" s="28"/>
      <c r="F59" s="28"/>
      <c r="G59" s="28"/>
      <c r="H59" s="134"/>
      <c r="I59" s="28"/>
      <c r="K59" s="319"/>
    </row>
    <row r="60" spans="1:11">
      <c r="A60" s="100">
        <v>42</v>
      </c>
      <c r="B60" s="4" t="s">
        <v>303</v>
      </c>
      <c r="C60" s="10"/>
      <c r="D60" s="133">
        <v>2938</v>
      </c>
      <c r="E60" s="28">
        <v>61510</v>
      </c>
      <c r="F60" s="28"/>
      <c r="G60" s="28">
        <v>215</v>
      </c>
      <c r="H60" s="134">
        <v>755</v>
      </c>
      <c r="I60" s="28">
        <v>11005</v>
      </c>
      <c r="J60" s="45">
        <v>610</v>
      </c>
      <c r="K60" s="319"/>
    </row>
    <row r="61" spans="1:11" ht="15">
      <c r="A61" s="175">
        <v>43</v>
      </c>
      <c r="B61" s="111" t="s">
        <v>129</v>
      </c>
      <c r="C61" s="248"/>
      <c r="D61" s="120">
        <v>1012</v>
      </c>
      <c r="E61" s="28">
        <v>33028</v>
      </c>
      <c r="F61" s="28">
        <v>600</v>
      </c>
      <c r="G61" s="28">
        <v>430</v>
      </c>
      <c r="H61" s="28">
        <v>1560</v>
      </c>
      <c r="I61" s="28">
        <v>2710</v>
      </c>
      <c r="J61" s="45">
        <v>720</v>
      </c>
      <c r="K61" s="319"/>
    </row>
    <row r="62" spans="1:11">
      <c r="A62" s="175">
        <v>44</v>
      </c>
      <c r="B62" s="111" t="s">
        <v>130</v>
      </c>
      <c r="C62" s="17"/>
      <c r="D62" s="133">
        <v>3492</v>
      </c>
      <c r="E62" s="28">
        <v>2317</v>
      </c>
      <c r="F62" s="28">
        <v>1150</v>
      </c>
      <c r="G62" s="28"/>
      <c r="H62" s="134">
        <v>410</v>
      </c>
      <c r="I62" s="28">
        <v>385</v>
      </c>
      <c r="J62" s="45"/>
      <c r="K62" s="319"/>
    </row>
    <row r="63" spans="1:11">
      <c r="A63" s="175">
        <v>45</v>
      </c>
      <c r="B63" s="111" t="s">
        <v>131</v>
      </c>
      <c r="C63" s="10"/>
      <c r="D63" s="133">
        <v>2597</v>
      </c>
      <c r="E63" s="28">
        <v>27699</v>
      </c>
      <c r="F63" s="205">
        <v>20</v>
      </c>
      <c r="G63" s="28">
        <v>423</v>
      </c>
      <c r="H63" s="134">
        <v>2371</v>
      </c>
      <c r="I63" s="28">
        <v>2726</v>
      </c>
      <c r="J63" s="45">
        <v>100</v>
      </c>
      <c r="K63" s="319"/>
    </row>
    <row r="64" spans="1:11">
      <c r="A64" s="175">
        <v>46</v>
      </c>
      <c r="B64" s="111" t="s">
        <v>132</v>
      </c>
      <c r="C64" s="10"/>
      <c r="D64" s="133">
        <v>895</v>
      </c>
      <c r="E64" s="28">
        <v>6116</v>
      </c>
      <c r="F64" s="28">
        <v>215</v>
      </c>
      <c r="G64" s="28">
        <v>100</v>
      </c>
      <c r="H64" s="134">
        <v>805</v>
      </c>
      <c r="I64" s="28">
        <v>813</v>
      </c>
      <c r="K64" s="319"/>
    </row>
    <row r="65" spans="1:11">
      <c r="A65" s="175">
        <v>47</v>
      </c>
      <c r="B65" s="111" t="s">
        <v>133</v>
      </c>
      <c r="C65" s="10"/>
      <c r="D65" s="133">
        <v>3146</v>
      </c>
      <c r="E65" s="28">
        <v>49058</v>
      </c>
      <c r="F65" s="28">
        <v>59000</v>
      </c>
      <c r="G65" s="28">
        <v>672</v>
      </c>
      <c r="H65" s="134">
        <v>1310</v>
      </c>
      <c r="I65" s="28">
        <v>4085</v>
      </c>
      <c r="J65" s="45">
        <v>1730</v>
      </c>
      <c r="K65" s="319"/>
    </row>
    <row r="66" spans="1:11">
      <c r="A66" s="175">
        <v>48</v>
      </c>
      <c r="B66" s="111" t="s">
        <v>134</v>
      </c>
      <c r="C66" s="10"/>
      <c r="D66" s="133"/>
      <c r="E66" s="28">
        <v>100</v>
      </c>
      <c r="F66" s="28"/>
      <c r="G66" s="28"/>
      <c r="H66" s="134">
        <v>50</v>
      </c>
      <c r="I66" s="28">
        <v>400</v>
      </c>
      <c r="J66" s="45"/>
      <c r="K66" s="319"/>
    </row>
    <row r="67" spans="1:11" ht="15">
      <c r="A67" s="175">
        <v>49</v>
      </c>
      <c r="B67" s="111" t="s">
        <v>135</v>
      </c>
      <c r="C67" s="248"/>
      <c r="D67" s="120">
        <v>589</v>
      </c>
      <c r="E67" s="28">
        <v>24058</v>
      </c>
      <c r="F67" s="28">
        <v>58</v>
      </c>
      <c r="G67" s="28">
        <v>155</v>
      </c>
      <c r="H67" s="28">
        <v>1605</v>
      </c>
      <c r="I67" s="28">
        <v>1981</v>
      </c>
      <c r="J67" s="45">
        <v>6</v>
      </c>
      <c r="K67" s="319"/>
    </row>
    <row r="68" spans="1:11">
      <c r="A68" s="175">
        <v>50</v>
      </c>
      <c r="B68" s="111" t="s">
        <v>136</v>
      </c>
      <c r="C68" s="17"/>
      <c r="D68" s="133"/>
      <c r="E68" s="28">
        <v>10</v>
      </c>
      <c r="F68" s="28"/>
      <c r="G68" s="28"/>
      <c r="H68" s="134"/>
      <c r="I68" s="28">
        <v>20</v>
      </c>
      <c r="J68" s="45">
        <v>175</v>
      </c>
      <c r="K68" s="319"/>
    </row>
    <row r="69" spans="1:11">
      <c r="A69" s="218">
        <v>51</v>
      </c>
      <c r="B69" s="111" t="s">
        <v>137</v>
      </c>
      <c r="C69" s="10"/>
      <c r="D69" s="133">
        <v>13752</v>
      </c>
      <c r="E69" s="28">
        <v>86843</v>
      </c>
      <c r="F69" s="28">
        <v>225</v>
      </c>
      <c r="G69" s="28">
        <v>940</v>
      </c>
      <c r="H69" s="134">
        <v>1942</v>
      </c>
      <c r="I69" s="28">
        <v>6110</v>
      </c>
      <c r="J69" s="45">
        <v>21678</v>
      </c>
      <c r="K69" s="319"/>
    </row>
    <row r="70" spans="1:11">
      <c r="A70" s="218">
        <v>52</v>
      </c>
      <c r="B70" s="111" t="s">
        <v>138</v>
      </c>
      <c r="C70" s="10"/>
      <c r="D70" s="133">
        <v>280101</v>
      </c>
      <c r="E70" s="28">
        <v>15828</v>
      </c>
      <c r="F70" s="28">
        <v>434907</v>
      </c>
      <c r="G70" s="28">
        <v>266</v>
      </c>
      <c r="H70" s="134">
        <v>3469</v>
      </c>
      <c r="I70" s="28">
        <v>6720</v>
      </c>
      <c r="J70" s="45">
        <v>180</v>
      </c>
      <c r="K70" s="319"/>
    </row>
    <row r="71" spans="1:11">
      <c r="A71" s="218">
        <v>53</v>
      </c>
      <c r="B71" s="111" t="s">
        <v>139</v>
      </c>
      <c r="C71" s="10"/>
      <c r="D71" s="133">
        <v>320</v>
      </c>
      <c r="E71" s="28">
        <v>2812</v>
      </c>
      <c r="F71" s="28">
        <v>320</v>
      </c>
      <c r="G71" s="28"/>
      <c r="H71" s="134">
        <v>1705</v>
      </c>
      <c r="I71" s="28">
        <v>20</v>
      </c>
      <c r="J71" s="45">
        <v>14</v>
      </c>
      <c r="K71" s="319"/>
    </row>
    <row r="72" spans="1:11">
      <c r="A72" s="218">
        <v>54</v>
      </c>
      <c r="B72" s="111" t="s">
        <v>140</v>
      </c>
      <c r="C72" s="10"/>
      <c r="D72" s="133">
        <v>2939</v>
      </c>
      <c r="E72" s="28">
        <v>23882</v>
      </c>
      <c r="F72" s="28"/>
      <c r="G72" s="28">
        <v>160</v>
      </c>
      <c r="H72" s="134">
        <v>1125</v>
      </c>
      <c r="I72" s="28">
        <v>1450</v>
      </c>
      <c r="J72" s="45"/>
      <c r="K72" s="319"/>
    </row>
    <row r="73" spans="1:11">
      <c r="A73" s="218">
        <v>55</v>
      </c>
      <c r="B73" s="111" t="s">
        <v>141</v>
      </c>
      <c r="C73" s="10"/>
      <c r="D73" s="120">
        <v>1893</v>
      </c>
      <c r="E73" s="28">
        <v>14779</v>
      </c>
      <c r="F73" s="28"/>
      <c r="G73" s="134">
        <v>1000</v>
      </c>
      <c r="H73" s="28">
        <v>1075</v>
      </c>
      <c r="I73" s="134"/>
      <c r="J73" s="45"/>
      <c r="K73" s="319"/>
    </row>
    <row r="74" spans="1:11" ht="15">
      <c r="A74" s="218">
        <v>56</v>
      </c>
      <c r="B74" s="111" t="s">
        <v>142</v>
      </c>
      <c r="C74" s="248"/>
      <c r="D74" s="120"/>
      <c r="E74" s="205"/>
      <c r="F74" s="205"/>
      <c r="G74" s="28"/>
      <c r="H74" s="28"/>
      <c r="I74" s="28"/>
      <c r="J74" s="45"/>
      <c r="K74" s="319"/>
    </row>
    <row r="75" spans="1:11">
      <c r="A75" s="218">
        <v>57</v>
      </c>
      <c r="B75" s="111" t="s">
        <v>143</v>
      </c>
      <c r="C75" s="17"/>
      <c r="D75" s="133">
        <v>100</v>
      </c>
      <c r="E75" s="28"/>
      <c r="F75" s="28"/>
      <c r="G75" s="28"/>
      <c r="H75" s="134"/>
      <c r="I75" s="28"/>
      <c r="J75" s="45"/>
      <c r="K75" s="319"/>
    </row>
    <row r="76" spans="1:11">
      <c r="A76" s="218">
        <v>58</v>
      </c>
      <c r="B76" s="111" t="s">
        <v>144</v>
      </c>
      <c r="C76" s="10"/>
      <c r="D76" s="133">
        <v>100</v>
      </c>
      <c r="E76" s="28">
        <v>260</v>
      </c>
      <c r="F76" s="28"/>
      <c r="G76" s="28"/>
      <c r="H76" s="134"/>
      <c r="I76" s="28"/>
      <c r="J76" s="45">
        <v>20</v>
      </c>
      <c r="K76" s="319"/>
    </row>
    <row r="77" spans="1:11">
      <c r="A77" s="218">
        <v>59</v>
      </c>
      <c r="B77" s="111" t="s">
        <v>145</v>
      </c>
      <c r="C77" s="17">
        <v>1313</v>
      </c>
      <c r="D77" s="133">
        <v>1277</v>
      </c>
      <c r="E77" s="28">
        <v>64879</v>
      </c>
      <c r="F77" s="28">
        <v>60</v>
      </c>
      <c r="G77" s="28">
        <v>951</v>
      </c>
      <c r="H77" s="29">
        <v>850</v>
      </c>
      <c r="I77" s="28">
        <v>4155</v>
      </c>
      <c r="J77" s="45">
        <v>434</v>
      </c>
      <c r="K77" s="319"/>
    </row>
    <row r="78" spans="1:11">
      <c r="A78" s="218">
        <v>60</v>
      </c>
      <c r="B78" s="111" t="s">
        <v>146</v>
      </c>
      <c r="C78" s="10"/>
      <c r="D78" s="162">
        <v>3008</v>
      </c>
      <c r="E78" s="28">
        <v>14204</v>
      </c>
      <c r="F78" s="28">
        <v>420</v>
      </c>
      <c r="G78" s="28">
        <v>20</v>
      </c>
      <c r="H78" s="134">
        <v>734</v>
      </c>
      <c r="I78" s="28">
        <v>464</v>
      </c>
      <c r="J78" s="45"/>
      <c r="K78" s="319"/>
    </row>
    <row r="79" spans="1:11">
      <c r="A79" s="218">
        <v>61</v>
      </c>
      <c r="B79" s="111" t="s">
        <v>147</v>
      </c>
      <c r="C79" s="10"/>
      <c r="D79" s="162">
        <v>202</v>
      </c>
      <c r="E79" s="28">
        <v>11080</v>
      </c>
      <c r="F79" s="28">
        <v>200</v>
      </c>
      <c r="G79" s="28">
        <v>280</v>
      </c>
      <c r="H79" s="134">
        <v>3280</v>
      </c>
      <c r="I79" s="28">
        <v>1356</v>
      </c>
      <c r="J79" s="45">
        <v>80</v>
      </c>
      <c r="K79" s="319"/>
    </row>
    <row r="80" spans="1:11" ht="15">
      <c r="A80" s="218">
        <v>62</v>
      </c>
      <c r="B80" s="111" t="s">
        <v>148</v>
      </c>
      <c r="C80" s="248"/>
      <c r="D80" s="63">
        <v>110</v>
      </c>
      <c r="E80" s="28">
        <v>6400</v>
      </c>
      <c r="F80" s="28"/>
      <c r="G80" s="28"/>
      <c r="H80" s="28"/>
      <c r="I80" s="28">
        <v>6080</v>
      </c>
      <c r="J80" s="45"/>
      <c r="K80" s="319"/>
    </row>
    <row r="81" spans="1:11">
      <c r="A81" s="218">
        <v>63</v>
      </c>
      <c r="B81" s="111" t="s">
        <v>149</v>
      </c>
      <c r="C81" s="17"/>
      <c r="D81" s="162">
        <v>1399</v>
      </c>
      <c r="E81" s="28">
        <v>29573</v>
      </c>
      <c r="F81" s="28">
        <v>15946</v>
      </c>
      <c r="G81" s="28">
        <v>6</v>
      </c>
      <c r="H81" s="134">
        <v>195</v>
      </c>
      <c r="I81" s="28">
        <v>200</v>
      </c>
      <c r="J81" s="45"/>
      <c r="K81" s="319"/>
    </row>
    <row r="82" spans="1:11">
      <c r="A82" s="218">
        <v>64</v>
      </c>
      <c r="B82" s="111" t="s">
        <v>150</v>
      </c>
      <c r="C82" s="10"/>
      <c r="D82" s="162"/>
      <c r="E82" s="28">
        <v>50</v>
      </c>
      <c r="F82" s="28"/>
      <c r="G82" s="28"/>
      <c r="H82" s="134"/>
      <c r="I82" s="28"/>
      <c r="J82" s="45"/>
      <c r="K82" s="319"/>
    </row>
    <row r="83" spans="1:11">
      <c r="A83" s="218">
        <v>65</v>
      </c>
      <c r="B83" s="111" t="s">
        <v>151</v>
      </c>
      <c r="C83" s="10"/>
      <c r="D83" s="162">
        <v>3238</v>
      </c>
      <c r="E83" s="28">
        <v>9141</v>
      </c>
      <c r="F83" s="28">
        <v>74</v>
      </c>
      <c r="G83" s="28">
        <v>2</v>
      </c>
      <c r="H83" s="134">
        <v>1407</v>
      </c>
      <c r="I83" s="28">
        <v>679</v>
      </c>
      <c r="J83" s="45">
        <v>190</v>
      </c>
      <c r="K83" s="319"/>
    </row>
    <row r="84" spans="1:11">
      <c r="A84" s="218">
        <v>66</v>
      </c>
      <c r="B84" s="111" t="s">
        <v>152</v>
      </c>
      <c r="C84" s="10"/>
      <c r="D84" s="162">
        <v>765</v>
      </c>
      <c r="E84" s="28">
        <v>1195</v>
      </c>
      <c r="F84" s="28">
        <v>15100</v>
      </c>
      <c r="G84" s="28">
        <v>50</v>
      </c>
      <c r="H84" s="134">
        <v>80</v>
      </c>
      <c r="I84" s="28">
        <v>460</v>
      </c>
      <c r="J84" s="45"/>
      <c r="K84" s="319"/>
    </row>
    <row r="85" spans="1:11">
      <c r="A85" s="218">
        <v>67</v>
      </c>
      <c r="B85" s="111" t="s">
        <v>153</v>
      </c>
      <c r="C85" s="10"/>
      <c r="D85" s="162">
        <v>688</v>
      </c>
      <c r="E85" s="28">
        <v>22185</v>
      </c>
      <c r="F85" s="28">
        <v>506</v>
      </c>
      <c r="G85" s="28">
        <v>38</v>
      </c>
      <c r="H85" s="134">
        <v>195</v>
      </c>
      <c r="I85" s="28">
        <v>1425</v>
      </c>
      <c r="J85" s="45">
        <v>114</v>
      </c>
      <c r="K85" s="319"/>
    </row>
    <row r="86" spans="1:11" ht="15">
      <c r="A86" s="218">
        <v>68</v>
      </c>
      <c r="B86" s="111" t="s">
        <v>154</v>
      </c>
      <c r="C86" s="248"/>
      <c r="D86" s="63">
        <v>85</v>
      </c>
      <c r="E86" s="28">
        <v>346</v>
      </c>
      <c r="F86" s="28">
        <v>10</v>
      </c>
      <c r="G86" s="28"/>
      <c r="H86" s="28"/>
      <c r="I86" s="28">
        <v>160</v>
      </c>
      <c r="J86" s="45">
        <v>25</v>
      </c>
      <c r="K86" s="319"/>
    </row>
    <row r="87" spans="1:11">
      <c r="A87" s="218">
        <v>69</v>
      </c>
      <c r="B87" s="111" t="s">
        <v>155</v>
      </c>
      <c r="C87" s="17"/>
      <c r="D87" s="162">
        <v>416</v>
      </c>
      <c r="E87" s="28">
        <v>2417</v>
      </c>
      <c r="F87" s="28"/>
      <c r="G87" s="28"/>
      <c r="H87" s="134">
        <v>167</v>
      </c>
      <c r="I87" s="28"/>
      <c r="J87" s="45"/>
      <c r="K87" s="319"/>
    </row>
    <row r="88" spans="1:11">
      <c r="A88" s="218">
        <v>70</v>
      </c>
      <c r="B88" s="111" t="s">
        <v>156</v>
      </c>
      <c r="C88" s="10"/>
      <c r="D88" s="162">
        <v>275</v>
      </c>
      <c r="E88" s="28">
        <v>215</v>
      </c>
      <c r="F88" s="28">
        <v>500</v>
      </c>
      <c r="G88" s="28"/>
      <c r="H88" s="134">
        <v>800</v>
      </c>
      <c r="I88" s="28"/>
      <c r="J88" s="45"/>
      <c r="K88" s="319"/>
    </row>
    <row r="89" spans="1:11">
      <c r="A89" s="218">
        <v>71</v>
      </c>
      <c r="B89" s="111" t="s">
        <v>157</v>
      </c>
      <c r="C89" s="10"/>
      <c r="D89" s="162">
        <v>8</v>
      </c>
      <c r="E89" s="28">
        <v>1550</v>
      </c>
      <c r="F89" s="28"/>
      <c r="G89" s="28"/>
      <c r="H89" s="134">
        <v>1290</v>
      </c>
      <c r="I89" s="28">
        <v>1980</v>
      </c>
      <c r="J89" s="45"/>
      <c r="K89" s="319"/>
    </row>
    <row r="90" spans="1:11">
      <c r="A90" s="218">
        <v>72</v>
      </c>
      <c r="B90" s="111" t="s">
        <v>158</v>
      </c>
      <c r="C90" s="10"/>
      <c r="D90" s="162">
        <v>300</v>
      </c>
      <c r="E90" s="28">
        <v>4025</v>
      </c>
      <c r="F90" s="28"/>
      <c r="G90" s="28">
        <v>350</v>
      </c>
      <c r="H90" s="134">
        <v>90</v>
      </c>
      <c r="I90" s="28">
        <v>60</v>
      </c>
      <c r="J90" s="45"/>
      <c r="K90" s="319"/>
    </row>
    <row r="91" spans="1:11">
      <c r="A91" s="218">
        <v>73</v>
      </c>
      <c r="B91" s="111" t="s">
        <v>159</v>
      </c>
      <c r="C91" s="10"/>
      <c r="D91" s="162">
        <v>2381</v>
      </c>
      <c r="E91" s="28">
        <v>17259</v>
      </c>
      <c r="F91" s="28">
        <v>55</v>
      </c>
      <c r="G91" s="28">
        <v>25</v>
      </c>
      <c r="H91" s="134">
        <v>105</v>
      </c>
      <c r="I91" s="28">
        <v>1223</v>
      </c>
      <c r="J91" s="45"/>
      <c r="K91" s="319"/>
    </row>
    <row r="92" spans="1:11" ht="15">
      <c r="A92" s="218">
        <v>74</v>
      </c>
      <c r="B92" s="111" t="s">
        <v>160</v>
      </c>
      <c r="C92" s="248"/>
      <c r="D92" s="63">
        <v>3760</v>
      </c>
      <c r="E92" s="28">
        <v>9648</v>
      </c>
      <c r="F92" s="28">
        <v>19624</v>
      </c>
      <c r="G92" s="28"/>
      <c r="H92" s="28"/>
      <c r="I92" s="28"/>
      <c r="J92" s="45"/>
      <c r="K92" s="319"/>
    </row>
    <row r="93" spans="1:11">
      <c r="A93" s="218">
        <v>75</v>
      </c>
      <c r="B93" s="111" t="s">
        <v>161</v>
      </c>
      <c r="C93" s="17"/>
      <c r="D93" s="162">
        <v>15</v>
      </c>
      <c r="E93" s="28">
        <v>1285</v>
      </c>
      <c r="F93" s="28"/>
      <c r="G93" s="28"/>
      <c r="H93" s="134">
        <v>680</v>
      </c>
      <c r="I93" s="28"/>
      <c r="J93" s="45"/>
      <c r="K93" s="319"/>
    </row>
    <row r="94" spans="1:11">
      <c r="A94" s="218">
        <v>76</v>
      </c>
      <c r="B94" s="111" t="s">
        <v>162</v>
      </c>
      <c r="C94" s="10"/>
      <c r="D94" s="162">
        <v>6104</v>
      </c>
      <c r="E94" s="28">
        <v>31325</v>
      </c>
      <c r="F94" s="28">
        <v>669</v>
      </c>
      <c r="G94" s="28">
        <v>2817</v>
      </c>
      <c r="H94" s="134">
        <v>2510</v>
      </c>
      <c r="I94" s="28">
        <v>15468</v>
      </c>
      <c r="J94" s="45"/>
      <c r="K94" s="319"/>
    </row>
    <row r="95" spans="1:11">
      <c r="A95" s="218">
        <v>77</v>
      </c>
      <c r="B95" s="111" t="s">
        <v>163</v>
      </c>
      <c r="C95" s="10"/>
      <c r="D95" s="162">
        <v>50</v>
      </c>
      <c r="E95" s="28">
        <v>1950</v>
      </c>
      <c r="F95" s="28"/>
      <c r="G95" s="28"/>
      <c r="H95" s="134">
        <v>350</v>
      </c>
      <c r="I95" s="28">
        <v>610</v>
      </c>
      <c r="J95" s="45">
        <v>340</v>
      </c>
      <c r="K95" s="319"/>
    </row>
    <row r="96" spans="1:11">
      <c r="A96" s="218">
        <v>78</v>
      </c>
      <c r="B96" s="111" t="s">
        <v>164</v>
      </c>
      <c r="C96" s="10"/>
      <c r="D96" s="162">
        <v>10</v>
      </c>
      <c r="E96" s="28"/>
      <c r="F96" s="28"/>
      <c r="G96" s="28"/>
      <c r="H96" s="134">
        <v>50</v>
      </c>
      <c r="I96" s="28"/>
      <c r="J96" s="45"/>
      <c r="K96" s="319"/>
    </row>
    <row r="97" spans="1:11">
      <c r="A97" s="218">
        <v>79</v>
      </c>
      <c r="B97" s="111" t="s">
        <v>165</v>
      </c>
      <c r="C97" s="10"/>
      <c r="D97" s="162">
        <v>64</v>
      </c>
      <c r="E97" s="28">
        <v>12837</v>
      </c>
      <c r="F97" s="28">
        <v>25</v>
      </c>
      <c r="G97" s="28">
        <v>250</v>
      </c>
      <c r="H97" s="134">
        <v>231</v>
      </c>
      <c r="I97" s="28">
        <v>664</v>
      </c>
      <c r="J97" s="45">
        <v>50</v>
      </c>
      <c r="K97" s="319"/>
    </row>
    <row r="98" spans="1:11" ht="15">
      <c r="A98" s="218">
        <v>80</v>
      </c>
      <c r="B98" s="111" t="s">
        <v>166</v>
      </c>
      <c r="C98" s="248"/>
      <c r="D98" s="63">
        <v>245</v>
      </c>
      <c r="E98" s="28">
        <v>5145</v>
      </c>
      <c r="F98" s="28">
        <v>10</v>
      </c>
      <c r="G98" s="28">
        <v>157</v>
      </c>
      <c r="H98" s="28">
        <v>40</v>
      </c>
      <c r="I98" s="28">
        <v>1865</v>
      </c>
      <c r="J98" s="45">
        <v>210</v>
      </c>
      <c r="K98" s="319"/>
    </row>
    <row r="99" spans="1:11">
      <c r="A99" s="218">
        <v>81</v>
      </c>
      <c r="B99" s="111" t="s">
        <v>167</v>
      </c>
      <c r="C99" s="17"/>
      <c r="D99" s="162">
        <v>660</v>
      </c>
      <c r="E99" s="28">
        <v>7092</v>
      </c>
      <c r="F99" s="28"/>
      <c r="G99" s="28"/>
      <c r="H99" s="134">
        <v>25</v>
      </c>
      <c r="I99" s="28">
        <v>310</v>
      </c>
      <c r="J99" s="45"/>
      <c r="K99" s="319"/>
    </row>
    <row r="100" spans="1:11">
      <c r="A100" s="218">
        <v>82</v>
      </c>
      <c r="B100" s="111" t="s">
        <v>168</v>
      </c>
      <c r="C100" s="10"/>
      <c r="D100" s="162">
        <v>80464</v>
      </c>
      <c r="E100" s="28">
        <v>102775</v>
      </c>
      <c r="F100" s="28">
        <v>72027</v>
      </c>
      <c r="G100" s="28">
        <v>450</v>
      </c>
      <c r="H100" s="134">
        <v>1264</v>
      </c>
      <c r="I100" s="28">
        <v>755</v>
      </c>
      <c r="J100" s="315">
        <v>25</v>
      </c>
      <c r="K100" s="319"/>
    </row>
    <row r="101" spans="1:11">
      <c r="A101" s="219"/>
      <c r="B101" s="240"/>
      <c r="C101" s="12"/>
      <c r="D101" s="265"/>
      <c r="E101" s="206"/>
      <c r="F101" s="206"/>
      <c r="G101" s="206"/>
      <c r="H101" s="256"/>
      <c r="I101" s="206"/>
      <c r="J101" s="317"/>
      <c r="K101" s="319"/>
    </row>
    <row r="102" spans="1:11" ht="15">
      <c r="A102" s="220" t="s">
        <v>86</v>
      </c>
      <c r="B102" s="232"/>
      <c r="C102" s="10"/>
      <c r="D102" s="133">
        <f>SUM(D19:D100)</f>
        <v>475905</v>
      </c>
      <c r="E102" s="28">
        <f>SUM(E19:E100)</f>
        <v>1239660</v>
      </c>
      <c r="F102" s="28">
        <f t="shared" ref="F102:J102" si="1">SUM(F19:F100)</f>
        <v>625897</v>
      </c>
      <c r="G102" s="28">
        <f t="shared" si="1"/>
        <v>13258</v>
      </c>
      <c r="H102" s="28">
        <f t="shared" si="1"/>
        <v>81823</v>
      </c>
      <c r="I102" s="28">
        <f t="shared" si="1"/>
        <v>142367</v>
      </c>
      <c r="J102" s="28">
        <f t="shared" si="1"/>
        <v>43907</v>
      </c>
      <c r="K102" s="319"/>
    </row>
    <row r="103" spans="1:11" ht="16" thickBot="1">
      <c r="A103" s="221"/>
      <c r="B103" s="233"/>
      <c r="C103" s="251"/>
      <c r="D103" s="252"/>
      <c r="E103" s="208"/>
      <c r="F103" s="208"/>
      <c r="G103" s="208"/>
      <c r="H103" s="208"/>
      <c r="I103" s="208"/>
      <c r="J103" s="276"/>
      <c r="K103" s="319"/>
    </row>
    <row r="104" spans="1:11" ht="15" thickTop="1">
      <c r="A104" s="222" t="s">
        <v>21</v>
      </c>
      <c r="B104" s="97"/>
      <c r="C104" s="10"/>
      <c r="D104" s="63"/>
      <c r="E104" s="32"/>
      <c r="F104" s="320"/>
      <c r="G104" s="32"/>
      <c r="H104" s="22"/>
      <c r="I104" s="32"/>
      <c r="J104" s="23"/>
      <c r="K104" s="319"/>
    </row>
    <row r="105" spans="1:11" ht="15">
      <c r="A105" s="145">
        <v>83</v>
      </c>
      <c r="B105" s="4" t="s">
        <v>169</v>
      </c>
      <c r="C105" s="248"/>
      <c r="D105" s="63">
        <v>10</v>
      </c>
      <c r="E105" s="22">
        <v>42805</v>
      </c>
      <c r="F105" s="22"/>
      <c r="G105" s="22"/>
      <c r="H105" s="22">
        <v>566</v>
      </c>
      <c r="I105" s="22"/>
      <c r="J105" s="45">
        <v>2523</v>
      </c>
      <c r="K105" s="319"/>
    </row>
    <row r="106" spans="1:11">
      <c r="A106" s="145">
        <v>84</v>
      </c>
      <c r="B106" s="4" t="s">
        <v>170</v>
      </c>
      <c r="C106" s="17"/>
      <c r="D106" s="162">
        <v>122</v>
      </c>
      <c r="E106" s="28">
        <v>6490</v>
      </c>
      <c r="F106" s="28"/>
      <c r="G106" s="28"/>
      <c r="H106" s="134">
        <v>11</v>
      </c>
      <c r="I106" s="28"/>
      <c r="J106" s="45"/>
      <c r="K106" s="319"/>
    </row>
    <row r="107" spans="1:11">
      <c r="A107" s="145">
        <v>85</v>
      </c>
      <c r="B107" s="4" t="s">
        <v>171</v>
      </c>
      <c r="C107" s="10"/>
      <c r="D107" s="162">
        <v>60</v>
      </c>
      <c r="E107" s="28">
        <v>1135</v>
      </c>
      <c r="F107" s="28"/>
      <c r="G107" s="28"/>
      <c r="H107" s="134"/>
      <c r="I107" s="28"/>
      <c r="J107" s="45">
        <v>25</v>
      </c>
      <c r="K107" s="319"/>
    </row>
    <row r="108" spans="1:11">
      <c r="A108" s="145">
        <v>86</v>
      </c>
      <c r="B108" s="4" t="s">
        <v>172</v>
      </c>
      <c r="C108" s="10"/>
      <c r="D108" s="162">
        <v>100</v>
      </c>
      <c r="E108" s="28">
        <v>805</v>
      </c>
      <c r="F108" s="28">
        <v>100</v>
      </c>
      <c r="G108" s="28"/>
      <c r="H108" s="134"/>
      <c r="I108" s="28"/>
      <c r="J108" s="45">
        <v>15</v>
      </c>
      <c r="K108" s="319"/>
    </row>
    <row r="109" spans="1:11">
      <c r="A109" s="145">
        <v>87</v>
      </c>
      <c r="B109" s="4" t="s">
        <v>173</v>
      </c>
      <c r="C109" s="10"/>
      <c r="D109" s="162">
        <v>523</v>
      </c>
      <c r="E109" s="28">
        <v>6286</v>
      </c>
      <c r="F109" s="28"/>
      <c r="G109" s="28"/>
      <c r="H109" s="134">
        <v>10</v>
      </c>
      <c r="I109" s="28">
        <v>10</v>
      </c>
      <c r="J109" s="45">
        <v>240</v>
      </c>
      <c r="K109" s="319"/>
    </row>
    <row r="110" spans="1:11">
      <c r="A110" s="215"/>
      <c r="B110" s="203"/>
      <c r="C110" s="12"/>
      <c r="D110" s="265"/>
      <c r="E110" s="206"/>
      <c r="F110" s="206"/>
      <c r="G110" s="206"/>
      <c r="H110" s="256"/>
      <c r="I110" s="206"/>
      <c r="J110" s="317"/>
      <c r="K110" s="319"/>
    </row>
    <row r="111" spans="1:11" ht="15">
      <c r="A111" s="145" t="s">
        <v>293</v>
      </c>
      <c r="B111" s="4"/>
      <c r="C111" s="248"/>
      <c r="D111" s="133">
        <f>SUM(D105:D109)</f>
        <v>815</v>
      </c>
      <c r="E111" s="28">
        <f>SUM(E105:E109)</f>
        <v>57521</v>
      </c>
      <c r="F111" s="28">
        <f t="shared" ref="F111:J111" si="2">SUM(F105:F109)</f>
        <v>100</v>
      </c>
      <c r="G111" s="28">
        <f t="shared" si="2"/>
        <v>0</v>
      </c>
      <c r="H111" s="28">
        <f t="shared" si="2"/>
        <v>587</v>
      </c>
      <c r="I111" s="28">
        <f t="shared" si="2"/>
        <v>10</v>
      </c>
      <c r="J111" s="28">
        <f t="shared" si="2"/>
        <v>2803</v>
      </c>
      <c r="K111" s="319"/>
    </row>
    <row r="112" spans="1:11" ht="15" thickBot="1">
      <c r="A112" s="217"/>
      <c r="B112" s="104"/>
      <c r="C112" s="257"/>
      <c r="D112" s="252"/>
      <c r="E112" s="208"/>
      <c r="F112" s="208"/>
      <c r="G112" s="208"/>
      <c r="H112" s="253"/>
      <c r="I112" s="208"/>
      <c r="J112" s="321"/>
      <c r="K112" s="319"/>
    </row>
    <row r="113" spans="1:11" ht="15" thickTop="1">
      <c r="A113" s="223" t="s">
        <v>22</v>
      </c>
      <c r="B113" s="112"/>
      <c r="C113" s="10"/>
      <c r="D113" s="162"/>
      <c r="E113" s="28"/>
      <c r="F113" s="28"/>
      <c r="G113" s="28"/>
      <c r="H113" s="134"/>
      <c r="I113" s="28"/>
      <c r="J113" s="23"/>
      <c r="K113" s="319"/>
    </row>
    <row r="114" spans="1:11">
      <c r="A114" s="222" t="s">
        <v>23</v>
      </c>
      <c r="B114" s="97"/>
      <c r="C114" s="10"/>
      <c r="D114" s="162"/>
      <c r="E114" s="28"/>
      <c r="F114" s="28"/>
      <c r="G114" s="28"/>
      <c r="H114" s="134"/>
      <c r="I114" s="28"/>
      <c r="J114" s="23"/>
      <c r="K114" s="319"/>
    </row>
    <row r="115" spans="1:11">
      <c r="A115" s="145">
        <v>88</v>
      </c>
      <c r="B115" s="4" t="s">
        <v>174</v>
      </c>
      <c r="C115" s="10"/>
      <c r="D115" s="272">
        <v>963</v>
      </c>
      <c r="E115" s="28">
        <v>9030</v>
      </c>
      <c r="F115" s="28">
        <v>150</v>
      </c>
      <c r="G115" s="51"/>
      <c r="H115" s="134">
        <v>280</v>
      </c>
      <c r="I115" s="28">
        <v>40</v>
      </c>
      <c r="J115" s="45"/>
      <c r="K115" s="319"/>
    </row>
    <row r="116" spans="1:11">
      <c r="A116" s="145">
        <v>89</v>
      </c>
      <c r="B116" s="4" t="s">
        <v>175</v>
      </c>
      <c r="C116" s="10"/>
      <c r="D116" s="272">
        <v>794</v>
      </c>
      <c r="E116" s="28">
        <v>3441</v>
      </c>
      <c r="F116" s="28">
        <v>6</v>
      </c>
      <c r="G116" s="51">
        <v>35</v>
      </c>
      <c r="H116" s="134">
        <v>285</v>
      </c>
      <c r="I116" s="28"/>
      <c r="J116" s="45"/>
      <c r="K116" s="319"/>
    </row>
    <row r="117" spans="1:11" ht="15">
      <c r="A117" s="145">
        <v>90</v>
      </c>
      <c r="B117" s="4" t="s">
        <v>176</v>
      </c>
      <c r="C117" s="248"/>
      <c r="D117" s="273">
        <v>50</v>
      </c>
      <c r="E117" s="22">
        <v>6</v>
      </c>
      <c r="F117" s="22"/>
      <c r="G117" s="51"/>
      <c r="H117" s="22">
        <v>3</v>
      </c>
      <c r="I117" s="22"/>
      <c r="J117" s="45">
        <v>10</v>
      </c>
      <c r="K117" s="319"/>
    </row>
    <row r="118" spans="1:11">
      <c r="A118" s="145">
        <v>91</v>
      </c>
      <c r="B118" s="4" t="s">
        <v>177</v>
      </c>
      <c r="C118" s="17"/>
      <c r="D118" s="272">
        <v>426</v>
      </c>
      <c r="E118" s="28">
        <v>2176</v>
      </c>
      <c r="F118" s="28">
        <v>258</v>
      </c>
      <c r="G118" s="51"/>
      <c r="H118" s="134">
        <v>30</v>
      </c>
      <c r="I118" s="28"/>
      <c r="J118" s="45"/>
      <c r="K118" s="319"/>
    </row>
    <row r="119" spans="1:11">
      <c r="A119" s="145">
        <v>92</v>
      </c>
      <c r="B119" s="4" t="s">
        <v>178</v>
      </c>
      <c r="C119" s="10"/>
      <c r="D119" s="272"/>
      <c r="E119" s="28">
        <v>30</v>
      </c>
      <c r="F119" s="28"/>
      <c r="G119" s="51"/>
      <c r="H119" s="134">
        <v>30</v>
      </c>
      <c r="I119" s="28"/>
      <c r="J119" s="45"/>
      <c r="K119" s="319"/>
    </row>
    <row r="120" spans="1:11">
      <c r="A120" s="145">
        <v>93</v>
      </c>
      <c r="B120" s="4" t="s">
        <v>179</v>
      </c>
      <c r="C120" s="10"/>
      <c r="D120" s="272"/>
      <c r="E120" s="28"/>
      <c r="F120" s="28"/>
      <c r="G120" s="51"/>
      <c r="H120" s="134"/>
      <c r="I120" s="28"/>
      <c r="J120" s="45"/>
      <c r="K120" s="319"/>
    </row>
    <row r="121" spans="1:11">
      <c r="A121" s="145">
        <v>94</v>
      </c>
      <c r="B121" s="4" t="s">
        <v>180</v>
      </c>
      <c r="C121" s="10"/>
      <c r="D121" s="272">
        <v>25</v>
      </c>
      <c r="E121" s="28">
        <v>50</v>
      </c>
      <c r="F121" s="28"/>
      <c r="G121" s="51"/>
      <c r="H121" s="134"/>
      <c r="I121" s="28"/>
      <c r="J121" s="45"/>
      <c r="K121" s="319"/>
    </row>
    <row r="122" spans="1:11">
      <c r="A122" s="145">
        <v>95</v>
      </c>
      <c r="B122" s="4" t="s">
        <v>181</v>
      </c>
      <c r="C122" s="10"/>
      <c r="D122" s="272"/>
      <c r="E122" s="28"/>
      <c r="F122" s="28"/>
      <c r="G122" s="51"/>
      <c r="H122" s="22"/>
      <c r="I122" s="28"/>
      <c r="J122" s="45"/>
      <c r="K122" s="319"/>
    </row>
    <row r="123" spans="1:11" ht="15">
      <c r="A123" s="145">
        <v>96</v>
      </c>
      <c r="B123" s="4" t="s">
        <v>182</v>
      </c>
      <c r="C123" s="248"/>
      <c r="D123" s="273">
        <v>20</v>
      </c>
      <c r="E123" s="22">
        <v>727</v>
      </c>
      <c r="F123" s="22">
        <v>20</v>
      </c>
      <c r="G123" s="51"/>
      <c r="H123" s="29">
        <v>950</v>
      </c>
      <c r="I123" s="22"/>
      <c r="J123" s="45"/>
      <c r="K123" s="319"/>
    </row>
    <row r="124" spans="1:11">
      <c r="A124" s="222" t="s">
        <v>24</v>
      </c>
      <c r="B124" s="97"/>
      <c r="C124" s="17"/>
      <c r="D124" s="272"/>
      <c r="E124" s="28"/>
      <c r="F124" s="28"/>
      <c r="G124" s="51"/>
      <c r="H124" s="134"/>
      <c r="I124" s="28"/>
      <c r="J124" s="45"/>
      <c r="K124" s="319"/>
    </row>
    <row r="125" spans="1:11">
      <c r="A125" s="224">
        <v>97</v>
      </c>
      <c r="B125" s="113" t="s">
        <v>183</v>
      </c>
      <c r="C125" s="10"/>
      <c r="D125" s="272">
        <v>1929</v>
      </c>
      <c r="E125" s="28">
        <v>40634</v>
      </c>
      <c r="F125" s="28"/>
      <c r="G125" s="51">
        <v>152</v>
      </c>
      <c r="H125" s="134">
        <v>1003</v>
      </c>
      <c r="I125" s="28">
        <v>10</v>
      </c>
      <c r="J125" s="45"/>
      <c r="K125" s="319"/>
    </row>
    <row r="126" spans="1:11">
      <c r="A126" s="145">
        <v>98</v>
      </c>
      <c r="B126" s="4" t="s">
        <v>184</v>
      </c>
      <c r="C126" s="10"/>
      <c r="D126" s="272"/>
      <c r="E126" s="28"/>
      <c r="F126" s="28"/>
      <c r="G126" s="51"/>
      <c r="H126" s="134"/>
      <c r="I126" s="28"/>
      <c r="J126" s="45"/>
      <c r="K126" s="319"/>
    </row>
    <row r="127" spans="1:11">
      <c r="A127" s="145">
        <v>99</v>
      </c>
      <c r="B127" s="4" t="s">
        <v>185</v>
      </c>
      <c r="C127" s="10"/>
      <c r="D127" s="272">
        <v>50</v>
      </c>
      <c r="E127" s="28">
        <v>120</v>
      </c>
      <c r="F127" s="28"/>
      <c r="G127" s="51"/>
      <c r="H127" s="134"/>
      <c r="I127" s="28"/>
      <c r="J127" s="45"/>
      <c r="K127" s="319"/>
    </row>
    <row r="128" spans="1:11">
      <c r="A128" s="145">
        <v>100</v>
      </c>
      <c r="B128" s="4" t="s">
        <v>186</v>
      </c>
      <c r="C128" s="10"/>
      <c r="D128" s="272"/>
      <c r="E128" s="28"/>
      <c r="F128" s="28"/>
      <c r="G128" s="51"/>
      <c r="H128" s="134"/>
      <c r="I128" s="28"/>
      <c r="J128" s="45"/>
      <c r="K128" s="319"/>
    </row>
    <row r="129" spans="1:11" ht="15">
      <c r="A129" s="145">
        <v>101</v>
      </c>
      <c r="B129" s="4" t="s">
        <v>304</v>
      </c>
      <c r="C129" s="248"/>
      <c r="D129" s="273">
        <v>30</v>
      </c>
      <c r="E129" s="22">
        <v>220</v>
      </c>
      <c r="F129" s="22"/>
      <c r="G129" s="51"/>
      <c r="H129" s="22">
        <v>100</v>
      </c>
      <c r="I129" s="22"/>
      <c r="J129" s="45"/>
      <c r="K129" s="319"/>
    </row>
    <row r="130" spans="1:11">
      <c r="A130" s="145">
        <v>102</v>
      </c>
      <c r="B130" s="4" t="s">
        <v>187</v>
      </c>
      <c r="C130" s="17"/>
      <c r="D130" s="272"/>
      <c r="E130" s="28">
        <v>300</v>
      </c>
      <c r="F130" s="28"/>
      <c r="G130" s="51">
        <v>50</v>
      </c>
      <c r="H130" s="134">
        <v>25</v>
      </c>
      <c r="I130" s="28"/>
      <c r="J130" s="45"/>
      <c r="K130" s="319"/>
    </row>
    <row r="131" spans="1:11">
      <c r="A131" s="145">
        <v>103</v>
      </c>
      <c r="B131" s="4" t="s">
        <v>188</v>
      </c>
      <c r="C131" s="10"/>
      <c r="D131" s="272"/>
      <c r="E131" s="28">
        <v>2296</v>
      </c>
      <c r="F131" s="28"/>
      <c r="G131" s="51"/>
      <c r="H131" s="134"/>
      <c r="I131" s="28"/>
      <c r="J131" s="45"/>
      <c r="K131" s="319"/>
    </row>
    <row r="132" spans="1:11">
      <c r="A132" s="222" t="s">
        <v>25</v>
      </c>
      <c r="B132" s="97"/>
      <c r="C132" s="10"/>
      <c r="D132" s="272"/>
      <c r="E132" s="28"/>
      <c r="F132" s="28"/>
      <c r="G132" s="270"/>
      <c r="H132" s="134"/>
      <c r="I132" s="28"/>
      <c r="J132" s="45"/>
      <c r="K132" s="319"/>
    </row>
    <row r="133" spans="1:11">
      <c r="A133" s="145">
        <v>104</v>
      </c>
      <c r="B133" s="4" t="s">
        <v>189</v>
      </c>
      <c r="C133" s="10"/>
      <c r="D133" s="272">
        <v>10</v>
      </c>
      <c r="E133" s="28"/>
      <c r="F133" s="28"/>
      <c r="G133" s="51"/>
      <c r="H133" s="134"/>
      <c r="I133" s="28"/>
      <c r="J133" s="45"/>
      <c r="K133" s="319"/>
    </row>
    <row r="134" spans="1:11">
      <c r="A134" s="145">
        <v>105</v>
      </c>
      <c r="B134" s="4" t="s">
        <v>190</v>
      </c>
      <c r="C134" s="10"/>
      <c r="D134" s="273"/>
      <c r="E134" s="28"/>
      <c r="F134" s="28"/>
      <c r="G134" s="51"/>
      <c r="H134" s="134"/>
      <c r="I134" s="28"/>
      <c r="J134" s="45"/>
      <c r="K134" s="319"/>
    </row>
    <row r="135" spans="1:11">
      <c r="A135" s="145">
        <v>106</v>
      </c>
      <c r="B135" s="4" t="s">
        <v>191</v>
      </c>
      <c r="C135" s="10"/>
      <c r="D135" s="273"/>
      <c r="E135" s="32">
        <v>8</v>
      </c>
      <c r="F135" s="22"/>
      <c r="G135" s="274"/>
      <c r="H135" s="22"/>
      <c r="I135" s="32"/>
      <c r="J135" s="45"/>
      <c r="K135" s="319"/>
    </row>
    <row r="136" spans="1:11" ht="15">
      <c r="A136" s="145">
        <v>107</v>
      </c>
      <c r="B136" s="4" t="s">
        <v>192</v>
      </c>
      <c r="C136" s="248"/>
      <c r="D136" s="273"/>
      <c r="E136" s="22"/>
      <c r="F136" s="22"/>
      <c r="G136" s="51"/>
      <c r="H136" s="22"/>
      <c r="I136" s="22"/>
      <c r="J136" s="45"/>
      <c r="K136" s="319"/>
    </row>
    <row r="137" spans="1:11">
      <c r="A137" s="145">
        <v>108</v>
      </c>
      <c r="B137" s="4" t="s">
        <v>193</v>
      </c>
      <c r="C137" s="17"/>
      <c r="D137" s="272"/>
      <c r="E137" s="28"/>
      <c r="F137" s="28"/>
      <c r="G137" s="51"/>
      <c r="H137" s="134"/>
      <c r="I137" s="28"/>
      <c r="J137" s="45"/>
      <c r="K137" s="319"/>
    </row>
    <row r="138" spans="1:11">
      <c r="A138" s="145">
        <v>109</v>
      </c>
      <c r="B138" s="4" t="s">
        <v>194</v>
      </c>
      <c r="C138" s="10"/>
      <c r="D138" s="272"/>
      <c r="E138" s="28"/>
      <c r="F138" s="28"/>
      <c r="G138" s="51"/>
      <c r="H138" s="134"/>
      <c r="I138" s="28"/>
      <c r="J138" s="45"/>
      <c r="K138" s="319"/>
    </row>
    <row r="139" spans="1:11">
      <c r="A139" s="222" t="s">
        <v>26</v>
      </c>
      <c r="B139" s="97"/>
      <c r="C139" s="10"/>
      <c r="D139" s="162"/>
      <c r="E139" s="28"/>
      <c r="F139" s="28"/>
      <c r="G139" s="28"/>
      <c r="H139" s="134"/>
      <c r="I139" s="28"/>
      <c r="J139" s="45"/>
      <c r="K139" s="319"/>
    </row>
    <row r="140" spans="1:11">
      <c r="A140" s="145">
        <v>110</v>
      </c>
      <c r="B140" s="4" t="s">
        <v>195</v>
      </c>
      <c r="C140" s="17">
        <v>1314</v>
      </c>
      <c r="D140" s="162"/>
      <c r="E140" s="28"/>
      <c r="F140" s="28"/>
      <c r="G140" s="28"/>
      <c r="H140" s="134"/>
      <c r="I140" s="28"/>
      <c r="J140" s="45"/>
      <c r="K140" s="319"/>
    </row>
    <row r="141" spans="1:11">
      <c r="A141" s="145">
        <v>111</v>
      </c>
      <c r="B141" s="4" t="s">
        <v>196</v>
      </c>
      <c r="C141" s="10"/>
      <c r="D141" s="162"/>
      <c r="E141" s="28"/>
      <c r="F141" s="28"/>
      <c r="G141" s="28"/>
      <c r="H141" s="134"/>
      <c r="I141" s="28"/>
      <c r="J141" s="45"/>
      <c r="K141" s="319"/>
    </row>
    <row r="142" spans="1:11" ht="15">
      <c r="A142" s="145">
        <v>112</v>
      </c>
      <c r="B142" s="4" t="s">
        <v>197</v>
      </c>
      <c r="C142" s="248"/>
      <c r="D142" s="63"/>
      <c r="E142" s="22"/>
      <c r="F142" s="22"/>
      <c r="G142" s="22"/>
      <c r="H142" s="22"/>
      <c r="I142" s="22"/>
      <c r="J142" s="45"/>
      <c r="K142" s="319"/>
    </row>
    <row r="143" spans="1:11">
      <c r="A143" s="145">
        <v>113</v>
      </c>
      <c r="B143" s="4" t="s">
        <v>198</v>
      </c>
      <c r="C143" s="17"/>
      <c r="D143" s="162"/>
      <c r="E143" s="28"/>
      <c r="F143" s="28"/>
      <c r="G143" s="28"/>
      <c r="H143" s="134"/>
      <c r="I143" s="28"/>
      <c r="J143" s="45"/>
      <c r="K143" s="319"/>
    </row>
    <row r="144" spans="1:11">
      <c r="A144" s="145">
        <v>114</v>
      </c>
      <c r="B144" s="4" t="s">
        <v>199</v>
      </c>
      <c r="C144" s="10"/>
      <c r="D144" s="162"/>
      <c r="E144" s="28"/>
      <c r="F144" s="28"/>
      <c r="G144" s="28"/>
      <c r="H144" s="134"/>
      <c r="I144" s="28"/>
      <c r="J144" s="45"/>
      <c r="K144" s="319"/>
    </row>
    <row r="145" spans="1:11">
      <c r="A145" s="145">
        <v>115</v>
      </c>
      <c r="B145" s="4" t="s">
        <v>305</v>
      </c>
      <c r="C145" s="10"/>
      <c r="D145" s="162"/>
      <c r="E145" s="28"/>
      <c r="F145" s="28"/>
      <c r="G145" s="28"/>
      <c r="H145" s="134"/>
      <c r="I145" s="28"/>
      <c r="J145" s="45"/>
      <c r="K145" s="319"/>
    </row>
    <row r="146" spans="1:11">
      <c r="A146" s="145">
        <v>116</v>
      </c>
      <c r="B146" s="4" t="s">
        <v>200</v>
      </c>
      <c r="C146" s="10"/>
      <c r="D146" s="162"/>
      <c r="E146" s="28"/>
      <c r="F146" s="28"/>
      <c r="G146" s="28"/>
      <c r="H146" s="134"/>
      <c r="I146" s="28"/>
      <c r="J146" s="45"/>
      <c r="K146" s="319"/>
    </row>
    <row r="147" spans="1:11">
      <c r="A147" s="215"/>
      <c r="B147" s="203"/>
      <c r="C147" s="12"/>
      <c r="D147" s="265"/>
      <c r="E147" s="206"/>
      <c r="F147" s="206"/>
      <c r="G147" s="206"/>
      <c r="H147" s="256"/>
      <c r="I147" s="206"/>
      <c r="J147" s="316"/>
      <c r="K147" s="319"/>
    </row>
    <row r="148" spans="1:11" ht="15">
      <c r="A148" s="145" t="s">
        <v>294</v>
      </c>
      <c r="B148" s="4"/>
      <c r="C148" s="248"/>
      <c r="D148" s="133">
        <f>SUM(D115:D146)</f>
        <v>4297</v>
      </c>
      <c r="E148" s="28">
        <f>SUM(E115:E146)</f>
        <v>59038</v>
      </c>
      <c r="F148" s="28">
        <f t="shared" ref="F148:J148" si="3">SUM(F115:F146)</f>
        <v>434</v>
      </c>
      <c r="G148" s="28">
        <f t="shared" si="3"/>
        <v>237</v>
      </c>
      <c r="H148" s="28">
        <f t="shared" si="3"/>
        <v>2706</v>
      </c>
      <c r="I148" s="28">
        <f t="shared" si="3"/>
        <v>50</v>
      </c>
      <c r="J148" s="28">
        <f t="shared" si="3"/>
        <v>10</v>
      </c>
      <c r="K148" s="319"/>
    </row>
    <row r="149" spans="1:11" ht="15" thickBot="1">
      <c r="A149" s="217"/>
      <c r="B149" s="104"/>
      <c r="C149" s="257"/>
      <c r="D149" s="252"/>
      <c r="E149" s="208"/>
      <c r="F149" s="208"/>
      <c r="G149" s="208"/>
      <c r="H149" s="253"/>
      <c r="I149" s="208"/>
      <c r="J149" s="276"/>
      <c r="K149" s="319"/>
    </row>
    <row r="150" spans="1:11" ht="15" thickTop="1">
      <c r="A150" s="145"/>
      <c r="B150" s="4"/>
      <c r="C150" s="10"/>
      <c r="D150" s="162"/>
      <c r="E150" s="28"/>
      <c r="F150" s="28"/>
      <c r="G150" s="28"/>
      <c r="H150" s="134"/>
      <c r="I150" s="28"/>
      <c r="J150" s="23"/>
      <c r="K150" s="319"/>
    </row>
    <row r="151" spans="1:11">
      <c r="A151" s="218">
        <v>117</v>
      </c>
      <c r="B151" s="111" t="s">
        <v>201</v>
      </c>
      <c r="C151" s="10"/>
      <c r="D151" s="162"/>
      <c r="E151" s="28"/>
      <c r="F151" s="28"/>
      <c r="G151" s="28"/>
      <c r="H151" s="134"/>
      <c r="I151" s="28"/>
      <c r="J151" s="23"/>
      <c r="K151" s="319"/>
    </row>
    <row r="152" spans="1:11" ht="15" thickBot="1">
      <c r="A152" s="225"/>
      <c r="B152" s="234"/>
      <c r="C152" s="10"/>
      <c r="D152" s="162"/>
      <c r="E152" s="28"/>
      <c r="F152" s="28"/>
      <c r="G152" s="28"/>
      <c r="H152" s="134"/>
      <c r="I152" s="28"/>
      <c r="J152" s="276"/>
      <c r="K152" s="319"/>
    </row>
    <row r="153" spans="1:11" ht="15" thickTop="1">
      <c r="A153" s="218"/>
      <c r="B153" s="111"/>
      <c r="C153" s="9"/>
      <c r="D153" s="258"/>
      <c r="E153" s="259"/>
      <c r="F153" s="259"/>
      <c r="G153" s="259"/>
      <c r="H153" s="260"/>
      <c r="I153" s="259"/>
      <c r="J153" s="23"/>
      <c r="K153" s="319"/>
    </row>
    <row r="154" spans="1:11" ht="15">
      <c r="A154" s="218" t="s">
        <v>86</v>
      </c>
      <c r="B154" s="111"/>
      <c r="C154" s="248"/>
      <c r="D154" s="133">
        <f>D151+D148+D111+D102</f>
        <v>481017</v>
      </c>
      <c r="E154" s="28">
        <f>E151+E148+E111+E102</f>
        <v>1356219</v>
      </c>
      <c r="F154" s="28">
        <f t="shared" ref="F154:J154" si="4">F151+F148+F111+F102</f>
        <v>626431</v>
      </c>
      <c r="G154" s="28">
        <f t="shared" si="4"/>
        <v>13495</v>
      </c>
      <c r="H154" s="28">
        <f t="shared" si="4"/>
        <v>85116</v>
      </c>
      <c r="I154" s="28">
        <f t="shared" si="4"/>
        <v>142427</v>
      </c>
      <c r="J154" s="28">
        <f t="shared" si="4"/>
        <v>46720</v>
      </c>
      <c r="K154" s="319"/>
    </row>
    <row r="155" spans="1:11" ht="15" thickBot="1">
      <c r="A155" s="225"/>
      <c r="B155" s="234"/>
      <c r="C155" s="257"/>
      <c r="D155" s="252"/>
      <c r="E155" s="208"/>
      <c r="F155" s="208"/>
      <c r="G155" s="208"/>
      <c r="H155" s="253"/>
      <c r="I155" s="208"/>
      <c r="J155" s="276"/>
      <c r="K155" s="319"/>
    </row>
    <row r="156" spans="1:11" ht="17" thickTop="1" thickBot="1">
      <c r="A156" s="226" t="s">
        <v>27</v>
      </c>
      <c r="B156" s="94"/>
      <c r="C156" s="10"/>
      <c r="D156" s="162"/>
      <c r="E156" s="28"/>
      <c r="F156" s="28"/>
      <c r="G156" s="28"/>
      <c r="H156" s="134"/>
      <c r="I156" s="28"/>
      <c r="J156" s="23"/>
      <c r="K156" s="319"/>
    </row>
    <row r="157" spans="1:11">
      <c r="A157" s="227">
        <v>1</v>
      </c>
      <c r="B157" s="4" t="s">
        <v>203</v>
      </c>
      <c r="C157" s="309"/>
      <c r="D157" s="162"/>
      <c r="E157" s="28">
        <v>20</v>
      </c>
      <c r="F157" s="28"/>
      <c r="G157" s="28"/>
      <c r="H157" s="134"/>
      <c r="I157" s="28"/>
      <c r="J157" s="45"/>
      <c r="K157" s="319"/>
    </row>
    <row r="158" spans="1:11">
      <c r="A158" s="145">
        <v>2</v>
      </c>
      <c r="B158" s="4" t="s">
        <v>204</v>
      </c>
      <c r="C158" s="309"/>
      <c r="D158" s="162">
        <v>50</v>
      </c>
      <c r="E158" s="28">
        <v>100</v>
      </c>
      <c r="F158" s="28"/>
      <c r="G158" s="28"/>
      <c r="H158" s="134">
        <v>95</v>
      </c>
      <c r="I158" s="28"/>
      <c r="J158" s="45"/>
      <c r="K158" s="319"/>
    </row>
    <row r="159" spans="1:11">
      <c r="A159" s="145">
        <v>3</v>
      </c>
      <c r="B159" s="4" t="s">
        <v>205</v>
      </c>
      <c r="C159" s="309"/>
      <c r="D159" s="162">
        <v>361</v>
      </c>
      <c r="E159" s="28">
        <v>907</v>
      </c>
      <c r="F159" s="28"/>
      <c r="G159" s="28"/>
      <c r="H159" s="134">
        <v>80</v>
      </c>
      <c r="I159" s="28"/>
      <c r="J159" s="45"/>
      <c r="K159" s="319"/>
    </row>
    <row r="160" spans="1:11" ht="15">
      <c r="A160" s="145">
        <v>4</v>
      </c>
      <c r="B160" s="4" t="s">
        <v>206</v>
      </c>
      <c r="C160" s="310"/>
      <c r="D160" s="63"/>
      <c r="E160" s="22"/>
      <c r="F160" s="22"/>
      <c r="G160" s="22"/>
      <c r="H160" s="22"/>
      <c r="I160" s="22"/>
      <c r="J160" s="45"/>
      <c r="K160" s="319"/>
    </row>
    <row r="161" spans="1:11">
      <c r="A161" s="145">
        <v>5</v>
      </c>
      <c r="B161" s="4" t="s">
        <v>207</v>
      </c>
      <c r="C161" s="309"/>
      <c r="D161" s="162"/>
      <c r="E161" s="28"/>
      <c r="F161" s="28"/>
      <c r="G161" s="28"/>
      <c r="H161" s="134"/>
      <c r="I161" s="28"/>
      <c r="J161" s="45"/>
      <c r="K161" s="319"/>
    </row>
    <row r="162" spans="1:11">
      <c r="A162" s="145">
        <v>6</v>
      </c>
      <c r="B162" s="4" t="s">
        <v>208</v>
      </c>
      <c r="C162" s="309"/>
      <c r="D162" s="162">
        <v>265</v>
      </c>
      <c r="E162" s="28">
        <v>3452</v>
      </c>
      <c r="F162" s="28">
        <v>250</v>
      </c>
      <c r="G162" s="28">
        <v>50</v>
      </c>
      <c r="H162" s="134">
        <v>140</v>
      </c>
      <c r="I162" s="28"/>
      <c r="J162" s="45"/>
      <c r="K162" s="319"/>
    </row>
    <row r="163" spans="1:11">
      <c r="A163" s="145">
        <v>7</v>
      </c>
      <c r="B163" s="4" t="s">
        <v>209</v>
      </c>
      <c r="C163" s="309"/>
      <c r="D163" s="162">
        <v>20</v>
      </c>
      <c r="E163" s="28"/>
      <c r="F163" s="28"/>
      <c r="G163" s="28"/>
      <c r="H163" s="134"/>
      <c r="I163" s="28"/>
      <c r="J163" s="45"/>
      <c r="K163" s="319"/>
    </row>
    <row r="164" spans="1:11">
      <c r="A164" s="145">
        <v>8</v>
      </c>
      <c r="B164" s="4" t="s">
        <v>210</v>
      </c>
      <c r="C164" s="309"/>
      <c r="D164" s="162">
        <v>252</v>
      </c>
      <c r="E164" s="28">
        <v>578</v>
      </c>
      <c r="F164" s="28">
        <v>186</v>
      </c>
      <c r="G164" s="28"/>
      <c r="H164" s="134">
        <v>20</v>
      </c>
      <c r="I164" s="28"/>
      <c r="J164" s="45"/>
      <c r="K164" s="319"/>
    </row>
    <row r="165" spans="1:11">
      <c r="A165" s="145">
        <v>9</v>
      </c>
      <c r="B165" s="4" t="s">
        <v>211</v>
      </c>
      <c r="C165" s="309"/>
      <c r="D165" s="162">
        <v>1398</v>
      </c>
      <c r="E165" s="28">
        <v>3995</v>
      </c>
      <c r="F165" s="28"/>
      <c r="G165" s="28"/>
      <c r="H165" s="134">
        <v>680</v>
      </c>
      <c r="I165" s="28">
        <v>20</v>
      </c>
      <c r="J165" s="45"/>
      <c r="K165" s="319"/>
    </row>
    <row r="166" spans="1:11">
      <c r="A166" s="145">
        <v>10</v>
      </c>
      <c r="B166" s="4" t="s">
        <v>212</v>
      </c>
      <c r="C166" s="309"/>
      <c r="D166" s="63"/>
      <c r="E166" s="32">
        <v>850</v>
      </c>
      <c r="F166" s="22">
        <v>10</v>
      </c>
      <c r="G166" s="32"/>
      <c r="H166" s="22">
        <v>150</v>
      </c>
      <c r="I166" s="32">
        <v>60</v>
      </c>
      <c r="J166" s="45"/>
      <c r="K166" s="319"/>
    </row>
    <row r="167" spans="1:11" ht="15">
      <c r="A167" s="145">
        <v>11</v>
      </c>
      <c r="B167" s="4" t="s">
        <v>213</v>
      </c>
      <c r="C167" s="310"/>
      <c r="D167" s="63"/>
      <c r="E167" s="22">
        <v>100</v>
      </c>
      <c r="F167" s="22"/>
      <c r="G167" s="22"/>
      <c r="H167" s="22"/>
      <c r="I167" s="22"/>
      <c r="J167" s="45"/>
      <c r="K167" s="319"/>
    </row>
    <row r="168" spans="1:11">
      <c r="A168" s="145">
        <v>12</v>
      </c>
      <c r="B168" s="4" t="s">
        <v>214</v>
      </c>
      <c r="C168" s="309"/>
      <c r="D168" s="162"/>
      <c r="E168" s="28"/>
      <c r="F168" s="28">
        <v>6</v>
      </c>
      <c r="G168" s="28"/>
      <c r="H168" s="134"/>
      <c r="I168" s="28"/>
      <c r="J168" s="45"/>
      <c r="K168" s="319"/>
    </row>
    <row r="169" spans="1:11">
      <c r="A169" s="145">
        <v>13</v>
      </c>
      <c r="B169" s="4" t="s">
        <v>215</v>
      </c>
      <c r="C169" s="309"/>
      <c r="D169" s="162">
        <v>37</v>
      </c>
      <c r="E169" s="28">
        <v>195</v>
      </c>
      <c r="F169" s="28">
        <v>2100</v>
      </c>
      <c r="G169" s="28">
        <v>12</v>
      </c>
      <c r="H169" s="134">
        <v>680</v>
      </c>
      <c r="I169" s="28">
        <v>250</v>
      </c>
      <c r="J169" s="45"/>
      <c r="K169" s="319"/>
    </row>
    <row r="170" spans="1:11">
      <c r="A170" s="145">
        <v>14</v>
      </c>
      <c r="B170" s="4" t="s">
        <v>216</v>
      </c>
      <c r="C170" s="309"/>
      <c r="D170" s="162">
        <v>21</v>
      </c>
      <c r="E170" s="28">
        <v>70</v>
      </c>
      <c r="F170" s="28"/>
      <c r="G170" s="28">
        <v>626</v>
      </c>
      <c r="H170" s="134"/>
      <c r="I170" s="28"/>
      <c r="J170" s="45"/>
      <c r="K170" s="319"/>
    </row>
    <row r="171" spans="1:11">
      <c r="A171" s="145">
        <v>15</v>
      </c>
      <c r="B171" s="4" t="s">
        <v>217</v>
      </c>
      <c r="C171" s="309"/>
      <c r="D171" s="162">
        <v>160</v>
      </c>
      <c r="E171" s="28">
        <v>5245</v>
      </c>
      <c r="F171" s="28"/>
      <c r="G171" s="28"/>
      <c r="H171" s="134"/>
      <c r="I171" s="28"/>
      <c r="J171" s="45"/>
      <c r="K171" s="319"/>
    </row>
    <row r="172" spans="1:11">
      <c r="A172" s="145">
        <v>16</v>
      </c>
      <c r="B172" s="4" t="s">
        <v>218</v>
      </c>
      <c r="C172" s="309"/>
      <c r="D172" s="162"/>
      <c r="E172" s="28">
        <v>100</v>
      </c>
      <c r="F172" s="28"/>
      <c r="G172" s="28"/>
      <c r="H172" s="134">
        <v>100</v>
      </c>
      <c r="I172" s="28"/>
      <c r="J172" s="45"/>
      <c r="K172" s="319"/>
    </row>
    <row r="173" spans="1:11" ht="15">
      <c r="A173" s="145">
        <v>17</v>
      </c>
      <c r="B173" s="4" t="s">
        <v>219</v>
      </c>
      <c r="C173" s="310"/>
      <c r="D173" s="63">
        <v>10</v>
      </c>
      <c r="E173" s="22">
        <v>40</v>
      </c>
      <c r="F173" s="22">
        <v>15</v>
      </c>
      <c r="G173" s="22"/>
      <c r="H173" s="22">
        <v>20</v>
      </c>
      <c r="I173" s="22"/>
      <c r="J173" s="45"/>
      <c r="K173" s="319"/>
    </row>
    <row r="174" spans="1:11">
      <c r="A174" s="145">
        <v>18</v>
      </c>
      <c r="B174" s="4" t="s">
        <v>220</v>
      </c>
      <c r="C174" s="309"/>
      <c r="D174" s="162"/>
      <c r="E174" s="28"/>
      <c r="F174" s="28"/>
      <c r="G174" s="28"/>
      <c r="H174" s="134"/>
      <c r="I174" s="28"/>
      <c r="J174" s="45"/>
      <c r="K174" s="319"/>
    </row>
    <row r="175" spans="1:11">
      <c r="A175" s="145">
        <v>19</v>
      </c>
      <c r="B175" s="4" t="s">
        <v>221</v>
      </c>
      <c r="C175" s="309"/>
      <c r="D175" s="162"/>
      <c r="E175" s="28">
        <v>20</v>
      </c>
      <c r="F175" s="28"/>
      <c r="G175" s="28"/>
      <c r="H175" s="134"/>
      <c r="I175" s="28"/>
      <c r="J175" s="45"/>
      <c r="K175" s="319"/>
    </row>
    <row r="176" spans="1:11">
      <c r="A176" s="145">
        <v>20</v>
      </c>
      <c r="B176" s="4" t="s">
        <v>222</v>
      </c>
      <c r="C176" s="309"/>
      <c r="D176" s="162"/>
      <c r="E176" s="28"/>
      <c r="F176" s="28"/>
      <c r="G176" s="28"/>
      <c r="H176" s="134"/>
      <c r="I176" s="28"/>
      <c r="J176" s="45"/>
      <c r="K176" s="319"/>
    </row>
    <row r="177" spans="1:11">
      <c r="A177" s="145">
        <v>21</v>
      </c>
      <c r="B177" s="4" t="s">
        <v>223</v>
      </c>
      <c r="C177" s="309"/>
      <c r="D177" s="162"/>
      <c r="E177" s="28">
        <v>1849</v>
      </c>
      <c r="F177" s="28">
        <v>20</v>
      </c>
      <c r="G177" s="28"/>
      <c r="H177" s="134">
        <v>765</v>
      </c>
      <c r="I177" s="28">
        <v>40</v>
      </c>
      <c r="J177" s="45"/>
      <c r="K177" s="319"/>
    </row>
    <row r="178" spans="1:11">
      <c r="A178" s="145">
        <v>22</v>
      </c>
      <c r="B178" s="4" t="s">
        <v>224</v>
      </c>
      <c r="C178" s="309"/>
      <c r="D178" s="162">
        <v>343</v>
      </c>
      <c r="E178" s="28">
        <v>4968</v>
      </c>
      <c r="F178" s="28">
        <v>15</v>
      </c>
      <c r="G178" s="28"/>
      <c r="H178" s="134">
        <v>170</v>
      </c>
      <c r="I178" s="28"/>
      <c r="J178" s="45"/>
      <c r="K178" s="319"/>
    </row>
    <row r="179" spans="1:11">
      <c r="A179" s="145">
        <v>23</v>
      </c>
      <c r="B179" s="4" t="s">
        <v>225</v>
      </c>
      <c r="C179" s="311"/>
      <c r="D179" s="63">
        <v>40</v>
      </c>
      <c r="E179" s="22">
        <v>150</v>
      </c>
      <c r="F179" s="22"/>
      <c r="G179" s="22"/>
      <c r="H179" s="22"/>
      <c r="I179" s="22"/>
      <c r="J179" s="45"/>
      <c r="K179" s="319"/>
    </row>
    <row r="180" spans="1:11" ht="15">
      <c r="A180" s="145">
        <v>24</v>
      </c>
      <c r="B180" s="4" t="s">
        <v>226</v>
      </c>
      <c r="C180" s="310"/>
      <c r="D180" s="162">
        <v>188</v>
      </c>
      <c r="E180" s="28">
        <v>2865</v>
      </c>
      <c r="F180" s="28"/>
      <c r="G180" s="28"/>
      <c r="H180" s="134"/>
      <c r="I180" s="28"/>
      <c r="J180" s="45"/>
      <c r="K180" s="319"/>
    </row>
    <row r="181" spans="1:11">
      <c r="A181" s="145">
        <v>25</v>
      </c>
      <c r="B181" s="4" t="s">
        <v>147</v>
      </c>
      <c r="C181" s="309"/>
      <c r="D181" s="162"/>
      <c r="E181" s="28"/>
      <c r="F181" s="28"/>
      <c r="G181" s="28"/>
      <c r="H181" s="134">
        <v>50</v>
      </c>
      <c r="I181" s="28"/>
      <c r="J181" s="45"/>
      <c r="K181" s="319"/>
    </row>
    <row r="182" spans="1:11">
      <c r="A182" s="145">
        <v>26</v>
      </c>
      <c r="B182" s="4" t="s">
        <v>227</v>
      </c>
      <c r="C182" s="309"/>
      <c r="D182" s="162"/>
      <c r="E182" s="28">
        <v>15</v>
      </c>
      <c r="F182" s="28"/>
      <c r="G182" s="28"/>
      <c r="H182" s="134">
        <v>5</v>
      </c>
      <c r="I182" s="28"/>
      <c r="J182" s="45"/>
      <c r="K182" s="319"/>
    </row>
    <row r="183" spans="1:11">
      <c r="A183" s="145">
        <v>27</v>
      </c>
      <c r="B183" s="4" t="s">
        <v>228</v>
      </c>
      <c r="C183" s="309"/>
      <c r="D183" s="162"/>
      <c r="E183" s="28">
        <v>812</v>
      </c>
      <c r="F183" s="28">
        <v>50</v>
      </c>
      <c r="G183" s="28"/>
      <c r="H183" s="134">
        <v>250</v>
      </c>
      <c r="I183" s="28"/>
      <c r="J183" s="45"/>
      <c r="K183" s="319"/>
    </row>
    <row r="184" spans="1:11">
      <c r="A184" s="145">
        <v>28</v>
      </c>
      <c r="B184" s="4" t="s">
        <v>229</v>
      </c>
      <c r="C184" s="309"/>
      <c r="D184" s="162">
        <v>20</v>
      </c>
      <c r="E184" s="28">
        <v>588</v>
      </c>
      <c r="F184" s="28">
        <v>90</v>
      </c>
      <c r="G184" s="28"/>
      <c r="H184" s="134">
        <v>810</v>
      </c>
      <c r="I184" s="28"/>
      <c r="J184" s="45"/>
      <c r="K184" s="319"/>
    </row>
    <row r="185" spans="1:11">
      <c r="A185" s="145">
        <v>29</v>
      </c>
      <c r="B185" s="4" t="s">
        <v>230</v>
      </c>
      <c r="C185" s="309"/>
      <c r="D185" s="63">
        <v>421</v>
      </c>
      <c r="E185" s="22">
        <v>6491</v>
      </c>
      <c r="F185" s="22">
        <v>14</v>
      </c>
      <c r="G185" s="22"/>
      <c r="H185" s="22"/>
      <c r="I185" s="22"/>
      <c r="J185" s="45"/>
      <c r="K185" s="319"/>
    </row>
    <row r="186" spans="1:11" ht="15">
      <c r="A186" s="145">
        <v>30</v>
      </c>
      <c r="B186" s="4" t="s">
        <v>231</v>
      </c>
      <c r="C186" s="310"/>
      <c r="D186" s="162">
        <v>206</v>
      </c>
      <c r="E186" s="28">
        <v>6533</v>
      </c>
      <c r="F186" s="28"/>
      <c r="G186" s="28">
        <v>10</v>
      </c>
      <c r="H186" s="134">
        <v>58</v>
      </c>
      <c r="I186" s="28">
        <v>200</v>
      </c>
      <c r="J186" s="45"/>
      <c r="K186" s="319"/>
    </row>
    <row r="187" spans="1:11">
      <c r="A187" s="145">
        <v>31</v>
      </c>
      <c r="B187" s="4" t="s">
        <v>232</v>
      </c>
      <c r="C187" s="309"/>
      <c r="D187" s="162">
        <v>1200</v>
      </c>
      <c r="E187" s="28">
        <v>716</v>
      </c>
      <c r="F187" s="28"/>
      <c r="G187" s="28"/>
      <c r="H187" s="134">
        <v>1366</v>
      </c>
      <c r="I187" s="28">
        <v>24</v>
      </c>
      <c r="J187" s="45"/>
      <c r="K187" s="319"/>
    </row>
    <row r="188" spans="1:11">
      <c r="A188" s="215"/>
      <c r="B188" s="203"/>
      <c r="C188" s="312"/>
      <c r="D188" s="265"/>
      <c r="E188" s="206"/>
      <c r="F188" s="206"/>
      <c r="G188" s="206"/>
      <c r="H188" s="256"/>
      <c r="I188" s="206"/>
      <c r="J188" s="317"/>
      <c r="K188" s="319"/>
    </row>
    <row r="189" spans="1:11">
      <c r="A189" s="145" t="s">
        <v>297</v>
      </c>
      <c r="B189" s="4"/>
      <c r="C189" s="162"/>
      <c r="D189" s="133">
        <f>SUM(D157:D187)</f>
        <v>4992</v>
      </c>
      <c r="E189" s="28">
        <f>SUM(E157:E187)</f>
        <v>40659</v>
      </c>
      <c r="F189" s="28">
        <f t="shared" ref="F189:J189" si="5">SUM(F157:F187)</f>
        <v>2756</v>
      </c>
      <c r="G189" s="28">
        <f t="shared" si="5"/>
        <v>698</v>
      </c>
      <c r="H189" s="28">
        <f t="shared" si="5"/>
        <v>5439</v>
      </c>
      <c r="I189" s="28">
        <f t="shared" si="5"/>
        <v>594</v>
      </c>
      <c r="J189" s="28">
        <f t="shared" si="5"/>
        <v>0</v>
      </c>
      <c r="K189" s="319"/>
    </row>
    <row r="190" spans="1:11" ht="15" thickBot="1">
      <c r="A190" s="217"/>
      <c r="B190" s="104"/>
      <c r="C190" s="252"/>
      <c r="D190" s="252"/>
      <c r="E190" s="208"/>
      <c r="F190" s="208"/>
      <c r="G190" s="208"/>
      <c r="H190" s="253"/>
      <c r="I190" s="208"/>
      <c r="J190" s="276"/>
      <c r="K190" s="319"/>
    </row>
    <row r="191" spans="1:11" ht="16" thickTop="1">
      <c r="A191" s="222" t="s">
        <v>28</v>
      </c>
      <c r="B191" s="97"/>
      <c r="C191" s="248"/>
      <c r="D191" s="63"/>
      <c r="E191" s="22"/>
      <c r="F191" s="22"/>
      <c r="G191" s="22"/>
      <c r="H191" s="22"/>
      <c r="I191" s="22"/>
      <c r="J191" s="23"/>
      <c r="K191" s="319"/>
    </row>
    <row r="192" spans="1:11">
      <c r="A192" s="145">
        <v>32</v>
      </c>
      <c r="B192" s="235" t="s">
        <v>233</v>
      </c>
      <c r="C192" s="17"/>
      <c r="D192" s="162">
        <v>25</v>
      </c>
      <c r="E192" s="28">
        <v>1569</v>
      </c>
      <c r="F192" s="28">
        <v>10</v>
      </c>
      <c r="G192" s="28"/>
      <c r="H192" s="134">
        <v>132</v>
      </c>
      <c r="I192" s="28"/>
      <c r="J192" s="45"/>
      <c r="K192" s="319"/>
    </row>
    <row r="193" spans="1:11">
      <c r="A193" s="145">
        <v>33</v>
      </c>
      <c r="B193" s="4" t="s">
        <v>234</v>
      </c>
      <c r="C193" s="10"/>
      <c r="D193" s="162"/>
      <c r="E193" s="28"/>
      <c r="F193" s="28"/>
      <c r="G193" s="28"/>
      <c r="H193" s="134"/>
      <c r="I193" s="28"/>
      <c r="J193" s="45"/>
      <c r="K193" s="319"/>
    </row>
    <row r="194" spans="1:11">
      <c r="A194" s="145">
        <v>34</v>
      </c>
      <c r="B194" s="4" t="s">
        <v>235</v>
      </c>
      <c r="C194" s="10"/>
      <c r="D194" s="162"/>
      <c r="E194" s="28"/>
      <c r="F194" s="28"/>
      <c r="G194" s="28"/>
      <c r="H194" s="134"/>
      <c r="I194" s="28"/>
      <c r="J194" s="45"/>
      <c r="K194" s="319"/>
    </row>
    <row r="195" spans="1:11">
      <c r="A195" s="145">
        <v>35</v>
      </c>
      <c r="B195" s="4" t="s">
        <v>236</v>
      </c>
      <c r="C195" s="10"/>
      <c r="D195" s="162"/>
      <c r="E195" s="28"/>
      <c r="F195" s="28"/>
      <c r="G195" s="28"/>
      <c r="H195" s="134"/>
      <c r="I195" s="28"/>
      <c r="J195" s="45"/>
      <c r="K195" s="319"/>
    </row>
    <row r="196" spans="1:11">
      <c r="A196" s="145">
        <v>36</v>
      </c>
      <c r="B196" s="4" t="s">
        <v>237</v>
      </c>
      <c r="C196" s="10"/>
      <c r="D196" s="162"/>
      <c r="E196" s="28"/>
      <c r="F196" s="28"/>
      <c r="G196" s="28"/>
      <c r="H196" s="134"/>
      <c r="I196" s="28"/>
      <c r="J196" s="45"/>
      <c r="K196" s="319"/>
    </row>
    <row r="197" spans="1:11">
      <c r="A197" s="145">
        <v>37</v>
      </c>
      <c r="B197" s="4" t="s">
        <v>238</v>
      </c>
      <c r="C197" s="10"/>
      <c r="D197" s="63"/>
      <c r="E197" s="32"/>
      <c r="F197" s="22"/>
      <c r="G197" s="32"/>
      <c r="H197" s="22"/>
      <c r="I197" s="32"/>
      <c r="J197" s="45"/>
      <c r="K197" s="319"/>
    </row>
    <row r="198" spans="1:11" ht="15">
      <c r="A198" s="145">
        <v>38</v>
      </c>
      <c r="B198" s="4" t="s">
        <v>239</v>
      </c>
      <c r="C198" s="248"/>
      <c r="D198" s="63"/>
      <c r="E198" s="22"/>
      <c r="F198" s="22"/>
      <c r="G198" s="22"/>
      <c r="H198" s="22"/>
      <c r="I198" s="22"/>
      <c r="J198" s="45"/>
      <c r="K198" s="319"/>
    </row>
    <row r="199" spans="1:11">
      <c r="A199" s="145">
        <v>39</v>
      </c>
      <c r="B199" s="4" t="s">
        <v>240</v>
      </c>
      <c r="C199" s="17"/>
      <c r="D199" s="162"/>
      <c r="E199" s="28"/>
      <c r="F199" s="28"/>
      <c r="G199" s="28"/>
      <c r="H199" s="134"/>
      <c r="I199" s="28"/>
      <c r="J199" s="45"/>
      <c r="K199" s="319"/>
    </row>
    <row r="200" spans="1:11">
      <c r="A200" s="145">
        <v>40</v>
      </c>
      <c r="B200" s="4" t="s">
        <v>241</v>
      </c>
      <c r="C200" s="10"/>
      <c r="D200" s="162">
        <v>1</v>
      </c>
      <c r="E200" s="28">
        <v>230</v>
      </c>
      <c r="F200" s="28"/>
      <c r="G200" s="28"/>
      <c r="H200" s="134">
        <v>90</v>
      </c>
      <c r="I200" s="28"/>
      <c r="J200" s="45"/>
      <c r="K200" s="319"/>
    </row>
    <row r="201" spans="1:11">
      <c r="A201" s="145">
        <v>41</v>
      </c>
      <c r="B201" s="4" t="s">
        <v>242</v>
      </c>
      <c r="C201" s="10"/>
      <c r="D201" s="162"/>
      <c r="E201" s="28"/>
      <c r="F201" s="28"/>
      <c r="G201" s="28"/>
      <c r="H201" s="134"/>
      <c r="I201" s="28"/>
      <c r="J201" s="45"/>
      <c r="K201" s="319"/>
    </row>
    <row r="202" spans="1:11">
      <c r="A202" s="145">
        <v>42</v>
      </c>
      <c r="B202" s="4" t="s">
        <v>243</v>
      </c>
      <c r="C202" s="10"/>
      <c r="D202" s="162"/>
      <c r="E202" s="28"/>
      <c r="F202" s="28"/>
      <c r="G202" s="28"/>
      <c r="H202" s="134"/>
      <c r="I202" s="28"/>
      <c r="J202" s="45"/>
      <c r="K202" s="319"/>
    </row>
    <row r="203" spans="1:11">
      <c r="A203" s="215"/>
      <c r="B203" s="203"/>
      <c r="C203" s="12"/>
      <c r="D203" s="265"/>
      <c r="E203" s="206"/>
      <c r="F203" s="206"/>
      <c r="G203" s="206"/>
      <c r="H203" s="256"/>
      <c r="I203" s="206"/>
      <c r="J203" s="317"/>
      <c r="K203" s="319"/>
    </row>
    <row r="204" spans="1:11" ht="15">
      <c r="A204" s="145" t="s">
        <v>298</v>
      </c>
      <c r="B204" s="4"/>
      <c r="C204" s="248"/>
      <c r="D204" s="162">
        <f>SUM(D192:D202)</f>
        <v>26</v>
      </c>
      <c r="E204" s="22">
        <f>SUM(E192:E202)</f>
        <v>1799</v>
      </c>
      <c r="F204" s="22">
        <f t="shared" ref="F204:J204" si="6">SUM(F192:F202)</f>
        <v>10</v>
      </c>
      <c r="G204" s="22">
        <f t="shared" si="6"/>
        <v>0</v>
      </c>
      <c r="H204" s="22">
        <f t="shared" si="6"/>
        <v>222</v>
      </c>
      <c r="I204" s="22">
        <f t="shared" si="6"/>
        <v>0</v>
      </c>
      <c r="J204" s="22">
        <f t="shared" si="6"/>
        <v>0</v>
      </c>
      <c r="K204" s="319"/>
    </row>
    <row r="205" spans="1:11" ht="15" thickBot="1">
      <c r="A205" s="217"/>
      <c r="B205" s="104"/>
      <c r="C205" s="257"/>
      <c r="D205" s="252"/>
      <c r="E205" s="208"/>
      <c r="F205" s="208"/>
      <c r="G205" s="208"/>
      <c r="H205" s="253"/>
      <c r="I205" s="208"/>
      <c r="J205" s="321"/>
      <c r="K205" s="319"/>
    </row>
    <row r="206" spans="1:11" ht="15" thickTop="1">
      <c r="A206" s="145"/>
      <c r="B206" s="4"/>
      <c r="C206" s="9"/>
      <c r="D206" s="258"/>
      <c r="E206" s="259"/>
      <c r="F206" s="259"/>
      <c r="G206" s="259"/>
      <c r="H206" s="260"/>
      <c r="I206" s="259"/>
      <c r="J206" s="45"/>
      <c r="K206" s="319"/>
    </row>
    <row r="207" spans="1:11">
      <c r="A207" s="145" t="s">
        <v>299</v>
      </c>
      <c r="B207" s="4"/>
      <c r="C207" s="10"/>
      <c r="D207" s="162">
        <f>D204+D189</f>
        <v>5018</v>
      </c>
      <c r="E207" s="22">
        <f>E204+E189</f>
        <v>42458</v>
      </c>
      <c r="F207" s="22">
        <f t="shared" ref="F207:J207" si="7">F204+F189</f>
        <v>2766</v>
      </c>
      <c r="G207" s="22">
        <f t="shared" si="7"/>
        <v>698</v>
      </c>
      <c r="H207" s="22">
        <f t="shared" si="7"/>
        <v>5661</v>
      </c>
      <c r="I207" s="22">
        <f t="shared" si="7"/>
        <v>594</v>
      </c>
      <c r="J207" s="22">
        <f t="shared" si="7"/>
        <v>0</v>
      </c>
      <c r="K207" s="319"/>
    </row>
    <row r="208" spans="1:11" ht="15" thickBot="1">
      <c r="A208" s="217"/>
      <c r="B208" s="104"/>
      <c r="C208" s="251"/>
      <c r="D208" s="252"/>
      <c r="E208" s="208"/>
      <c r="F208" s="208"/>
      <c r="G208" s="208"/>
      <c r="H208" s="253"/>
      <c r="I208" s="208"/>
      <c r="J208" s="276"/>
      <c r="K208" s="319"/>
    </row>
    <row r="209" spans="1:11" ht="17" thickTop="1" thickBot="1">
      <c r="A209" s="226" t="s">
        <v>38</v>
      </c>
      <c r="B209" s="94"/>
      <c r="C209" s="10"/>
      <c r="D209" s="162"/>
      <c r="E209" s="28"/>
      <c r="F209" s="28"/>
      <c r="G209" s="28"/>
      <c r="H209" s="134"/>
      <c r="I209" s="28"/>
      <c r="J209" s="23"/>
      <c r="K209" s="319"/>
    </row>
    <row r="210" spans="1:11">
      <c r="A210" s="145">
        <v>1</v>
      </c>
      <c r="B210" s="4" t="s">
        <v>244</v>
      </c>
      <c r="C210" s="277">
        <v>1315</v>
      </c>
      <c r="D210" s="63">
        <v>4000</v>
      </c>
      <c r="E210" s="22">
        <v>250</v>
      </c>
      <c r="F210" s="22"/>
      <c r="G210" s="22"/>
      <c r="H210" s="22"/>
      <c r="I210" s="22"/>
      <c r="J210" s="45"/>
      <c r="K210" s="319"/>
    </row>
    <row r="211" spans="1:11">
      <c r="A211" s="145">
        <v>2</v>
      </c>
      <c r="B211" s="4" t="s">
        <v>245</v>
      </c>
      <c r="C211" s="17"/>
      <c r="D211" s="162">
        <v>219</v>
      </c>
      <c r="E211" s="28">
        <v>1457</v>
      </c>
      <c r="F211" s="28"/>
      <c r="G211" s="28"/>
      <c r="H211" s="134">
        <v>40</v>
      </c>
      <c r="I211" s="28"/>
      <c r="J211" s="45"/>
      <c r="K211" s="319"/>
    </row>
    <row r="212" spans="1:11">
      <c r="A212" s="145">
        <v>3</v>
      </c>
      <c r="B212" s="4" t="s">
        <v>246</v>
      </c>
      <c r="C212" s="10"/>
      <c r="D212" s="162">
        <v>229</v>
      </c>
      <c r="E212" s="28">
        <v>4005</v>
      </c>
      <c r="F212" s="28"/>
      <c r="G212" s="28"/>
      <c r="H212" s="134"/>
      <c r="I212" s="28"/>
      <c r="J212" s="45"/>
      <c r="K212" s="319"/>
    </row>
    <row r="213" spans="1:11">
      <c r="A213" s="145">
        <v>4</v>
      </c>
      <c r="B213" s="4" t="s">
        <v>247</v>
      </c>
      <c r="C213" s="10"/>
      <c r="D213" s="162">
        <v>260</v>
      </c>
      <c r="E213" s="28">
        <v>420</v>
      </c>
      <c r="F213" s="28"/>
      <c r="G213" s="28"/>
      <c r="H213" s="134"/>
      <c r="I213" s="28"/>
      <c r="J213" s="45"/>
      <c r="K213" s="319"/>
    </row>
    <row r="214" spans="1:11">
      <c r="A214" s="145">
        <v>5</v>
      </c>
      <c r="B214" s="4" t="s">
        <v>248</v>
      </c>
      <c r="C214" s="10"/>
      <c r="D214" s="162">
        <v>485</v>
      </c>
      <c r="E214" s="28">
        <v>10922</v>
      </c>
      <c r="F214" s="28">
        <v>2</v>
      </c>
      <c r="G214" s="28"/>
      <c r="H214" s="134">
        <v>1897</v>
      </c>
      <c r="I214" s="28"/>
      <c r="J214" s="45"/>
      <c r="K214" s="319"/>
    </row>
    <row r="215" spans="1:11">
      <c r="A215" s="145">
        <v>6</v>
      </c>
      <c r="B215" s="4" t="s">
        <v>249</v>
      </c>
      <c r="C215" s="10"/>
      <c r="D215" s="162">
        <v>100</v>
      </c>
      <c r="E215" s="28">
        <v>5922</v>
      </c>
      <c r="F215" s="28"/>
      <c r="G215" s="28"/>
      <c r="H215" s="134">
        <v>620</v>
      </c>
      <c r="I215" s="28"/>
      <c r="J215" s="45">
        <v>72</v>
      </c>
      <c r="K215" s="319"/>
    </row>
    <row r="216" spans="1:11" ht="15">
      <c r="A216" s="145">
        <v>7</v>
      </c>
      <c r="B216" s="4" t="s">
        <v>250</v>
      </c>
      <c r="C216" s="248"/>
      <c r="D216" s="63">
        <v>14</v>
      </c>
      <c r="E216" s="22">
        <v>13950</v>
      </c>
      <c r="F216" s="22"/>
      <c r="G216" s="22"/>
      <c r="H216" s="22"/>
      <c r="I216" s="22"/>
      <c r="J216" s="45"/>
      <c r="K216" s="319"/>
    </row>
    <row r="217" spans="1:11">
      <c r="A217" s="224">
        <v>8</v>
      </c>
      <c r="B217" s="113" t="s">
        <v>251</v>
      </c>
      <c r="C217" s="17"/>
      <c r="D217" s="162">
        <v>775</v>
      </c>
      <c r="E217" s="28">
        <v>17317</v>
      </c>
      <c r="F217" s="28"/>
      <c r="G217" s="28">
        <v>14</v>
      </c>
      <c r="H217" s="134">
        <v>176</v>
      </c>
      <c r="I217" s="28">
        <v>205</v>
      </c>
      <c r="J217" s="45"/>
      <c r="K217" s="319"/>
    </row>
    <row r="218" spans="1:11">
      <c r="A218" s="224">
        <v>9</v>
      </c>
      <c r="B218" s="113" t="s">
        <v>252</v>
      </c>
      <c r="C218" s="10"/>
      <c r="D218" s="162">
        <v>370</v>
      </c>
      <c r="E218" s="28">
        <v>716</v>
      </c>
      <c r="F218" s="28">
        <v>30</v>
      </c>
      <c r="G218" s="28"/>
      <c r="H218" s="134"/>
      <c r="I218" s="28">
        <v>4000</v>
      </c>
      <c r="J218" s="45"/>
      <c r="K218" s="319"/>
    </row>
    <row r="219" spans="1:11">
      <c r="A219" s="224">
        <v>10</v>
      </c>
      <c r="B219" s="113" t="s">
        <v>253</v>
      </c>
      <c r="C219" s="10"/>
      <c r="D219" s="162">
        <v>5035</v>
      </c>
      <c r="E219" s="28">
        <v>45351</v>
      </c>
      <c r="F219" s="28"/>
      <c r="G219" s="28">
        <v>30</v>
      </c>
      <c r="H219" s="134">
        <v>45</v>
      </c>
      <c r="I219" s="28">
        <v>440</v>
      </c>
      <c r="J219" s="45"/>
      <c r="K219" s="319"/>
    </row>
    <row r="220" spans="1:11">
      <c r="A220" s="228">
        <v>11</v>
      </c>
      <c r="B220" s="236" t="s">
        <v>254</v>
      </c>
      <c r="C220" s="10"/>
      <c r="D220" s="162">
        <v>1424</v>
      </c>
      <c r="E220" s="28">
        <v>20602</v>
      </c>
      <c r="F220" s="28">
        <v>107</v>
      </c>
      <c r="G220" s="28"/>
      <c r="H220" s="134">
        <v>50</v>
      </c>
      <c r="I220" s="28">
        <v>200</v>
      </c>
      <c r="J220" s="45">
        <v>215</v>
      </c>
      <c r="K220" s="319"/>
    </row>
    <row r="221" spans="1:11">
      <c r="A221" s="228">
        <v>12</v>
      </c>
      <c r="B221" s="236" t="s">
        <v>255</v>
      </c>
      <c r="C221" s="10"/>
      <c r="D221" s="162">
        <v>6166</v>
      </c>
      <c r="E221" s="28">
        <v>43032</v>
      </c>
      <c r="F221" s="28">
        <v>1550</v>
      </c>
      <c r="G221" s="28"/>
      <c r="H221" s="134">
        <v>1305</v>
      </c>
      <c r="I221" s="28">
        <v>6285</v>
      </c>
      <c r="J221" s="45">
        <v>40</v>
      </c>
      <c r="K221" s="319"/>
    </row>
    <row r="222" spans="1:11" ht="15">
      <c r="A222" s="228">
        <v>13</v>
      </c>
      <c r="B222" s="236" t="s">
        <v>256</v>
      </c>
      <c r="C222" s="248"/>
      <c r="D222" s="63">
        <v>4764</v>
      </c>
      <c r="E222" s="22">
        <v>55592</v>
      </c>
      <c r="F222" s="22">
        <v>27</v>
      </c>
      <c r="G222" s="22"/>
      <c r="H222" s="22">
        <v>235</v>
      </c>
      <c r="I222" s="22">
        <v>721</v>
      </c>
      <c r="J222" s="45">
        <v>5236</v>
      </c>
      <c r="K222" s="319"/>
    </row>
    <row r="223" spans="1:11">
      <c r="A223" s="228">
        <v>14</v>
      </c>
      <c r="B223" s="236" t="s">
        <v>257</v>
      </c>
      <c r="C223" s="17"/>
      <c r="D223" s="162">
        <v>3565</v>
      </c>
      <c r="E223" s="28">
        <v>72784</v>
      </c>
      <c r="F223" s="28">
        <v>22</v>
      </c>
      <c r="G223" s="28">
        <v>40</v>
      </c>
      <c r="H223" s="134">
        <v>4323</v>
      </c>
      <c r="I223" s="28">
        <v>760</v>
      </c>
      <c r="J223" s="45">
        <v>228</v>
      </c>
      <c r="K223" s="319"/>
    </row>
    <row r="224" spans="1:11">
      <c r="A224" s="228">
        <v>15</v>
      </c>
      <c r="B224" s="236" t="s">
        <v>258</v>
      </c>
      <c r="C224" s="10"/>
      <c r="D224" s="162">
        <v>2275</v>
      </c>
      <c r="E224" s="28">
        <v>12673</v>
      </c>
      <c r="F224" s="28">
        <v>30</v>
      </c>
      <c r="G224" s="28"/>
      <c r="H224" s="134">
        <v>372</v>
      </c>
      <c r="I224" s="28"/>
      <c r="J224" s="45"/>
      <c r="K224" s="319"/>
    </row>
    <row r="225" spans="1:11">
      <c r="A225" s="228">
        <v>16</v>
      </c>
      <c r="B225" s="236" t="s">
        <v>259</v>
      </c>
      <c r="C225" s="10"/>
      <c r="D225" s="162">
        <v>14343</v>
      </c>
      <c r="E225" s="28">
        <v>89950</v>
      </c>
      <c r="F225" s="28">
        <v>112</v>
      </c>
      <c r="G225" s="28">
        <v>15</v>
      </c>
      <c r="H225" s="134">
        <v>1085</v>
      </c>
      <c r="I225" s="28">
        <v>2714</v>
      </c>
      <c r="J225" s="45">
        <v>335</v>
      </c>
      <c r="K225" s="319"/>
    </row>
    <row r="226" spans="1:11">
      <c r="A226" s="228">
        <v>17</v>
      </c>
      <c r="B226" s="236" t="s">
        <v>260</v>
      </c>
      <c r="C226" s="10"/>
      <c r="D226" s="162">
        <v>7902</v>
      </c>
      <c r="E226" s="28">
        <v>70760</v>
      </c>
      <c r="F226" s="28">
        <v>888</v>
      </c>
      <c r="G226" s="28">
        <v>27</v>
      </c>
      <c r="H226" s="134">
        <v>1459</v>
      </c>
      <c r="I226" s="28">
        <v>1022</v>
      </c>
      <c r="J226" s="45">
        <v>8</v>
      </c>
      <c r="K226" s="319"/>
    </row>
    <row r="227" spans="1:11">
      <c r="A227" s="228">
        <v>18</v>
      </c>
      <c r="B227" s="236" t="s">
        <v>261</v>
      </c>
      <c r="C227" s="10"/>
      <c r="D227" s="162">
        <v>10287</v>
      </c>
      <c r="E227" s="28">
        <v>162488</v>
      </c>
      <c r="F227" s="28">
        <v>420</v>
      </c>
      <c r="G227" s="28"/>
      <c r="H227" s="134">
        <v>1660</v>
      </c>
      <c r="I227" s="205">
        <v>3768</v>
      </c>
      <c r="J227" s="45">
        <v>100</v>
      </c>
      <c r="K227" s="319"/>
    </row>
    <row r="228" spans="1:11">
      <c r="A228" s="228">
        <v>19</v>
      </c>
      <c r="B228" s="236" t="s">
        <v>262</v>
      </c>
      <c r="C228" s="10"/>
      <c r="D228" s="63">
        <v>440</v>
      </c>
      <c r="E228" s="32">
        <v>1735</v>
      </c>
      <c r="F228" s="22"/>
      <c r="G228" s="32">
        <v>112</v>
      </c>
      <c r="H228" s="22">
        <v>25</v>
      </c>
      <c r="I228" s="28">
        <v>645</v>
      </c>
      <c r="J228" s="45"/>
      <c r="K228" s="319"/>
    </row>
    <row r="229" spans="1:11" ht="15">
      <c r="A229" s="228">
        <v>20</v>
      </c>
      <c r="B229" s="236" t="s">
        <v>263</v>
      </c>
      <c r="C229" s="248"/>
      <c r="D229" s="63">
        <v>755</v>
      </c>
      <c r="E229" s="22">
        <v>7550</v>
      </c>
      <c r="F229" s="22">
        <v>110</v>
      </c>
      <c r="G229" s="22">
        <v>100</v>
      </c>
      <c r="H229" s="22">
        <v>773</v>
      </c>
      <c r="I229" s="32"/>
      <c r="J229" s="45"/>
      <c r="K229" s="319"/>
    </row>
    <row r="230" spans="1:11">
      <c r="A230" s="228">
        <v>21</v>
      </c>
      <c r="B230" s="236" t="s">
        <v>264</v>
      </c>
      <c r="C230" s="17"/>
      <c r="D230" s="162">
        <v>27046</v>
      </c>
      <c r="E230" s="28">
        <v>28464</v>
      </c>
      <c r="F230" s="28">
        <v>5000</v>
      </c>
      <c r="G230" s="28"/>
      <c r="H230" s="134">
        <v>132</v>
      </c>
      <c r="I230" s="22">
        <v>413</v>
      </c>
      <c r="J230" s="45">
        <v>10</v>
      </c>
      <c r="K230" s="319"/>
    </row>
    <row r="231" spans="1:11">
      <c r="A231" s="228">
        <v>22</v>
      </c>
      <c r="B231" s="236" t="s">
        <v>265</v>
      </c>
      <c r="C231" s="10"/>
      <c r="D231" s="162">
        <v>8081</v>
      </c>
      <c r="E231" s="28">
        <v>35640</v>
      </c>
      <c r="F231" s="28"/>
      <c r="G231" s="28"/>
      <c r="H231" s="134">
        <v>800</v>
      </c>
      <c r="I231" s="28"/>
      <c r="J231" s="45">
        <v>250</v>
      </c>
      <c r="K231" s="319"/>
    </row>
    <row r="232" spans="1:11">
      <c r="A232" s="228">
        <v>23</v>
      </c>
      <c r="B232" s="236" t="s">
        <v>266</v>
      </c>
      <c r="C232" s="10"/>
      <c r="D232" s="162">
        <v>2679</v>
      </c>
      <c r="E232" s="28">
        <v>6575</v>
      </c>
      <c r="F232" s="28">
        <v>14</v>
      </c>
      <c r="G232" s="28">
        <v>5</v>
      </c>
      <c r="H232" s="134">
        <v>339</v>
      </c>
      <c r="I232" s="28"/>
      <c r="J232" s="45"/>
      <c r="K232" s="319"/>
    </row>
    <row r="233" spans="1:11">
      <c r="A233" s="229"/>
      <c r="B233" s="237"/>
      <c r="C233" s="12"/>
      <c r="D233" s="265"/>
      <c r="E233" s="206"/>
      <c r="F233" s="206"/>
      <c r="G233" s="206"/>
      <c r="H233" s="256"/>
      <c r="I233" s="206"/>
      <c r="J233" s="317"/>
      <c r="K233" s="319"/>
    </row>
    <row r="234" spans="1:11">
      <c r="A234" s="228" t="s">
        <v>296</v>
      </c>
      <c r="B234" s="236"/>
      <c r="C234" s="10"/>
      <c r="D234" s="162">
        <f>SUM(D210:D232)</f>
        <v>101214</v>
      </c>
      <c r="E234" s="28">
        <f>SUM(E210:E232)</f>
        <v>708155</v>
      </c>
      <c r="F234" s="28">
        <f t="shared" ref="F234:J234" si="8">SUM(F210:F232)</f>
        <v>8312</v>
      </c>
      <c r="G234" s="28">
        <f t="shared" si="8"/>
        <v>343</v>
      </c>
      <c r="H234" s="28">
        <f t="shared" si="8"/>
        <v>15336</v>
      </c>
      <c r="I234" s="28">
        <f t="shared" si="8"/>
        <v>21173</v>
      </c>
      <c r="J234" s="28">
        <f t="shared" si="8"/>
        <v>6494</v>
      </c>
      <c r="K234" s="319"/>
    </row>
    <row r="235" spans="1:11" ht="16" thickBot="1">
      <c r="A235" s="230"/>
      <c r="B235" s="238"/>
      <c r="C235" s="261"/>
      <c r="D235" s="275"/>
      <c r="E235" s="186"/>
      <c r="F235" s="186"/>
      <c r="G235" s="186"/>
      <c r="H235" s="186"/>
      <c r="I235" s="186"/>
      <c r="J235" s="323"/>
      <c r="K235" s="319"/>
    </row>
    <row r="236" spans="1:11" ht="17" thickTop="1" thickBot="1">
      <c r="A236" s="226" t="s">
        <v>40</v>
      </c>
      <c r="B236" s="94"/>
      <c r="C236" s="17"/>
      <c r="D236" s="162"/>
      <c r="E236" s="28"/>
      <c r="F236" s="28"/>
      <c r="G236" s="28"/>
      <c r="H236" s="134"/>
      <c r="I236" s="28"/>
      <c r="J236" s="23"/>
      <c r="K236" s="319"/>
    </row>
    <row r="237" spans="1:11">
      <c r="A237" s="228">
        <v>1</v>
      </c>
      <c r="B237" s="236" t="s">
        <v>267</v>
      </c>
      <c r="C237" s="10"/>
      <c r="D237" s="162">
        <v>2817</v>
      </c>
      <c r="E237" s="28">
        <v>19792</v>
      </c>
      <c r="F237" s="28">
        <v>230</v>
      </c>
      <c r="G237" s="28">
        <v>815</v>
      </c>
      <c r="H237" s="134">
        <v>350</v>
      </c>
      <c r="I237" s="28">
        <v>438</v>
      </c>
      <c r="J237" s="45"/>
      <c r="K237" s="319"/>
    </row>
    <row r="238" spans="1:11">
      <c r="A238" s="228">
        <v>2</v>
      </c>
      <c r="B238" s="236" t="s">
        <v>268</v>
      </c>
      <c r="C238" s="10"/>
      <c r="D238" s="162">
        <v>2456</v>
      </c>
      <c r="E238" s="28">
        <v>35243</v>
      </c>
      <c r="F238" s="28"/>
      <c r="G238" s="28">
        <v>170</v>
      </c>
      <c r="H238" s="134">
        <v>205</v>
      </c>
      <c r="I238" s="28">
        <v>1409</v>
      </c>
      <c r="J238" s="45"/>
      <c r="K238" s="319"/>
    </row>
    <row r="239" spans="1:11">
      <c r="A239" s="228">
        <v>3</v>
      </c>
      <c r="B239" s="236" t="s">
        <v>269</v>
      </c>
      <c r="C239" s="10"/>
      <c r="D239" s="162">
        <v>7437</v>
      </c>
      <c r="E239" s="28">
        <v>52951</v>
      </c>
      <c r="F239" s="28">
        <v>160</v>
      </c>
      <c r="G239" s="28">
        <v>575</v>
      </c>
      <c r="H239" s="134">
        <v>553</v>
      </c>
      <c r="I239" s="28">
        <v>1982</v>
      </c>
      <c r="J239" s="45"/>
      <c r="K239" s="319"/>
    </row>
    <row r="240" spans="1:11">
      <c r="A240" s="228">
        <v>4</v>
      </c>
      <c r="B240" s="236" t="s">
        <v>270</v>
      </c>
      <c r="C240" s="10"/>
      <c r="D240" s="162">
        <v>1468</v>
      </c>
      <c r="E240" s="28">
        <v>14078</v>
      </c>
      <c r="F240" s="28">
        <v>200</v>
      </c>
      <c r="G240" s="28">
        <v>25</v>
      </c>
      <c r="H240" s="134">
        <v>237</v>
      </c>
      <c r="I240" s="28">
        <v>335</v>
      </c>
      <c r="J240" s="45"/>
      <c r="K240" s="319"/>
    </row>
    <row r="241" spans="1:11" ht="15">
      <c r="A241" s="228">
        <v>5</v>
      </c>
      <c r="B241" s="236" t="s">
        <v>271</v>
      </c>
      <c r="C241" s="248"/>
      <c r="D241" s="63">
        <v>3965</v>
      </c>
      <c r="E241" s="22">
        <v>28898</v>
      </c>
      <c r="F241" s="22">
        <v>100</v>
      </c>
      <c r="G241" s="22">
        <v>600</v>
      </c>
      <c r="H241" s="22">
        <v>1172</v>
      </c>
      <c r="I241" s="22">
        <v>358</v>
      </c>
      <c r="J241" s="45"/>
      <c r="K241" s="319"/>
    </row>
    <row r="242" spans="1:11">
      <c r="A242" s="228">
        <v>6</v>
      </c>
      <c r="B242" s="236" t="s">
        <v>272</v>
      </c>
      <c r="C242" s="17"/>
      <c r="D242" s="162">
        <v>3393</v>
      </c>
      <c r="E242" s="28">
        <v>26573</v>
      </c>
      <c r="F242" s="28"/>
      <c r="G242" s="28">
        <v>100</v>
      </c>
      <c r="H242" s="134">
        <v>195</v>
      </c>
      <c r="I242" s="28">
        <v>162</v>
      </c>
      <c r="J242" s="45"/>
      <c r="K242" s="319"/>
    </row>
    <row r="243" spans="1:11">
      <c r="A243" s="228">
        <v>7</v>
      </c>
      <c r="B243" s="236" t="s">
        <v>273</v>
      </c>
      <c r="C243" s="10"/>
      <c r="D243" s="162">
        <v>2363</v>
      </c>
      <c r="E243" s="28">
        <v>35720</v>
      </c>
      <c r="F243" s="28">
        <v>9</v>
      </c>
      <c r="G243" s="28">
        <v>50</v>
      </c>
      <c r="H243" s="134">
        <v>754</v>
      </c>
      <c r="I243" s="28">
        <v>1366</v>
      </c>
      <c r="J243" s="45"/>
      <c r="K243" s="319"/>
    </row>
    <row r="244" spans="1:11">
      <c r="A244" s="228">
        <v>8</v>
      </c>
      <c r="B244" s="236" t="s">
        <v>274</v>
      </c>
      <c r="C244" s="10"/>
      <c r="D244" s="162">
        <v>168</v>
      </c>
      <c r="E244" s="28">
        <v>1800</v>
      </c>
      <c r="F244" s="28"/>
      <c r="G244" s="28"/>
      <c r="H244" s="134">
        <v>100</v>
      </c>
      <c r="I244" s="28"/>
      <c r="J244" s="45"/>
      <c r="K244" s="319"/>
    </row>
    <row r="245" spans="1:11">
      <c r="A245" s="228">
        <v>9</v>
      </c>
      <c r="B245" s="236" t="s">
        <v>275</v>
      </c>
      <c r="C245" s="10"/>
      <c r="D245" s="162">
        <v>1051</v>
      </c>
      <c r="E245" s="28">
        <v>13192</v>
      </c>
      <c r="F245" s="28">
        <v>15</v>
      </c>
      <c r="G245" s="28">
        <v>1</v>
      </c>
      <c r="H245" s="134">
        <v>1310</v>
      </c>
      <c r="I245" s="28">
        <v>230</v>
      </c>
      <c r="J245" s="45"/>
      <c r="K245" s="319"/>
    </row>
    <row r="246" spans="1:11">
      <c r="A246" s="228">
        <v>10</v>
      </c>
      <c r="B246" s="236" t="s">
        <v>276</v>
      </c>
      <c r="C246" s="10"/>
      <c r="D246" s="162">
        <v>374</v>
      </c>
      <c r="E246" s="28">
        <v>2472</v>
      </c>
      <c r="F246" s="28"/>
      <c r="G246" s="28">
        <v>170</v>
      </c>
      <c r="H246" s="134">
        <v>317</v>
      </c>
      <c r="I246" s="28">
        <v>99</v>
      </c>
      <c r="J246" s="45"/>
      <c r="K246" s="319"/>
    </row>
    <row r="247" spans="1:11" ht="15">
      <c r="A247" s="228">
        <v>11</v>
      </c>
      <c r="B247" s="236" t="s">
        <v>277</v>
      </c>
      <c r="C247" s="248"/>
      <c r="D247" s="63">
        <v>236</v>
      </c>
      <c r="E247" s="22">
        <v>5098</v>
      </c>
      <c r="F247" s="22"/>
      <c r="G247" s="22">
        <v>10</v>
      </c>
      <c r="H247" s="22">
        <v>472</v>
      </c>
      <c r="I247" s="22">
        <v>50</v>
      </c>
      <c r="J247" s="45">
        <v>300</v>
      </c>
      <c r="K247" s="319"/>
    </row>
    <row r="248" spans="1:11">
      <c r="A248" s="228">
        <v>12</v>
      </c>
      <c r="B248" s="236" t="s">
        <v>278</v>
      </c>
      <c r="C248" s="17"/>
      <c r="D248" s="162"/>
      <c r="E248" s="28">
        <v>900</v>
      </c>
      <c r="F248" s="28"/>
      <c r="G248" s="28"/>
      <c r="H248" s="134"/>
      <c r="I248" s="28">
        <v>280</v>
      </c>
      <c r="J248" s="45"/>
      <c r="K248" s="319"/>
    </row>
    <row r="249" spans="1:11">
      <c r="A249" s="228">
        <v>13</v>
      </c>
      <c r="B249" s="236" t="s">
        <v>279</v>
      </c>
      <c r="C249" s="10"/>
      <c r="D249" s="162">
        <v>2522</v>
      </c>
      <c r="E249" s="28">
        <v>13130</v>
      </c>
      <c r="F249" s="28"/>
      <c r="G249" s="28"/>
      <c r="H249" s="134">
        <v>40</v>
      </c>
      <c r="I249" s="28">
        <v>132</v>
      </c>
      <c r="J249" s="45">
        <v>10</v>
      </c>
      <c r="K249" s="319"/>
    </row>
    <row r="250" spans="1:11">
      <c r="A250" s="228">
        <v>14</v>
      </c>
      <c r="B250" s="236" t="s">
        <v>280</v>
      </c>
      <c r="C250" s="10"/>
      <c r="D250" s="162">
        <v>2172</v>
      </c>
      <c r="E250" s="28">
        <v>23002</v>
      </c>
      <c r="F250" s="28">
        <v>418</v>
      </c>
      <c r="G250" s="28">
        <v>120</v>
      </c>
      <c r="H250" s="134">
        <v>1484</v>
      </c>
      <c r="I250" s="28">
        <v>2566</v>
      </c>
      <c r="J250" s="45"/>
      <c r="K250" s="319"/>
    </row>
    <row r="251" spans="1:11">
      <c r="A251" s="228">
        <v>15</v>
      </c>
      <c r="B251" s="236" t="s">
        <v>281</v>
      </c>
      <c r="C251" s="10"/>
      <c r="D251" s="162">
        <v>778</v>
      </c>
      <c r="E251" s="28">
        <v>3643</v>
      </c>
      <c r="F251" s="28"/>
      <c r="G251" s="28">
        <v>50</v>
      </c>
      <c r="H251" s="134">
        <v>45</v>
      </c>
      <c r="I251" s="28">
        <v>157</v>
      </c>
      <c r="J251" s="45"/>
      <c r="K251" s="319"/>
    </row>
    <row r="252" spans="1:11">
      <c r="A252" s="228">
        <v>16</v>
      </c>
      <c r="B252" s="236" t="s">
        <v>282</v>
      </c>
      <c r="C252" s="10"/>
      <c r="D252" s="162">
        <v>2251</v>
      </c>
      <c r="E252" s="28">
        <v>27182</v>
      </c>
      <c r="F252" s="28">
        <v>1100</v>
      </c>
      <c r="G252" s="28">
        <v>270</v>
      </c>
      <c r="H252" s="134">
        <v>801</v>
      </c>
      <c r="I252" s="28">
        <v>589</v>
      </c>
      <c r="J252" s="45"/>
      <c r="K252" s="319"/>
    </row>
    <row r="253" spans="1:11" ht="15">
      <c r="A253" s="228">
        <v>17</v>
      </c>
      <c r="B253" s="236" t="s">
        <v>283</v>
      </c>
      <c r="C253" s="248"/>
      <c r="D253" s="63">
        <v>1250</v>
      </c>
      <c r="E253" s="22">
        <v>24914</v>
      </c>
      <c r="F253" s="22">
        <v>10</v>
      </c>
      <c r="G253" s="22">
        <v>300</v>
      </c>
      <c r="H253" s="22">
        <v>300</v>
      </c>
      <c r="I253" s="22">
        <v>690</v>
      </c>
      <c r="J253" s="45"/>
      <c r="K253" s="319"/>
    </row>
    <row r="254" spans="1:11">
      <c r="A254" s="228">
        <v>18</v>
      </c>
      <c r="B254" s="236" t="s">
        <v>284</v>
      </c>
      <c r="C254" s="17"/>
      <c r="D254" s="162">
        <v>2291</v>
      </c>
      <c r="E254" s="28">
        <v>21395</v>
      </c>
      <c r="F254" s="28">
        <v>285</v>
      </c>
      <c r="G254" s="28">
        <v>7</v>
      </c>
      <c r="H254" s="134">
        <v>346</v>
      </c>
      <c r="I254" s="28">
        <v>505</v>
      </c>
      <c r="J254" s="21"/>
      <c r="K254" s="319"/>
    </row>
    <row r="255" spans="1:11">
      <c r="A255" s="228">
        <v>19</v>
      </c>
      <c r="B255" s="236" t="s">
        <v>285</v>
      </c>
      <c r="C255" s="10"/>
      <c r="D255" s="162">
        <v>2818</v>
      </c>
      <c r="E255" s="28">
        <v>46283</v>
      </c>
      <c r="F255" s="28">
        <v>429</v>
      </c>
      <c r="G255" s="28">
        <v>32</v>
      </c>
      <c r="H255" s="134">
        <v>325</v>
      </c>
      <c r="I255" s="28">
        <v>1411</v>
      </c>
      <c r="J255" s="45"/>
      <c r="K255" s="319"/>
    </row>
    <row r="256" spans="1:11">
      <c r="A256" s="228">
        <v>20</v>
      </c>
      <c r="B256" s="236" t="s">
        <v>286</v>
      </c>
      <c r="C256" s="10"/>
      <c r="D256" s="162">
        <v>765</v>
      </c>
      <c r="E256" s="28">
        <v>11100</v>
      </c>
      <c r="F256" s="28">
        <v>25</v>
      </c>
      <c r="G256" s="28">
        <v>50</v>
      </c>
      <c r="H256" s="134">
        <v>10</v>
      </c>
      <c r="I256" s="28">
        <v>100</v>
      </c>
      <c r="J256" s="21"/>
      <c r="K256" s="319"/>
    </row>
    <row r="257" spans="1:11">
      <c r="A257" s="228">
        <v>21</v>
      </c>
      <c r="B257" s="236" t="s">
        <v>287</v>
      </c>
      <c r="C257" s="10"/>
      <c r="D257" s="162">
        <v>635</v>
      </c>
      <c r="E257" s="28">
        <v>2495</v>
      </c>
      <c r="F257" s="28"/>
      <c r="G257" s="28"/>
      <c r="H257" s="134">
        <v>150</v>
      </c>
      <c r="I257" s="28">
        <v>31</v>
      </c>
      <c r="J257" s="45">
        <v>500</v>
      </c>
      <c r="K257" s="319"/>
    </row>
    <row r="258" spans="1:11">
      <c r="A258" s="228">
        <v>22</v>
      </c>
      <c r="B258" s="236" t="s">
        <v>288</v>
      </c>
      <c r="C258" s="10"/>
      <c r="D258" s="162">
        <v>460</v>
      </c>
      <c r="E258" s="28">
        <v>4503</v>
      </c>
      <c r="F258" s="28"/>
      <c r="G258" s="28"/>
      <c r="H258" s="134">
        <v>20</v>
      </c>
      <c r="I258" s="28"/>
      <c r="J258" s="45">
        <v>40</v>
      </c>
      <c r="K258" s="319"/>
    </row>
    <row r="259" spans="1:11">
      <c r="A259" s="228">
        <v>23</v>
      </c>
      <c r="B259" s="236" t="s">
        <v>289</v>
      </c>
      <c r="C259" s="10"/>
      <c r="D259" s="63">
        <v>4043</v>
      </c>
      <c r="E259" s="32">
        <v>26026</v>
      </c>
      <c r="F259" s="22">
        <v>160</v>
      </c>
      <c r="G259" s="32">
        <v>125</v>
      </c>
      <c r="H259" s="22">
        <v>288</v>
      </c>
      <c r="I259" s="32">
        <v>573</v>
      </c>
      <c r="J259" s="45"/>
      <c r="K259" s="319"/>
    </row>
    <row r="260" spans="1:11" ht="15">
      <c r="A260" s="228">
        <v>24</v>
      </c>
      <c r="B260" s="236" t="s">
        <v>290</v>
      </c>
      <c r="C260" s="248"/>
      <c r="D260" s="63">
        <v>2408</v>
      </c>
      <c r="E260" s="22">
        <v>27827</v>
      </c>
      <c r="F260" s="22">
        <v>700</v>
      </c>
      <c r="G260" s="22">
        <v>146</v>
      </c>
      <c r="H260" s="22">
        <v>377</v>
      </c>
      <c r="I260" s="22">
        <v>649</v>
      </c>
      <c r="J260" s="45"/>
      <c r="K260" s="319"/>
    </row>
    <row r="261" spans="1:11">
      <c r="A261" s="215"/>
      <c r="B261" s="203"/>
      <c r="C261" s="16"/>
      <c r="D261" s="265"/>
      <c r="E261" s="206"/>
      <c r="F261" s="206"/>
      <c r="G261" s="206"/>
      <c r="H261" s="256"/>
      <c r="I261" s="206"/>
      <c r="J261" s="317"/>
      <c r="K261" s="319"/>
    </row>
    <row r="262" spans="1:11" ht="15">
      <c r="A262" s="216" t="s">
        <v>295</v>
      </c>
      <c r="B262" s="239"/>
      <c r="C262" s="10"/>
      <c r="D262" s="133">
        <f>SUM(D237:D260)</f>
        <v>48121</v>
      </c>
      <c r="E262" s="28">
        <f>SUM(E237:E260)</f>
        <v>468217</v>
      </c>
      <c r="F262" s="28">
        <f t="shared" ref="F262:J262" si="9">SUM(F237:F260)</f>
        <v>3841</v>
      </c>
      <c r="G262" s="28">
        <f t="shared" si="9"/>
        <v>3616</v>
      </c>
      <c r="H262" s="28">
        <f t="shared" si="9"/>
        <v>9851</v>
      </c>
      <c r="I262" s="28">
        <f t="shared" si="9"/>
        <v>14112</v>
      </c>
      <c r="J262" s="28">
        <f t="shared" si="9"/>
        <v>850</v>
      </c>
      <c r="K262" s="319"/>
    </row>
    <row r="263" spans="1:11" ht="15" thickBot="1">
      <c r="A263" s="217"/>
      <c r="B263" s="104"/>
      <c r="C263" s="251"/>
      <c r="D263" s="252"/>
      <c r="E263" s="208"/>
      <c r="F263" s="208"/>
      <c r="G263" s="208"/>
      <c r="H263" s="253"/>
      <c r="I263" s="208"/>
      <c r="J263" s="318"/>
      <c r="K263" s="319"/>
    </row>
    <row r="264" spans="1:11" ht="15" thickTop="1">
      <c r="C264" s="31"/>
      <c r="D264" s="32"/>
      <c r="E264" s="134"/>
      <c r="F264" s="134"/>
      <c r="G264" s="134"/>
      <c r="H264" s="134"/>
      <c r="I264" s="134"/>
      <c r="J264" s="134"/>
    </row>
    <row r="265" spans="1:11">
      <c r="C265" s="31"/>
      <c r="D265" s="32"/>
      <c r="E265" s="134"/>
      <c r="F265" s="134"/>
      <c r="G265" s="134"/>
      <c r="H265" s="134"/>
      <c r="I265" s="134"/>
      <c r="J265" s="134"/>
    </row>
    <row r="266" spans="1:11" ht="15">
      <c r="C266" s="249"/>
      <c r="D266" s="31"/>
      <c r="E266" s="31"/>
      <c r="F266" s="31"/>
      <c r="G266" s="31"/>
      <c r="H266" s="31"/>
      <c r="I266" s="31"/>
      <c r="J266" s="31"/>
    </row>
    <row r="267" spans="1:11">
      <c r="C267" s="47"/>
      <c r="D267" s="32"/>
      <c r="E267" s="134"/>
      <c r="F267" s="134"/>
      <c r="G267" s="134"/>
      <c r="H267" s="134"/>
      <c r="I267" s="134"/>
      <c r="J267" s="134"/>
    </row>
    <row r="268" spans="1:11">
      <c r="C268" s="31"/>
      <c r="D268" s="32"/>
      <c r="E268" s="134"/>
      <c r="F268" s="134"/>
      <c r="G268" s="134"/>
      <c r="H268" s="134"/>
      <c r="I268" s="134"/>
      <c r="J268" s="134"/>
    </row>
    <row r="269" spans="1:11">
      <c r="C269" s="31"/>
      <c r="D269" s="32"/>
      <c r="E269" s="134"/>
      <c r="F269" s="134"/>
      <c r="G269" s="134"/>
      <c r="H269" s="134"/>
      <c r="I269" s="134"/>
      <c r="J269" s="134"/>
    </row>
    <row r="270" spans="1:11">
      <c r="C270" s="31"/>
      <c r="D270" s="32"/>
      <c r="E270" s="134"/>
      <c r="F270" s="134"/>
      <c r="G270" s="134"/>
      <c r="H270" s="134"/>
      <c r="I270" s="134"/>
      <c r="J270" s="134"/>
    </row>
    <row r="271" spans="1:11">
      <c r="C271" s="31"/>
      <c r="D271" s="32"/>
      <c r="E271" s="134"/>
      <c r="F271" s="134"/>
      <c r="G271" s="134"/>
      <c r="H271" s="134"/>
      <c r="I271" s="134"/>
      <c r="J271" s="134"/>
    </row>
  </sheetData>
  <mergeCells count="1">
    <mergeCell ref="C5:C8"/>
  </mergeCell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1"/>
  </sheetPr>
  <dimension ref="A2:AE271"/>
  <sheetViews>
    <sheetView topLeftCell="R1" workbookViewId="0">
      <selection activeCell="A2" sqref="A2"/>
    </sheetView>
  </sheetViews>
  <sheetFormatPr baseColWidth="10" defaultColWidth="8.83203125" defaultRowHeight="14" x14ac:dyDescent="0"/>
  <cols>
    <col min="1" max="1" width="31.5" customWidth="1"/>
    <col min="2" max="2" width="21.5" customWidth="1"/>
    <col min="3" max="3" width="10.1640625" customWidth="1"/>
    <col min="4" max="4" width="11.5" customWidth="1"/>
    <col min="5" max="5" width="12.1640625" customWidth="1"/>
    <col min="6" max="6" width="10.1640625" customWidth="1"/>
    <col min="7" max="7" width="13.5" customWidth="1"/>
    <col min="8" max="8" width="10.6640625" customWidth="1"/>
    <col min="9" max="9" width="11.83203125" customWidth="1"/>
    <col min="10" max="10" width="11" customWidth="1"/>
    <col min="11" max="11" width="12.6640625" customWidth="1"/>
    <col min="12" max="12" width="12" customWidth="1"/>
    <col min="13" max="13" width="12.1640625" customWidth="1"/>
    <col min="14" max="14" width="14" customWidth="1"/>
    <col min="15" max="15" width="11.5" customWidth="1"/>
    <col min="16" max="16" width="11.33203125" customWidth="1"/>
    <col min="17" max="17" width="13.1640625" customWidth="1"/>
    <col min="18" max="18" width="10.5" customWidth="1"/>
    <col min="19" max="19" width="12.5" customWidth="1"/>
    <col min="20" max="20" width="9.83203125" customWidth="1"/>
    <col min="21" max="21" width="11.6640625" customWidth="1"/>
    <col min="23" max="23" width="12.33203125" customWidth="1"/>
    <col min="25" max="25" width="13" customWidth="1"/>
    <col min="27" max="27" width="11.33203125" customWidth="1"/>
    <col min="29" max="29" width="12.6640625" customWidth="1"/>
    <col min="31" max="31" width="11.5" customWidth="1"/>
  </cols>
  <sheetData>
    <row r="2" spans="1:31" ht="18">
      <c r="A2" s="705" t="s">
        <v>373</v>
      </c>
      <c r="B2" s="262" t="s">
        <v>348</v>
      </c>
    </row>
    <row r="3" spans="1:31" ht="19" thickBot="1">
      <c r="A3" s="278"/>
    </row>
    <row r="4" spans="1:31" ht="15" thickTop="1">
      <c r="A4" s="33"/>
      <c r="B4" s="7"/>
      <c r="C4" s="710" t="s">
        <v>306</v>
      </c>
      <c r="D4" s="721" t="s">
        <v>350</v>
      </c>
      <c r="E4" s="722"/>
      <c r="F4" s="721" t="s">
        <v>351</v>
      </c>
      <c r="G4" s="722"/>
      <c r="H4" s="721" t="s">
        <v>352</v>
      </c>
      <c r="I4" s="722"/>
      <c r="J4" s="721" t="s">
        <v>353</v>
      </c>
      <c r="K4" s="722"/>
      <c r="L4" s="721" t="s">
        <v>354</v>
      </c>
      <c r="M4" s="722"/>
      <c r="N4" s="721" t="s">
        <v>355</v>
      </c>
      <c r="O4" s="722"/>
      <c r="P4" s="721" t="s">
        <v>356</v>
      </c>
      <c r="Q4" s="722"/>
      <c r="R4" s="721" t="s">
        <v>357</v>
      </c>
      <c r="S4" s="722"/>
      <c r="T4" s="721" t="s">
        <v>358</v>
      </c>
      <c r="U4" s="722"/>
      <c r="V4" s="721" t="s">
        <v>359</v>
      </c>
      <c r="W4" s="722"/>
      <c r="X4" s="721" t="s">
        <v>360</v>
      </c>
      <c r="Y4" s="722"/>
      <c r="Z4" s="721" t="s">
        <v>363</v>
      </c>
      <c r="AA4" s="722"/>
      <c r="AB4" s="721" t="s">
        <v>364</v>
      </c>
      <c r="AC4" s="722"/>
      <c r="AD4" s="721" t="s">
        <v>365</v>
      </c>
      <c r="AE4" s="725"/>
    </row>
    <row r="5" spans="1:31">
      <c r="A5" s="140" t="s">
        <v>42</v>
      </c>
      <c r="B5" s="97"/>
      <c r="C5" s="712"/>
      <c r="D5" s="723"/>
      <c r="E5" s="724"/>
      <c r="F5" s="723"/>
      <c r="G5" s="724"/>
      <c r="H5" s="723"/>
      <c r="I5" s="724"/>
      <c r="J5" s="723"/>
      <c r="K5" s="724"/>
      <c r="L5" s="723"/>
      <c r="M5" s="724"/>
      <c r="N5" s="723"/>
      <c r="O5" s="724"/>
      <c r="P5" s="723"/>
      <c r="Q5" s="724"/>
      <c r="R5" s="723"/>
      <c r="S5" s="724"/>
      <c r="T5" s="723"/>
      <c r="U5" s="724"/>
      <c r="V5" s="723"/>
      <c r="W5" s="724"/>
      <c r="X5" s="723"/>
      <c r="Y5" s="724"/>
      <c r="Z5" s="723"/>
      <c r="AA5" s="724"/>
      <c r="AB5" s="723"/>
      <c r="AC5" s="724"/>
      <c r="AD5" s="723"/>
      <c r="AE5" s="726"/>
    </row>
    <row r="6" spans="1:31" s="11" customFormat="1">
      <c r="A6" s="332"/>
      <c r="B6" s="333"/>
      <c r="C6" s="334"/>
      <c r="D6" s="334"/>
      <c r="E6" s="335"/>
      <c r="F6" s="334"/>
      <c r="G6" s="335"/>
      <c r="H6" s="334"/>
      <c r="I6" s="335"/>
      <c r="J6" s="334"/>
      <c r="K6" s="335"/>
      <c r="L6" s="334"/>
      <c r="M6" s="335"/>
      <c r="N6" s="334"/>
      <c r="O6" s="335"/>
      <c r="P6" s="334"/>
      <c r="Q6" s="335"/>
      <c r="R6" s="334"/>
      <c r="S6" s="335"/>
      <c r="T6" s="334"/>
      <c r="U6" s="335"/>
      <c r="V6" s="334"/>
      <c r="W6" s="335"/>
      <c r="X6" s="334"/>
      <c r="Y6" s="335"/>
      <c r="Z6" s="334"/>
      <c r="AA6" s="335"/>
      <c r="AB6" s="334"/>
      <c r="AC6" s="335"/>
      <c r="AD6" s="334"/>
      <c r="AE6" s="326"/>
    </row>
    <row r="7" spans="1:31">
      <c r="A7" s="141">
        <v>4145</v>
      </c>
      <c r="B7" s="241"/>
      <c r="C7" s="243"/>
      <c r="D7" s="325" t="s">
        <v>374</v>
      </c>
      <c r="E7" s="18" t="s">
        <v>375</v>
      </c>
      <c r="F7" s="325" t="s">
        <v>374</v>
      </c>
      <c r="G7" s="18" t="s">
        <v>375</v>
      </c>
      <c r="H7" s="325" t="s">
        <v>374</v>
      </c>
      <c r="I7" s="18" t="s">
        <v>375</v>
      </c>
      <c r="J7" s="325" t="s">
        <v>374</v>
      </c>
      <c r="K7" s="18" t="s">
        <v>375</v>
      </c>
      <c r="L7" s="325" t="s">
        <v>374</v>
      </c>
      <c r="M7" s="18" t="s">
        <v>375</v>
      </c>
      <c r="N7" s="325" t="s">
        <v>374</v>
      </c>
      <c r="O7" s="18" t="s">
        <v>375</v>
      </c>
      <c r="P7" s="325" t="s">
        <v>374</v>
      </c>
      <c r="Q7" s="18" t="s">
        <v>375</v>
      </c>
      <c r="R7" s="325" t="s">
        <v>374</v>
      </c>
      <c r="S7" s="18" t="s">
        <v>375</v>
      </c>
      <c r="T7" s="325" t="s">
        <v>374</v>
      </c>
      <c r="U7" s="18" t="s">
        <v>375</v>
      </c>
      <c r="V7" s="325" t="s">
        <v>374</v>
      </c>
      <c r="W7" s="18" t="s">
        <v>375</v>
      </c>
      <c r="X7" s="325" t="s">
        <v>374</v>
      </c>
      <c r="Y7" s="18" t="s">
        <v>375</v>
      </c>
      <c r="Z7" s="325" t="s">
        <v>374</v>
      </c>
      <c r="AA7" s="18" t="s">
        <v>375</v>
      </c>
      <c r="AB7" s="325" t="s">
        <v>374</v>
      </c>
      <c r="AC7" s="18" t="s">
        <v>375</v>
      </c>
      <c r="AD7" s="325" t="s">
        <v>374</v>
      </c>
      <c r="AE7" s="360" t="s">
        <v>375</v>
      </c>
    </row>
    <row r="8" spans="1:31">
      <c r="A8" s="3"/>
      <c r="B8" s="5"/>
      <c r="C8" s="34"/>
      <c r="D8" s="34"/>
      <c r="E8" s="14"/>
      <c r="F8" s="34"/>
      <c r="G8" s="14"/>
      <c r="H8" s="34"/>
      <c r="I8" s="14"/>
      <c r="J8" s="34"/>
      <c r="K8" s="14"/>
      <c r="L8" s="34"/>
      <c r="M8" s="14"/>
      <c r="N8" s="34"/>
      <c r="O8" s="14"/>
      <c r="P8" s="34"/>
      <c r="Q8" s="14"/>
      <c r="R8" s="34"/>
      <c r="S8" s="14"/>
      <c r="T8" s="34"/>
      <c r="U8" s="14"/>
      <c r="V8" s="34"/>
      <c r="W8" s="14"/>
      <c r="X8" s="34"/>
      <c r="Y8" s="14"/>
      <c r="Z8" s="34"/>
      <c r="AA8" s="14"/>
      <c r="AB8" s="34"/>
      <c r="AC8" s="14"/>
      <c r="AD8" s="34"/>
      <c r="AE8" s="330"/>
    </row>
    <row r="9" spans="1:31">
      <c r="A9" s="31"/>
      <c r="B9" s="4"/>
      <c r="C9" s="10"/>
      <c r="D9" s="38"/>
      <c r="E9" s="123"/>
      <c r="F9" s="38"/>
      <c r="G9" s="123"/>
      <c r="H9" s="38"/>
      <c r="I9" s="123"/>
      <c r="J9" s="38"/>
      <c r="K9" s="123"/>
      <c r="L9" s="38"/>
      <c r="M9" s="123"/>
      <c r="N9" s="38"/>
      <c r="O9" s="123"/>
      <c r="P9" s="38"/>
      <c r="Q9" s="123"/>
      <c r="R9" s="38"/>
      <c r="S9" s="123"/>
      <c r="T9" s="38"/>
      <c r="U9" s="123"/>
      <c r="V9" s="38"/>
      <c r="W9" s="123"/>
      <c r="X9" s="38"/>
      <c r="Y9" s="123"/>
      <c r="Z9" s="38"/>
      <c r="AA9" s="123"/>
      <c r="AB9" s="38"/>
      <c r="AC9" s="123"/>
      <c r="AD9" s="38"/>
      <c r="AE9" s="331"/>
    </row>
    <row r="10" spans="1:31">
      <c r="A10" s="145" t="s">
        <v>61</v>
      </c>
      <c r="B10" s="235"/>
      <c r="C10" s="244"/>
      <c r="D10" s="336">
        <f>SUM(D13:D16)</f>
        <v>695226</v>
      </c>
      <c r="E10" s="358">
        <f t="shared" ref="E10:AE10" si="0">SUM(E13:E16)</f>
        <v>329967</v>
      </c>
      <c r="F10" s="359">
        <f t="shared" si="0"/>
        <v>4609956</v>
      </c>
      <c r="G10" s="358">
        <f t="shared" si="0"/>
        <v>1292524</v>
      </c>
      <c r="H10" s="359">
        <f t="shared" si="0"/>
        <v>447555</v>
      </c>
      <c r="I10" s="358">
        <f t="shared" si="0"/>
        <v>188091</v>
      </c>
      <c r="J10" s="359">
        <f t="shared" si="0"/>
        <v>66234</v>
      </c>
      <c r="K10" s="358">
        <f t="shared" si="0"/>
        <v>32453</v>
      </c>
      <c r="L10" s="359">
        <f t="shared" si="0"/>
        <v>889574</v>
      </c>
      <c r="M10" s="358">
        <f t="shared" si="0"/>
        <v>540284</v>
      </c>
      <c r="N10" s="359">
        <f t="shared" si="0"/>
        <v>381761</v>
      </c>
      <c r="O10" s="358">
        <f t="shared" si="0"/>
        <v>269176</v>
      </c>
      <c r="P10" s="359">
        <f t="shared" si="0"/>
        <v>513202</v>
      </c>
      <c r="Q10" s="358">
        <f t="shared" si="0"/>
        <v>472399</v>
      </c>
      <c r="R10" s="359">
        <f t="shared" si="0"/>
        <v>183607</v>
      </c>
      <c r="S10" s="358">
        <f t="shared" si="0"/>
        <v>220582</v>
      </c>
      <c r="T10" s="359">
        <f t="shared" si="0"/>
        <v>97166</v>
      </c>
      <c r="U10" s="358">
        <f t="shared" si="0"/>
        <v>75690</v>
      </c>
      <c r="V10" s="359">
        <f t="shared" si="0"/>
        <v>45757</v>
      </c>
      <c r="W10" s="358">
        <f t="shared" si="0"/>
        <v>3358</v>
      </c>
      <c r="X10" s="359">
        <f t="shared" si="0"/>
        <v>13917</v>
      </c>
      <c r="Y10" s="358">
        <f t="shared" si="0"/>
        <v>5160</v>
      </c>
      <c r="Z10" s="359">
        <f t="shared" si="0"/>
        <v>25301</v>
      </c>
      <c r="AA10" s="358">
        <f t="shared" si="0"/>
        <v>14318</v>
      </c>
      <c r="AB10" s="359">
        <f t="shared" si="0"/>
        <v>26825</v>
      </c>
      <c r="AC10" s="358">
        <f t="shared" si="0"/>
        <v>15917</v>
      </c>
      <c r="AD10" s="359">
        <f t="shared" si="0"/>
        <v>132963</v>
      </c>
      <c r="AE10" s="377">
        <f t="shared" si="0"/>
        <v>27598</v>
      </c>
    </row>
    <row r="11" spans="1:31" ht="15" thickBot="1">
      <c r="A11" s="47" t="s">
        <v>62</v>
      </c>
      <c r="B11" s="8"/>
      <c r="C11" s="17"/>
      <c r="D11" s="337"/>
      <c r="E11" s="338"/>
      <c r="F11" s="337"/>
      <c r="G11" s="338"/>
      <c r="H11" s="337"/>
      <c r="I11" s="338"/>
      <c r="J11" s="337"/>
      <c r="K11" s="338"/>
      <c r="L11" s="337"/>
      <c r="M11" s="338"/>
      <c r="N11" s="337"/>
      <c r="O11" s="338"/>
      <c r="P11" s="337"/>
      <c r="Q11" s="338"/>
      <c r="R11" s="337"/>
      <c r="S11" s="338"/>
      <c r="T11" s="337"/>
      <c r="U11" s="338"/>
      <c r="V11" s="337"/>
      <c r="W11" s="338"/>
      <c r="X11" s="337"/>
      <c r="Y11" s="338"/>
      <c r="Z11" s="337"/>
      <c r="AA11" s="338"/>
      <c r="AB11" s="337"/>
      <c r="AC11" s="338"/>
      <c r="AD11" s="337"/>
      <c r="AE11" s="339"/>
    </row>
    <row r="12" spans="1:31">
      <c r="A12" s="47"/>
      <c r="B12" s="8"/>
      <c r="C12" s="17"/>
      <c r="D12" s="340"/>
      <c r="E12" s="341"/>
      <c r="F12" s="340"/>
      <c r="G12" s="341"/>
      <c r="H12" s="340"/>
      <c r="I12" s="341"/>
      <c r="J12" s="340"/>
      <c r="K12" s="341"/>
      <c r="L12" s="340"/>
      <c r="M12" s="341"/>
      <c r="N12" s="340"/>
      <c r="O12" s="341"/>
      <c r="P12" s="340"/>
      <c r="Q12" s="341"/>
      <c r="R12" s="340"/>
      <c r="S12" s="341"/>
      <c r="T12" s="340"/>
      <c r="U12" s="341"/>
      <c r="V12" s="340"/>
      <c r="W12" s="341"/>
      <c r="X12" s="340"/>
      <c r="Y12" s="341"/>
      <c r="Z12" s="340"/>
      <c r="AA12" s="341"/>
      <c r="AB12" s="340"/>
      <c r="AC12" s="341"/>
      <c r="AD12" s="340"/>
      <c r="AE12" s="342"/>
    </row>
    <row r="13" spans="1:31">
      <c r="A13" s="31" t="s">
        <v>4</v>
      </c>
      <c r="B13" s="4"/>
      <c r="C13" s="10"/>
      <c r="D13" s="340">
        <v>306975</v>
      </c>
      <c r="E13" s="341">
        <v>73231</v>
      </c>
      <c r="F13" s="340">
        <v>1156387</v>
      </c>
      <c r="G13" s="341">
        <v>261639</v>
      </c>
      <c r="H13" s="340">
        <v>283119</v>
      </c>
      <c r="I13" s="341">
        <v>93265</v>
      </c>
      <c r="J13" s="340">
        <v>25908</v>
      </c>
      <c r="K13" s="341">
        <v>15877</v>
      </c>
      <c r="L13" s="340">
        <v>464250</v>
      </c>
      <c r="M13" s="341">
        <v>239365</v>
      </c>
      <c r="N13" s="340">
        <v>239997</v>
      </c>
      <c r="O13" s="341">
        <v>149632</v>
      </c>
      <c r="P13" s="340">
        <v>281133</v>
      </c>
      <c r="Q13" s="341">
        <v>187882</v>
      </c>
      <c r="R13" s="340">
        <v>45845</v>
      </c>
      <c r="S13" s="341">
        <v>34878</v>
      </c>
      <c r="T13" s="340">
        <v>42463</v>
      </c>
      <c r="U13" s="341">
        <v>19249</v>
      </c>
      <c r="V13" s="340">
        <v>42796</v>
      </c>
      <c r="W13" s="341">
        <v>1601</v>
      </c>
      <c r="X13" s="340">
        <v>2663</v>
      </c>
      <c r="Y13" s="341">
        <v>687</v>
      </c>
      <c r="Z13" s="340">
        <v>16478</v>
      </c>
      <c r="AA13" s="341">
        <v>8239</v>
      </c>
      <c r="AB13" s="340">
        <v>15983</v>
      </c>
      <c r="AC13" s="341">
        <v>6819</v>
      </c>
      <c r="AD13" s="340">
        <v>87193</v>
      </c>
      <c r="AE13" s="342">
        <v>15311</v>
      </c>
    </row>
    <row r="14" spans="1:31">
      <c r="A14" s="68" t="s">
        <v>1</v>
      </c>
      <c r="B14" s="111"/>
      <c r="C14" s="245"/>
      <c r="D14" s="343">
        <v>33881</v>
      </c>
      <c r="E14" s="341">
        <v>16448</v>
      </c>
      <c r="F14" s="343">
        <v>266180</v>
      </c>
      <c r="G14" s="341">
        <v>74469</v>
      </c>
      <c r="H14" s="343">
        <v>35969</v>
      </c>
      <c r="I14" s="341">
        <v>26119</v>
      </c>
      <c r="J14" s="343">
        <v>5788</v>
      </c>
      <c r="K14" s="341">
        <v>3533</v>
      </c>
      <c r="L14" s="343">
        <v>66243</v>
      </c>
      <c r="M14" s="341">
        <v>49433</v>
      </c>
      <c r="N14" s="343">
        <v>19714</v>
      </c>
      <c r="O14" s="341">
        <v>18330</v>
      </c>
      <c r="P14" s="343">
        <v>90916</v>
      </c>
      <c r="Q14" s="341">
        <v>111923</v>
      </c>
      <c r="R14" s="343">
        <v>107316</v>
      </c>
      <c r="S14" s="341">
        <v>158907</v>
      </c>
      <c r="T14" s="343">
        <v>38689</v>
      </c>
      <c r="U14" s="341">
        <v>22444</v>
      </c>
      <c r="V14" s="343">
        <v>1395</v>
      </c>
      <c r="W14" s="341">
        <v>1039</v>
      </c>
      <c r="X14" s="343">
        <v>10247</v>
      </c>
      <c r="Y14" s="341">
        <v>3252</v>
      </c>
      <c r="Z14" s="343">
        <v>434</v>
      </c>
      <c r="AA14" s="341">
        <v>464</v>
      </c>
      <c r="AB14" s="343">
        <v>1390</v>
      </c>
      <c r="AC14" s="341">
        <v>998</v>
      </c>
      <c r="AD14" s="343">
        <v>3306</v>
      </c>
      <c r="AE14" s="342">
        <v>2306</v>
      </c>
    </row>
    <row r="15" spans="1:31">
      <c r="A15" s="68" t="s">
        <v>2</v>
      </c>
      <c r="B15" s="111"/>
      <c r="C15" s="245"/>
      <c r="D15" s="343">
        <v>170886</v>
      </c>
      <c r="E15" s="341">
        <v>103642</v>
      </c>
      <c r="F15" s="343">
        <v>1752249</v>
      </c>
      <c r="G15" s="341">
        <v>557616</v>
      </c>
      <c r="H15" s="343">
        <v>64703</v>
      </c>
      <c r="I15" s="341">
        <v>44699</v>
      </c>
      <c r="J15" s="343">
        <v>14032</v>
      </c>
      <c r="K15" s="341">
        <v>9095</v>
      </c>
      <c r="L15" s="343">
        <v>171438</v>
      </c>
      <c r="M15" s="341">
        <v>151606</v>
      </c>
      <c r="N15" s="343">
        <v>53675</v>
      </c>
      <c r="O15" s="341">
        <v>58515</v>
      </c>
      <c r="P15" s="343">
        <v>131408</v>
      </c>
      <c r="Q15" s="341">
        <v>167860</v>
      </c>
      <c r="R15" s="343">
        <v>29505</v>
      </c>
      <c r="S15" s="341">
        <v>26300</v>
      </c>
      <c r="T15" s="343">
        <v>14607</v>
      </c>
      <c r="U15" s="341">
        <v>32945</v>
      </c>
      <c r="V15" s="343">
        <v>1351</v>
      </c>
      <c r="W15" s="341">
        <v>679</v>
      </c>
      <c r="X15" s="343">
        <v>849</v>
      </c>
      <c r="Y15" s="341">
        <v>1117</v>
      </c>
      <c r="Z15" s="343">
        <v>2544</v>
      </c>
      <c r="AA15" s="341">
        <v>2419</v>
      </c>
      <c r="AB15" s="343">
        <v>5634</v>
      </c>
      <c r="AC15" s="341">
        <v>4774</v>
      </c>
      <c r="AD15" s="343">
        <v>29933</v>
      </c>
      <c r="AE15" s="342">
        <v>6028</v>
      </c>
    </row>
    <row r="16" spans="1:31">
      <c r="A16" s="68" t="s">
        <v>3</v>
      </c>
      <c r="B16" s="111"/>
      <c r="C16" s="245"/>
      <c r="D16" s="343">
        <v>183484</v>
      </c>
      <c r="E16" s="341">
        <v>136646</v>
      </c>
      <c r="F16" s="343">
        <v>1435140</v>
      </c>
      <c r="G16" s="341">
        <v>398800</v>
      </c>
      <c r="H16" s="343">
        <v>63764</v>
      </c>
      <c r="I16" s="341">
        <v>24008</v>
      </c>
      <c r="J16" s="343">
        <v>20506</v>
      </c>
      <c r="K16" s="341">
        <v>3948</v>
      </c>
      <c r="L16" s="343">
        <v>187643</v>
      </c>
      <c r="M16" s="341">
        <v>99880</v>
      </c>
      <c r="N16" s="343">
        <v>68375</v>
      </c>
      <c r="O16" s="341">
        <v>42699</v>
      </c>
      <c r="P16" s="343">
        <v>9745</v>
      </c>
      <c r="Q16" s="341">
        <v>4734</v>
      </c>
      <c r="R16" s="343">
        <v>941</v>
      </c>
      <c r="S16" s="341">
        <v>497</v>
      </c>
      <c r="T16" s="343">
        <v>1407</v>
      </c>
      <c r="U16" s="341">
        <v>1052</v>
      </c>
      <c r="V16" s="343">
        <v>215</v>
      </c>
      <c r="W16" s="341">
        <v>39</v>
      </c>
      <c r="X16" s="343">
        <v>158</v>
      </c>
      <c r="Y16" s="341">
        <v>104</v>
      </c>
      <c r="Z16" s="343">
        <v>5845</v>
      </c>
      <c r="AA16" s="341">
        <v>3196</v>
      </c>
      <c r="AB16" s="343">
        <v>3818</v>
      </c>
      <c r="AC16" s="341">
        <v>3326</v>
      </c>
      <c r="AD16" s="343">
        <v>12531</v>
      </c>
      <c r="AE16" s="342">
        <v>3953</v>
      </c>
    </row>
    <row r="17" spans="1:31">
      <c r="A17" s="68"/>
      <c r="B17" s="111"/>
      <c r="C17" s="245"/>
      <c r="D17" s="343"/>
      <c r="E17" s="344"/>
      <c r="F17" s="343"/>
      <c r="G17" s="344"/>
      <c r="H17" s="343"/>
      <c r="I17" s="344"/>
      <c r="J17" s="343"/>
      <c r="K17" s="344"/>
      <c r="L17" s="343"/>
      <c r="M17" s="344"/>
      <c r="N17" s="343"/>
      <c r="O17" s="344"/>
      <c r="P17" s="343"/>
      <c r="Q17" s="344"/>
      <c r="R17" s="343"/>
      <c r="S17" s="344"/>
      <c r="T17" s="343"/>
      <c r="U17" s="344"/>
      <c r="V17" s="343"/>
      <c r="W17" s="344"/>
      <c r="X17" s="343"/>
      <c r="Y17" s="344"/>
      <c r="Z17" s="343"/>
      <c r="AA17" s="344"/>
      <c r="AB17" s="343"/>
      <c r="AC17" s="344"/>
      <c r="AD17" s="343"/>
      <c r="AE17" s="345"/>
    </row>
    <row r="18" spans="1:31" ht="16" thickBot="1">
      <c r="A18" s="144" t="s">
        <v>5</v>
      </c>
      <c r="B18" s="242"/>
      <c r="C18" s="246"/>
      <c r="D18" s="346"/>
      <c r="E18" s="347"/>
      <c r="F18" s="346"/>
      <c r="G18" s="347"/>
      <c r="H18" s="346"/>
      <c r="I18" s="347"/>
      <c r="J18" s="346"/>
      <c r="K18" s="347"/>
      <c r="L18" s="346"/>
      <c r="M18" s="347"/>
      <c r="N18" s="346"/>
      <c r="O18" s="347"/>
      <c r="P18" s="346"/>
      <c r="Q18" s="347"/>
      <c r="R18" s="346"/>
      <c r="S18" s="347"/>
      <c r="T18" s="346"/>
      <c r="U18" s="347"/>
      <c r="V18" s="346"/>
      <c r="W18" s="347"/>
      <c r="X18" s="346"/>
      <c r="Y18" s="347"/>
      <c r="Z18" s="346"/>
      <c r="AA18" s="347"/>
      <c r="AB18" s="346"/>
      <c r="AC18" s="347"/>
      <c r="AD18" s="346"/>
      <c r="AE18" s="348"/>
    </row>
    <row r="19" spans="1:31">
      <c r="A19" s="100">
        <v>1</v>
      </c>
      <c r="B19" s="4" t="s">
        <v>300</v>
      </c>
      <c r="C19" s="17" t="s">
        <v>376</v>
      </c>
      <c r="D19" s="355">
        <v>927</v>
      </c>
      <c r="E19" s="354">
        <v>494</v>
      </c>
      <c r="F19" s="355">
        <v>4880</v>
      </c>
      <c r="G19" s="354">
        <v>2234</v>
      </c>
      <c r="H19" s="355">
        <v>383</v>
      </c>
      <c r="I19" s="354">
        <v>549</v>
      </c>
      <c r="J19" s="355">
        <v>99</v>
      </c>
      <c r="K19" s="354">
        <v>131</v>
      </c>
      <c r="L19" s="355">
        <v>876</v>
      </c>
      <c r="M19" s="349">
        <v>908</v>
      </c>
      <c r="N19" s="355">
        <v>520</v>
      </c>
      <c r="O19" s="354">
        <v>482</v>
      </c>
      <c r="P19" s="355">
        <v>398</v>
      </c>
      <c r="Q19" s="352">
        <v>968</v>
      </c>
      <c r="R19" s="355">
        <v>79</v>
      </c>
      <c r="S19" s="379">
        <v>91</v>
      </c>
      <c r="T19" s="352">
        <v>95</v>
      </c>
      <c r="U19" s="379">
        <v>54</v>
      </c>
      <c r="V19" s="352">
        <v>56</v>
      </c>
      <c r="W19" s="379">
        <v>13</v>
      </c>
      <c r="X19" s="352">
        <v>10</v>
      </c>
      <c r="Y19" s="379">
        <v>6</v>
      </c>
      <c r="Z19" s="352">
        <v>145</v>
      </c>
      <c r="AA19" s="379">
        <v>101</v>
      </c>
      <c r="AB19" s="355">
        <v>53</v>
      </c>
      <c r="AC19" s="354">
        <v>294</v>
      </c>
      <c r="AD19" s="355">
        <v>1013</v>
      </c>
      <c r="AE19" s="353">
        <v>273</v>
      </c>
    </row>
    <row r="20" spans="1:31">
      <c r="A20" s="100">
        <v>2</v>
      </c>
      <c r="B20" s="4" t="s">
        <v>88</v>
      </c>
      <c r="C20" s="10"/>
      <c r="D20" s="355">
        <v>1024</v>
      </c>
      <c r="E20" s="354">
        <v>105</v>
      </c>
      <c r="F20" s="355">
        <v>6138</v>
      </c>
      <c r="G20" s="354">
        <v>625</v>
      </c>
      <c r="H20" s="355">
        <v>981</v>
      </c>
      <c r="I20" s="354">
        <v>198</v>
      </c>
      <c r="J20" s="355">
        <v>104</v>
      </c>
      <c r="K20" s="354">
        <v>26</v>
      </c>
      <c r="L20" s="355">
        <v>2080</v>
      </c>
      <c r="M20" s="349">
        <v>352</v>
      </c>
      <c r="N20" s="355">
        <v>884</v>
      </c>
      <c r="O20" s="354">
        <v>558</v>
      </c>
      <c r="P20" s="355">
        <v>2904</v>
      </c>
      <c r="Q20" s="352">
        <v>758</v>
      </c>
      <c r="R20" s="355">
        <v>134</v>
      </c>
      <c r="S20" s="379">
        <v>15</v>
      </c>
      <c r="T20" s="352">
        <v>187</v>
      </c>
      <c r="U20" s="379">
        <v>4</v>
      </c>
      <c r="V20" s="352">
        <v>45</v>
      </c>
      <c r="W20" s="379">
        <v>7</v>
      </c>
      <c r="X20" s="352">
        <v>9</v>
      </c>
      <c r="Y20" s="379"/>
      <c r="Z20" s="352">
        <v>67</v>
      </c>
      <c r="AA20" s="379">
        <v>56</v>
      </c>
      <c r="AB20" s="355">
        <v>330</v>
      </c>
      <c r="AC20" s="354">
        <v>52</v>
      </c>
      <c r="AD20" s="355">
        <v>818</v>
      </c>
      <c r="AE20" s="353">
        <v>43</v>
      </c>
    </row>
    <row r="21" spans="1:31">
      <c r="A21" s="100">
        <v>3</v>
      </c>
      <c r="B21" s="4" t="s">
        <v>89</v>
      </c>
      <c r="C21" s="10"/>
      <c r="D21" s="355">
        <v>3161</v>
      </c>
      <c r="E21" s="354">
        <v>485</v>
      </c>
      <c r="F21" s="355">
        <v>5632</v>
      </c>
      <c r="G21" s="354">
        <v>1113</v>
      </c>
      <c r="H21" s="355">
        <v>4071</v>
      </c>
      <c r="I21" s="354">
        <v>2127</v>
      </c>
      <c r="J21" s="355">
        <v>351</v>
      </c>
      <c r="K21" s="354">
        <v>195</v>
      </c>
      <c r="L21" s="355">
        <v>27621</v>
      </c>
      <c r="M21" s="349">
        <v>21723</v>
      </c>
      <c r="N21" s="355">
        <v>2150</v>
      </c>
      <c r="O21" s="354">
        <v>1043</v>
      </c>
      <c r="P21" s="355">
        <v>9938</v>
      </c>
      <c r="Q21" s="352">
        <v>4375</v>
      </c>
      <c r="R21" s="355">
        <v>711</v>
      </c>
      <c r="S21" s="379">
        <v>634</v>
      </c>
      <c r="T21" s="352">
        <v>566</v>
      </c>
      <c r="U21" s="379">
        <v>329</v>
      </c>
      <c r="V21" s="352">
        <v>266</v>
      </c>
      <c r="W21" s="379">
        <v>25</v>
      </c>
      <c r="X21" s="352">
        <v>41</v>
      </c>
      <c r="Y21" s="379">
        <v>51</v>
      </c>
      <c r="Z21" s="352">
        <v>41</v>
      </c>
      <c r="AA21" s="379">
        <v>15</v>
      </c>
      <c r="AB21" s="355">
        <v>59</v>
      </c>
      <c r="AC21" s="354">
        <v>45</v>
      </c>
      <c r="AD21" s="355">
        <v>733</v>
      </c>
      <c r="AE21" s="353">
        <v>1043</v>
      </c>
    </row>
    <row r="22" spans="1:31">
      <c r="A22" s="100">
        <v>4</v>
      </c>
      <c r="B22" s="4" t="s">
        <v>90</v>
      </c>
      <c r="C22" s="10"/>
      <c r="D22" s="355">
        <v>5270</v>
      </c>
      <c r="E22" s="354">
        <v>1217</v>
      </c>
      <c r="F22" s="355">
        <v>58962</v>
      </c>
      <c r="G22" s="354">
        <v>11402</v>
      </c>
      <c r="H22" s="355">
        <v>2537</v>
      </c>
      <c r="I22" s="354">
        <v>1673</v>
      </c>
      <c r="J22" s="355">
        <v>902</v>
      </c>
      <c r="K22" s="354">
        <v>151</v>
      </c>
      <c r="L22" s="355">
        <v>5169</v>
      </c>
      <c r="M22" s="349">
        <v>2020</v>
      </c>
      <c r="N22" s="355">
        <v>4018</v>
      </c>
      <c r="O22" s="354">
        <v>1495</v>
      </c>
      <c r="P22" s="355">
        <v>409</v>
      </c>
      <c r="Q22" s="352">
        <v>100</v>
      </c>
      <c r="R22" s="355">
        <v>15</v>
      </c>
      <c r="S22" s="379">
        <v>22</v>
      </c>
      <c r="T22" s="352">
        <v>36</v>
      </c>
      <c r="U22" s="379">
        <v>113</v>
      </c>
      <c r="V22" s="352">
        <v>25</v>
      </c>
      <c r="W22" s="379"/>
      <c r="X22" s="352"/>
      <c r="Y22" s="379"/>
      <c r="Z22" s="352">
        <v>540</v>
      </c>
      <c r="AA22" s="379">
        <v>288</v>
      </c>
      <c r="AB22" s="355">
        <v>318</v>
      </c>
      <c r="AC22" s="354">
        <v>213</v>
      </c>
      <c r="AD22" s="355">
        <v>1309</v>
      </c>
      <c r="AE22" s="353">
        <v>4</v>
      </c>
    </row>
    <row r="23" spans="1:31">
      <c r="A23" s="100">
        <v>5</v>
      </c>
      <c r="B23" s="4" t="s">
        <v>91</v>
      </c>
      <c r="C23" s="10"/>
      <c r="D23" s="355">
        <v>352</v>
      </c>
      <c r="E23" s="354">
        <v>131</v>
      </c>
      <c r="F23" s="355">
        <v>3336</v>
      </c>
      <c r="G23" s="354">
        <v>749</v>
      </c>
      <c r="H23" s="355">
        <v>174</v>
      </c>
      <c r="I23" s="354">
        <v>98</v>
      </c>
      <c r="J23" s="355">
        <v>47</v>
      </c>
      <c r="K23" s="354">
        <v>43</v>
      </c>
      <c r="L23" s="355">
        <v>1347</v>
      </c>
      <c r="M23" s="349">
        <v>310</v>
      </c>
      <c r="N23" s="355">
        <v>89</v>
      </c>
      <c r="O23" s="354">
        <v>89</v>
      </c>
      <c r="P23" s="355">
        <v>1184</v>
      </c>
      <c r="Q23" s="352">
        <v>386</v>
      </c>
      <c r="R23" s="355">
        <v>619</v>
      </c>
      <c r="S23" s="379">
        <v>44</v>
      </c>
      <c r="T23" s="352">
        <v>133</v>
      </c>
      <c r="U23" s="379">
        <v>34</v>
      </c>
      <c r="V23" s="352">
        <v>24</v>
      </c>
      <c r="W23" s="379">
        <v>3</v>
      </c>
      <c r="X23" s="352">
        <v>3</v>
      </c>
      <c r="Y23" s="379">
        <v>19</v>
      </c>
      <c r="Z23" s="352"/>
      <c r="AA23" s="379"/>
      <c r="AB23" s="355"/>
      <c r="AC23" s="354"/>
      <c r="AD23" s="355">
        <v>432</v>
      </c>
      <c r="AE23" s="353">
        <v>30</v>
      </c>
    </row>
    <row r="24" spans="1:31" ht="15">
      <c r="A24" s="100">
        <v>6</v>
      </c>
      <c r="B24" s="4" t="s">
        <v>92</v>
      </c>
      <c r="C24" s="248"/>
      <c r="D24" s="357">
        <v>4621</v>
      </c>
      <c r="E24" s="354">
        <v>902</v>
      </c>
      <c r="F24" s="357">
        <v>59508</v>
      </c>
      <c r="G24" s="354">
        <v>8508</v>
      </c>
      <c r="H24" s="357">
        <v>2925</v>
      </c>
      <c r="I24" s="354">
        <v>2126</v>
      </c>
      <c r="J24" s="357">
        <v>903</v>
      </c>
      <c r="K24" s="354">
        <v>148</v>
      </c>
      <c r="L24" s="357">
        <v>4075</v>
      </c>
      <c r="M24" s="349">
        <v>1829</v>
      </c>
      <c r="N24" s="357">
        <v>4349</v>
      </c>
      <c r="O24" s="354">
        <v>1785</v>
      </c>
      <c r="P24" s="357">
        <v>311</v>
      </c>
      <c r="Q24" s="352">
        <v>89</v>
      </c>
      <c r="R24" s="357">
        <v>20</v>
      </c>
      <c r="S24" s="379">
        <v>5</v>
      </c>
      <c r="T24" s="351">
        <v>75</v>
      </c>
      <c r="U24" s="379">
        <v>68</v>
      </c>
      <c r="V24" s="351">
        <v>8</v>
      </c>
      <c r="W24" s="379"/>
      <c r="X24" s="351">
        <v>13</v>
      </c>
      <c r="Y24" s="379"/>
      <c r="Z24" s="351">
        <v>549</v>
      </c>
      <c r="AA24" s="379">
        <v>193</v>
      </c>
      <c r="AB24" s="357">
        <v>916</v>
      </c>
      <c r="AC24" s="354">
        <v>91</v>
      </c>
      <c r="AD24" s="357">
        <v>1195</v>
      </c>
      <c r="AE24" s="353">
        <v>50</v>
      </c>
    </row>
    <row r="25" spans="1:31">
      <c r="A25" s="100">
        <v>7</v>
      </c>
      <c r="B25" s="4" t="s">
        <v>93</v>
      </c>
      <c r="C25" s="17"/>
      <c r="D25" s="355">
        <v>1283</v>
      </c>
      <c r="E25" s="354">
        <v>671</v>
      </c>
      <c r="F25" s="355">
        <v>27147</v>
      </c>
      <c r="G25" s="354">
        <v>14605</v>
      </c>
      <c r="H25" s="355">
        <v>3037</v>
      </c>
      <c r="I25" s="354">
        <v>1276</v>
      </c>
      <c r="J25" s="355">
        <v>237</v>
      </c>
      <c r="K25" s="354">
        <v>130</v>
      </c>
      <c r="L25" s="355">
        <v>3009</v>
      </c>
      <c r="M25" s="349">
        <v>1684</v>
      </c>
      <c r="N25" s="355">
        <v>968</v>
      </c>
      <c r="O25" s="354">
        <v>420</v>
      </c>
      <c r="P25" s="355"/>
      <c r="Q25" s="352"/>
      <c r="R25" s="355"/>
      <c r="S25" s="379"/>
      <c r="T25" s="352"/>
      <c r="U25" s="379"/>
      <c r="V25" s="352"/>
      <c r="W25" s="379"/>
      <c r="X25" s="352"/>
      <c r="Y25" s="379"/>
      <c r="Z25" s="352">
        <v>117</v>
      </c>
      <c r="AA25" s="379">
        <v>85</v>
      </c>
      <c r="AB25" s="355">
        <v>63</v>
      </c>
      <c r="AC25" s="354">
        <v>64</v>
      </c>
      <c r="AD25" s="355">
        <v>104</v>
      </c>
      <c r="AE25" s="353">
        <v>33</v>
      </c>
    </row>
    <row r="26" spans="1:31">
      <c r="A26" s="100">
        <v>8</v>
      </c>
      <c r="B26" s="4" t="s">
        <v>94</v>
      </c>
      <c r="C26" s="10"/>
      <c r="D26" s="355">
        <v>459</v>
      </c>
      <c r="E26" s="354">
        <v>204</v>
      </c>
      <c r="F26" s="355">
        <v>4559</v>
      </c>
      <c r="G26" s="354">
        <v>1673</v>
      </c>
      <c r="H26" s="355">
        <v>143</v>
      </c>
      <c r="I26" s="354">
        <v>52</v>
      </c>
      <c r="J26" s="355">
        <v>121</v>
      </c>
      <c r="K26" s="354">
        <v>38</v>
      </c>
      <c r="L26" s="355">
        <v>348</v>
      </c>
      <c r="M26" s="349">
        <v>773</v>
      </c>
      <c r="N26" s="355">
        <v>340</v>
      </c>
      <c r="O26" s="354">
        <v>259</v>
      </c>
      <c r="P26" s="355">
        <v>1510</v>
      </c>
      <c r="Q26" s="352">
        <v>744</v>
      </c>
      <c r="R26" s="355">
        <v>114</v>
      </c>
      <c r="S26" s="379">
        <v>40</v>
      </c>
      <c r="T26" s="352">
        <v>19</v>
      </c>
      <c r="U26" s="379">
        <v>16</v>
      </c>
      <c r="V26" s="352">
        <v>1</v>
      </c>
      <c r="W26" s="379">
        <v>13</v>
      </c>
      <c r="X26" s="352"/>
      <c r="Y26" s="379">
        <v>5</v>
      </c>
      <c r="Z26" s="352">
        <v>18</v>
      </c>
      <c r="AA26" s="379">
        <v>47</v>
      </c>
      <c r="AB26" s="355">
        <v>1</v>
      </c>
      <c r="AC26" s="354">
        <v>9</v>
      </c>
      <c r="AD26" s="355">
        <v>651</v>
      </c>
      <c r="AE26" s="353">
        <v>165</v>
      </c>
    </row>
    <row r="27" spans="1:31">
      <c r="A27" s="100">
        <v>9</v>
      </c>
      <c r="B27" s="4" t="s">
        <v>95</v>
      </c>
      <c r="C27" s="10"/>
      <c r="D27" s="355">
        <v>802</v>
      </c>
      <c r="E27" s="354">
        <v>336</v>
      </c>
      <c r="F27" s="355">
        <v>1735</v>
      </c>
      <c r="G27" s="354">
        <v>410</v>
      </c>
      <c r="H27" s="355">
        <v>1231</v>
      </c>
      <c r="I27" s="354">
        <v>464</v>
      </c>
      <c r="J27" s="355">
        <v>15</v>
      </c>
      <c r="K27" s="354">
        <v>4</v>
      </c>
      <c r="L27" s="355">
        <v>50067</v>
      </c>
      <c r="M27" s="349">
        <v>43828</v>
      </c>
      <c r="N27" s="355">
        <v>1591</v>
      </c>
      <c r="O27" s="354">
        <v>621</v>
      </c>
      <c r="P27" s="355">
        <v>31753</v>
      </c>
      <c r="Q27" s="352">
        <v>19945</v>
      </c>
      <c r="R27" s="355">
        <v>2145</v>
      </c>
      <c r="S27" s="379">
        <v>3022</v>
      </c>
      <c r="T27" s="352">
        <v>13153</v>
      </c>
      <c r="U27" s="379">
        <v>1622</v>
      </c>
      <c r="V27" s="352">
        <v>22</v>
      </c>
      <c r="W27" s="379"/>
      <c r="X27" s="352">
        <v>7</v>
      </c>
      <c r="Y27" s="379">
        <v>6</v>
      </c>
      <c r="Z27" s="352"/>
      <c r="AA27" s="379"/>
      <c r="AB27" s="355"/>
      <c r="AC27" s="354"/>
      <c r="AD27" s="355">
        <v>44</v>
      </c>
      <c r="AE27" s="353">
        <v>11</v>
      </c>
    </row>
    <row r="28" spans="1:31">
      <c r="A28" s="100">
        <v>10</v>
      </c>
      <c r="B28" s="4" t="s">
        <v>96</v>
      </c>
      <c r="C28" s="10"/>
      <c r="D28" s="355">
        <v>1553</v>
      </c>
      <c r="E28" s="354">
        <v>460</v>
      </c>
      <c r="F28" s="355">
        <v>8452</v>
      </c>
      <c r="G28" s="354">
        <v>1136</v>
      </c>
      <c r="H28" s="355">
        <v>810</v>
      </c>
      <c r="I28" s="354">
        <v>232</v>
      </c>
      <c r="J28" s="355">
        <v>455</v>
      </c>
      <c r="K28" s="354">
        <v>50</v>
      </c>
      <c r="L28" s="355">
        <v>2977</v>
      </c>
      <c r="M28" s="349">
        <v>839</v>
      </c>
      <c r="N28" s="355">
        <v>1807</v>
      </c>
      <c r="O28" s="354">
        <v>653</v>
      </c>
      <c r="P28" s="355">
        <v>753</v>
      </c>
      <c r="Q28" s="352">
        <v>362</v>
      </c>
      <c r="R28" s="355">
        <v>134</v>
      </c>
      <c r="S28" s="379">
        <v>37</v>
      </c>
      <c r="T28" s="352">
        <v>174</v>
      </c>
      <c r="U28" s="379">
        <v>51</v>
      </c>
      <c r="V28" s="352">
        <v>12</v>
      </c>
      <c r="W28" s="379">
        <v>1</v>
      </c>
      <c r="X28" s="352">
        <v>3</v>
      </c>
      <c r="Y28" s="379"/>
      <c r="Z28" s="352">
        <v>296</v>
      </c>
      <c r="AA28" s="379">
        <v>104</v>
      </c>
      <c r="AB28" s="355">
        <v>53</v>
      </c>
      <c r="AC28" s="354">
        <v>20</v>
      </c>
      <c r="AD28" s="355">
        <v>2072</v>
      </c>
      <c r="AE28" s="353">
        <v>382</v>
      </c>
    </row>
    <row r="29" spans="1:31">
      <c r="A29" s="100">
        <v>11</v>
      </c>
      <c r="B29" s="4" t="s">
        <v>97</v>
      </c>
      <c r="C29" s="10"/>
      <c r="D29" s="355">
        <v>983</v>
      </c>
      <c r="E29" s="354">
        <v>200</v>
      </c>
      <c r="F29" s="355">
        <v>4080</v>
      </c>
      <c r="G29" s="354">
        <v>475</v>
      </c>
      <c r="H29" s="355">
        <v>1001</v>
      </c>
      <c r="I29" s="354">
        <v>122</v>
      </c>
      <c r="J29" s="355">
        <v>316</v>
      </c>
      <c r="K29" s="354">
        <v>35</v>
      </c>
      <c r="L29" s="355">
        <v>1712</v>
      </c>
      <c r="M29" s="349">
        <v>376</v>
      </c>
      <c r="N29" s="355">
        <v>995</v>
      </c>
      <c r="O29" s="354">
        <v>195</v>
      </c>
      <c r="P29" s="355">
        <v>1035</v>
      </c>
      <c r="Q29" s="352">
        <v>641</v>
      </c>
      <c r="R29" s="355">
        <v>138</v>
      </c>
      <c r="S29" s="379">
        <v>26</v>
      </c>
      <c r="T29" s="352">
        <v>209</v>
      </c>
      <c r="U29" s="379">
        <v>43</v>
      </c>
      <c r="V29" s="352">
        <v>52</v>
      </c>
      <c r="W29" s="379">
        <v>6</v>
      </c>
      <c r="X29" s="352">
        <v>5</v>
      </c>
      <c r="Y29" s="379">
        <v>2</v>
      </c>
      <c r="Z29" s="352">
        <v>81</v>
      </c>
      <c r="AA29" s="379">
        <v>28</v>
      </c>
      <c r="AB29" s="355">
        <v>417</v>
      </c>
      <c r="AC29" s="354">
        <v>71</v>
      </c>
      <c r="AD29" s="355">
        <v>124</v>
      </c>
      <c r="AE29" s="353">
        <v>20</v>
      </c>
    </row>
    <row r="30" spans="1:31" ht="15">
      <c r="A30" s="100">
        <v>12</v>
      </c>
      <c r="B30" s="4" t="s">
        <v>98</v>
      </c>
      <c r="C30" s="248"/>
      <c r="D30" s="357">
        <v>343</v>
      </c>
      <c r="E30" s="354">
        <v>95</v>
      </c>
      <c r="F30" s="357">
        <v>8920</v>
      </c>
      <c r="G30" s="354">
        <v>1770</v>
      </c>
      <c r="H30" s="357">
        <v>455</v>
      </c>
      <c r="I30" s="354">
        <v>286</v>
      </c>
      <c r="J30" s="357">
        <v>14</v>
      </c>
      <c r="K30" s="354">
        <v>4</v>
      </c>
      <c r="L30" s="357">
        <v>932</v>
      </c>
      <c r="M30" s="349">
        <v>212</v>
      </c>
      <c r="N30" s="357">
        <v>8740</v>
      </c>
      <c r="O30" s="354">
        <v>2370</v>
      </c>
      <c r="P30" s="357">
        <v>330</v>
      </c>
      <c r="Q30" s="352">
        <v>556</v>
      </c>
      <c r="R30" s="357">
        <v>30</v>
      </c>
      <c r="S30" s="379">
        <v>37</v>
      </c>
      <c r="T30" s="351">
        <v>91</v>
      </c>
      <c r="U30" s="379">
        <v>23</v>
      </c>
      <c r="V30" s="351"/>
      <c r="W30" s="379"/>
      <c r="X30" s="351">
        <v>11</v>
      </c>
      <c r="Y30" s="379"/>
      <c r="Z30" s="351"/>
      <c r="AA30" s="379"/>
      <c r="AB30" s="357">
        <v>2</v>
      </c>
      <c r="AC30" s="354"/>
      <c r="AD30" s="357">
        <v>367</v>
      </c>
      <c r="AE30" s="353">
        <v>16</v>
      </c>
    </row>
    <row r="31" spans="1:31">
      <c r="A31" s="100">
        <v>13</v>
      </c>
      <c r="B31" s="4" t="s">
        <v>99</v>
      </c>
      <c r="C31" s="17"/>
      <c r="D31" s="355">
        <v>800</v>
      </c>
      <c r="E31" s="354">
        <v>286</v>
      </c>
      <c r="F31" s="355">
        <v>5426</v>
      </c>
      <c r="G31" s="354">
        <v>1097</v>
      </c>
      <c r="H31" s="355">
        <v>328</v>
      </c>
      <c r="I31" s="354">
        <v>168</v>
      </c>
      <c r="J31" s="355">
        <v>158</v>
      </c>
      <c r="K31" s="354">
        <v>30</v>
      </c>
      <c r="L31" s="355">
        <v>1204</v>
      </c>
      <c r="M31" s="349">
        <v>1205</v>
      </c>
      <c r="N31" s="355">
        <v>641</v>
      </c>
      <c r="O31" s="354">
        <v>1292</v>
      </c>
      <c r="P31" s="355">
        <v>478</v>
      </c>
      <c r="Q31" s="352">
        <v>197</v>
      </c>
      <c r="R31" s="355">
        <v>35</v>
      </c>
      <c r="S31" s="379">
        <v>21</v>
      </c>
      <c r="T31" s="352">
        <v>25</v>
      </c>
      <c r="U31" s="379">
        <v>11</v>
      </c>
      <c r="V31" s="352">
        <v>5</v>
      </c>
      <c r="W31" s="379">
        <v>2</v>
      </c>
      <c r="X31" s="352">
        <v>1</v>
      </c>
      <c r="Y31" s="379">
        <v>1</v>
      </c>
      <c r="Z31" s="352">
        <v>138</v>
      </c>
      <c r="AA31" s="379">
        <v>31</v>
      </c>
      <c r="AB31" s="355">
        <v>44</v>
      </c>
      <c r="AC31" s="354">
        <v>14</v>
      </c>
      <c r="AD31" s="355">
        <v>2831</v>
      </c>
      <c r="AE31" s="353">
        <v>5</v>
      </c>
    </row>
    <row r="32" spans="1:31">
      <c r="A32" s="100">
        <v>14</v>
      </c>
      <c r="B32" s="4" t="s">
        <v>100</v>
      </c>
      <c r="C32" s="10"/>
      <c r="D32" s="355">
        <v>1933</v>
      </c>
      <c r="E32" s="354">
        <v>678</v>
      </c>
      <c r="F32" s="355">
        <v>15712</v>
      </c>
      <c r="G32" s="354">
        <v>4513</v>
      </c>
      <c r="H32" s="355">
        <v>1950</v>
      </c>
      <c r="I32" s="354">
        <v>820</v>
      </c>
      <c r="J32" s="355">
        <v>117</v>
      </c>
      <c r="K32" s="354">
        <v>17</v>
      </c>
      <c r="L32" s="355">
        <v>13934</v>
      </c>
      <c r="M32" s="349">
        <v>11220</v>
      </c>
      <c r="N32" s="355">
        <v>6646</v>
      </c>
      <c r="O32" s="354">
        <v>4491</v>
      </c>
      <c r="P32" s="355">
        <v>1685</v>
      </c>
      <c r="Q32" s="352">
        <v>2084</v>
      </c>
      <c r="R32" s="355">
        <v>175</v>
      </c>
      <c r="S32" s="379">
        <v>274</v>
      </c>
      <c r="T32" s="352">
        <v>345</v>
      </c>
      <c r="U32" s="379">
        <v>111</v>
      </c>
      <c r="V32" s="352">
        <v>10</v>
      </c>
      <c r="W32" s="379">
        <v>5</v>
      </c>
      <c r="X32" s="352">
        <v>21</v>
      </c>
      <c r="Y32" s="379">
        <v>4</v>
      </c>
      <c r="Z32" s="352">
        <v>559</v>
      </c>
      <c r="AA32" s="379">
        <v>96</v>
      </c>
      <c r="AB32" s="355"/>
      <c r="AC32" s="354"/>
      <c r="AD32" s="355">
        <v>1075</v>
      </c>
      <c r="AE32" s="353">
        <v>319</v>
      </c>
    </row>
    <row r="33" spans="1:31">
      <c r="A33" s="100">
        <v>15</v>
      </c>
      <c r="B33" s="4" t="s">
        <v>101</v>
      </c>
      <c r="C33" s="10"/>
      <c r="D33" s="355">
        <v>447</v>
      </c>
      <c r="E33" s="354">
        <v>508</v>
      </c>
      <c r="F33" s="355">
        <v>10744</v>
      </c>
      <c r="G33" s="354">
        <v>8481</v>
      </c>
      <c r="H33" s="355">
        <v>1112</v>
      </c>
      <c r="I33" s="354">
        <v>752</v>
      </c>
      <c r="J33" s="355">
        <v>79</v>
      </c>
      <c r="K33" s="354">
        <v>41</v>
      </c>
      <c r="L33" s="355">
        <v>2721</v>
      </c>
      <c r="M33" s="349">
        <v>813</v>
      </c>
      <c r="N33" s="355">
        <v>2051</v>
      </c>
      <c r="O33" s="354">
        <v>795</v>
      </c>
      <c r="P33" s="355">
        <v>1125</v>
      </c>
      <c r="Q33" s="352">
        <v>313</v>
      </c>
      <c r="R33" s="355">
        <v>71</v>
      </c>
      <c r="S33" s="379">
        <v>6</v>
      </c>
      <c r="T33" s="352">
        <v>81</v>
      </c>
      <c r="U33" s="379">
        <v>7</v>
      </c>
      <c r="V33" s="352">
        <v>2</v>
      </c>
      <c r="W33" s="379"/>
      <c r="X33" s="352">
        <v>1</v>
      </c>
      <c r="Y33" s="379"/>
      <c r="Z33" s="352">
        <v>319</v>
      </c>
      <c r="AA33" s="379">
        <v>183</v>
      </c>
      <c r="AB33" s="355">
        <v>21</v>
      </c>
      <c r="AC33" s="354">
        <v>30</v>
      </c>
      <c r="AD33" s="355">
        <v>3302</v>
      </c>
      <c r="AE33" s="353">
        <v>239</v>
      </c>
    </row>
    <row r="34" spans="1:31">
      <c r="A34" s="100">
        <v>16</v>
      </c>
      <c r="B34" s="4" t="s">
        <v>102</v>
      </c>
      <c r="C34" s="10"/>
      <c r="D34" s="355">
        <v>2414</v>
      </c>
      <c r="E34" s="354">
        <v>258</v>
      </c>
      <c r="F34" s="355">
        <v>10125</v>
      </c>
      <c r="G34" s="354">
        <v>3140</v>
      </c>
      <c r="H34" s="355">
        <v>2846</v>
      </c>
      <c r="I34" s="354">
        <v>725</v>
      </c>
      <c r="J34" s="355">
        <v>471</v>
      </c>
      <c r="K34" s="354">
        <v>342</v>
      </c>
      <c r="L34" s="355">
        <v>6342</v>
      </c>
      <c r="M34" s="349">
        <v>2590</v>
      </c>
      <c r="N34" s="355">
        <v>7742</v>
      </c>
      <c r="O34" s="354">
        <v>1946</v>
      </c>
      <c r="P34" s="355">
        <v>1156</v>
      </c>
      <c r="Q34" s="352">
        <v>277</v>
      </c>
      <c r="R34" s="355">
        <v>134</v>
      </c>
      <c r="S34" s="379">
        <v>53</v>
      </c>
      <c r="T34" s="352">
        <v>697</v>
      </c>
      <c r="U34" s="379">
        <v>52</v>
      </c>
      <c r="V34" s="352">
        <v>25</v>
      </c>
      <c r="W34" s="379">
        <v>4</v>
      </c>
      <c r="X34" s="352">
        <v>54</v>
      </c>
      <c r="Y34" s="379">
        <v>3</v>
      </c>
      <c r="Z34" s="352">
        <v>238</v>
      </c>
      <c r="AA34" s="379">
        <v>95</v>
      </c>
      <c r="AB34" s="355">
        <v>9</v>
      </c>
      <c r="AC34" s="354">
        <v>2</v>
      </c>
      <c r="AD34" s="355">
        <v>653</v>
      </c>
      <c r="AE34" s="353">
        <v>70</v>
      </c>
    </row>
    <row r="35" spans="1:31">
      <c r="A35" s="100">
        <v>17</v>
      </c>
      <c r="B35" s="4" t="s">
        <v>301</v>
      </c>
      <c r="C35" s="10"/>
      <c r="D35" s="355">
        <v>961</v>
      </c>
      <c r="E35" s="354">
        <v>120</v>
      </c>
      <c r="F35" s="355">
        <v>5441</v>
      </c>
      <c r="G35" s="354">
        <v>686</v>
      </c>
      <c r="H35" s="355">
        <v>452</v>
      </c>
      <c r="I35" s="354">
        <v>93</v>
      </c>
      <c r="J35" s="355">
        <v>88</v>
      </c>
      <c r="K35" s="354">
        <v>16</v>
      </c>
      <c r="L35" s="355">
        <v>1756</v>
      </c>
      <c r="M35" s="349">
        <v>361</v>
      </c>
      <c r="N35" s="355">
        <v>1260</v>
      </c>
      <c r="O35" s="354">
        <v>1780</v>
      </c>
      <c r="P35" s="355">
        <v>132</v>
      </c>
      <c r="Q35" s="352">
        <v>36</v>
      </c>
      <c r="R35" s="355">
        <v>32</v>
      </c>
      <c r="S35" s="379">
        <v>16</v>
      </c>
      <c r="T35" s="352">
        <v>17</v>
      </c>
      <c r="U35" s="379">
        <v>4</v>
      </c>
      <c r="V35" s="352"/>
      <c r="W35" s="379"/>
      <c r="X35" s="352"/>
      <c r="Y35" s="379"/>
      <c r="Z35" s="352">
        <v>273</v>
      </c>
      <c r="AA35" s="379">
        <v>36</v>
      </c>
      <c r="AB35" s="355">
        <v>5</v>
      </c>
      <c r="AC35" s="354"/>
      <c r="AD35" s="355">
        <v>5348</v>
      </c>
      <c r="AE35" s="353">
        <v>220</v>
      </c>
    </row>
    <row r="36" spans="1:31" ht="15">
      <c r="A36" s="100">
        <v>18</v>
      </c>
      <c r="B36" s="4" t="s">
        <v>302</v>
      </c>
      <c r="C36" s="248"/>
      <c r="D36" s="357">
        <v>2345</v>
      </c>
      <c r="E36" s="354">
        <v>320</v>
      </c>
      <c r="F36" s="357">
        <v>13198</v>
      </c>
      <c r="G36" s="354">
        <v>1167</v>
      </c>
      <c r="H36" s="357">
        <v>2547</v>
      </c>
      <c r="I36" s="354">
        <v>415</v>
      </c>
      <c r="J36" s="357">
        <v>471</v>
      </c>
      <c r="K36" s="354">
        <v>35</v>
      </c>
      <c r="L36" s="357">
        <v>8545</v>
      </c>
      <c r="M36" s="349">
        <v>1612</v>
      </c>
      <c r="N36" s="357">
        <v>4379</v>
      </c>
      <c r="O36" s="354">
        <v>741</v>
      </c>
      <c r="P36" s="357">
        <v>1235</v>
      </c>
      <c r="Q36" s="352">
        <v>1992</v>
      </c>
      <c r="R36" s="357">
        <v>78</v>
      </c>
      <c r="S36" s="379">
        <v>57</v>
      </c>
      <c r="T36" s="351">
        <v>171</v>
      </c>
      <c r="U36" s="379">
        <v>34</v>
      </c>
      <c r="V36" s="351">
        <v>22</v>
      </c>
      <c r="W36" s="379">
        <v>119</v>
      </c>
      <c r="X36" s="351">
        <v>7</v>
      </c>
      <c r="Y36" s="379"/>
      <c r="Z36" s="351">
        <v>52</v>
      </c>
      <c r="AA36" s="379">
        <v>39</v>
      </c>
      <c r="AB36" s="357">
        <v>596</v>
      </c>
      <c r="AC36" s="354">
        <v>282</v>
      </c>
      <c r="AD36" s="357">
        <v>1113</v>
      </c>
      <c r="AE36" s="353">
        <v>21</v>
      </c>
    </row>
    <row r="37" spans="1:31">
      <c r="A37" s="100">
        <v>19</v>
      </c>
      <c r="B37" s="4" t="s">
        <v>105</v>
      </c>
      <c r="C37" s="17"/>
      <c r="D37" s="355">
        <v>664</v>
      </c>
      <c r="E37" s="354">
        <v>107</v>
      </c>
      <c r="F37" s="355">
        <v>16415</v>
      </c>
      <c r="G37" s="354">
        <v>6841</v>
      </c>
      <c r="H37" s="355">
        <v>1330</v>
      </c>
      <c r="I37" s="354">
        <v>998</v>
      </c>
      <c r="J37" s="355">
        <v>95</v>
      </c>
      <c r="K37" s="354">
        <v>9</v>
      </c>
      <c r="L37" s="355">
        <v>5756</v>
      </c>
      <c r="M37" s="349">
        <v>7162</v>
      </c>
      <c r="N37" s="355">
        <v>6603</v>
      </c>
      <c r="O37" s="354">
        <v>9244</v>
      </c>
      <c r="P37" s="355">
        <v>1267</v>
      </c>
      <c r="Q37" s="352">
        <v>1170</v>
      </c>
      <c r="R37" s="355">
        <v>232</v>
      </c>
      <c r="S37" s="379">
        <v>179</v>
      </c>
      <c r="T37" s="352">
        <v>200</v>
      </c>
      <c r="U37" s="379">
        <v>106</v>
      </c>
      <c r="V37" s="352">
        <v>6</v>
      </c>
      <c r="W37" s="379">
        <v>2</v>
      </c>
      <c r="X37" s="352">
        <v>1</v>
      </c>
      <c r="Y37" s="379">
        <v>1</v>
      </c>
      <c r="Z37" s="352">
        <v>336</v>
      </c>
      <c r="AA37" s="379">
        <v>52</v>
      </c>
      <c r="AB37" s="355">
        <v>250</v>
      </c>
      <c r="AC37" s="354">
        <v>39</v>
      </c>
      <c r="AD37" s="355">
        <v>478</v>
      </c>
      <c r="AE37" s="353">
        <v>1</v>
      </c>
    </row>
    <row r="38" spans="1:31">
      <c r="A38" s="100">
        <v>20</v>
      </c>
      <c r="B38" s="4" t="s">
        <v>106</v>
      </c>
      <c r="C38" s="10"/>
      <c r="D38" s="355">
        <v>2952</v>
      </c>
      <c r="E38" s="354">
        <v>559</v>
      </c>
      <c r="F38" s="355">
        <v>27959</v>
      </c>
      <c r="G38" s="354">
        <v>5700</v>
      </c>
      <c r="H38" s="355">
        <v>509</v>
      </c>
      <c r="I38" s="354">
        <v>316</v>
      </c>
      <c r="J38" s="355">
        <v>307</v>
      </c>
      <c r="K38" s="354">
        <v>18</v>
      </c>
      <c r="L38" s="355">
        <v>2660</v>
      </c>
      <c r="M38" s="349">
        <v>819</v>
      </c>
      <c r="N38" s="355">
        <v>3920</v>
      </c>
      <c r="O38" s="354">
        <v>567</v>
      </c>
      <c r="P38" s="355">
        <v>19568</v>
      </c>
      <c r="Q38" s="352">
        <v>10776</v>
      </c>
      <c r="R38" s="355">
        <v>1653</v>
      </c>
      <c r="S38" s="379">
        <v>372</v>
      </c>
      <c r="T38" s="352">
        <v>444</v>
      </c>
      <c r="U38" s="379">
        <v>639</v>
      </c>
      <c r="V38" s="352">
        <v>9</v>
      </c>
      <c r="W38" s="379">
        <v>1</v>
      </c>
      <c r="X38" s="352">
        <v>9</v>
      </c>
      <c r="Y38" s="379">
        <v>1</v>
      </c>
      <c r="Z38" s="352">
        <v>271</v>
      </c>
      <c r="AA38" s="379">
        <v>177</v>
      </c>
      <c r="AB38" s="355"/>
      <c r="AC38" s="354"/>
      <c r="AD38" s="355">
        <v>380</v>
      </c>
      <c r="AE38" s="353">
        <v>72</v>
      </c>
    </row>
    <row r="39" spans="1:31">
      <c r="A39" s="100">
        <v>21</v>
      </c>
      <c r="B39" s="4" t="s">
        <v>107</v>
      </c>
      <c r="C39" s="10"/>
      <c r="D39" s="355">
        <v>1651</v>
      </c>
      <c r="E39" s="354">
        <v>201</v>
      </c>
      <c r="F39" s="355">
        <v>14333</v>
      </c>
      <c r="G39" s="354">
        <v>1261</v>
      </c>
      <c r="H39" s="355">
        <v>737</v>
      </c>
      <c r="I39" s="354">
        <v>956</v>
      </c>
      <c r="J39" s="355">
        <v>393</v>
      </c>
      <c r="K39" s="354">
        <v>26</v>
      </c>
      <c r="L39" s="355">
        <v>3275</v>
      </c>
      <c r="M39" s="349">
        <v>528</v>
      </c>
      <c r="N39" s="355">
        <v>1641</v>
      </c>
      <c r="O39" s="354">
        <v>261</v>
      </c>
      <c r="P39" s="355">
        <v>191</v>
      </c>
      <c r="Q39" s="352">
        <v>43</v>
      </c>
      <c r="R39" s="355">
        <v>20</v>
      </c>
      <c r="S39" s="379">
        <v>1</v>
      </c>
      <c r="T39" s="352">
        <v>12</v>
      </c>
      <c r="U39" s="379"/>
      <c r="V39" s="352">
        <v>8</v>
      </c>
      <c r="W39" s="379"/>
      <c r="X39" s="352"/>
      <c r="Y39" s="379"/>
      <c r="Z39" s="352">
        <v>233</v>
      </c>
      <c r="AA39" s="379">
        <v>62</v>
      </c>
      <c r="AB39" s="355">
        <v>239</v>
      </c>
      <c r="AC39" s="354">
        <v>66</v>
      </c>
      <c r="AD39" s="355">
        <v>773</v>
      </c>
      <c r="AE39" s="353">
        <v>40</v>
      </c>
    </row>
    <row r="40" spans="1:31">
      <c r="A40" s="214">
        <v>22</v>
      </c>
      <c r="B40" s="96" t="s">
        <v>108</v>
      </c>
      <c r="C40" s="10"/>
      <c r="D40" s="355">
        <v>3553</v>
      </c>
      <c r="E40" s="354">
        <v>823</v>
      </c>
      <c r="F40" s="355">
        <v>38627</v>
      </c>
      <c r="G40" s="354">
        <v>4034</v>
      </c>
      <c r="H40" s="355">
        <v>3446</v>
      </c>
      <c r="I40" s="354">
        <v>589</v>
      </c>
      <c r="J40" s="355">
        <v>541</v>
      </c>
      <c r="K40" s="354">
        <v>213</v>
      </c>
      <c r="L40" s="355">
        <v>4640</v>
      </c>
      <c r="M40" s="349">
        <v>1595</v>
      </c>
      <c r="N40" s="355">
        <v>3520</v>
      </c>
      <c r="O40" s="354">
        <v>852</v>
      </c>
      <c r="P40" s="355">
        <v>1954</v>
      </c>
      <c r="Q40" s="352">
        <v>435</v>
      </c>
      <c r="R40" s="355">
        <v>215</v>
      </c>
      <c r="S40" s="379">
        <v>71</v>
      </c>
      <c r="T40" s="352">
        <v>296</v>
      </c>
      <c r="U40" s="379">
        <v>44</v>
      </c>
      <c r="V40" s="352">
        <v>147</v>
      </c>
      <c r="W40" s="379">
        <v>7</v>
      </c>
      <c r="X40" s="352">
        <v>8</v>
      </c>
      <c r="Y40" s="379"/>
      <c r="Z40" s="352">
        <v>548</v>
      </c>
      <c r="AA40" s="379">
        <v>314</v>
      </c>
      <c r="AB40" s="355">
        <v>331</v>
      </c>
      <c r="AC40" s="354">
        <v>167</v>
      </c>
      <c r="AD40" s="355">
        <v>2255</v>
      </c>
      <c r="AE40" s="353">
        <v>1368</v>
      </c>
    </row>
    <row r="41" spans="1:31">
      <c r="A41" s="100">
        <v>23</v>
      </c>
      <c r="B41" s="4" t="s">
        <v>109</v>
      </c>
      <c r="C41" s="10"/>
      <c r="D41" s="355">
        <v>440</v>
      </c>
      <c r="E41" s="354">
        <v>86</v>
      </c>
      <c r="F41" s="355">
        <v>3020</v>
      </c>
      <c r="G41" s="354">
        <v>612</v>
      </c>
      <c r="H41" s="355">
        <v>283</v>
      </c>
      <c r="I41" s="354">
        <v>2174</v>
      </c>
      <c r="J41" s="355">
        <v>45</v>
      </c>
      <c r="K41" s="354">
        <v>24</v>
      </c>
      <c r="L41" s="355">
        <v>877</v>
      </c>
      <c r="M41" s="349">
        <v>268</v>
      </c>
      <c r="N41" s="355">
        <v>501</v>
      </c>
      <c r="O41" s="354">
        <v>235</v>
      </c>
      <c r="P41" s="355">
        <v>53</v>
      </c>
      <c r="Q41" s="352">
        <v>25</v>
      </c>
      <c r="R41" s="355">
        <v>3</v>
      </c>
      <c r="S41" s="379">
        <v>12</v>
      </c>
      <c r="T41" s="352">
        <v>5</v>
      </c>
      <c r="U41" s="379">
        <v>1000</v>
      </c>
      <c r="V41" s="352"/>
      <c r="W41" s="379"/>
      <c r="X41" s="352"/>
      <c r="Y41" s="379"/>
      <c r="Z41" s="352">
        <v>67</v>
      </c>
      <c r="AA41" s="379">
        <v>46</v>
      </c>
      <c r="AB41" s="355">
        <v>16</v>
      </c>
      <c r="AC41" s="354">
        <v>26</v>
      </c>
      <c r="AD41" s="355">
        <v>1127</v>
      </c>
      <c r="AE41" s="353">
        <v>10</v>
      </c>
    </row>
    <row r="42" spans="1:31">
      <c r="A42" s="100">
        <v>24</v>
      </c>
      <c r="B42" s="4" t="s">
        <v>110</v>
      </c>
      <c r="C42" s="10"/>
      <c r="D42" s="355">
        <v>597</v>
      </c>
      <c r="E42" s="354">
        <v>786</v>
      </c>
      <c r="F42" s="355">
        <v>7817</v>
      </c>
      <c r="G42" s="354">
        <v>6213</v>
      </c>
      <c r="H42" s="355">
        <v>1812</v>
      </c>
      <c r="I42" s="354">
        <v>1128</v>
      </c>
      <c r="J42" s="355">
        <v>25</v>
      </c>
      <c r="K42" s="354">
        <v>19</v>
      </c>
      <c r="L42" s="355">
        <v>17526</v>
      </c>
      <c r="M42" s="349">
        <v>8223</v>
      </c>
      <c r="N42" s="355">
        <v>269</v>
      </c>
      <c r="O42" s="354">
        <v>559</v>
      </c>
      <c r="P42" s="355">
        <v>14427</v>
      </c>
      <c r="Q42" s="352">
        <v>9013</v>
      </c>
      <c r="R42" s="355">
        <v>4723</v>
      </c>
      <c r="S42" s="379">
        <v>1382</v>
      </c>
      <c r="T42" s="352">
        <v>982</v>
      </c>
      <c r="U42" s="379">
        <v>1253</v>
      </c>
      <c r="V42" s="352">
        <v>40090</v>
      </c>
      <c r="W42" s="379">
        <v>15</v>
      </c>
      <c r="X42" s="352">
        <v>61</v>
      </c>
      <c r="Y42" s="379">
        <v>32</v>
      </c>
      <c r="Z42" s="351">
        <v>50</v>
      </c>
      <c r="AA42" s="379">
        <v>218</v>
      </c>
      <c r="AB42" s="355">
        <v>21</v>
      </c>
      <c r="AC42" s="354">
        <v>2</v>
      </c>
      <c r="AD42" s="355">
        <v>57</v>
      </c>
      <c r="AE42" s="353">
        <v>221</v>
      </c>
    </row>
    <row r="43" spans="1:31" ht="15">
      <c r="A43" s="100">
        <v>25</v>
      </c>
      <c r="B43" s="4" t="s">
        <v>111</v>
      </c>
      <c r="C43" s="248"/>
      <c r="D43" s="357">
        <v>831</v>
      </c>
      <c r="E43" s="354">
        <v>101</v>
      </c>
      <c r="F43" s="357">
        <v>4503</v>
      </c>
      <c r="G43" s="354">
        <v>484</v>
      </c>
      <c r="H43" s="357">
        <v>428</v>
      </c>
      <c r="I43" s="354">
        <v>188</v>
      </c>
      <c r="J43" s="357">
        <v>49</v>
      </c>
      <c r="K43" s="354"/>
      <c r="L43" s="357">
        <v>1662</v>
      </c>
      <c r="M43" s="349">
        <v>437</v>
      </c>
      <c r="N43" s="357">
        <v>621</v>
      </c>
      <c r="O43" s="354">
        <v>215</v>
      </c>
      <c r="P43" s="357">
        <v>2373</v>
      </c>
      <c r="Q43" s="352">
        <v>681</v>
      </c>
      <c r="R43" s="357">
        <v>163</v>
      </c>
      <c r="S43" s="379">
        <v>22</v>
      </c>
      <c r="T43" s="351">
        <v>97</v>
      </c>
      <c r="U43" s="379">
        <v>110</v>
      </c>
      <c r="V43" s="351">
        <v>23</v>
      </c>
      <c r="W43" s="379">
        <v>6</v>
      </c>
      <c r="X43" s="351">
        <v>5</v>
      </c>
      <c r="Y43" s="379">
        <v>2</v>
      </c>
      <c r="Z43" s="352">
        <v>46</v>
      </c>
      <c r="AA43" s="379">
        <v>10</v>
      </c>
      <c r="AB43" s="357">
        <v>270</v>
      </c>
      <c r="AC43" s="354">
        <v>37</v>
      </c>
      <c r="AD43" s="357">
        <v>795</v>
      </c>
      <c r="AE43" s="353">
        <v>30</v>
      </c>
    </row>
    <row r="44" spans="1:31">
      <c r="A44" s="100">
        <v>26</v>
      </c>
      <c r="B44" s="4" t="s">
        <v>112</v>
      </c>
      <c r="C44" s="17"/>
      <c r="D44" s="355">
        <v>789</v>
      </c>
      <c r="E44" s="354">
        <v>225</v>
      </c>
      <c r="F44" s="355">
        <v>7252</v>
      </c>
      <c r="G44" s="354">
        <v>748</v>
      </c>
      <c r="H44" s="355">
        <v>513</v>
      </c>
      <c r="I44" s="354">
        <v>95</v>
      </c>
      <c r="J44" s="355">
        <v>61</v>
      </c>
      <c r="K44" s="354">
        <v>15</v>
      </c>
      <c r="L44" s="355">
        <v>2205</v>
      </c>
      <c r="M44" s="349">
        <v>463</v>
      </c>
      <c r="N44" s="355">
        <v>1620</v>
      </c>
      <c r="O44" s="354">
        <v>524</v>
      </c>
      <c r="P44" s="355">
        <v>30</v>
      </c>
      <c r="Q44" s="352">
        <v>53</v>
      </c>
      <c r="R44" s="355">
        <v>10</v>
      </c>
      <c r="S44" s="379">
        <v>7</v>
      </c>
      <c r="T44" s="352">
        <v>32</v>
      </c>
      <c r="U44" s="379"/>
      <c r="V44" s="352"/>
      <c r="W44" s="379"/>
      <c r="X44" s="352"/>
      <c r="Y44" s="379"/>
      <c r="Z44" s="352">
        <v>85</v>
      </c>
      <c r="AA44" s="379">
        <v>40</v>
      </c>
      <c r="AB44" s="355"/>
      <c r="AC44" s="354"/>
      <c r="AD44" s="355">
        <v>3822</v>
      </c>
      <c r="AE44" s="353">
        <v>183</v>
      </c>
    </row>
    <row r="45" spans="1:31">
      <c r="A45" s="100">
        <v>27</v>
      </c>
      <c r="B45" s="4" t="s">
        <v>113</v>
      </c>
      <c r="C45" s="10"/>
      <c r="D45" s="355">
        <v>934</v>
      </c>
      <c r="E45" s="354">
        <v>438</v>
      </c>
      <c r="F45" s="355">
        <v>7852</v>
      </c>
      <c r="G45" s="354">
        <v>1153</v>
      </c>
      <c r="H45" s="355">
        <v>861</v>
      </c>
      <c r="I45" s="354">
        <v>880</v>
      </c>
      <c r="J45" s="355">
        <v>280</v>
      </c>
      <c r="K45" s="354">
        <v>34</v>
      </c>
      <c r="L45" s="355">
        <v>7131</v>
      </c>
      <c r="M45" s="349">
        <v>5140</v>
      </c>
      <c r="N45" s="355">
        <v>3059</v>
      </c>
      <c r="O45" s="354">
        <v>1078</v>
      </c>
      <c r="P45" s="355">
        <v>2887</v>
      </c>
      <c r="Q45" s="352">
        <v>3075</v>
      </c>
      <c r="R45" s="355">
        <v>139</v>
      </c>
      <c r="S45" s="379">
        <v>68</v>
      </c>
      <c r="T45" s="352">
        <v>214</v>
      </c>
      <c r="U45" s="379">
        <v>58</v>
      </c>
      <c r="V45" s="352">
        <v>106</v>
      </c>
      <c r="W45" s="379">
        <v>1</v>
      </c>
      <c r="X45" s="352">
        <v>160</v>
      </c>
      <c r="Y45" s="379">
        <v>87</v>
      </c>
      <c r="Z45" s="352">
        <v>65</v>
      </c>
      <c r="AA45" s="379">
        <v>13</v>
      </c>
      <c r="AB45" s="355">
        <v>76</v>
      </c>
      <c r="AC45" s="354">
        <v>16</v>
      </c>
      <c r="AD45" s="355">
        <v>183</v>
      </c>
      <c r="AE45" s="353">
        <v>26</v>
      </c>
    </row>
    <row r="46" spans="1:31">
      <c r="A46" s="100">
        <v>28</v>
      </c>
      <c r="B46" s="4" t="s">
        <v>114</v>
      </c>
      <c r="C46" s="10"/>
      <c r="D46" s="355">
        <v>1075</v>
      </c>
      <c r="E46" s="354">
        <v>62</v>
      </c>
      <c r="F46" s="355">
        <v>9119</v>
      </c>
      <c r="G46" s="354">
        <v>290</v>
      </c>
      <c r="H46" s="355">
        <v>293</v>
      </c>
      <c r="I46" s="354">
        <v>80</v>
      </c>
      <c r="J46" s="355">
        <v>101</v>
      </c>
      <c r="K46" s="354">
        <v>5</v>
      </c>
      <c r="L46" s="355">
        <v>1260</v>
      </c>
      <c r="M46" s="349">
        <v>133</v>
      </c>
      <c r="N46" s="355">
        <v>199</v>
      </c>
      <c r="O46" s="354">
        <v>94</v>
      </c>
      <c r="P46" s="355">
        <v>856</v>
      </c>
      <c r="Q46" s="352">
        <v>41</v>
      </c>
      <c r="R46" s="355">
        <v>171</v>
      </c>
      <c r="S46" s="379"/>
      <c r="T46" s="352">
        <v>441</v>
      </c>
      <c r="U46" s="379">
        <v>16</v>
      </c>
      <c r="V46" s="352">
        <v>41</v>
      </c>
      <c r="W46" s="379">
        <v>2</v>
      </c>
      <c r="X46" s="352">
        <v>14</v>
      </c>
      <c r="Y46" s="379"/>
      <c r="Z46" s="352">
        <v>50</v>
      </c>
      <c r="AA46" s="379">
        <v>1</v>
      </c>
      <c r="AB46" s="355">
        <v>137</v>
      </c>
      <c r="AC46" s="354">
        <v>3</v>
      </c>
      <c r="AD46" s="355"/>
      <c r="AE46" s="353"/>
    </row>
    <row r="47" spans="1:31">
      <c r="A47" s="100">
        <v>29</v>
      </c>
      <c r="B47" s="4" t="s">
        <v>115</v>
      </c>
      <c r="C47" s="10"/>
      <c r="D47" s="355">
        <v>4408</v>
      </c>
      <c r="E47" s="354">
        <v>424</v>
      </c>
      <c r="F47" s="355">
        <v>17418</v>
      </c>
      <c r="G47" s="354">
        <v>1266</v>
      </c>
      <c r="H47" s="355">
        <v>2713</v>
      </c>
      <c r="I47" s="354">
        <v>792</v>
      </c>
      <c r="J47" s="355">
        <v>305</v>
      </c>
      <c r="K47" s="354">
        <v>19</v>
      </c>
      <c r="L47" s="355">
        <v>5339</v>
      </c>
      <c r="M47" s="349">
        <v>1138</v>
      </c>
      <c r="N47" s="355">
        <v>3031</v>
      </c>
      <c r="O47" s="354">
        <v>893</v>
      </c>
      <c r="P47" s="355">
        <v>6377</v>
      </c>
      <c r="Q47" s="352">
        <v>867</v>
      </c>
      <c r="R47" s="355">
        <v>736</v>
      </c>
      <c r="S47" s="379">
        <v>206</v>
      </c>
      <c r="T47" s="352">
        <v>407</v>
      </c>
      <c r="U47" s="379">
        <v>97</v>
      </c>
      <c r="V47" s="352">
        <v>489</v>
      </c>
      <c r="W47" s="379">
        <v>45</v>
      </c>
      <c r="X47" s="352">
        <v>7</v>
      </c>
      <c r="Y47" s="379">
        <v>2</v>
      </c>
      <c r="Z47" s="352">
        <v>381</v>
      </c>
      <c r="AA47" s="379">
        <v>154</v>
      </c>
      <c r="AB47" s="355">
        <v>448</v>
      </c>
      <c r="AC47" s="354">
        <v>91</v>
      </c>
      <c r="AD47" s="355">
        <v>2586</v>
      </c>
      <c r="AE47" s="353">
        <v>162</v>
      </c>
    </row>
    <row r="48" spans="1:31">
      <c r="A48" s="100">
        <v>30</v>
      </c>
      <c r="B48" s="4" t="s">
        <v>116</v>
      </c>
      <c r="C48" s="10"/>
      <c r="D48" s="355">
        <v>727</v>
      </c>
      <c r="E48" s="354">
        <v>170</v>
      </c>
      <c r="F48" s="355">
        <v>5729</v>
      </c>
      <c r="G48" s="354">
        <v>982</v>
      </c>
      <c r="H48" s="355">
        <v>916</v>
      </c>
      <c r="I48" s="354">
        <v>195</v>
      </c>
      <c r="J48" s="355">
        <v>151</v>
      </c>
      <c r="K48" s="354">
        <v>18</v>
      </c>
      <c r="L48" s="355">
        <v>2052</v>
      </c>
      <c r="M48" s="349">
        <v>509</v>
      </c>
      <c r="N48" s="355">
        <v>825</v>
      </c>
      <c r="O48" s="354">
        <v>363</v>
      </c>
      <c r="P48" s="355">
        <v>2</v>
      </c>
      <c r="Q48" s="352"/>
      <c r="R48" s="390"/>
      <c r="S48" s="391"/>
      <c r="T48" s="102"/>
      <c r="U48" s="391"/>
      <c r="V48" s="102"/>
      <c r="W48" s="391"/>
      <c r="X48" s="102"/>
      <c r="Y48" s="391"/>
      <c r="Z48" s="351">
        <v>87</v>
      </c>
      <c r="AA48" s="379">
        <v>39</v>
      </c>
      <c r="AB48" s="355">
        <v>57</v>
      </c>
      <c r="AC48" s="354">
        <v>45</v>
      </c>
      <c r="AD48" s="355">
        <v>1380</v>
      </c>
      <c r="AE48" s="353">
        <v>34</v>
      </c>
    </row>
    <row r="49" spans="1:31" ht="15">
      <c r="A49" s="100">
        <v>31</v>
      </c>
      <c r="B49" s="4" t="s">
        <v>117</v>
      </c>
      <c r="C49" s="248"/>
      <c r="D49" s="357">
        <v>990</v>
      </c>
      <c r="E49" s="354">
        <v>190</v>
      </c>
      <c r="F49" s="357">
        <v>6210</v>
      </c>
      <c r="G49" s="354">
        <v>791</v>
      </c>
      <c r="H49" s="357">
        <v>90</v>
      </c>
      <c r="I49" s="354">
        <v>57</v>
      </c>
      <c r="J49" s="357">
        <v>71</v>
      </c>
      <c r="K49" s="354">
        <v>9</v>
      </c>
      <c r="L49" s="357">
        <v>1466</v>
      </c>
      <c r="M49" s="349">
        <v>400</v>
      </c>
      <c r="N49" s="357">
        <v>310</v>
      </c>
      <c r="O49" s="354">
        <v>135</v>
      </c>
      <c r="P49" s="357">
        <v>302</v>
      </c>
      <c r="Q49" s="352">
        <v>533</v>
      </c>
      <c r="R49" s="355">
        <v>94</v>
      </c>
      <c r="S49" s="379">
        <v>58</v>
      </c>
      <c r="T49" s="352">
        <v>58</v>
      </c>
      <c r="U49" s="379">
        <v>22</v>
      </c>
      <c r="V49" s="352">
        <v>9</v>
      </c>
      <c r="W49" s="379">
        <v>1</v>
      </c>
      <c r="X49" s="352"/>
      <c r="Y49" s="379"/>
      <c r="Z49" s="352">
        <v>23</v>
      </c>
      <c r="AA49" s="379">
        <v>28</v>
      </c>
      <c r="AB49" s="357">
        <v>5</v>
      </c>
      <c r="AC49" s="354">
        <v>94</v>
      </c>
      <c r="AD49" s="357">
        <v>1163</v>
      </c>
      <c r="AE49" s="353">
        <v>104</v>
      </c>
    </row>
    <row r="50" spans="1:31">
      <c r="A50" s="100">
        <v>32</v>
      </c>
      <c r="B50" s="4" t="s">
        <v>118</v>
      </c>
      <c r="C50" s="17"/>
      <c r="D50" s="355">
        <v>1392</v>
      </c>
      <c r="E50" s="354">
        <v>476</v>
      </c>
      <c r="F50" s="355">
        <v>8426</v>
      </c>
      <c r="G50" s="354">
        <v>1726</v>
      </c>
      <c r="H50" s="355">
        <v>217</v>
      </c>
      <c r="I50" s="354">
        <v>314</v>
      </c>
      <c r="J50" s="355">
        <v>134</v>
      </c>
      <c r="K50" s="354">
        <v>100</v>
      </c>
      <c r="L50" s="355">
        <v>1023</v>
      </c>
      <c r="M50" s="349">
        <v>980</v>
      </c>
      <c r="N50" s="355">
        <v>199</v>
      </c>
      <c r="O50" s="354">
        <v>670</v>
      </c>
      <c r="P50" s="355">
        <v>801</v>
      </c>
      <c r="Q50" s="352">
        <v>1109</v>
      </c>
      <c r="R50" s="357">
        <v>71</v>
      </c>
      <c r="S50" s="379">
        <v>145</v>
      </c>
      <c r="T50" s="351">
        <v>70</v>
      </c>
      <c r="U50" s="379">
        <v>34</v>
      </c>
      <c r="V50" s="351">
        <v>32</v>
      </c>
      <c r="W50" s="379">
        <v>16</v>
      </c>
      <c r="X50" s="351">
        <v>2</v>
      </c>
      <c r="Y50" s="379">
        <v>9</v>
      </c>
      <c r="Z50" s="352">
        <v>29</v>
      </c>
      <c r="AA50" s="379">
        <v>69</v>
      </c>
      <c r="AB50" s="355"/>
      <c r="AC50" s="354"/>
      <c r="AD50" s="355">
        <v>883</v>
      </c>
      <c r="AE50" s="353">
        <v>115</v>
      </c>
    </row>
    <row r="51" spans="1:31">
      <c r="A51" s="100">
        <v>33</v>
      </c>
      <c r="B51" s="4" t="s">
        <v>119</v>
      </c>
      <c r="C51" s="10"/>
      <c r="D51" s="355">
        <v>168</v>
      </c>
      <c r="E51" s="354">
        <v>21</v>
      </c>
      <c r="F51" s="355">
        <v>1050</v>
      </c>
      <c r="G51" s="354">
        <v>512</v>
      </c>
      <c r="H51" s="355">
        <v>68</v>
      </c>
      <c r="I51" s="354">
        <v>17</v>
      </c>
      <c r="J51" s="355">
        <v>35</v>
      </c>
      <c r="K51" s="354">
        <v>10</v>
      </c>
      <c r="L51" s="355">
        <v>82</v>
      </c>
      <c r="M51" s="349">
        <v>54</v>
      </c>
      <c r="N51" s="355">
        <v>95</v>
      </c>
      <c r="O51" s="354">
        <v>24</v>
      </c>
      <c r="P51" s="355"/>
      <c r="Q51" s="352"/>
      <c r="R51" s="390"/>
      <c r="S51" s="379"/>
      <c r="T51" s="352">
        <v>1</v>
      </c>
      <c r="U51" s="379">
        <v>3</v>
      </c>
      <c r="V51" s="352"/>
      <c r="W51" s="379"/>
      <c r="X51" s="352"/>
      <c r="Y51" s="379"/>
      <c r="Z51" s="352">
        <v>4</v>
      </c>
      <c r="AA51" s="379">
        <v>8</v>
      </c>
      <c r="AB51" s="355"/>
      <c r="AC51" s="354"/>
      <c r="AD51" s="355">
        <v>20</v>
      </c>
      <c r="AE51" s="353"/>
    </row>
    <row r="52" spans="1:31">
      <c r="A52" s="100">
        <v>34</v>
      </c>
      <c r="B52" s="4" t="s">
        <v>120</v>
      </c>
      <c r="C52" s="10"/>
      <c r="D52" s="355">
        <v>678</v>
      </c>
      <c r="E52" s="354">
        <v>167</v>
      </c>
      <c r="F52" s="355">
        <v>4712</v>
      </c>
      <c r="G52" s="354">
        <v>554</v>
      </c>
      <c r="H52" s="355">
        <v>132</v>
      </c>
      <c r="I52" s="354">
        <v>60</v>
      </c>
      <c r="J52" s="355">
        <v>89</v>
      </c>
      <c r="K52" s="354">
        <v>18</v>
      </c>
      <c r="L52" s="355">
        <v>1134</v>
      </c>
      <c r="M52" s="349">
        <v>272</v>
      </c>
      <c r="N52" s="355">
        <v>193</v>
      </c>
      <c r="O52" s="354">
        <v>173</v>
      </c>
      <c r="P52" s="355">
        <v>342</v>
      </c>
      <c r="Q52" s="352">
        <v>89</v>
      </c>
      <c r="R52" s="355">
        <v>37</v>
      </c>
      <c r="S52" s="379">
        <v>9</v>
      </c>
      <c r="T52" s="352">
        <v>27</v>
      </c>
      <c r="U52" s="379">
        <v>3</v>
      </c>
      <c r="V52" s="352">
        <v>14</v>
      </c>
      <c r="W52" s="379">
        <v>1</v>
      </c>
      <c r="X52" s="352">
        <v>3</v>
      </c>
      <c r="Y52" s="379"/>
      <c r="Z52" s="352">
        <v>23</v>
      </c>
      <c r="AA52" s="379">
        <v>4</v>
      </c>
      <c r="AB52" s="355">
        <v>3</v>
      </c>
      <c r="AC52" s="354">
        <v>1</v>
      </c>
      <c r="AD52" s="355">
        <v>1786</v>
      </c>
      <c r="AE52" s="353">
        <v>93</v>
      </c>
    </row>
    <row r="53" spans="1:31">
      <c r="A53" s="100">
        <v>35</v>
      </c>
      <c r="B53" s="4" t="s">
        <v>121</v>
      </c>
      <c r="C53" s="10"/>
      <c r="D53" s="355">
        <v>888</v>
      </c>
      <c r="E53" s="354">
        <v>386</v>
      </c>
      <c r="F53" s="355">
        <v>17796</v>
      </c>
      <c r="G53" s="354">
        <v>4856</v>
      </c>
      <c r="H53" s="355">
        <v>1659</v>
      </c>
      <c r="I53" s="354">
        <v>316</v>
      </c>
      <c r="J53" s="355">
        <v>43</v>
      </c>
      <c r="K53" s="354">
        <v>15</v>
      </c>
      <c r="L53" s="355">
        <v>14503</v>
      </c>
      <c r="M53" s="349">
        <v>3930</v>
      </c>
      <c r="N53" s="355">
        <v>1555</v>
      </c>
      <c r="O53" s="354">
        <v>1077</v>
      </c>
      <c r="P53" s="355">
        <v>20606</v>
      </c>
      <c r="Q53" s="352">
        <v>14815</v>
      </c>
      <c r="R53" s="355">
        <v>3381</v>
      </c>
      <c r="S53" s="379">
        <v>1204</v>
      </c>
      <c r="T53" s="352">
        <v>852</v>
      </c>
      <c r="U53" s="379">
        <v>249</v>
      </c>
      <c r="V53" s="352">
        <v>54</v>
      </c>
      <c r="W53" s="379">
        <v>22</v>
      </c>
      <c r="X53" s="352">
        <v>42</v>
      </c>
      <c r="Y53" s="379">
        <v>2</v>
      </c>
      <c r="Z53" s="352">
        <v>22</v>
      </c>
      <c r="AA53" s="379">
        <v>7</v>
      </c>
      <c r="AB53" s="355">
        <v>213</v>
      </c>
      <c r="AC53" s="354">
        <v>26</v>
      </c>
      <c r="AD53" s="355">
        <v>650</v>
      </c>
      <c r="AE53" s="353">
        <v>236</v>
      </c>
    </row>
    <row r="54" spans="1:31">
      <c r="A54" s="100">
        <v>36</v>
      </c>
      <c r="B54" s="4" t="s">
        <v>122</v>
      </c>
      <c r="C54" s="10"/>
      <c r="D54" s="355">
        <v>817</v>
      </c>
      <c r="E54" s="354">
        <v>2651</v>
      </c>
      <c r="F54" s="355">
        <v>1816</v>
      </c>
      <c r="G54" s="354">
        <v>475</v>
      </c>
      <c r="H54" s="355">
        <v>289</v>
      </c>
      <c r="I54" s="354">
        <v>194</v>
      </c>
      <c r="J54" s="355">
        <v>49</v>
      </c>
      <c r="K54" s="354">
        <v>49</v>
      </c>
      <c r="L54" s="355">
        <v>1851</v>
      </c>
      <c r="M54" s="349">
        <v>570</v>
      </c>
      <c r="N54" s="355">
        <v>828</v>
      </c>
      <c r="O54" s="354">
        <v>196</v>
      </c>
      <c r="P54" s="355">
        <v>745</v>
      </c>
      <c r="Q54" s="352">
        <v>362</v>
      </c>
      <c r="R54" s="355">
        <v>104</v>
      </c>
      <c r="S54" s="379">
        <v>60</v>
      </c>
      <c r="T54" s="352">
        <v>116</v>
      </c>
      <c r="U54" s="379">
        <v>31</v>
      </c>
      <c r="V54" s="352">
        <v>53</v>
      </c>
      <c r="W54" s="379">
        <v>4</v>
      </c>
      <c r="X54" s="352">
        <v>5</v>
      </c>
      <c r="Y54" s="379">
        <v>3</v>
      </c>
      <c r="Z54" s="351">
        <v>75</v>
      </c>
      <c r="AA54" s="379">
        <v>14</v>
      </c>
      <c r="AB54" s="355">
        <v>6</v>
      </c>
      <c r="AC54" s="354">
        <v>7</v>
      </c>
      <c r="AD54" s="355">
        <v>789</v>
      </c>
      <c r="AE54" s="353">
        <v>270</v>
      </c>
    </row>
    <row r="55" spans="1:31" ht="15">
      <c r="A55" s="100">
        <v>37</v>
      </c>
      <c r="B55" s="4" t="s">
        <v>123</v>
      </c>
      <c r="C55" s="248"/>
      <c r="D55" s="357">
        <v>673</v>
      </c>
      <c r="E55" s="354">
        <v>705</v>
      </c>
      <c r="F55" s="357">
        <v>2279</v>
      </c>
      <c r="G55" s="354">
        <v>3169</v>
      </c>
      <c r="H55" s="357">
        <v>90</v>
      </c>
      <c r="I55" s="354">
        <v>221</v>
      </c>
      <c r="J55" s="357">
        <v>15</v>
      </c>
      <c r="K55" s="354">
        <v>128</v>
      </c>
      <c r="L55" s="357">
        <v>719</v>
      </c>
      <c r="M55" s="349">
        <v>1971</v>
      </c>
      <c r="N55" s="357">
        <v>61</v>
      </c>
      <c r="O55" s="354">
        <v>327</v>
      </c>
      <c r="P55" s="357">
        <v>441</v>
      </c>
      <c r="Q55" s="352">
        <v>2947</v>
      </c>
      <c r="R55" s="356">
        <v>51</v>
      </c>
      <c r="S55" s="383">
        <v>201</v>
      </c>
      <c r="T55" s="382">
        <v>62</v>
      </c>
      <c r="U55" s="383">
        <v>125</v>
      </c>
      <c r="V55" s="102"/>
      <c r="W55" s="391"/>
      <c r="X55" s="102"/>
      <c r="Y55" s="391"/>
      <c r="Z55" s="352">
        <v>7</v>
      </c>
      <c r="AA55" s="379">
        <v>29</v>
      </c>
      <c r="AB55" s="357"/>
      <c r="AC55" s="354">
        <v>4</v>
      </c>
      <c r="AD55" s="357">
        <v>1310</v>
      </c>
      <c r="AE55" s="353">
        <v>1056</v>
      </c>
    </row>
    <row r="56" spans="1:31">
      <c r="A56" s="100">
        <v>38</v>
      </c>
      <c r="B56" s="4" t="s">
        <v>124</v>
      </c>
      <c r="C56" s="17"/>
      <c r="D56" s="355">
        <v>1774</v>
      </c>
      <c r="E56" s="354">
        <v>319</v>
      </c>
      <c r="F56" s="355">
        <v>12689</v>
      </c>
      <c r="G56" s="354">
        <v>2654</v>
      </c>
      <c r="H56" s="355">
        <v>908</v>
      </c>
      <c r="I56" s="354">
        <v>1290</v>
      </c>
      <c r="J56" s="355">
        <v>514</v>
      </c>
      <c r="K56" s="354">
        <v>1016</v>
      </c>
      <c r="L56" s="355">
        <v>2271</v>
      </c>
      <c r="M56" s="349">
        <v>648</v>
      </c>
      <c r="N56" s="355">
        <v>1395</v>
      </c>
      <c r="O56" s="354">
        <v>680</v>
      </c>
      <c r="P56" s="355">
        <v>3774</v>
      </c>
      <c r="Q56" s="352">
        <v>1582</v>
      </c>
      <c r="R56" s="355">
        <v>727</v>
      </c>
      <c r="S56" s="379">
        <v>325</v>
      </c>
      <c r="T56" s="352">
        <v>293</v>
      </c>
      <c r="U56" s="379">
        <v>156</v>
      </c>
      <c r="V56" s="352">
        <v>13</v>
      </c>
      <c r="W56" s="379">
        <v>29</v>
      </c>
      <c r="X56" s="352">
        <v>38</v>
      </c>
      <c r="Y56" s="379"/>
      <c r="Z56" s="352">
        <v>56</v>
      </c>
      <c r="AA56" s="379">
        <v>518</v>
      </c>
      <c r="AB56" s="355">
        <v>17</v>
      </c>
      <c r="AC56" s="354">
        <v>553</v>
      </c>
      <c r="AD56" s="355">
        <v>1455</v>
      </c>
      <c r="AE56" s="353">
        <v>471</v>
      </c>
    </row>
    <row r="57" spans="1:31">
      <c r="A57" s="100">
        <v>39</v>
      </c>
      <c r="B57" s="4" t="s">
        <v>125</v>
      </c>
      <c r="C57" s="10"/>
      <c r="D57" s="355">
        <v>2201</v>
      </c>
      <c r="E57" s="354">
        <v>2235</v>
      </c>
      <c r="F57" s="355">
        <v>11387</v>
      </c>
      <c r="G57" s="354">
        <v>3336</v>
      </c>
      <c r="H57" s="355">
        <v>3851</v>
      </c>
      <c r="I57" s="354">
        <v>5126</v>
      </c>
      <c r="J57" s="355">
        <v>91</v>
      </c>
      <c r="K57" s="354">
        <v>458</v>
      </c>
      <c r="L57" s="355">
        <v>9549</v>
      </c>
      <c r="M57" s="349">
        <v>7472</v>
      </c>
      <c r="N57" s="355">
        <v>1332</v>
      </c>
      <c r="O57" s="354">
        <v>2744</v>
      </c>
      <c r="P57" s="355">
        <v>10536</v>
      </c>
      <c r="Q57" s="352">
        <v>10433</v>
      </c>
      <c r="R57" s="357">
        <v>812</v>
      </c>
      <c r="S57" s="379">
        <v>1104</v>
      </c>
      <c r="T57" s="351">
        <v>1063</v>
      </c>
      <c r="U57" s="379">
        <v>795</v>
      </c>
      <c r="V57" s="351">
        <v>104</v>
      </c>
      <c r="W57" s="379">
        <v>808</v>
      </c>
      <c r="X57" s="351">
        <v>39</v>
      </c>
      <c r="Y57" s="379">
        <v>7</v>
      </c>
      <c r="Z57" s="352">
        <v>238</v>
      </c>
      <c r="AA57" s="379">
        <v>881</v>
      </c>
      <c r="AB57" s="355">
        <v>135</v>
      </c>
      <c r="AC57" s="354">
        <v>810</v>
      </c>
      <c r="AD57" s="355">
        <v>465</v>
      </c>
      <c r="AE57" s="353">
        <v>146</v>
      </c>
    </row>
    <row r="58" spans="1:31">
      <c r="A58" s="100">
        <v>40</v>
      </c>
      <c r="B58" s="4" t="s">
        <v>126</v>
      </c>
      <c r="C58" s="10"/>
      <c r="D58" s="355">
        <v>606</v>
      </c>
      <c r="E58" s="354">
        <v>213</v>
      </c>
      <c r="F58" s="355">
        <v>9901</v>
      </c>
      <c r="G58" s="354">
        <v>2281</v>
      </c>
      <c r="H58" s="355">
        <v>128</v>
      </c>
      <c r="I58" s="354">
        <v>156</v>
      </c>
      <c r="J58" s="355">
        <v>30</v>
      </c>
      <c r="K58" s="354">
        <v>32</v>
      </c>
      <c r="L58" s="355">
        <v>620</v>
      </c>
      <c r="M58" s="349">
        <v>296</v>
      </c>
      <c r="N58" s="355">
        <v>1755</v>
      </c>
      <c r="O58" s="354">
        <v>927</v>
      </c>
      <c r="P58" s="355">
        <v>794</v>
      </c>
      <c r="Q58" s="352">
        <v>1092</v>
      </c>
      <c r="R58" s="355">
        <v>23</v>
      </c>
      <c r="S58" s="379">
        <v>33</v>
      </c>
      <c r="T58" s="352">
        <v>161</v>
      </c>
      <c r="U58" s="379">
        <v>83</v>
      </c>
      <c r="V58" s="352">
        <v>4</v>
      </c>
      <c r="W58" s="379">
        <v>1</v>
      </c>
      <c r="X58" s="352">
        <v>19</v>
      </c>
      <c r="Y58" s="379">
        <v>4</v>
      </c>
      <c r="Z58" s="352">
        <v>9</v>
      </c>
      <c r="AA58" s="379"/>
      <c r="AB58" s="355">
        <v>2</v>
      </c>
      <c r="AC58" s="354">
        <v>4</v>
      </c>
      <c r="AD58" s="355">
        <v>393</v>
      </c>
      <c r="AE58" s="353">
        <v>48</v>
      </c>
    </row>
    <row r="59" spans="1:31">
      <c r="A59" s="100">
        <v>41</v>
      </c>
      <c r="B59" s="4" t="s">
        <v>127</v>
      </c>
      <c r="C59" s="10"/>
      <c r="D59" s="355">
        <v>634</v>
      </c>
      <c r="E59" s="354">
        <v>323</v>
      </c>
      <c r="F59" s="355">
        <v>2464</v>
      </c>
      <c r="G59" s="354">
        <v>687</v>
      </c>
      <c r="H59" s="355">
        <v>2215</v>
      </c>
      <c r="I59" s="354">
        <v>770</v>
      </c>
      <c r="J59" s="355">
        <v>10</v>
      </c>
      <c r="K59" s="354">
        <v>3</v>
      </c>
      <c r="L59" s="355">
        <v>2240</v>
      </c>
      <c r="M59" s="376">
        <v>1767</v>
      </c>
      <c r="N59" s="355">
        <v>395</v>
      </c>
      <c r="O59" s="354">
        <v>727</v>
      </c>
      <c r="P59" s="355">
        <v>5893</v>
      </c>
      <c r="Q59" s="352">
        <v>10422</v>
      </c>
      <c r="R59" s="355">
        <v>877</v>
      </c>
      <c r="S59" s="379">
        <v>865</v>
      </c>
      <c r="T59" s="352">
        <v>2251</v>
      </c>
      <c r="U59" s="379">
        <v>1378</v>
      </c>
      <c r="V59" s="352">
        <v>26</v>
      </c>
      <c r="W59" s="379">
        <v>1</v>
      </c>
      <c r="X59" s="352">
        <v>12</v>
      </c>
      <c r="Y59" s="379">
        <v>7</v>
      </c>
      <c r="Z59" s="352"/>
      <c r="AA59" s="379"/>
      <c r="AB59" s="355">
        <v>6</v>
      </c>
      <c r="AC59" s="354">
        <v>7</v>
      </c>
      <c r="AD59" s="355">
        <v>79</v>
      </c>
      <c r="AE59" s="353"/>
    </row>
    <row r="60" spans="1:31">
      <c r="A60" s="100">
        <v>42</v>
      </c>
      <c r="B60" s="4" t="s">
        <v>303</v>
      </c>
      <c r="C60" s="10"/>
      <c r="D60" s="355">
        <v>745</v>
      </c>
      <c r="E60" s="354">
        <v>176</v>
      </c>
      <c r="F60" s="355">
        <v>14625</v>
      </c>
      <c r="G60" s="354">
        <v>1590</v>
      </c>
      <c r="H60" s="355">
        <v>171</v>
      </c>
      <c r="I60" s="354">
        <v>128</v>
      </c>
      <c r="J60" s="355">
        <v>32</v>
      </c>
      <c r="K60" s="354">
        <v>30</v>
      </c>
      <c r="L60" s="355">
        <v>800</v>
      </c>
      <c r="M60" s="349">
        <v>227</v>
      </c>
      <c r="N60" s="355">
        <v>1550</v>
      </c>
      <c r="O60" s="354">
        <v>190</v>
      </c>
      <c r="P60" s="355">
        <v>3561</v>
      </c>
      <c r="Q60" s="352">
        <v>1328</v>
      </c>
      <c r="R60" s="355">
        <v>380</v>
      </c>
      <c r="S60" s="379">
        <v>67</v>
      </c>
      <c r="T60" s="352">
        <v>155</v>
      </c>
      <c r="U60" s="379">
        <v>17</v>
      </c>
      <c r="V60" s="352"/>
      <c r="W60" s="379"/>
      <c r="X60" s="352"/>
      <c r="Y60" s="379"/>
      <c r="Z60" s="351">
        <v>90</v>
      </c>
      <c r="AA60" s="379">
        <v>113</v>
      </c>
      <c r="AB60" s="355">
        <v>202</v>
      </c>
      <c r="AC60" s="354">
        <v>67</v>
      </c>
      <c r="AD60" s="355">
        <v>162</v>
      </c>
      <c r="AE60" s="353">
        <v>66</v>
      </c>
    </row>
    <row r="61" spans="1:31" ht="15">
      <c r="A61" s="175">
        <v>43</v>
      </c>
      <c r="B61" s="111" t="s">
        <v>129</v>
      </c>
      <c r="C61" s="248"/>
      <c r="D61" s="357">
        <v>677</v>
      </c>
      <c r="E61" s="354">
        <v>224</v>
      </c>
      <c r="F61" s="357">
        <v>11777</v>
      </c>
      <c r="G61" s="354">
        <v>2307</v>
      </c>
      <c r="H61" s="357">
        <v>505</v>
      </c>
      <c r="I61" s="354">
        <v>150</v>
      </c>
      <c r="J61" s="357">
        <v>101</v>
      </c>
      <c r="K61" s="354">
        <v>49</v>
      </c>
      <c r="L61" s="357">
        <v>1385</v>
      </c>
      <c r="M61" s="349">
        <v>451</v>
      </c>
      <c r="N61" s="357">
        <v>1327</v>
      </c>
      <c r="O61" s="354">
        <v>453</v>
      </c>
      <c r="P61" s="357">
        <v>2423</v>
      </c>
      <c r="Q61" s="352">
        <v>734</v>
      </c>
      <c r="R61" s="355">
        <v>248</v>
      </c>
      <c r="S61" s="379">
        <v>25</v>
      </c>
      <c r="T61" s="352">
        <v>77</v>
      </c>
      <c r="U61" s="379">
        <v>18</v>
      </c>
      <c r="V61" s="352">
        <v>7</v>
      </c>
      <c r="W61" s="379">
        <v>5</v>
      </c>
      <c r="X61" s="352">
        <v>9</v>
      </c>
      <c r="Y61" s="379">
        <v>5</v>
      </c>
      <c r="Z61" s="352">
        <v>164</v>
      </c>
      <c r="AA61" s="379">
        <v>43</v>
      </c>
      <c r="AB61" s="357">
        <v>78</v>
      </c>
      <c r="AC61" s="354">
        <v>12</v>
      </c>
      <c r="AD61" s="357">
        <v>363</v>
      </c>
      <c r="AE61" s="353">
        <v>50</v>
      </c>
    </row>
    <row r="62" spans="1:31">
      <c r="A62" s="175">
        <v>44</v>
      </c>
      <c r="B62" s="111" t="s">
        <v>130</v>
      </c>
      <c r="C62" s="17"/>
      <c r="D62" s="355">
        <v>6846</v>
      </c>
      <c r="E62" s="354">
        <v>619</v>
      </c>
      <c r="F62" s="355">
        <v>5716</v>
      </c>
      <c r="G62" s="354">
        <v>1167</v>
      </c>
      <c r="H62" s="355">
        <v>2334</v>
      </c>
      <c r="I62" s="354">
        <v>1423</v>
      </c>
      <c r="J62" s="355">
        <v>70</v>
      </c>
      <c r="K62" s="354">
        <v>3</v>
      </c>
      <c r="L62" s="355">
        <v>4117</v>
      </c>
      <c r="M62" s="349">
        <v>1523</v>
      </c>
      <c r="N62" s="355">
        <v>1787</v>
      </c>
      <c r="O62" s="354">
        <v>603</v>
      </c>
      <c r="P62" s="355">
        <v>2190</v>
      </c>
      <c r="Q62" s="352">
        <v>1043</v>
      </c>
      <c r="R62" s="355">
        <v>522</v>
      </c>
      <c r="S62" s="379">
        <v>397</v>
      </c>
      <c r="T62" s="352">
        <v>253</v>
      </c>
      <c r="U62" s="379">
        <v>53</v>
      </c>
      <c r="V62" s="352">
        <v>12</v>
      </c>
      <c r="W62" s="379"/>
      <c r="X62" s="352">
        <v>23</v>
      </c>
      <c r="Y62" s="379">
        <v>9</v>
      </c>
      <c r="Z62" s="352">
        <v>924</v>
      </c>
      <c r="AA62" s="379">
        <v>359</v>
      </c>
      <c r="AB62" s="355">
        <v>13</v>
      </c>
      <c r="AC62" s="354"/>
      <c r="AD62" s="355">
        <v>564</v>
      </c>
      <c r="AE62" s="353">
        <v>157</v>
      </c>
    </row>
    <row r="63" spans="1:31">
      <c r="A63" s="175">
        <v>45</v>
      </c>
      <c r="B63" s="111" t="s">
        <v>131</v>
      </c>
      <c r="C63" s="10"/>
      <c r="D63" s="355">
        <v>2379</v>
      </c>
      <c r="E63" s="354">
        <v>443</v>
      </c>
      <c r="F63" s="355">
        <v>19929</v>
      </c>
      <c r="G63" s="354">
        <v>2518</v>
      </c>
      <c r="H63" s="355">
        <v>1880</v>
      </c>
      <c r="I63" s="354">
        <v>345</v>
      </c>
      <c r="J63" s="355">
        <v>519</v>
      </c>
      <c r="K63" s="354">
        <v>60</v>
      </c>
      <c r="L63" s="355">
        <v>5103</v>
      </c>
      <c r="M63" s="349">
        <v>674</v>
      </c>
      <c r="N63" s="355">
        <v>2216</v>
      </c>
      <c r="O63" s="354">
        <v>496</v>
      </c>
      <c r="P63" s="355">
        <v>257</v>
      </c>
      <c r="Q63" s="352">
        <v>52</v>
      </c>
      <c r="R63" s="357">
        <v>42</v>
      </c>
      <c r="S63" s="379">
        <v>14</v>
      </c>
      <c r="T63" s="351">
        <v>61</v>
      </c>
      <c r="U63" s="379">
        <v>8</v>
      </c>
      <c r="V63" s="351">
        <v>28</v>
      </c>
      <c r="W63" s="379">
        <v>4</v>
      </c>
      <c r="X63" s="351">
        <v>3</v>
      </c>
      <c r="Y63" s="379">
        <v>3</v>
      </c>
      <c r="Z63" s="352">
        <v>179</v>
      </c>
      <c r="AA63" s="379">
        <v>129</v>
      </c>
      <c r="AB63" s="355">
        <v>156</v>
      </c>
      <c r="AC63" s="354">
        <v>14</v>
      </c>
      <c r="AD63" s="355">
        <v>3882</v>
      </c>
      <c r="AE63" s="353">
        <v>149</v>
      </c>
    </row>
    <row r="64" spans="1:31">
      <c r="A64" s="175">
        <v>46</v>
      </c>
      <c r="B64" s="111" t="s">
        <v>132</v>
      </c>
      <c r="C64" s="10"/>
      <c r="D64" s="355">
        <v>1763</v>
      </c>
      <c r="E64" s="354">
        <v>141</v>
      </c>
      <c r="F64" s="355">
        <v>19177</v>
      </c>
      <c r="G64" s="354">
        <v>1191</v>
      </c>
      <c r="H64" s="355">
        <v>1564</v>
      </c>
      <c r="I64" s="354">
        <v>169</v>
      </c>
      <c r="J64" s="355">
        <v>364</v>
      </c>
      <c r="K64" s="354">
        <v>14</v>
      </c>
      <c r="L64" s="355">
        <v>1831</v>
      </c>
      <c r="M64" s="349">
        <v>948</v>
      </c>
      <c r="N64" s="355">
        <v>1637</v>
      </c>
      <c r="O64" s="354">
        <v>111</v>
      </c>
      <c r="P64" s="355">
        <v>23</v>
      </c>
      <c r="Q64" s="352">
        <v>6</v>
      </c>
      <c r="R64" s="355">
        <v>1</v>
      </c>
      <c r="S64" s="379">
        <v>3</v>
      </c>
      <c r="T64" s="352"/>
      <c r="U64" s="379"/>
      <c r="V64" s="352"/>
      <c r="W64" s="379"/>
      <c r="X64" s="352"/>
      <c r="Y64" s="379"/>
      <c r="Z64" s="352">
        <v>90</v>
      </c>
      <c r="AA64" s="379">
        <v>100</v>
      </c>
      <c r="AB64" s="355">
        <v>77</v>
      </c>
      <c r="AC64" s="354"/>
      <c r="AD64" s="355">
        <v>69</v>
      </c>
      <c r="AE64" s="353"/>
    </row>
    <row r="65" spans="1:31">
      <c r="A65" s="175">
        <v>47</v>
      </c>
      <c r="B65" s="111" t="s">
        <v>133</v>
      </c>
      <c r="C65" s="10"/>
      <c r="D65" s="355">
        <v>865</v>
      </c>
      <c r="E65" s="354">
        <v>1095</v>
      </c>
      <c r="F65" s="355">
        <v>7464</v>
      </c>
      <c r="G65" s="354">
        <v>12470</v>
      </c>
      <c r="H65" s="355">
        <v>1448</v>
      </c>
      <c r="I65" s="354">
        <v>1198</v>
      </c>
      <c r="J65" s="355">
        <v>172</v>
      </c>
      <c r="K65" s="354">
        <v>5032</v>
      </c>
      <c r="L65" s="355">
        <v>5312</v>
      </c>
      <c r="M65" s="349">
        <v>13173</v>
      </c>
      <c r="N65" s="355">
        <v>1518</v>
      </c>
      <c r="O65" s="354">
        <v>10650</v>
      </c>
      <c r="P65" s="355">
        <v>5985</v>
      </c>
      <c r="Q65" s="352">
        <v>21113</v>
      </c>
      <c r="R65" s="355">
        <v>1124</v>
      </c>
      <c r="S65" s="379">
        <v>10146</v>
      </c>
      <c r="T65" s="352">
        <v>212</v>
      </c>
      <c r="U65" s="379">
        <v>5016</v>
      </c>
      <c r="V65" s="352">
        <v>14</v>
      </c>
      <c r="W65" s="379">
        <v>1</v>
      </c>
      <c r="X65" s="352">
        <v>7</v>
      </c>
      <c r="Y65" s="379"/>
      <c r="Z65" s="352">
        <v>93</v>
      </c>
      <c r="AA65" s="379">
        <v>121</v>
      </c>
      <c r="AB65" s="355">
        <v>212</v>
      </c>
      <c r="AC65" s="354">
        <v>56</v>
      </c>
      <c r="AD65" s="355">
        <v>763</v>
      </c>
      <c r="AE65" s="353">
        <v>1621</v>
      </c>
    </row>
    <row r="66" spans="1:31">
      <c r="A66" s="175">
        <v>48</v>
      </c>
      <c r="B66" s="111" t="s">
        <v>134</v>
      </c>
      <c r="C66" s="10"/>
      <c r="D66" s="355">
        <v>424</v>
      </c>
      <c r="E66" s="354">
        <v>262</v>
      </c>
      <c r="F66" s="355">
        <v>6424</v>
      </c>
      <c r="G66" s="354">
        <v>886</v>
      </c>
      <c r="H66" s="355">
        <v>194</v>
      </c>
      <c r="I66" s="354">
        <v>253</v>
      </c>
      <c r="J66" s="355">
        <v>41</v>
      </c>
      <c r="K66" s="354">
        <v>22</v>
      </c>
      <c r="L66" s="355">
        <v>631</v>
      </c>
      <c r="M66" s="349">
        <v>449</v>
      </c>
      <c r="N66" s="355">
        <v>977</v>
      </c>
      <c r="O66" s="354">
        <v>421</v>
      </c>
      <c r="P66" s="355">
        <v>2826</v>
      </c>
      <c r="Q66" s="352">
        <v>2652</v>
      </c>
      <c r="R66" s="355">
        <v>146</v>
      </c>
      <c r="S66" s="379">
        <v>97</v>
      </c>
      <c r="T66" s="352">
        <v>268</v>
      </c>
      <c r="U66" s="379">
        <v>45</v>
      </c>
      <c r="V66" s="352">
        <v>6</v>
      </c>
      <c r="W66" s="379">
        <v>5</v>
      </c>
      <c r="X66" s="352">
        <v>16</v>
      </c>
      <c r="Y66" s="379">
        <v>8</v>
      </c>
      <c r="Z66" s="351">
        <v>5</v>
      </c>
      <c r="AA66" s="379">
        <v>16</v>
      </c>
      <c r="AB66" s="355">
        <v>14</v>
      </c>
      <c r="AC66" s="354">
        <v>6</v>
      </c>
      <c r="AD66" s="355">
        <v>246</v>
      </c>
      <c r="AE66" s="353"/>
    </row>
    <row r="67" spans="1:31" ht="15">
      <c r="A67" s="175">
        <v>49</v>
      </c>
      <c r="B67" s="111" t="s">
        <v>135</v>
      </c>
      <c r="C67" s="248"/>
      <c r="D67" s="357">
        <v>416</v>
      </c>
      <c r="E67" s="354">
        <v>89</v>
      </c>
      <c r="F67" s="357">
        <v>6675</v>
      </c>
      <c r="G67" s="354">
        <v>415</v>
      </c>
      <c r="H67" s="357">
        <v>874</v>
      </c>
      <c r="I67" s="354">
        <v>2050</v>
      </c>
      <c r="J67" s="357">
        <v>145</v>
      </c>
      <c r="K67" s="354">
        <v>10</v>
      </c>
      <c r="L67" s="357">
        <v>852</v>
      </c>
      <c r="M67" s="349">
        <v>174</v>
      </c>
      <c r="N67" s="357">
        <v>853</v>
      </c>
      <c r="O67" s="354">
        <v>132</v>
      </c>
      <c r="P67" s="357">
        <v>93</v>
      </c>
      <c r="Q67" s="352">
        <v>40</v>
      </c>
      <c r="R67" s="355">
        <v>14</v>
      </c>
      <c r="S67" s="379">
        <v>2</v>
      </c>
      <c r="T67" s="352">
        <v>72</v>
      </c>
      <c r="U67" s="379">
        <v>9</v>
      </c>
      <c r="V67" s="352"/>
      <c r="W67" s="379"/>
      <c r="X67" s="352"/>
      <c r="Y67" s="379"/>
      <c r="Z67" s="352">
        <v>111</v>
      </c>
      <c r="AA67" s="379">
        <v>27</v>
      </c>
      <c r="AB67" s="357">
        <v>82</v>
      </c>
      <c r="AC67" s="354">
        <v>5</v>
      </c>
      <c r="AD67" s="357">
        <v>327</v>
      </c>
      <c r="AE67" s="353"/>
    </row>
    <row r="68" spans="1:31">
      <c r="A68" s="175">
        <v>50</v>
      </c>
      <c r="B68" s="111" t="s">
        <v>136</v>
      </c>
      <c r="C68" s="17"/>
      <c r="D68" s="355">
        <v>147</v>
      </c>
      <c r="E68" s="354">
        <v>64</v>
      </c>
      <c r="F68" s="355">
        <v>1131</v>
      </c>
      <c r="G68" s="354">
        <v>802</v>
      </c>
      <c r="H68" s="355">
        <v>75</v>
      </c>
      <c r="I68" s="354">
        <v>77</v>
      </c>
      <c r="J68" s="355">
        <v>5</v>
      </c>
      <c r="K68" s="354">
        <v>6</v>
      </c>
      <c r="L68" s="355">
        <v>416</v>
      </c>
      <c r="M68" s="349">
        <v>296</v>
      </c>
      <c r="N68" s="355">
        <v>224</v>
      </c>
      <c r="O68" s="354">
        <v>312</v>
      </c>
      <c r="P68" s="355">
        <v>375</v>
      </c>
      <c r="Q68" s="352">
        <v>183</v>
      </c>
      <c r="R68" s="355">
        <v>52</v>
      </c>
      <c r="S68" s="379">
        <v>18</v>
      </c>
      <c r="T68" s="352">
        <v>21</v>
      </c>
      <c r="U68" s="379">
        <v>7</v>
      </c>
      <c r="V68" s="352"/>
      <c r="W68" s="379"/>
      <c r="X68" s="352"/>
      <c r="Y68" s="379"/>
      <c r="Z68" s="352">
        <v>7</v>
      </c>
      <c r="AA68" s="379">
        <v>1</v>
      </c>
      <c r="AB68" s="355"/>
      <c r="AC68" s="354"/>
      <c r="AD68" s="355">
        <v>968</v>
      </c>
      <c r="AE68" s="353">
        <v>222</v>
      </c>
    </row>
    <row r="69" spans="1:31">
      <c r="A69" s="218">
        <v>51</v>
      </c>
      <c r="B69" s="111" t="s">
        <v>137</v>
      </c>
      <c r="C69" s="10"/>
      <c r="D69" s="355">
        <v>2923</v>
      </c>
      <c r="E69" s="354">
        <v>671</v>
      </c>
      <c r="F69" s="355">
        <v>15657</v>
      </c>
      <c r="G69" s="354">
        <v>2437</v>
      </c>
      <c r="H69" s="355">
        <v>1382</v>
      </c>
      <c r="I69" s="354">
        <v>303</v>
      </c>
      <c r="J69" s="355">
        <v>533</v>
      </c>
      <c r="K69" s="354">
        <v>28</v>
      </c>
      <c r="L69" s="355">
        <v>3911</v>
      </c>
      <c r="M69" s="349">
        <v>818</v>
      </c>
      <c r="N69" s="355">
        <v>3144</v>
      </c>
      <c r="O69" s="354">
        <v>732</v>
      </c>
      <c r="P69" s="355">
        <v>12088</v>
      </c>
      <c r="Q69" s="352">
        <v>3207</v>
      </c>
      <c r="R69" s="357">
        <v>1494</v>
      </c>
      <c r="S69" s="379">
        <v>168</v>
      </c>
      <c r="T69" s="351">
        <v>1032</v>
      </c>
      <c r="U69" s="379">
        <v>83</v>
      </c>
      <c r="V69" s="351">
        <v>65</v>
      </c>
      <c r="W69" s="379">
        <v>5</v>
      </c>
      <c r="X69" s="351">
        <v>71</v>
      </c>
      <c r="Y69" s="379">
        <v>15</v>
      </c>
      <c r="Z69" s="352">
        <v>594</v>
      </c>
      <c r="AA69" s="379">
        <v>286</v>
      </c>
      <c r="AB69" s="355">
        <v>2677</v>
      </c>
      <c r="AC69" s="354">
        <v>450</v>
      </c>
      <c r="AD69" s="355">
        <v>4219</v>
      </c>
      <c r="AE69" s="353">
        <v>426</v>
      </c>
    </row>
    <row r="70" spans="1:31">
      <c r="A70" s="218">
        <v>52</v>
      </c>
      <c r="B70" s="111" t="s">
        <v>138</v>
      </c>
      <c r="C70" s="10"/>
      <c r="D70" s="355">
        <v>132430</v>
      </c>
      <c r="E70" s="354">
        <v>31459</v>
      </c>
      <c r="F70" s="355">
        <v>45989</v>
      </c>
      <c r="G70" s="354">
        <v>23852</v>
      </c>
      <c r="H70" s="355">
        <v>111597</v>
      </c>
      <c r="I70" s="354">
        <v>20875</v>
      </c>
      <c r="J70" s="355">
        <v>5081</v>
      </c>
      <c r="K70" s="354">
        <v>2308</v>
      </c>
      <c r="L70" s="355">
        <v>57196</v>
      </c>
      <c r="M70" s="349">
        <v>17753</v>
      </c>
      <c r="N70" s="355">
        <v>40654</v>
      </c>
      <c r="O70" s="354">
        <v>10475</v>
      </c>
      <c r="P70" s="355">
        <v>23792</v>
      </c>
      <c r="Q70" s="352">
        <v>8407</v>
      </c>
      <c r="R70" s="355">
        <v>13584</v>
      </c>
      <c r="S70" s="379">
        <v>7993</v>
      </c>
      <c r="T70" s="352">
        <v>6513</v>
      </c>
      <c r="U70" s="379">
        <v>2784</v>
      </c>
      <c r="V70" s="352">
        <v>80</v>
      </c>
      <c r="W70" s="379">
        <v>5</v>
      </c>
      <c r="X70" s="352">
        <v>251</v>
      </c>
      <c r="Y70" s="379">
        <v>213</v>
      </c>
      <c r="Z70" s="352">
        <v>3078</v>
      </c>
      <c r="AA70" s="379">
        <v>1029</v>
      </c>
      <c r="AB70" s="355">
        <v>9</v>
      </c>
      <c r="AC70" s="354"/>
      <c r="AD70" s="355">
        <v>1562</v>
      </c>
      <c r="AE70" s="353">
        <v>441</v>
      </c>
    </row>
    <row r="71" spans="1:31">
      <c r="A71" s="218">
        <v>53</v>
      </c>
      <c r="B71" s="111" t="s">
        <v>139</v>
      </c>
      <c r="C71" s="10"/>
      <c r="D71" s="355">
        <v>338</v>
      </c>
      <c r="E71" s="354">
        <v>520</v>
      </c>
      <c r="F71" s="355">
        <v>2013</v>
      </c>
      <c r="G71" s="354">
        <v>1044</v>
      </c>
      <c r="H71" s="355">
        <v>272</v>
      </c>
      <c r="I71" s="354">
        <v>117</v>
      </c>
      <c r="J71" s="355">
        <v>24</v>
      </c>
      <c r="K71" s="354">
        <v>9</v>
      </c>
      <c r="L71" s="355">
        <v>5648</v>
      </c>
      <c r="M71" s="349">
        <v>1853</v>
      </c>
      <c r="N71" s="355">
        <v>116</v>
      </c>
      <c r="O71" s="354">
        <v>72</v>
      </c>
      <c r="P71" s="355">
        <v>1451</v>
      </c>
      <c r="Q71" s="352">
        <v>567</v>
      </c>
      <c r="R71" s="355">
        <v>244</v>
      </c>
      <c r="S71" s="379">
        <v>139</v>
      </c>
      <c r="T71" s="352">
        <v>187</v>
      </c>
      <c r="U71" s="379">
        <v>54</v>
      </c>
      <c r="V71" s="352">
        <v>19</v>
      </c>
      <c r="W71" s="379">
        <v>6</v>
      </c>
      <c r="X71" s="352">
        <v>4</v>
      </c>
      <c r="Y71" s="379">
        <v>2</v>
      </c>
      <c r="Z71" s="352"/>
      <c r="AA71" s="379"/>
      <c r="AB71" s="355"/>
      <c r="AC71" s="354"/>
      <c r="AD71" s="355">
        <v>330</v>
      </c>
      <c r="AE71" s="353">
        <v>89</v>
      </c>
    </row>
    <row r="72" spans="1:31">
      <c r="A72" s="218">
        <v>54</v>
      </c>
      <c r="B72" s="111" t="s">
        <v>140</v>
      </c>
      <c r="C72" s="10"/>
      <c r="D72" s="355">
        <v>1393</v>
      </c>
      <c r="E72" s="354">
        <v>240</v>
      </c>
      <c r="F72" s="355">
        <v>9683</v>
      </c>
      <c r="G72" s="354">
        <v>962</v>
      </c>
      <c r="H72" s="355">
        <v>1493</v>
      </c>
      <c r="I72" s="354">
        <v>82</v>
      </c>
      <c r="J72" s="355">
        <v>144</v>
      </c>
      <c r="K72" s="354">
        <v>11</v>
      </c>
      <c r="L72" s="355">
        <v>2348</v>
      </c>
      <c r="M72" s="349">
        <v>400</v>
      </c>
      <c r="N72" s="355">
        <v>2993</v>
      </c>
      <c r="O72" s="354">
        <v>1840</v>
      </c>
      <c r="P72" s="355">
        <v>844</v>
      </c>
      <c r="Q72" s="352">
        <v>82</v>
      </c>
      <c r="R72" s="355">
        <v>77</v>
      </c>
      <c r="S72" s="379">
        <v>7</v>
      </c>
      <c r="T72" s="352">
        <v>91</v>
      </c>
      <c r="U72" s="379">
        <v>5</v>
      </c>
      <c r="V72" s="352">
        <v>13</v>
      </c>
      <c r="W72" s="379"/>
      <c r="X72" s="352">
        <v>2</v>
      </c>
      <c r="Y72" s="379"/>
      <c r="Z72" s="382">
        <v>99</v>
      </c>
      <c r="AA72" s="391">
        <v>5</v>
      </c>
      <c r="AB72" s="355">
        <v>79</v>
      </c>
      <c r="AC72" s="354">
        <v>7</v>
      </c>
      <c r="AD72" s="355">
        <v>418</v>
      </c>
      <c r="AE72" s="353"/>
    </row>
    <row r="73" spans="1:31">
      <c r="A73" s="218">
        <v>55</v>
      </c>
      <c r="B73" s="111" t="s">
        <v>141</v>
      </c>
      <c r="C73" s="10"/>
      <c r="D73" s="355">
        <v>2369</v>
      </c>
      <c r="E73" s="354">
        <v>345</v>
      </c>
      <c r="F73" s="355">
        <v>9681</v>
      </c>
      <c r="G73" s="354">
        <v>1533</v>
      </c>
      <c r="H73" s="355">
        <v>827</v>
      </c>
      <c r="I73" s="354">
        <v>154</v>
      </c>
      <c r="J73" s="355">
        <v>18</v>
      </c>
      <c r="K73" s="354">
        <v>5</v>
      </c>
      <c r="L73" s="355">
        <v>906</v>
      </c>
      <c r="M73" s="349">
        <v>237</v>
      </c>
      <c r="N73" s="355">
        <v>774</v>
      </c>
      <c r="O73" s="354">
        <v>317</v>
      </c>
      <c r="P73" s="355">
        <v>9559</v>
      </c>
      <c r="Q73" s="352">
        <v>6638</v>
      </c>
      <c r="R73" s="355">
        <v>794</v>
      </c>
      <c r="S73" s="379">
        <v>357</v>
      </c>
      <c r="T73" s="352">
        <v>585</v>
      </c>
      <c r="U73" s="379">
        <v>62</v>
      </c>
      <c r="V73" s="352">
        <v>26</v>
      </c>
      <c r="W73" s="379">
        <v>1</v>
      </c>
      <c r="X73" s="352">
        <v>44</v>
      </c>
      <c r="Y73" s="379">
        <v>8</v>
      </c>
      <c r="Z73" s="351">
        <v>326</v>
      </c>
      <c r="AA73" s="379">
        <v>24</v>
      </c>
      <c r="AB73" s="355">
        <v>44</v>
      </c>
      <c r="AC73" s="354"/>
      <c r="AD73" s="355">
        <v>472</v>
      </c>
      <c r="AE73" s="353"/>
    </row>
    <row r="74" spans="1:31" ht="15">
      <c r="A74" s="218">
        <v>56</v>
      </c>
      <c r="B74" s="111" t="s">
        <v>142</v>
      </c>
      <c r="C74" s="248"/>
      <c r="D74" s="357">
        <v>69</v>
      </c>
      <c r="E74" s="354">
        <v>67</v>
      </c>
      <c r="F74" s="357">
        <v>70</v>
      </c>
      <c r="G74" s="354">
        <v>207</v>
      </c>
      <c r="H74" s="357">
        <v>67</v>
      </c>
      <c r="I74" s="354">
        <v>7</v>
      </c>
      <c r="J74" s="357">
        <v>1</v>
      </c>
      <c r="K74" s="354">
        <v>5</v>
      </c>
      <c r="L74" s="357">
        <v>241</v>
      </c>
      <c r="M74" s="349">
        <v>220</v>
      </c>
      <c r="N74" s="357">
        <v>146</v>
      </c>
      <c r="O74" s="354">
        <v>168</v>
      </c>
      <c r="P74" s="357">
        <v>323</v>
      </c>
      <c r="Q74" s="352">
        <v>110</v>
      </c>
      <c r="R74" s="355">
        <v>19</v>
      </c>
      <c r="S74" s="379">
        <v>6</v>
      </c>
      <c r="T74" s="352">
        <v>76</v>
      </c>
      <c r="U74" s="379">
        <v>25</v>
      </c>
      <c r="V74" s="352">
        <v>5</v>
      </c>
      <c r="W74" s="379">
        <v>11</v>
      </c>
      <c r="X74" s="352">
        <v>1</v>
      </c>
      <c r="Y74" s="379">
        <v>2</v>
      </c>
      <c r="Z74" s="352"/>
      <c r="AA74" s="379">
        <v>10</v>
      </c>
      <c r="AB74" s="357"/>
      <c r="AC74" s="354">
        <v>10</v>
      </c>
      <c r="AD74" s="357">
        <v>22</v>
      </c>
      <c r="AE74" s="353">
        <v>14</v>
      </c>
    </row>
    <row r="75" spans="1:31">
      <c r="A75" s="218">
        <v>57</v>
      </c>
      <c r="B75" s="111" t="s">
        <v>143</v>
      </c>
      <c r="C75" s="17"/>
      <c r="D75" s="355">
        <v>10</v>
      </c>
      <c r="E75" s="354">
        <v>2</v>
      </c>
      <c r="F75" s="355">
        <v>20</v>
      </c>
      <c r="G75" s="354">
        <v>2</v>
      </c>
      <c r="H75" s="355">
        <v>4</v>
      </c>
      <c r="I75" s="354">
        <v>7</v>
      </c>
      <c r="J75" s="355"/>
      <c r="K75" s="354"/>
      <c r="L75" s="355">
        <v>15</v>
      </c>
      <c r="M75" s="349">
        <v>12</v>
      </c>
      <c r="N75" s="355">
        <v>11</v>
      </c>
      <c r="O75" s="354">
        <v>7</v>
      </c>
      <c r="P75" s="355">
        <v>20</v>
      </c>
      <c r="Q75" s="352"/>
      <c r="R75" s="355">
        <v>15</v>
      </c>
      <c r="S75" s="379"/>
      <c r="T75" s="352">
        <v>2</v>
      </c>
      <c r="U75" s="379"/>
      <c r="V75" s="352"/>
      <c r="W75" s="379"/>
      <c r="X75" s="352"/>
      <c r="Y75" s="379"/>
      <c r="Z75" s="102"/>
      <c r="AA75" s="379"/>
      <c r="AB75" s="355"/>
      <c r="AC75" s="354"/>
      <c r="AD75" s="355">
        <v>24</v>
      </c>
      <c r="AE75" s="353">
        <v>4</v>
      </c>
    </row>
    <row r="76" spans="1:31">
      <c r="A76" s="218">
        <v>58</v>
      </c>
      <c r="B76" s="111" t="s">
        <v>144</v>
      </c>
      <c r="C76" s="10"/>
      <c r="D76" s="355">
        <v>195</v>
      </c>
      <c r="E76" s="354">
        <v>20</v>
      </c>
      <c r="F76" s="355">
        <v>611</v>
      </c>
      <c r="G76" s="354">
        <v>84</v>
      </c>
      <c r="H76" s="355">
        <v>19</v>
      </c>
      <c r="I76" s="354">
        <v>15</v>
      </c>
      <c r="J76" s="355">
        <v>13</v>
      </c>
      <c r="K76" s="354">
        <v>1</v>
      </c>
      <c r="L76" s="355">
        <v>176</v>
      </c>
      <c r="M76" s="349">
        <v>92</v>
      </c>
      <c r="N76" s="355">
        <v>79</v>
      </c>
      <c r="O76" s="354">
        <v>57</v>
      </c>
      <c r="P76" s="355">
        <v>55</v>
      </c>
      <c r="Q76" s="352">
        <v>58</v>
      </c>
      <c r="R76" s="357">
        <v>7</v>
      </c>
      <c r="S76" s="379">
        <v>14</v>
      </c>
      <c r="T76" s="351">
        <v>8</v>
      </c>
      <c r="U76" s="379">
        <v>6</v>
      </c>
      <c r="V76" s="351">
        <v>3</v>
      </c>
      <c r="W76" s="379"/>
      <c r="X76" s="351"/>
      <c r="Y76" s="379"/>
      <c r="Z76" s="352">
        <v>13</v>
      </c>
      <c r="AA76" s="391">
        <v>6</v>
      </c>
      <c r="AB76" s="355"/>
      <c r="AC76" s="354"/>
      <c r="AD76" s="355">
        <v>989</v>
      </c>
      <c r="AE76" s="353">
        <v>14</v>
      </c>
    </row>
    <row r="77" spans="1:31">
      <c r="A77" s="218">
        <v>59</v>
      </c>
      <c r="B77" s="111" t="s">
        <v>145</v>
      </c>
      <c r="C77" s="17"/>
      <c r="D77" s="355">
        <v>341</v>
      </c>
      <c r="E77" s="349">
        <v>55</v>
      </c>
      <c r="F77" s="355">
        <v>7038</v>
      </c>
      <c r="G77" s="349">
        <v>658</v>
      </c>
      <c r="H77" s="355">
        <v>66</v>
      </c>
      <c r="I77" s="349">
        <v>109</v>
      </c>
      <c r="J77" s="355">
        <v>132</v>
      </c>
      <c r="K77" s="349">
        <v>10</v>
      </c>
      <c r="L77" s="355">
        <v>313</v>
      </c>
      <c r="M77" s="349">
        <v>157</v>
      </c>
      <c r="N77" s="355">
        <v>542</v>
      </c>
      <c r="O77" s="349">
        <v>210</v>
      </c>
      <c r="P77" s="355">
        <v>810</v>
      </c>
      <c r="Q77" s="351">
        <v>208</v>
      </c>
      <c r="R77" s="355">
        <v>58</v>
      </c>
      <c r="S77" s="379">
        <v>13</v>
      </c>
      <c r="T77" s="352">
        <v>57</v>
      </c>
      <c r="U77" s="379">
        <v>9</v>
      </c>
      <c r="V77" s="352"/>
      <c r="W77" s="379"/>
      <c r="X77" s="352">
        <v>3</v>
      </c>
      <c r="Y77" s="379">
        <v>1</v>
      </c>
      <c r="Z77" s="352">
        <v>73</v>
      </c>
      <c r="AA77" s="379">
        <v>42</v>
      </c>
      <c r="AB77" s="355">
        <v>106</v>
      </c>
      <c r="AC77" s="349">
        <v>13</v>
      </c>
      <c r="AD77" s="355">
        <v>878</v>
      </c>
      <c r="AE77" s="350">
        <v>178</v>
      </c>
    </row>
    <row r="78" spans="1:31">
      <c r="A78" s="218">
        <v>60</v>
      </c>
      <c r="B78" s="111" t="s">
        <v>146</v>
      </c>
      <c r="C78" s="10"/>
      <c r="D78" s="355">
        <v>4263</v>
      </c>
      <c r="E78" s="354">
        <v>1375</v>
      </c>
      <c r="F78" s="355">
        <v>24199</v>
      </c>
      <c r="G78" s="354">
        <v>3619</v>
      </c>
      <c r="H78" s="355">
        <v>2155</v>
      </c>
      <c r="I78" s="354">
        <v>633</v>
      </c>
      <c r="J78" s="355">
        <v>576</v>
      </c>
      <c r="K78" s="354">
        <v>232</v>
      </c>
      <c r="L78" s="355">
        <v>5637</v>
      </c>
      <c r="M78" s="349">
        <v>1875</v>
      </c>
      <c r="N78" s="355">
        <v>3791</v>
      </c>
      <c r="O78" s="354">
        <v>1304</v>
      </c>
      <c r="P78" s="355">
        <v>2425</v>
      </c>
      <c r="Q78" s="352">
        <v>702</v>
      </c>
      <c r="R78" s="355">
        <v>157</v>
      </c>
      <c r="S78" s="379">
        <v>37</v>
      </c>
      <c r="T78" s="352">
        <v>297</v>
      </c>
      <c r="U78" s="379">
        <v>53</v>
      </c>
      <c r="V78" s="352">
        <v>72</v>
      </c>
      <c r="W78" s="379">
        <v>14</v>
      </c>
      <c r="X78" s="352">
        <v>15</v>
      </c>
      <c r="Y78" s="379"/>
      <c r="Z78" s="352">
        <v>348</v>
      </c>
      <c r="AA78" s="379">
        <v>126</v>
      </c>
      <c r="AB78" s="355">
        <v>1141</v>
      </c>
      <c r="AC78" s="354">
        <v>364</v>
      </c>
      <c r="AD78" s="355">
        <v>567</v>
      </c>
      <c r="AE78" s="353">
        <v>41</v>
      </c>
    </row>
    <row r="79" spans="1:31">
      <c r="A79" s="218">
        <v>61</v>
      </c>
      <c r="B79" s="111" t="s">
        <v>147</v>
      </c>
      <c r="C79" s="10"/>
      <c r="D79" s="355">
        <v>782</v>
      </c>
      <c r="E79" s="354">
        <v>269</v>
      </c>
      <c r="F79" s="355">
        <v>6965</v>
      </c>
      <c r="G79" s="354">
        <v>1092</v>
      </c>
      <c r="H79" s="355">
        <v>939</v>
      </c>
      <c r="I79" s="354">
        <v>259</v>
      </c>
      <c r="J79" s="355">
        <v>189</v>
      </c>
      <c r="K79" s="354">
        <v>44</v>
      </c>
      <c r="L79" s="355">
        <v>2340</v>
      </c>
      <c r="M79" s="349">
        <v>674</v>
      </c>
      <c r="N79" s="355">
        <v>1215</v>
      </c>
      <c r="O79" s="354">
        <v>377</v>
      </c>
      <c r="P79" s="355">
        <v>20</v>
      </c>
      <c r="Q79" s="352">
        <v>12</v>
      </c>
      <c r="R79" s="355">
        <v>2</v>
      </c>
      <c r="S79" s="358">
        <v>2</v>
      </c>
      <c r="T79" s="352">
        <v>10</v>
      </c>
      <c r="U79" s="358">
        <v>4</v>
      </c>
      <c r="V79" s="352"/>
      <c r="W79" s="358"/>
      <c r="X79" s="352"/>
      <c r="Y79" s="358"/>
      <c r="Z79" s="351">
        <v>166</v>
      </c>
      <c r="AA79" s="379">
        <v>84</v>
      </c>
      <c r="AB79" s="355">
        <v>63</v>
      </c>
      <c r="AC79" s="354">
        <v>28</v>
      </c>
      <c r="AD79" s="355">
        <v>3598</v>
      </c>
      <c r="AE79" s="353">
        <v>6</v>
      </c>
    </row>
    <row r="80" spans="1:31" ht="15">
      <c r="A80" s="218">
        <v>62</v>
      </c>
      <c r="B80" s="111" t="s">
        <v>148</v>
      </c>
      <c r="C80" s="248"/>
      <c r="D80" s="357">
        <v>620</v>
      </c>
      <c r="E80" s="354">
        <v>271</v>
      </c>
      <c r="F80" s="357">
        <v>8623</v>
      </c>
      <c r="G80" s="354">
        <v>3164</v>
      </c>
      <c r="H80" s="357">
        <v>481</v>
      </c>
      <c r="I80" s="354">
        <v>312</v>
      </c>
      <c r="J80" s="357">
        <v>91</v>
      </c>
      <c r="K80" s="354">
        <v>24</v>
      </c>
      <c r="L80" s="357">
        <v>2249</v>
      </c>
      <c r="M80" s="349">
        <v>929</v>
      </c>
      <c r="N80" s="357">
        <v>2545</v>
      </c>
      <c r="O80" s="354">
        <v>1103</v>
      </c>
      <c r="P80" s="357">
        <v>3657</v>
      </c>
      <c r="Q80" s="352">
        <v>2943</v>
      </c>
      <c r="R80" s="355">
        <v>323</v>
      </c>
      <c r="S80" s="379">
        <v>232</v>
      </c>
      <c r="T80" s="352">
        <v>291</v>
      </c>
      <c r="U80" s="379">
        <v>129</v>
      </c>
      <c r="V80" s="352">
        <v>6</v>
      </c>
      <c r="W80" s="379">
        <v>14</v>
      </c>
      <c r="X80" s="352">
        <v>13</v>
      </c>
      <c r="Y80" s="379">
        <v>6</v>
      </c>
      <c r="Z80" s="352">
        <v>15</v>
      </c>
      <c r="AA80" s="379">
        <v>25</v>
      </c>
      <c r="AB80" s="357">
        <v>122</v>
      </c>
      <c r="AC80" s="354">
        <v>46</v>
      </c>
      <c r="AD80" s="357">
        <v>552</v>
      </c>
      <c r="AE80" s="353">
        <v>124</v>
      </c>
    </row>
    <row r="81" spans="1:31">
      <c r="A81" s="218">
        <v>63</v>
      </c>
      <c r="B81" s="111" t="s">
        <v>149</v>
      </c>
      <c r="C81" s="17"/>
      <c r="D81" s="355">
        <v>1090</v>
      </c>
      <c r="E81" s="354">
        <v>309</v>
      </c>
      <c r="F81" s="355">
        <v>8269</v>
      </c>
      <c r="G81" s="354">
        <v>2535</v>
      </c>
      <c r="H81" s="355">
        <v>4052</v>
      </c>
      <c r="I81" s="354">
        <v>5443</v>
      </c>
      <c r="J81" s="355">
        <v>69</v>
      </c>
      <c r="K81" s="354">
        <v>9</v>
      </c>
      <c r="L81" s="355">
        <v>3220</v>
      </c>
      <c r="M81" s="349">
        <v>2751</v>
      </c>
      <c r="N81" s="355">
        <v>1075</v>
      </c>
      <c r="O81" s="354">
        <v>708</v>
      </c>
      <c r="P81" s="355">
        <v>2438</v>
      </c>
      <c r="Q81" s="352">
        <v>2489</v>
      </c>
      <c r="R81" s="355">
        <v>170</v>
      </c>
      <c r="S81" s="379">
        <v>235</v>
      </c>
      <c r="T81" s="352">
        <v>192</v>
      </c>
      <c r="U81" s="379">
        <v>12</v>
      </c>
      <c r="V81" s="352">
        <v>18</v>
      </c>
      <c r="W81" s="379">
        <v>14</v>
      </c>
      <c r="X81" s="352">
        <v>4</v>
      </c>
      <c r="Y81" s="379">
        <v>6</v>
      </c>
      <c r="Z81" s="352">
        <v>1004</v>
      </c>
      <c r="AA81" s="379">
        <v>220</v>
      </c>
      <c r="AB81" s="355">
        <v>517</v>
      </c>
      <c r="AC81" s="354">
        <v>281</v>
      </c>
      <c r="AD81" s="355">
        <v>196</v>
      </c>
      <c r="AE81" s="353">
        <v>14</v>
      </c>
    </row>
    <row r="82" spans="1:31">
      <c r="A82" s="218">
        <v>64</v>
      </c>
      <c r="B82" s="111" t="s">
        <v>150</v>
      </c>
      <c r="C82" s="10"/>
      <c r="D82" s="355">
        <v>94</v>
      </c>
      <c r="E82" s="354">
        <v>39</v>
      </c>
      <c r="F82" s="355">
        <v>149</v>
      </c>
      <c r="G82" s="354">
        <v>110</v>
      </c>
      <c r="H82" s="355">
        <v>45</v>
      </c>
      <c r="I82" s="354">
        <v>1</v>
      </c>
      <c r="J82" s="355"/>
      <c r="K82" s="354"/>
      <c r="L82" s="355">
        <v>254</v>
      </c>
      <c r="M82" s="349">
        <v>178</v>
      </c>
      <c r="N82" s="355">
        <v>87</v>
      </c>
      <c r="O82" s="354">
        <v>511</v>
      </c>
      <c r="P82" s="355">
        <v>39</v>
      </c>
      <c r="Q82" s="352">
        <v>89</v>
      </c>
      <c r="R82" s="357">
        <v>4</v>
      </c>
      <c r="S82" s="379">
        <v>10</v>
      </c>
      <c r="T82" s="351">
        <v>25</v>
      </c>
      <c r="U82" s="379">
        <v>2</v>
      </c>
      <c r="V82" s="351">
        <v>1</v>
      </c>
      <c r="W82" s="379"/>
      <c r="X82" s="351"/>
      <c r="Y82" s="379"/>
      <c r="Z82" s="352"/>
      <c r="AA82" s="379"/>
      <c r="AB82" s="355"/>
      <c r="AC82" s="354"/>
      <c r="AD82" s="355">
        <v>20</v>
      </c>
      <c r="AE82" s="353">
        <v>4</v>
      </c>
    </row>
    <row r="83" spans="1:31">
      <c r="A83" s="218">
        <v>65</v>
      </c>
      <c r="B83" s="111" t="s">
        <v>151</v>
      </c>
      <c r="C83" s="10"/>
      <c r="D83" s="355">
        <v>2482</v>
      </c>
      <c r="E83" s="354">
        <v>447</v>
      </c>
      <c r="F83" s="355">
        <v>13403</v>
      </c>
      <c r="G83" s="354">
        <v>1150</v>
      </c>
      <c r="H83" s="355">
        <v>2169</v>
      </c>
      <c r="I83" s="354">
        <v>481</v>
      </c>
      <c r="J83" s="355">
        <v>204</v>
      </c>
      <c r="K83" s="354">
        <v>18</v>
      </c>
      <c r="L83" s="355">
        <v>3087</v>
      </c>
      <c r="M83" s="349">
        <v>1086</v>
      </c>
      <c r="N83" s="355">
        <v>2424</v>
      </c>
      <c r="O83" s="354">
        <v>691</v>
      </c>
      <c r="P83" s="355">
        <v>2066</v>
      </c>
      <c r="Q83" s="352">
        <v>980</v>
      </c>
      <c r="R83" s="355">
        <v>275</v>
      </c>
      <c r="S83" s="379">
        <v>145</v>
      </c>
      <c r="T83" s="352">
        <v>288</v>
      </c>
      <c r="U83" s="379">
        <v>72</v>
      </c>
      <c r="V83" s="352">
        <v>79</v>
      </c>
      <c r="W83" s="379">
        <v>20</v>
      </c>
      <c r="X83" s="352">
        <v>14</v>
      </c>
      <c r="Y83" s="379">
        <v>2</v>
      </c>
      <c r="Z83" s="352">
        <v>137</v>
      </c>
      <c r="AA83" s="379">
        <v>86</v>
      </c>
      <c r="AB83" s="355">
        <v>194</v>
      </c>
      <c r="AC83" s="354">
        <v>120</v>
      </c>
      <c r="AD83" s="355">
        <v>1912</v>
      </c>
      <c r="AE83" s="353">
        <v>71</v>
      </c>
    </row>
    <row r="84" spans="1:31">
      <c r="A84" s="218">
        <v>66</v>
      </c>
      <c r="B84" s="111" t="s">
        <v>152</v>
      </c>
      <c r="C84" s="10"/>
      <c r="D84" s="355">
        <v>18149</v>
      </c>
      <c r="E84" s="354">
        <v>1692</v>
      </c>
      <c r="F84" s="355">
        <v>28712</v>
      </c>
      <c r="G84" s="354">
        <v>11081</v>
      </c>
      <c r="H84" s="355">
        <v>35511</v>
      </c>
      <c r="I84" s="354">
        <v>9020</v>
      </c>
      <c r="J84" s="355">
        <v>1654</v>
      </c>
      <c r="K84" s="354">
        <v>1689</v>
      </c>
      <c r="L84" s="355">
        <v>29250</v>
      </c>
      <c r="M84" s="349">
        <v>13762</v>
      </c>
      <c r="N84" s="355">
        <v>39867</v>
      </c>
      <c r="O84" s="354">
        <v>19565</v>
      </c>
      <c r="P84" s="355">
        <v>8390</v>
      </c>
      <c r="Q84" s="352">
        <v>1404</v>
      </c>
      <c r="R84" s="355">
        <v>991</v>
      </c>
      <c r="S84" s="379">
        <v>493</v>
      </c>
      <c r="T84" s="352">
        <v>1972</v>
      </c>
      <c r="U84" s="379">
        <v>421</v>
      </c>
      <c r="V84" s="352">
        <v>39</v>
      </c>
      <c r="W84" s="379">
        <v>3</v>
      </c>
      <c r="X84" s="352">
        <v>195</v>
      </c>
      <c r="Y84" s="379">
        <v>6</v>
      </c>
      <c r="Z84" s="382">
        <v>601</v>
      </c>
      <c r="AA84" s="391">
        <v>170</v>
      </c>
      <c r="AB84" s="355">
        <v>24</v>
      </c>
      <c r="AC84" s="354"/>
      <c r="AD84" s="355">
        <v>1309</v>
      </c>
      <c r="AE84" s="353">
        <v>1422</v>
      </c>
    </row>
    <row r="85" spans="1:31">
      <c r="A85" s="218">
        <v>67</v>
      </c>
      <c r="B85" s="111" t="s">
        <v>153</v>
      </c>
      <c r="C85" s="10"/>
      <c r="D85" s="355">
        <v>1813</v>
      </c>
      <c r="E85" s="354">
        <v>282</v>
      </c>
      <c r="F85" s="355">
        <v>20536</v>
      </c>
      <c r="G85" s="354">
        <v>3042</v>
      </c>
      <c r="H85" s="355">
        <v>1047</v>
      </c>
      <c r="I85" s="354">
        <v>206</v>
      </c>
      <c r="J85" s="355">
        <v>340</v>
      </c>
      <c r="K85" s="354">
        <v>49</v>
      </c>
      <c r="L85" s="355">
        <v>2523</v>
      </c>
      <c r="M85" s="349">
        <v>923</v>
      </c>
      <c r="N85" s="355">
        <v>2028</v>
      </c>
      <c r="O85" s="354">
        <v>632</v>
      </c>
      <c r="P85" s="355">
        <v>150</v>
      </c>
      <c r="Q85" s="352">
        <v>114</v>
      </c>
      <c r="R85" s="355">
        <v>22</v>
      </c>
      <c r="S85" s="379">
        <v>14</v>
      </c>
      <c r="T85" s="352">
        <v>22</v>
      </c>
      <c r="U85" s="379">
        <v>10</v>
      </c>
      <c r="V85" s="352"/>
      <c r="W85" s="379"/>
      <c r="X85" s="352"/>
      <c r="Y85" s="379">
        <v>2</v>
      </c>
      <c r="Z85" s="351">
        <v>167</v>
      </c>
      <c r="AA85" s="379">
        <v>48</v>
      </c>
      <c r="AB85" s="355">
        <v>125</v>
      </c>
      <c r="AC85" s="354">
        <v>41</v>
      </c>
      <c r="AD85" s="355">
        <v>158</v>
      </c>
      <c r="AE85" s="353">
        <v>8</v>
      </c>
    </row>
    <row r="86" spans="1:31" ht="15">
      <c r="A86" s="218">
        <v>68</v>
      </c>
      <c r="B86" s="111" t="s">
        <v>154</v>
      </c>
      <c r="C86" s="248"/>
      <c r="D86" s="357">
        <v>480</v>
      </c>
      <c r="E86" s="354">
        <v>100</v>
      </c>
      <c r="F86" s="357">
        <v>1653</v>
      </c>
      <c r="G86" s="354">
        <v>150</v>
      </c>
      <c r="H86" s="357">
        <v>209</v>
      </c>
      <c r="I86" s="354">
        <v>104</v>
      </c>
      <c r="J86" s="357">
        <v>64</v>
      </c>
      <c r="K86" s="354">
        <v>2</v>
      </c>
      <c r="L86" s="357">
        <v>969</v>
      </c>
      <c r="M86" s="349">
        <v>273</v>
      </c>
      <c r="N86" s="357">
        <v>565</v>
      </c>
      <c r="O86" s="354">
        <v>85</v>
      </c>
      <c r="P86" s="357">
        <v>696</v>
      </c>
      <c r="Q86" s="352">
        <v>314</v>
      </c>
      <c r="R86" s="355">
        <v>100</v>
      </c>
      <c r="S86" s="379">
        <v>32</v>
      </c>
      <c r="T86" s="352">
        <v>102</v>
      </c>
      <c r="U86" s="379">
        <v>19</v>
      </c>
      <c r="V86" s="352">
        <v>11</v>
      </c>
      <c r="W86" s="379">
        <v>4</v>
      </c>
      <c r="X86" s="352">
        <v>12</v>
      </c>
      <c r="Y86" s="379">
        <v>7</v>
      </c>
      <c r="Z86" s="352">
        <v>59</v>
      </c>
      <c r="AA86" s="379"/>
      <c r="AB86" s="357"/>
      <c r="AC86" s="354"/>
      <c r="AD86" s="357">
        <v>341</v>
      </c>
      <c r="AE86" s="353">
        <v>22</v>
      </c>
    </row>
    <row r="87" spans="1:31">
      <c r="A87" s="218">
        <v>69</v>
      </c>
      <c r="B87" s="111" t="s">
        <v>155</v>
      </c>
      <c r="C87" s="17"/>
      <c r="D87" s="355">
        <v>1144</v>
      </c>
      <c r="E87" s="354">
        <v>216</v>
      </c>
      <c r="F87" s="355">
        <v>6469</v>
      </c>
      <c r="G87" s="354">
        <v>542</v>
      </c>
      <c r="H87" s="355">
        <v>357</v>
      </c>
      <c r="I87" s="354">
        <v>66</v>
      </c>
      <c r="J87" s="355">
        <v>36</v>
      </c>
      <c r="K87" s="354">
        <v>19</v>
      </c>
      <c r="L87" s="356">
        <v>5725</v>
      </c>
      <c r="M87" s="349">
        <v>156</v>
      </c>
      <c r="N87" s="355">
        <v>348</v>
      </c>
      <c r="O87" s="354">
        <v>214</v>
      </c>
      <c r="P87" s="355">
        <v>2757</v>
      </c>
      <c r="Q87" s="352">
        <v>509</v>
      </c>
      <c r="R87" s="356">
        <v>88</v>
      </c>
      <c r="S87" s="383">
        <v>1</v>
      </c>
      <c r="T87" s="382">
        <v>229</v>
      </c>
      <c r="U87" s="383">
        <v>8</v>
      </c>
      <c r="V87" s="382">
        <v>63</v>
      </c>
      <c r="W87" s="383">
        <v>6</v>
      </c>
      <c r="X87" s="382">
        <v>10</v>
      </c>
      <c r="Y87" s="391"/>
      <c r="Z87" s="352">
        <v>10</v>
      </c>
      <c r="AA87" s="379">
        <v>4</v>
      </c>
      <c r="AB87" s="355">
        <v>186</v>
      </c>
      <c r="AC87" s="354">
        <v>20</v>
      </c>
      <c r="AD87" s="355">
        <v>127</v>
      </c>
      <c r="AE87" s="353">
        <v>66</v>
      </c>
    </row>
    <row r="88" spans="1:31">
      <c r="A88" s="218">
        <v>70</v>
      </c>
      <c r="B88" s="111" t="s">
        <v>156</v>
      </c>
      <c r="C88" s="10"/>
      <c r="D88" s="355">
        <v>1573</v>
      </c>
      <c r="E88" s="354">
        <v>420</v>
      </c>
      <c r="F88" s="355">
        <v>5867</v>
      </c>
      <c r="G88" s="354">
        <v>1263</v>
      </c>
      <c r="H88" s="355">
        <v>1692</v>
      </c>
      <c r="I88" s="354">
        <v>625</v>
      </c>
      <c r="J88" s="355">
        <v>83</v>
      </c>
      <c r="K88" s="354">
        <v>24</v>
      </c>
      <c r="L88" s="355">
        <v>1313</v>
      </c>
      <c r="M88" s="349">
        <v>1552</v>
      </c>
      <c r="N88" s="355">
        <v>1530</v>
      </c>
      <c r="O88" s="354">
        <v>1158</v>
      </c>
      <c r="P88" s="355">
        <v>2751</v>
      </c>
      <c r="Q88" s="352">
        <v>2320</v>
      </c>
      <c r="R88" s="355">
        <v>324</v>
      </c>
      <c r="S88" s="379">
        <v>241</v>
      </c>
      <c r="T88" s="352">
        <v>323</v>
      </c>
      <c r="U88" s="379">
        <v>149</v>
      </c>
      <c r="V88" s="352">
        <v>40</v>
      </c>
      <c r="W88" s="379">
        <v>8</v>
      </c>
      <c r="X88" s="352">
        <v>16</v>
      </c>
      <c r="Y88" s="379">
        <v>5</v>
      </c>
      <c r="Z88" s="352">
        <v>17</v>
      </c>
      <c r="AA88" s="379">
        <v>65</v>
      </c>
      <c r="AB88" s="355">
        <v>520</v>
      </c>
      <c r="AC88" s="354">
        <v>659</v>
      </c>
      <c r="AD88" s="355">
        <v>423</v>
      </c>
      <c r="AE88" s="353">
        <v>130</v>
      </c>
    </row>
    <row r="89" spans="1:31">
      <c r="A89" s="218">
        <v>71</v>
      </c>
      <c r="B89" s="111" t="s">
        <v>157</v>
      </c>
      <c r="C89" s="10"/>
      <c r="D89" s="355">
        <v>231</v>
      </c>
      <c r="E89" s="354">
        <v>44</v>
      </c>
      <c r="F89" s="355">
        <v>3027</v>
      </c>
      <c r="G89" s="354">
        <v>786</v>
      </c>
      <c r="H89" s="355">
        <v>278</v>
      </c>
      <c r="I89" s="354">
        <v>117</v>
      </c>
      <c r="J89" s="355">
        <v>44</v>
      </c>
      <c r="K89" s="354">
        <v>4</v>
      </c>
      <c r="L89" s="355">
        <v>1161</v>
      </c>
      <c r="M89" s="349">
        <v>370</v>
      </c>
      <c r="N89" s="355">
        <v>905</v>
      </c>
      <c r="O89" s="354">
        <v>488</v>
      </c>
      <c r="P89" s="355">
        <v>29</v>
      </c>
      <c r="Q89" s="352">
        <v>1</v>
      </c>
      <c r="R89" s="357">
        <v>5</v>
      </c>
      <c r="S89" s="379"/>
      <c r="T89" s="351">
        <v>13</v>
      </c>
      <c r="U89" s="379"/>
      <c r="V89" s="351"/>
      <c r="W89" s="379"/>
      <c r="X89" s="351"/>
      <c r="Y89" s="379">
        <v>3</v>
      </c>
      <c r="Z89" s="352">
        <v>33</v>
      </c>
      <c r="AA89" s="379">
        <v>8</v>
      </c>
      <c r="AB89" s="355">
        <v>1</v>
      </c>
      <c r="AC89" s="354">
        <v>1</v>
      </c>
      <c r="AD89" s="355">
        <v>307</v>
      </c>
      <c r="AE89" s="353"/>
    </row>
    <row r="90" spans="1:31">
      <c r="A90" s="218">
        <v>72</v>
      </c>
      <c r="B90" s="111" t="s">
        <v>158</v>
      </c>
      <c r="C90" s="10"/>
      <c r="D90" s="355">
        <v>713</v>
      </c>
      <c r="E90" s="354">
        <v>183</v>
      </c>
      <c r="F90" s="355">
        <v>6359</v>
      </c>
      <c r="G90" s="354">
        <v>1361</v>
      </c>
      <c r="H90" s="355">
        <v>488</v>
      </c>
      <c r="I90" s="354">
        <v>134</v>
      </c>
      <c r="J90" s="355">
        <v>150</v>
      </c>
      <c r="K90" s="354">
        <v>11</v>
      </c>
      <c r="L90" s="355">
        <v>7453</v>
      </c>
      <c r="M90" s="349">
        <v>1119</v>
      </c>
      <c r="N90" s="355">
        <v>1446</v>
      </c>
      <c r="O90" s="354">
        <v>511</v>
      </c>
      <c r="P90" s="355">
        <v>5450</v>
      </c>
      <c r="Q90" s="352">
        <v>5602</v>
      </c>
      <c r="R90" s="355">
        <v>298</v>
      </c>
      <c r="S90" s="379">
        <v>166</v>
      </c>
      <c r="T90" s="352">
        <v>273</v>
      </c>
      <c r="U90" s="379">
        <v>72</v>
      </c>
      <c r="V90" s="352">
        <v>13</v>
      </c>
      <c r="W90" s="379">
        <v>2</v>
      </c>
      <c r="X90" s="352">
        <v>8</v>
      </c>
      <c r="Y90" s="379">
        <v>10</v>
      </c>
      <c r="Z90" s="352">
        <v>37</v>
      </c>
      <c r="AA90" s="379">
        <v>183</v>
      </c>
      <c r="AB90" s="355">
        <v>14</v>
      </c>
      <c r="AC90" s="354">
        <v>7</v>
      </c>
      <c r="AD90" s="355">
        <v>56</v>
      </c>
      <c r="AE90" s="353">
        <v>83</v>
      </c>
    </row>
    <row r="91" spans="1:31">
      <c r="A91" s="218">
        <v>73</v>
      </c>
      <c r="B91" s="111" t="s">
        <v>159</v>
      </c>
      <c r="C91" s="10"/>
      <c r="D91" s="355">
        <v>2871</v>
      </c>
      <c r="E91" s="354">
        <v>315</v>
      </c>
      <c r="F91" s="355">
        <v>23698</v>
      </c>
      <c r="G91" s="354">
        <v>1347</v>
      </c>
      <c r="H91" s="355">
        <v>1372</v>
      </c>
      <c r="I91" s="354">
        <v>572</v>
      </c>
      <c r="J91" s="355">
        <v>320</v>
      </c>
      <c r="K91" s="354">
        <v>20</v>
      </c>
      <c r="L91" s="355">
        <v>2338</v>
      </c>
      <c r="M91" s="349">
        <v>447</v>
      </c>
      <c r="N91" s="355">
        <v>1987</v>
      </c>
      <c r="O91" s="354">
        <v>387</v>
      </c>
      <c r="P91" s="355">
        <v>220</v>
      </c>
      <c r="Q91" s="352">
        <v>73</v>
      </c>
      <c r="R91" s="355">
        <v>28</v>
      </c>
      <c r="S91" s="379">
        <v>20</v>
      </c>
      <c r="T91" s="352">
        <v>42</v>
      </c>
      <c r="U91" s="379">
        <v>4</v>
      </c>
      <c r="V91" s="352">
        <v>13</v>
      </c>
      <c r="W91" s="379"/>
      <c r="X91" s="352">
        <v>4</v>
      </c>
      <c r="Y91" s="379">
        <v>1</v>
      </c>
      <c r="Z91" s="351">
        <v>201</v>
      </c>
      <c r="AA91" s="379">
        <v>55</v>
      </c>
      <c r="AB91" s="355">
        <v>869</v>
      </c>
      <c r="AC91" s="354">
        <v>11</v>
      </c>
      <c r="AD91" s="355">
        <v>2223</v>
      </c>
      <c r="AE91" s="353">
        <v>44</v>
      </c>
    </row>
    <row r="92" spans="1:31" ht="15">
      <c r="A92" s="218">
        <v>74</v>
      </c>
      <c r="B92" s="111" t="s">
        <v>160</v>
      </c>
      <c r="C92" s="248"/>
      <c r="D92" s="357">
        <v>4847</v>
      </c>
      <c r="E92" s="354">
        <v>454</v>
      </c>
      <c r="F92" s="357">
        <v>6394</v>
      </c>
      <c r="G92" s="354">
        <v>2482</v>
      </c>
      <c r="H92" s="357">
        <v>8078</v>
      </c>
      <c r="I92" s="354">
        <v>2579</v>
      </c>
      <c r="J92" s="357">
        <v>85</v>
      </c>
      <c r="K92" s="354">
        <v>35</v>
      </c>
      <c r="L92" s="355">
        <v>1817</v>
      </c>
      <c r="M92" s="349">
        <v>775</v>
      </c>
      <c r="N92" s="357">
        <v>649</v>
      </c>
      <c r="O92" s="354">
        <v>290</v>
      </c>
      <c r="P92" s="357">
        <v>3208</v>
      </c>
      <c r="Q92" s="352">
        <v>1367</v>
      </c>
      <c r="R92" s="355">
        <v>495</v>
      </c>
      <c r="S92" s="379">
        <v>281</v>
      </c>
      <c r="T92" s="352">
        <v>189</v>
      </c>
      <c r="U92" s="379">
        <v>44</v>
      </c>
      <c r="V92" s="352">
        <v>2</v>
      </c>
      <c r="W92" s="379">
        <v>2</v>
      </c>
      <c r="X92" s="352">
        <v>8</v>
      </c>
      <c r="Y92" s="379">
        <v>1</v>
      </c>
      <c r="Z92" s="352">
        <v>86</v>
      </c>
      <c r="AA92" s="379">
        <v>64</v>
      </c>
      <c r="AB92" s="357"/>
      <c r="AC92" s="354"/>
      <c r="AD92" s="357">
        <v>198</v>
      </c>
      <c r="AE92" s="353">
        <v>7</v>
      </c>
    </row>
    <row r="93" spans="1:31">
      <c r="A93" s="218">
        <v>75</v>
      </c>
      <c r="B93" s="111" t="s">
        <v>161</v>
      </c>
      <c r="C93" s="17"/>
      <c r="D93" s="355">
        <v>1653</v>
      </c>
      <c r="E93" s="354">
        <v>560</v>
      </c>
      <c r="F93" s="355">
        <v>4924</v>
      </c>
      <c r="G93" s="354">
        <v>2214</v>
      </c>
      <c r="H93" s="355">
        <v>2374</v>
      </c>
      <c r="I93" s="354">
        <v>702</v>
      </c>
      <c r="J93" s="355">
        <v>342</v>
      </c>
      <c r="K93" s="354">
        <v>538</v>
      </c>
      <c r="L93" s="357">
        <v>12472</v>
      </c>
      <c r="M93" s="349">
        <v>7475</v>
      </c>
      <c r="N93" s="355">
        <v>2775</v>
      </c>
      <c r="O93" s="354">
        <v>6243</v>
      </c>
      <c r="P93" s="355">
        <v>7752</v>
      </c>
      <c r="Q93" s="352">
        <v>5407</v>
      </c>
      <c r="R93" s="355">
        <v>1621</v>
      </c>
      <c r="S93" s="379">
        <v>1205</v>
      </c>
      <c r="T93" s="352">
        <v>957</v>
      </c>
      <c r="U93" s="379">
        <v>260</v>
      </c>
      <c r="V93" s="352">
        <v>106</v>
      </c>
      <c r="W93" s="379">
        <v>13</v>
      </c>
      <c r="X93" s="352">
        <v>36</v>
      </c>
      <c r="Y93" s="379">
        <v>74</v>
      </c>
      <c r="Z93" s="382">
        <v>73</v>
      </c>
      <c r="AA93" s="383">
        <v>7</v>
      </c>
      <c r="AB93" s="355">
        <v>8</v>
      </c>
      <c r="AC93" s="354">
        <v>29</v>
      </c>
      <c r="AD93" s="355">
        <v>1168</v>
      </c>
      <c r="AE93" s="353">
        <v>544</v>
      </c>
    </row>
    <row r="94" spans="1:31">
      <c r="A94" s="218">
        <v>76</v>
      </c>
      <c r="B94" s="111" t="s">
        <v>162</v>
      </c>
      <c r="C94" s="10"/>
      <c r="D94" s="355">
        <v>2196</v>
      </c>
      <c r="E94" s="354">
        <v>933</v>
      </c>
      <c r="F94" s="355">
        <v>13542</v>
      </c>
      <c r="G94" s="354">
        <v>3730</v>
      </c>
      <c r="H94" s="355">
        <v>3033</v>
      </c>
      <c r="I94" s="354">
        <v>626</v>
      </c>
      <c r="J94" s="355">
        <v>992</v>
      </c>
      <c r="K94" s="354">
        <v>271</v>
      </c>
      <c r="L94" s="355">
        <v>7369</v>
      </c>
      <c r="M94" s="349">
        <v>4073</v>
      </c>
      <c r="N94" s="355">
        <v>6167</v>
      </c>
      <c r="O94" s="354">
        <v>1952</v>
      </c>
      <c r="P94" s="355">
        <v>4588</v>
      </c>
      <c r="Q94" s="352">
        <v>2870</v>
      </c>
      <c r="R94" s="355">
        <v>485</v>
      </c>
      <c r="S94" s="379">
        <v>215</v>
      </c>
      <c r="T94" s="352">
        <v>199</v>
      </c>
      <c r="U94" s="379">
        <v>73</v>
      </c>
      <c r="V94" s="352">
        <v>13</v>
      </c>
      <c r="W94" s="379">
        <v>9</v>
      </c>
      <c r="X94" s="352">
        <v>7</v>
      </c>
      <c r="Y94" s="379">
        <v>2</v>
      </c>
      <c r="Z94" s="352">
        <v>79</v>
      </c>
      <c r="AA94" s="379">
        <v>56</v>
      </c>
      <c r="AB94" s="355">
        <v>425</v>
      </c>
      <c r="AC94" s="354">
        <v>551</v>
      </c>
      <c r="AD94" s="355">
        <v>154</v>
      </c>
      <c r="AE94" s="353">
        <v>164</v>
      </c>
    </row>
    <row r="95" spans="1:31">
      <c r="A95" s="218">
        <v>77</v>
      </c>
      <c r="B95" s="111" t="s">
        <v>163</v>
      </c>
      <c r="C95" s="10"/>
      <c r="D95" s="355">
        <v>223</v>
      </c>
      <c r="E95" s="354">
        <v>332</v>
      </c>
      <c r="F95" s="355">
        <v>914</v>
      </c>
      <c r="G95" s="354">
        <v>203</v>
      </c>
      <c r="H95" s="355">
        <v>50</v>
      </c>
      <c r="I95" s="354">
        <v>8</v>
      </c>
      <c r="J95" s="355"/>
      <c r="K95" s="354"/>
      <c r="L95" s="355">
        <v>72</v>
      </c>
      <c r="M95" s="349">
        <v>13</v>
      </c>
      <c r="N95" s="355">
        <v>83</v>
      </c>
      <c r="O95" s="354">
        <v>23</v>
      </c>
      <c r="P95" s="355">
        <v>1296</v>
      </c>
      <c r="Q95" s="352">
        <v>379</v>
      </c>
      <c r="R95" s="357">
        <v>125</v>
      </c>
      <c r="S95" s="379">
        <v>26</v>
      </c>
      <c r="T95" s="351">
        <v>105</v>
      </c>
      <c r="U95" s="379">
        <v>7</v>
      </c>
      <c r="V95" s="351"/>
      <c r="W95" s="379"/>
      <c r="X95" s="351">
        <v>1</v>
      </c>
      <c r="Y95" s="379"/>
      <c r="Z95" s="352"/>
      <c r="AA95" s="379"/>
      <c r="AB95" s="355"/>
      <c r="AC95" s="354"/>
      <c r="AD95" s="355">
        <v>186</v>
      </c>
      <c r="AE95" s="353">
        <v>17</v>
      </c>
    </row>
    <row r="96" spans="1:31">
      <c r="A96" s="218">
        <v>78</v>
      </c>
      <c r="B96" s="111" t="s">
        <v>164</v>
      </c>
      <c r="C96" s="10"/>
      <c r="D96" s="355">
        <v>941</v>
      </c>
      <c r="E96" s="354">
        <v>683</v>
      </c>
      <c r="F96" s="355">
        <v>1610</v>
      </c>
      <c r="G96" s="354">
        <v>1080</v>
      </c>
      <c r="H96" s="355">
        <v>881</v>
      </c>
      <c r="I96" s="354">
        <v>598</v>
      </c>
      <c r="J96" s="355">
        <v>329</v>
      </c>
      <c r="K96" s="354">
        <v>304</v>
      </c>
      <c r="L96" s="355">
        <v>4172</v>
      </c>
      <c r="M96" s="349">
        <v>7935</v>
      </c>
      <c r="N96" s="355">
        <v>885</v>
      </c>
      <c r="O96" s="354">
        <v>692</v>
      </c>
      <c r="P96" s="355">
        <v>2733</v>
      </c>
      <c r="Q96" s="352">
        <v>755</v>
      </c>
      <c r="R96" s="355">
        <v>241</v>
      </c>
      <c r="S96" s="379">
        <v>43</v>
      </c>
      <c r="T96" s="352">
        <v>224</v>
      </c>
      <c r="U96" s="379">
        <v>92</v>
      </c>
      <c r="V96" s="352">
        <v>45</v>
      </c>
      <c r="W96" s="379">
        <v>14</v>
      </c>
      <c r="X96" s="352">
        <v>10</v>
      </c>
      <c r="Y96" s="379">
        <v>5</v>
      </c>
      <c r="Z96" s="352">
        <v>37</v>
      </c>
      <c r="AA96" s="379">
        <v>6</v>
      </c>
      <c r="AB96" s="355">
        <v>462</v>
      </c>
      <c r="AC96" s="354">
        <v>134</v>
      </c>
      <c r="AD96" s="355">
        <v>241</v>
      </c>
      <c r="AE96" s="353">
        <v>6</v>
      </c>
    </row>
    <row r="97" spans="1:31">
      <c r="A97" s="218">
        <v>79</v>
      </c>
      <c r="B97" s="111" t="s">
        <v>165</v>
      </c>
      <c r="C97" s="10"/>
      <c r="D97" s="355">
        <v>880</v>
      </c>
      <c r="E97" s="354">
        <v>373</v>
      </c>
      <c r="F97" s="355">
        <v>6954</v>
      </c>
      <c r="G97" s="354">
        <v>970</v>
      </c>
      <c r="H97" s="355">
        <v>677</v>
      </c>
      <c r="I97" s="354">
        <v>94</v>
      </c>
      <c r="J97" s="355">
        <v>293</v>
      </c>
      <c r="K97" s="354">
        <v>34</v>
      </c>
      <c r="L97" s="355">
        <v>1808</v>
      </c>
      <c r="M97" s="349">
        <v>404</v>
      </c>
      <c r="N97" s="355">
        <v>1617</v>
      </c>
      <c r="O97" s="354">
        <v>346</v>
      </c>
      <c r="P97" s="355">
        <v>53</v>
      </c>
      <c r="Q97" s="352">
        <v>35</v>
      </c>
      <c r="R97" s="355">
        <v>3</v>
      </c>
      <c r="S97" s="379">
        <v>2</v>
      </c>
      <c r="T97" s="352">
        <v>21</v>
      </c>
      <c r="U97" s="379">
        <v>5</v>
      </c>
      <c r="V97" s="352">
        <v>1</v>
      </c>
      <c r="W97" s="379">
        <v>1</v>
      </c>
      <c r="X97" s="352"/>
      <c r="Y97" s="379"/>
      <c r="Z97" s="351">
        <v>146</v>
      </c>
      <c r="AA97" s="379">
        <v>86</v>
      </c>
      <c r="AB97" s="355">
        <v>28</v>
      </c>
      <c r="AC97" s="354">
        <v>24</v>
      </c>
      <c r="AD97" s="355">
        <v>2008</v>
      </c>
      <c r="AE97" s="353">
        <v>100</v>
      </c>
    </row>
    <row r="98" spans="1:31" ht="15">
      <c r="A98" s="218">
        <v>80</v>
      </c>
      <c r="B98" s="111" t="s">
        <v>166</v>
      </c>
      <c r="C98" s="248"/>
      <c r="D98" s="357">
        <v>479</v>
      </c>
      <c r="E98" s="354">
        <v>161</v>
      </c>
      <c r="F98" s="357">
        <v>1967</v>
      </c>
      <c r="G98" s="354">
        <v>471</v>
      </c>
      <c r="H98" s="357">
        <v>312</v>
      </c>
      <c r="I98" s="354">
        <v>121</v>
      </c>
      <c r="J98" s="357">
        <v>29</v>
      </c>
      <c r="K98" s="354">
        <v>17</v>
      </c>
      <c r="L98" s="355">
        <v>578</v>
      </c>
      <c r="M98" s="349">
        <v>250</v>
      </c>
      <c r="N98" s="357">
        <v>878</v>
      </c>
      <c r="O98" s="354">
        <v>318</v>
      </c>
      <c r="P98" s="357">
        <v>580</v>
      </c>
      <c r="Q98" s="352">
        <v>318</v>
      </c>
      <c r="R98" s="355">
        <v>58</v>
      </c>
      <c r="S98" s="379">
        <v>3</v>
      </c>
      <c r="T98" s="352">
        <v>26</v>
      </c>
      <c r="U98" s="379">
        <v>4</v>
      </c>
      <c r="V98" s="352"/>
      <c r="W98" s="379"/>
      <c r="X98" s="352"/>
      <c r="Y98" s="379"/>
      <c r="Z98" s="382">
        <v>42</v>
      </c>
      <c r="AA98" s="391">
        <v>49</v>
      </c>
      <c r="AB98" s="357">
        <v>41</v>
      </c>
      <c r="AC98" s="354">
        <v>4</v>
      </c>
      <c r="AD98" s="357">
        <v>229</v>
      </c>
      <c r="AE98" s="353">
        <v>20</v>
      </c>
    </row>
    <row r="99" spans="1:31">
      <c r="A99" s="218">
        <v>81</v>
      </c>
      <c r="B99" s="111" t="s">
        <v>167</v>
      </c>
      <c r="C99" s="17"/>
      <c r="D99" s="355">
        <v>14209</v>
      </c>
      <c r="E99" s="354">
        <v>424</v>
      </c>
      <c r="F99" s="355">
        <v>47495</v>
      </c>
      <c r="G99" s="354">
        <v>4738</v>
      </c>
      <c r="H99" s="355">
        <v>7760</v>
      </c>
      <c r="I99" s="354">
        <v>5197</v>
      </c>
      <c r="J99" s="355">
        <v>664</v>
      </c>
      <c r="K99" s="354">
        <v>19</v>
      </c>
      <c r="L99" s="357">
        <v>7478</v>
      </c>
      <c r="M99" s="349">
        <v>418</v>
      </c>
      <c r="N99" s="355">
        <v>4321</v>
      </c>
      <c r="O99" s="354">
        <v>407</v>
      </c>
      <c r="P99" s="355">
        <v>465</v>
      </c>
      <c r="Q99" s="352">
        <v>3</v>
      </c>
      <c r="R99" s="355">
        <v>86</v>
      </c>
      <c r="S99" s="379"/>
      <c r="T99" s="352">
        <v>101</v>
      </c>
      <c r="U99" s="379"/>
      <c r="V99" s="352">
        <v>6</v>
      </c>
      <c r="W99" s="379"/>
      <c r="X99" s="352">
        <v>6</v>
      </c>
      <c r="Y99" s="379"/>
      <c r="Z99" s="352">
        <v>286</v>
      </c>
      <c r="AA99" s="379">
        <v>14</v>
      </c>
      <c r="AB99" s="355">
        <v>608</v>
      </c>
      <c r="AC99" s="354"/>
      <c r="AD99" s="355">
        <v>509</v>
      </c>
      <c r="AE99" s="353"/>
    </row>
    <row r="100" spans="1:31">
      <c r="A100" s="218">
        <v>82</v>
      </c>
      <c r="B100" s="111" t="s">
        <v>168</v>
      </c>
      <c r="C100" s="10"/>
      <c r="D100" s="355">
        <v>12141</v>
      </c>
      <c r="E100" s="361">
        <v>989</v>
      </c>
      <c r="F100" s="355">
        <v>28591</v>
      </c>
      <c r="G100" s="361">
        <v>15790</v>
      </c>
      <c r="H100" s="355">
        <v>24077</v>
      </c>
      <c r="I100" s="361">
        <v>5694</v>
      </c>
      <c r="J100" s="355">
        <v>916</v>
      </c>
      <c r="K100" s="361">
        <v>595</v>
      </c>
      <c r="L100" s="355">
        <v>18036</v>
      </c>
      <c r="M100" s="349">
        <v>6243</v>
      </c>
      <c r="N100" s="355">
        <v>13519</v>
      </c>
      <c r="O100" s="361">
        <v>36585</v>
      </c>
      <c r="P100" s="355">
        <v>4564</v>
      </c>
      <c r="Q100" s="385">
        <v>2588</v>
      </c>
      <c r="R100" s="386">
        <v>1201</v>
      </c>
      <c r="S100" s="354">
        <v>571</v>
      </c>
      <c r="T100" s="374">
        <v>432</v>
      </c>
      <c r="U100" s="384">
        <v>41</v>
      </c>
      <c r="V100" s="352">
        <v>18</v>
      </c>
      <c r="W100" s="384"/>
      <c r="X100" s="352">
        <v>10</v>
      </c>
      <c r="Y100" s="384">
        <v>2</v>
      </c>
      <c r="Z100" s="352">
        <v>565</v>
      </c>
      <c r="AA100" s="384">
        <v>180</v>
      </c>
      <c r="AB100" s="355">
        <v>126</v>
      </c>
      <c r="AC100" s="361">
        <v>15</v>
      </c>
      <c r="AD100" s="355">
        <v>27</v>
      </c>
      <c r="AE100" s="362">
        <v>12</v>
      </c>
    </row>
    <row r="101" spans="1:31">
      <c r="A101" s="219"/>
      <c r="B101" s="240"/>
      <c r="C101" s="12"/>
      <c r="D101" s="363"/>
      <c r="E101" s="364"/>
      <c r="F101" s="363"/>
      <c r="G101" s="364"/>
      <c r="H101" s="363"/>
      <c r="I101" s="364"/>
      <c r="J101" s="363"/>
      <c r="K101" s="364"/>
      <c r="L101" s="363"/>
      <c r="M101" s="364"/>
      <c r="N101" s="363"/>
      <c r="O101" s="364"/>
      <c r="P101" s="363"/>
      <c r="Q101" s="364"/>
      <c r="R101" s="363"/>
      <c r="S101" s="364"/>
      <c r="T101" s="363"/>
      <c r="U101" s="364"/>
      <c r="V101" s="363"/>
      <c r="W101" s="364"/>
      <c r="X101" s="363"/>
      <c r="Y101" s="364"/>
      <c r="Z101" s="363"/>
      <c r="AA101" s="364"/>
      <c r="AB101" s="363"/>
      <c r="AC101" s="364"/>
      <c r="AD101" s="363"/>
      <c r="AE101" s="365"/>
    </row>
    <row r="102" spans="1:31" ht="15">
      <c r="A102" s="220" t="s">
        <v>86</v>
      </c>
      <c r="B102" s="232"/>
      <c r="C102" s="10"/>
      <c r="D102" s="374">
        <f>SUM(D19:D100)</f>
        <v>287324</v>
      </c>
      <c r="E102" s="358">
        <f>SUM(E19:E100)</f>
        <v>66501</v>
      </c>
      <c r="F102" s="375">
        <f t="shared" ref="F102:AE102" si="1">SUM(F19:F100)</f>
        <v>946769</v>
      </c>
      <c r="G102" s="358">
        <f t="shared" si="1"/>
        <v>231454</v>
      </c>
      <c r="H102" s="375">
        <f t="shared" si="1"/>
        <v>273280</v>
      </c>
      <c r="I102" s="358">
        <f t="shared" si="1"/>
        <v>90142</v>
      </c>
      <c r="J102" s="375">
        <f t="shared" si="1"/>
        <v>23247</v>
      </c>
      <c r="K102" s="358">
        <f t="shared" si="1"/>
        <v>15235</v>
      </c>
      <c r="L102" s="375">
        <f>SUM(L19:L100)</f>
        <v>437078</v>
      </c>
      <c r="M102" s="358">
        <f>SUM(M19:M100)</f>
        <v>230568</v>
      </c>
      <c r="N102" s="375">
        <f t="shared" si="1"/>
        <v>234352</v>
      </c>
      <c r="O102" s="358">
        <f t="shared" si="1"/>
        <v>145416</v>
      </c>
      <c r="P102" s="375">
        <f t="shared" si="1"/>
        <v>273557</v>
      </c>
      <c r="Q102" s="358">
        <f t="shared" si="1"/>
        <v>181088</v>
      </c>
      <c r="R102" s="375">
        <f t="shared" ref="R102:Y102" si="2">SUM(R19:R100)</f>
        <v>44829</v>
      </c>
      <c r="S102" s="358">
        <f t="shared" si="2"/>
        <v>34164</v>
      </c>
      <c r="T102" s="375">
        <f t="shared" si="2"/>
        <v>40161</v>
      </c>
      <c r="U102" s="358">
        <f t="shared" si="2"/>
        <v>18460</v>
      </c>
      <c r="V102" s="375">
        <f t="shared" si="2"/>
        <v>42627</v>
      </c>
      <c r="W102" s="358">
        <f t="shared" si="2"/>
        <v>1327</v>
      </c>
      <c r="X102" s="375">
        <f t="shared" si="2"/>
        <v>1414</v>
      </c>
      <c r="Y102" s="358">
        <f t="shared" si="2"/>
        <v>652</v>
      </c>
      <c r="Z102" s="357">
        <f t="shared" si="1"/>
        <v>16093</v>
      </c>
      <c r="AA102" s="387">
        <f t="shared" si="1"/>
        <v>7928</v>
      </c>
      <c r="AB102" s="357">
        <f t="shared" si="1"/>
        <v>14342</v>
      </c>
      <c r="AC102" s="387">
        <f t="shared" si="1"/>
        <v>6160</v>
      </c>
      <c r="AD102" s="375">
        <f t="shared" si="1"/>
        <v>78780</v>
      </c>
      <c r="AE102" s="377">
        <f t="shared" si="1"/>
        <v>13966</v>
      </c>
    </row>
    <row r="103" spans="1:31" ht="16" thickBot="1">
      <c r="A103" s="221"/>
      <c r="B103" s="233"/>
      <c r="C103" s="251"/>
      <c r="D103" s="366"/>
      <c r="E103" s="367"/>
      <c r="F103" s="366"/>
      <c r="G103" s="367"/>
      <c r="H103" s="366"/>
      <c r="I103" s="367"/>
      <c r="J103" s="366"/>
      <c r="K103" s="367"/>
      <c r="L103" s="366"/>
      <c r="M103" s="367"/>
      <c r="N103" s="366"/>
      <c r="O103" s="367"/>
      <c r="P103" s="366"/>
      <c r="Q103" s="367"/>
      <c r="R103" s="366"/>
      <c r="S103" s="367"/>
      <c r="T103" s="366"/>
      <c r="U103" s="367"/>
      <c r="V103" s="366"/>
      <c r="W103" s="367"/>
      <c r="X103" s="366"/>
      <c r="Y103" s="367"/>
      <c r="Z103" s="366"/>
      <c r="AA103" s="367"/>
      <c r="AB103" s="366"/>
      <c r="AC103" s="367"/>
      <c r="AD103" s="366"/>
      <c r="AE103" s="368"/>
    </row>
    <row r="104" spans="1:31" ht="15" thickTop="1">
      <c r="A104" s="222" t="s">
        <v>21</v>
      </c>
      <c r="B104" s="97"/>
      <c r="C104" s="10"/>
      <c r="D104" s="355"/>
      <c r="E104" s="354"/>
      <c r="F104" s="355"/>
      <c r="G104" s="354"/>
      <c r="H104" s="355"/>
      <c r="I104" s="354"/>
      <c r="J104" s="355"/>
      <c r="K104" s="354"/>
      <c r="L104" s="355"/>
      <c r="M104" s="354"/>
      <c r="N104" s="355"/>
      <c r="O104" s="354"/>
      <c r="P104" s="355"/>
      <c r="Q104" s="354"/>
      <c r="R104" s="355"/>
      <c r="S104" s="354"/>
      <c r="T104" s="355"/>
      <c r="U104" s="354"/>
      <c r="V104" s="355"/>
      <c r="W104" s="354"/>
      <c r="X104" s="355"/>
      <c r="Y104" s="354"/>
      <c r="Z104" s="355"/>
      <c r="AA104" s="354"/>
      <c r="AB104" s="355"/>
      <c r="AC104" s="354"/>
      <c r="AD104" s="355"/>
      <c r="AE104" s="353"/>
    </row>
    <row r="105" spans="1:31">
      <c r="A105" s="145">
        <v>83</v>
      </c>
      <c r="B105" s="4" t="s">
        <v>169</v>
      </c>
      <c r="C105" s="277" t="s">
        <v>487</v>
      </c>
      <c r="D105" s="357">
        <v>252</v>
      </c>
      <c r="E105" s="354">
        <v>257</v>
      </c>
      <c r="F105" s="357">
        <v>5484</v>
      </c>
      <c r="G105" s="354">
        <v>2138</v>
      </c>
      <c r="H105" s="357">
        <v>21</v>
      </c>
      <c r="I105" s="354">
        <v>136</v>
      </c>
      <c r="J105" s="357">
        <v>35</v>
      </c>
      <c r="K105" s="354">
        <v>21</v>
      </c>
      <c r="L105" s="357">
        <v>945</v>
      </c>
      <c r="M105" s="354">
        <v>929</v>
      </c>
      <c r="N105" s="357">
        <v>130</v>
      </c>
      <c r="O105" s="354">
        <v>388</v>
      </c>
      <c r="P105" s="357">
        <v>903</v>
      </c>
      <c r="Q105" s="354">
        <v>1832</v>
      </c>
      <c r="R105" s="357">
        <v>169</v>
      </c>
      <c r="S105" s="354">
        <v>166</v>
      </c>
      <c r="T105" s="357">
        <v>115</v>
      </c>
      <c r="U105" s="354">
        <v>29</v>
      </c>
      <c r="V105" s="357">
        <v>3</v>
      </c>
      <c r="W105" s="354">
        <v>6</v>
      </c>
      <c r="X105" s="357">
        <v>4</v>
      </c>
      <c r="Y105" s="354">
        <v>3</v>
      </c>
      <c r="Z105" s="357"/>
      <c r="AA105" s="354"/>
      <c r="AB105" s="357"/>
      <c r="AC105" s="354"/>
      <c r="AD105" s="357">
        <v>3013</v>
      </c>
      <c r="AE105" s="353">
        <v>325</v>
      </c>
    </row>
    <row r="106" spans="1:31">
      <c r="A106" s="145">
        <v>84</v>
      </c>
      <c r="B106" s="4" t="s">
        <v>170</v>
      </c>
      <c r="C106" s="17"/>
      <c r="D106" s="355">
        <v>654</v>
      </c>
      <c r="E106" s="352">
        <v>298</v>
      </c>
      <c r="F106" s="355">
        <v>4939</v>
      </c>
      <c r="G106" s="352">
        <v>1438</v>
      </c>
      <c r="H106" s="355">
        <v>274</v>
      </c>
      <c r="I106" s="352">
        <v>49</v>
      </c>
      <c r="J106" s="355">
        <v>45</v>
      </c>
      <c r="K106" s="352">
        <v>16</v>
      </c>
      <c r="L106" s="355">
        <v>735</v>
      </c>
      <c r="M106" s="352">
        <v>538</v>
      </c>
      <c r="N106" s="355">
        <v>89</v>
      </c>
      <c r="O106" s="352">
        <v>152</v>
      </c>
      <c r="P106" s="355">
        <v>126</v>
      </c>
      <c r="Q106" s="352">
        <v>487</v>
      </c>
      <c r="R106" s="355">
        <v>4</v>
      </c>
      <c r="S106" s="352">
        <v>25</v>
      </c>
      <c r="T106" s="355">
        <v>25</v>
      </c>
      <c r="U106" s="352">
        <v>17</v>
      </c>
      <c r="V106" s="355">
        <v>7</v>
      </c>
      <c r="W106" s="352">
        <v>2</v>
      </c>
      <c r="X106" s="355"/>
      <c r="Y106" s="352"/>
      <c r="Z106" s="355">
        <v>17</v>
      </c>
      <c r="AA106" s="352">
        <v>74</v>
      </c>
      <c r="AB106" s="355">
        <v>10</v>
      </c>
      <c r="AC106" s="352">
        <v>2</v>
      </c>
      <c r="AD106" s="355">
        <v>312</v>
      </c>
      <c r="AE106" s="353">
        <v>59</v>
      </c>
    </row>
    <row r="107" spans="1:31">
      <c r="A107" s="145">
        <v>85</v>
      </c>
      <c r="B107" s="4" t="s">
        <v>171</v>
      </c>
      <c r="C107" s="10"/>
      <c r="D107" s="355">
        <v>294</v>
      </c>
      <c r="E107" s="352">
        <v>497</v>
      </c>
      <c r="F107" s="355">
        <v>2385</v>
      </c>
      <c r="G107" s="352">
        <v>2439</v>
      </c>
      <c r="H107" s="355">
        <v>169</v>
      </c>
      <c r="I107" s="352">
        <v>315</v>
      </c>
      <c r="J107" s="355">
        <v>15</v>
      </c>
      <c r="K107" s="352">
        <v>38</v>
      </c>
      <c r="L107" s="355">
        <v>134</v>
      </c>
      <c r="M107" s="352">
        <v>936</v>
      </c>
      <c r="N107" s="355">
        <v>12</v>
      </c>
      <c r="O107" s="352">
        <v>215</v>
      </c>
      <c r="P107" s="355">
        <v>44</v>
      </c>
      <c r="Q107" s="352">
        <v>472</v>
      </c>
      <c r="R107" s="355">
        <v>11</v>
      </c>
      <c r="S107" s="352">
        <v>53</v>
      </c>
      <c r="T107" s="355">
        <v>2</v>
      </c>
      <c r="U107" s="352">
        <v>80</v>
      </c>
      <c r="V107" s="355"/>
      <c r="W107" s="352">
        <v>2</v>
      </c>
      <c r="X107" s="355">
        <v>1</v>
      </c>
      <c r="Y107" s="352">
        <v>2</v>
      </c>
      <c r="Z107" s="355">
        <v>42</v>
      </c>
      <c r="AA107" s="352">
        <v>40</v>
      </c>
      <c r="AB107" s="355">
        <v>2</v>
      </c>
      <c r="AC107" s="352">
        <v>24</v>
      </c>
      <c r="AD107" s="355">
        <v>295</v>
      </c>
      <c r="AE107" s="353">
        <v>256</v>
      </c>
    </row>
    <row r="108" spans="1:31">
      <c r="A108" s="145">
        <v>86</v>
      </c>
      <c r="B108" s="4" t="s">
        <v>172</v>
      </c>
      <c r="C108" s="10"/>
      <c r="D108" s="355">
        <v>259</v>
      </c>
      <c r="E108" s="352">
        <v>112</v>
      </c>
      <c r="F108" s="355">
        <v>1649</v>
      </c>
      <c r="G108" s="352">
        <v>501</v>
      </c>
      <c r="H108" s="355">
        <v>159</v>
      </c>
      <c r="I108" s="352">
        <v>49</v>
      </c>
      <c r="J108" s="355">
        <v>55</v>
      </c>
      <c r="K108" s="352">
        <v>23</v>
      </c>
      <c r="L108" s="355">
        <v>273</v>
      </c>
      <c r="M108" s="352">
        <v>143</v>
      </c>
      <c r="N108" s="355">
        <v>88</v>
      </c>
      <c r="O108" s="352">
        <v>39</v>
      </c>
      <c r="P108" s="355">
        <v>16</v>
      </c>
      <c r="Q108" s="352">
        <v>58</v>
      </c>
      <c r="R108" s="355">
        <v>6</v>
      </c>
      <c r="S108" s="352">
        <v>14</v>
      </c>
      <c r="T108" s="355">
        <v>10</v>
      </c>
      <c r="U108" s="352">
        <v>13</v>
      </c>
      <c r="V108" s="355">
        <v>1</v>
      </c>
      <c r="W108" s="352"/>
      <c r="X108" s="355"/>
      <c r="Y108" s="352"/>
      <c r="Z108" s="355">
        <v>2</v>
      </c>
      <c r="AA108" s="352">
        <v>4</v>
      </c>
      <c r="AB108" s="355"/>
      <c r="AC108" s="352">
        <v>7</v>
      </c>
      <c r="AD108" s="355">
        <v>339</v>
      </c>
      <c r="AE108" s="353">
        <v>261</v>
      </c>
    </row>
    <row r="109" spans="1:31">
      <c r="A109" s="145">
        <v>87</v>
      </c>
      <c r="B109" s="4" t="s">
        <v>173</v>
      </c>
      <c r="C109" s="10"/>
      <c r="D109" s="355">
        <v>2215</v>
      </c>
      <c r="E109" s="352">
        <v>772</v>
      </c>
      <c r="F109" s="355">
        <v>9102</v>
      </c>
      <c r="G109" s="352">
        <v>3112</v>
      </c>
      <c r="H109" s="355">
        <v>245</v>
      </c>
      <c r="I109" s="352">
        <v>121</v>
      </c>
      <c r="J109" s="355">
        <v>65</v>
      </c>
      <c r="K109" s="352">
        <v>6</v>
      </c>
      <c r="L109" s="355">
        <v>1476</v>
      </c>
      <c r="M109" s="352">
        <v>487</v>
      </c>
      <c r="N109" s="355">
        <v>482</v>
      </c>
      <c r="O109" s="352">
        <v>117</v>
      </c>
      <c r="P109" s="355">
        <v>157</v>
      </c>
      <c r="Q109" s="352">
        <v>130</v>
      </c>
      <c r="R109" s="355">
        <v>21</v>
      </c>
      <c r="S109" s="352">
        <v>14</v>
      </c>
      <c r="T109" s="355">
        <v>18</v>
      </c>
      <c r="U109" s="352">
        <v>27</v>
      </c>
      <c r="V109" s="355">
        <v>35</v>
      </c>
      <c r="W109" s="352">
        <v>4</v>
      </c>
      <c r="X109" s="355"/>
      <c r="Y109" s="352"/>
      <c r="Z109" s="355">
        <v>73</v>
      </c>
      <c r="AA109" s="352">
        <v>7</v>
      </c>
      <c r="AB109" s="355">
        <v>50</v>
      </c>
      <c r="AC109" s="352">
        <v>9</v>
      </c>
      <c r="AD109" s="355">
        <v>1522</v>
      </c>
      <c r="AE109" s="353">
        <v>161</v>
      </c>
    </row>
    <row r="110" spans="1:31">
      <c r="A110" s="215"/>
      <c r="B110" s="203"/>
      <c r="C110" s="12"/>
      <c r="D110" s="363"/>
      <c r="E110" s="364"/>
      <c r="F110" s="363"/>
      <c r="G110" s="364"/>
      <c r="H110" s="363"/>
      <c r="I110" s="364"/>
      <c r="J110" s="363"/>
      <c r="K110" s="364"/>
      <c r="L110" s="363"/>
      <c r="M110" s="364"/>
      <c r="N110" s="363"/>
      <c r="O110" s="364"/>
      <c r="P110" s="363"/>
      <c r="Q110" s="364"/>
      <c r="R110" s="363"/>
      <c r="S110" s="364"/>
      <c r="T110" s="363"/>
      <c r="U110" s="364"/>
      <c r="V110" s="363"/>
      <c r="W110" s="364"/>
      <c r="X110" s="363"/>
      <c r="Y110" s="364"/>
      <c r="Z110" s="363"/>
      <c r="AA110" s="364"/>
      <c r="AB110" s="363"/>
      <c r="AC110" s="364"/>
      <c r="AD110" s="363"/>
      <c r="AE110" s="365"/>
    </row>
    <row r="111" spans="1:31" ht="15">
      <c r="A111" s="145" t="s">
        <v>293</v>
      </c>
      <c r="B111" s="4"/>
      <c r="C111" s="248"/>
      <c r="D111" s="359">
        <f>SUM(D105:D109)</f>
        <v>3674</v>
      </c>
      <c r="E111" s="358">
        <f t="shared" ref="E111:AE111" si="3">SUM(E105:E109)</f>
        <v>1936</v>
      </c>
      <c r="F111" s="359">
        <f t="shared" si="3"/>
        <v>23559</v>
      </c>
      <c r="G111" s="358">
        <f t="shared" si="3"/>
        <v>9628</v>
      </c>
      <c r="H111" s="359">
        <f t="shared" si="3"/>
        <v>868</v>
      </c>
      <c r="I111" s="358">
        <f t="shared" si="3"/>
        <v>670</v>
      </c>
      <c r="J111" s="359">
        <f t="shared" si="3"/>
        <v>215</v>
      </c>
      <c r="K111" s="358">
        <f t="shared" si="3"/>
        <v>104</v>
      </c>
      <c r="L111" s="359">
        <f t="shared" si="3"/>
        <v>3563</v>
      </c>
      <c r="M111" s="358">
        <f t="shared" si="3"/>
        <v>3033</v>
      </c>
      <c r="N111" s="359">
        <f t="shared" si="3"/>
        <v>801</v>
      </c>
      <c r="O111" s="358">
        <f t="shared" si="3"/>
        <v>911</v>
      </c>
      <c r="P111" s="359">
        <f t="shared" si="3"/>
        <v>1246</v>
      </c>
      <c r="Q111" s="358">
        <f t="shared" si="3"/>
        <v>2979</v>
      </c>
      <c r="R111" s="359">
        <f t="shared" si="3"/>
        <v>211</v>
      </c>
      <c r="S111" s="358">
        <f t="shared" si="3"/>
        <v>272</v>
      </c>
      <c r="T111" s="359">
        <f t="shared" si="3"/>
        <v>170</v>
      </c>
      <c r="U111" s="358">
        <f t="shared" si="3"/>
        <v>166</v>
      </c>
      <c r="V111" s="359">
        <f t="shared" si="3"/>
        <v>46</v>
      </c>
      <c r="W111" s="358">
        <f t="shared" si="3"/>
        <v>14</v>
      </c>
      <c r="X111" s="359">
        <f t="shared" si="3"/>
        <v>5</v>
      </c>
      <c r="Y111" s="358">
        <f t="shared" si="3"/>
        <v>5</v>
      </c>
      <c r="Z111" s="359">
        <f t="shared" si="3"/>
        <v>134</v>
      </c>
      <c r="AA111" s="358">
        <f t="shared" si="3"/>
        <v>125</v>
      </c>
      <c r="AB111" s="359">
        <f t="shared" si="3"/>
        <v>62</v>
      </c>
      <c r="AC111" s="358">
        <f t="shared" si="3"/>
        <v>42</v>
      </c>
      <c r="AD111" s="359">
        <f t="shared" si="3"/>
        <v>5481</v>
      </c>
      <c r="AE111" s="377">
        <f t="shared" si="3"/>
        <v>1062</v>
      </c>
    </row>
    <row r="112" spans="1:31" ht="15" thickBot="1">
      <c r="A112" s="217"/>
      <c r="B112" s="104"/>
      <c r="C112" s="257"/>
      <c r="D112" s="366"/>
      <c r="E112" s="367"/>
      <c r="F112" s="366"/>
      <c r="G112" s="367"/>
      <c r="H112" s="366"/>
      <c r="I112" s="367"/>
      <c r="J112" s="366"/>
      <c r="K112" s="367"/>
      <c r="L112" s="366"/>
      <c r="M112" s="367"/>
      <c r="N112" s="366"/>
      <c r="O112" s="367"/>
      <c r="P112" s="366"/>
      <c r="Q112" s="367"/>
      <c r="R112" s="366"/>
      <c r="S112" s="367"/>
      <c r="T112" s="366"/>
      <c r="U112" s="367"/>
      <c r="V112" s="366"/>
      <c r="W112" s="367"/>
      <c r="X112" s="366"/>
      <c r="Y112" s="367"/>
      <c r="Z112" s="366"/>
      <c r="AA112" s="367"/>
      <c r="AB112" s="366"/>
      <c r="AC112" s="367"/>
      <c r="AD112" s="366"/>
      <c r="AE112" s="368"/>
    </row>
    <row r="113" spans="1:31" ht="15" thickTop="1">
      <c r="A113" s="223" t="s">
        <v>22</v>
      </c>
      <c r="B113" s="112"/>
      <c r="C113" s="10"/>
      <c r="D113" s="355"/>
      <c r="E113" s="352"/>
      <c r="F113" s="355"/>
      <c r="G113" s="352"/>
      <c r="H113" s="355"/>
      <c r="I113" s="352"/>
      <c r="J113" s="355"/>
      <c r="K113" s="352"/>
      <c r="L113" s="355"/>
      <c r="M113" s="352"/>
      <c r="N113" s="355"/>
      <c r="O113" s="352"/>
      <c r="P113" s="355"/>
      <c r="Q113" s="352"/>
      <c r="R113" s="355"/>
      <c r="S113" s="352"/>
      <c r="T113" s="355"/>
      <c r="U113" s="352"/>
      <c r="V113" s="355"/>
      <c r="W113" s="352"/>
      <c r="X113" s="355"/>
      <c r="Y113" s="352"/>
      <c r="Z113" s="355"/>
      <c r="AA113" s="352"/>
      <c r="AB113" s="355"/>
      <c r="AC113" s="352"/>
      <c r="AD113" s="355"/>
      <c r="AE113" s="353"/>
    </row>
    <row r="114" spans="1:31">
      <c r="A114" s="222" t="s">
        <v>23</v>
      </c>
      <c r="B114" s="97"/>
      <c r="C114" s="10"/>
      <c r="D114" s="355"/>
      <c r="E114" s="352"/>
      <c r="F114" s="355"/>
      <c r="G114" s="352"/>
      <c r="H114" s="355"/>
      <c r="I114" s="352"/>
      <c r="J114" s="355"/>
      <c r="K114" s="352"/>
      <c r="L114" s="355"/>
      <c r="M114" s="352"/>
      <c r="N114" s="355"/>
      <c r="O114" s="352"/>
      <c r="P114" s="355"/>
      <c r="Q114" s="352"/>
      <c r="R114" s="355"/>
      <c r="S114" s="352"/>
      <c r="T114" s="355"/>
      <c r="U114" s="352"/>
      <c r="V114" s="355"/>
      <c r="W114" s="352"/>
      <c r="X114" s="355"/>
      <c r="Y114" s="352"/>
      <c r="Z114" s="355"/>
      <c r="AA114" s="352"/>
      <c r="AB114" s="355"/>
      <c r="AC114" s="352"/>
      <c r="AD114" s="355"/>
      <c r="AE114" s="353"/>
    </row>
    <row r="115" spans="1:31">
      <c r="A115" s="145">
        <v>88</v>
      </c>
      <c r="B115" s="4" t="s">
        <v>174</v>
      </c>
      <c r="C115" s="10"/>
      <c r="D115" s="355">
        <v>2254</v>
      </c>
      <c r="E115" s="352">
        <v>1063</v>
      </c>
      <c r="F115" s="355">
        <v>26445</v>
      </c>
      <c r="G115" s="352">
        <v>4342</v>
      </c>
      <c r="H115" s="355">
        <v>933</v>
      </c>
      <c r="I115" s="352">
        <v>316</v>
      </c>
      <c r="J115" s="355">
        <v>209</v>
      </c>
      <c r="K115" s="352">
        <v>47</v>
      </c>
      <c r="L115" s="355">
        <v>2237</v>
      </c>
      <c r="M115" s="352">
        <v>598</v>
      </c>
      <c r="N115" s="355">
        <v>401</v>
      </c>
      <c r="O115" s="352">
        <v>340</v>
      </c>
      <c r="P115" s="355">
        <v>140</v>
      </c>
      <c r="Q115" s="352">
        <v>188</v>
      </c>
      <c r="R115" s="355">
        <v>18</v>
      </c>
      <c r="S115" s="352">
        <v>41</v>
      </c>
      <c r="T115" s="355">
        <v>46</v>
      </c>
      <c r="U115" s="352">
        <v>41</v>
      </c>
      <c r="V115" s="355">
        <v>2</v>
      </c>
      <c r="W115" s="352">
        <v>25</v>
      </c>
      <c r="X115" s="355">
        <v>1</v>
      </c>
      <c r="Y115" s="352">
        <v>25</v>
      </c>
      <c r="Z115" s="355"/>
      <c r="AA115" s="352"/>
      <c r="AB115" s="355">
        <v>143</v>
      </c>
      <c r="AC115" s="352">
        <v>72</v>
      </c>
      <c r="AD115" s="355"/>
      <c r="AE115" s="353"/>
    </row>
    <row r="116" spans="1:31">
      <c r="A116" s="145">
        <v>89</v>
      </c>
      <c r="B116" s="4" t="s">
        <v>175</v>
      </c>
      <c r="C116" s="10"/>
      <c r="D116" s="355">
        <v>2416</v>
      </c>
      <c r="E116" s="352">
        <v>480</v>
      </c>
      <c r="F116" s="355">
        <v>22682</v>
      </c>
      <c r="G116" s="352">
        <v>2366</v>
      </c>
      <c r="H116" s="355">
        <v>949</v>
      </c>
      <c r="I116" s="352">
        <v>317</v>
      </c>
      <c r="J116" s="355">
        <v>391</v>
      </c>
      <c r="K116" s="352">
        <v>50</v>
      </c>
      <c r="L116" s="355">
        <v>2284</v>
      </c>
      <c r="M116" s="352">
        <v>364</v>
      </c>
      <c r="N116" s="355">
        <v>634</v>
      </c>
      <c r="O116" s="352">
        <v>437</v>
      </c>
      <c r="P116" s="355">
        <v>22</v>
      </c>
      <c r="Q116" s="352">
        <v>87</v>
      </c>
      <c r="R116" s="355">
        <v>9</v>
      </c>
      <c r="S116" s="352">
        <v>14</v>
      </c>
      <c r="T116" s="355">
        <v>21</v>
      </c>
      <c r="U116" s="352">
        <v>3</v>
      </c>
      <c r="V116" s="355"/>
      <c r="W116" s="352"/>
      <c r="X116" s="355"/>
      <c r="Y116" s="352"/>
      <c r="Z116" s="355">
        <v>65</v>
      </c>
      <c r="AA116" s="352">
        <v>41</v>
      </c>
      <c r="AB116" s="355">
        <v>73</v>
      </c>
      <c r="AC116" s="352">
        <v>163</v>
      </c>
      <c r="AD116" s="355"/>
      <c r="AE116" s="353"/>
    </row>
    <row r="117" spans="1:31" ht="15">
      <c r="A117" s="145">
        <v>90</v>
      </c>
      <c r="B117" s="4" t="s">
        <v>176</v>
      </c>
      <c r="C117" s="248"/>
      <c r="D117" s="357">
        <v>246</v>
      </c>
      <c r="E117" s="354">
        <v>87</v>
      </c>
      <c r="F117" s="357">
        <v>1428</v>
      </c>
      <c r="G117" s="354">
        <v>131</v>
      </c>
      <c r="H117" s="357">
        <v>154</v>
      </c>
      <c r="I117" s="354">
        <v>68</v>
      </c>
      <c r="J117" s="357">
        <v>33</v>
      </c>
      <c r="K117" s="354">
        <v>23</v>
      </c>
      <c r="L117" s="357">
        <v>260</v>
      </c>
      <c r="M117" s="354">
        <v>95</v>
      </c>
      <c r="N117" s="357">
        <v>84</v>
      </c>
      <c r="O117" s="354">
        <v>80</v>
      </c>
      <c r="P117" s="357">
        <v>260</v>
      </c>
      <c r="Q117" s="354">
        <v>110</v>
      </c>
      <c r="R117" s="357">
        <v>26</v>
      </c>
      <c r="S117" s="354">
        <v>19</v>
      </c>
      <c r="T117" s="357">
        <v>48</v>
      </c>
      <c r="U117" s="354">
        <v>6</v>
      </c>
      <c r="V117" s="357">
        <v>1</v>
      </c>
      <c r="W117" s="354">
        <v>8</v>
      </c>
      <c r="X117" s="357">
        <v>4</v>
      </c>
      <c r="Y117" s="354"/>
      <c r="Z117" s="357"/>
      <c r="AA117" s="354">
        <v>4</v>
      </c>
      <c r="AB117" s="357">
        <v>5</v>
      </c>
      <c r="AC117" s="354">
        <v>22</v>
      </c>
      <c r="AD117" s="357">
        <v>271</v>
      </c>
      <c r="AE117" s="353">
        <v>24</v>
      </c>
    </row>
    <row r="118" spans="1:31">
      <c r="A118" s="145">
        <v>91</v>
      </c>
      <c r="B118" s="4" t="s">
        <v>177</v>
      </c>
      <c r="C118" s="17"/>
      <c r="D118" s="355">
        <v>2795</v>
      </c>
      <c r="E118" s="352">
        <v>511</v>
      </c>
      <c r="F118" s="355">
        <v>21211</v>
      </c>
      <c r="G118" s="352">
        <v>1035</v>
      </c>
      <c r="H118" s="355">
        <v>3228</v>
      </c>
      <c r="I118" s="352">
        <v>208</v>
      </c>
      <c r="J118" s="355">
        <v>669</v>
      </c>
      <c r="K118" s="352">
        <v>44</v>
      </c>
      <c r="L118" s="355">
        <v>5014</v>
      </c>
      <c r="M118" s="352">
        <v>545</v>
      </c>
      <c r="N118" s="355">
        <v>1596</v>
      </c>
      <c r="O118" s="352">
        <v>282</v>
      </c>
      <c r="P118" s="355">
        <v>169</v>
      </c>
      <c r="Q118" s="352">
        <v>31</v>
      </c>
      <c r="R118" s="355">
        <v>10</v>
      </c>
      <c r="S118" s="352"/>
      <c r="T118" s="355">
        <v>31</v>
      </c>
      <c r="U118" s="352">
        <v>11</v>
      </c>
      <c r="V118" s="355"/>
      <c r="W118" s="352"/>
      <c r="X118" s="355"/>
      <c r="Y118" s="352"/>
      <c r="Z118" s="355">
        <v>62</v>
      </c>
      <c r="AA118" s="352">
        <v>3</v>
      </c>
      <c r="AB118" s="355">
        <v>334</v>
      </c>
      <c r="AC118" s="352">
        <v>52</v>
      </c>
      <c r="AD118" s="355">
        <v>174</v>
      </c>
      <c r="AE118" s="353"/>
    </row>
    <row r="119" spans="1:31">
      <c r="A119" s="145">
        <v>92</v>
      </c>
      <c r="B119" s="4" t="s">
        <v>178</v>
      </c>
      <c r="C119" s="10"/>
      <c r="D119" s="355">
        <v>96</v>
      </c>
      <c r="E119" s="352">
        <v>76</v>
      </c>
      <c r="F119" s="355">
        <v>1422</v>
      </c>
      <c r="G119" s="352">
        <v>614</v>
      </c>
      <c r="H119" s="355">
        <v>68</v>
      </c>
      <c r="I119" s="352">
        <v>72</v>
      </c>
      <c r="J119" s="355">
        <v>27</v>
      </c>
      <c r="K119" s="352">
        <v>11</v>
      </c>
      <c r="L119" s="355">
        <v>164</v>
      </c>
      <c r="M119" s="352">
        <v>158</v>
      </c>
      <c r="N119" s="355">
        <v>99</v>
      </c>
      <c r="O119" s="352">
        <v>66</v>
      </c>
      <c r="P119" s="355">
        <v>1</v>
      </c>
      <c r="Q119" s="352">
        <v>3</v>
      </c>
      <c r="R119" s="355"/>
      <c r="S119" s="352"/>
      <c r="T119" s="355">
        <v>1</v>
      </c>
      <c r="U119" s="352">
        <v>2</v>
      </c>
      <c r="V119" s="355"/>
      <c r="W119" s="352"/>
      <c r="X119" s="355"/>
      <c r="Y119" s="352"/>
      <c r="Z119" s="355"/>
      <c r="AA119" s="352"/>
      <c r="AB119" s="355"/>
      <c r="AC119" s="352"/>
      <c r="AD119" s="355"/>
      <c r="AE119" s="353"/>
    </row>
    <row r="120" spans="1:31">
      <c r="A120" s="145">
        <v>93</v>
      </c>
      <c r="B120" s="4" t="s">
        <v>179</v>
      </c>
      <c r="C120" s="10"/>
      <c r="D120" s="355">
        <v>15</v>
      </c>
      <c r="E120" s="352"/>
      <c r="F120" s="355">
        <v>96</v>
      </c>
      <c r="G120" s="352">
        <v>6</v>
      </c>
      <c r="H120" s="355">
        <v>8</v>
      </c>
      <c r="I120" s="352">
        <v>3</v>
      </c>
      <c r="J120" s="355">
        <v>5</v>
      </c>
      <c r="K120" s="352">
        <v>3</v>
      </c>
      <c r="L120" s="355">
        <v>41</v>
      </c>
      <c r="M120" s="352">
        <v>3</v>
      </c>
      <c r="N120" s="355">
        <v>9</v>
      </c>
      <c r="O120" s="352">
        <v>10</v>
      </c>
      <c r="P120" s="355">
        <v>26</v>
      </c>
      <c r="Q120" s="352"/>
      <c r="R120" s="355">
        <v>6</v>
      </c>
      <c r="S120" s="352"/>
      <c r="T120" s="355"/>
      <c r="U120" s="352"/>
      <c r="V120" s="355"/>
      <c r="W120" s="352"/>
      <c r="X120" s="355"/>
      <c r="Y120" s="352"/>
      <c r="Z120" s="355"/>
      <c r="AA120" s="352"/>
      <c r="AB120" s="355"/>
      <c r="AC120" s="352"/>
      <c r="AD120" s="355">
        <v>20</v>
      </c>
      <c r="AE120" s="353"/>
    </row>
    <row r="121" spans="1:31">
      <c r="A121" s="145">
        <v>94</v>
      </c>
      <c r="B121" s="4" t="s">
        <v>180</v>
      </c>
      <c r="C121" s="10"/>
      <c r="D121" s="355">
        <v>100</v>
      </c>
      <c r="E121" s="352">
        <v>148</v>
      </c>
      <c r="F121" s="355">
        <v>348</v>
      </c>
      <c r="G121" s="352">
        <v>170</v>
      </c>
      <c r="H121" s="355">
        <v>54</v>
      </c>
      <c r="I121" s="352">
        <v>12</v>
      </c>
      <c r="J121" s="355">
        <v>23</v>
      </c>
      <c r="K121" s="352">
        <v>11</v>
      </c>
      <c r="L121" s="355">
        <v>157</v>
      </c>
      <c r="M121" s="352">
        <v>23</v>
      </c>
      <c r="N121" s="355">
        <v>40</v>
      </c>
      <c r="O121" s="352">
        <v>16</v>
      </c>
      <c r="P121" s="355">
        <v>162</v>
      </c>
      <c r="Q121" s="352">
        <v>58</v>
      </c>
      <c r="R121" s="355">
        <v>14</v>
      </c>
      <c r="S121" s="352"/>
      <c r="T121" s="355">
        <v>32</v>
      </c>
      <c r="U121" s="352">
        <v>1</v>
      </c>
      <c r="V121" s="355"/>
      <c r="W121" s="352"/>
      <c r="X121" s="355"/>
      <c r="Y121" s="352"/>
      <c r="Z121" s="355">
        <v>1</v>
      </c>
      <c r="AA121" s="352">
        <v>2</v>
      </c>
      <c r="AB121" s="355">
        <v>44</v>
      </c>
      <c r="AC121" s="352">
        <v>4</v>
      </c>
      <c r="AD121" s="355">
        <v>13</v>
      </c>
      <c r="AE121" s="353"/>
    </row>
    <row r="122" spans="1:31">
      <c r="A122" s="145">
        <v>95</v>
      </c>
      <c r="B122" s="4" t="s">
        <v>181</v>
      </c>
      <c r="C122" s="10"/>
      <c r="D122" s="355">
        <v>92</v>
      </c>
      <c r="E122" s="352">
        <v>38</v>
      </c>
      <c r="F122" s="355">
        <v>589</v>
      </c>
      <c r="G122" s="352">
        <v>214</v>
      </c>
      <c r="H122" s="355">
        <v>85</v>
      </c>
      <c r="I122" s="352">
        <v>28</v>
      </c>
      <c r="J122" s="355">
        <v>21</v>
      </c>
      <c r="K122" s="352">
        <v>6</v>
      </c>
      <c r="L122" s="355">
        <v>261</v>
      </c>
      <c r="M122" s="352">
        <v>56</v>
      </c>
      <c r="N122" s="355">
        <v>54</v>
      </c>
      <c r="O122" s="352">
        <v>23</v>
      </c>
      <c r="P122" s="355">
        <v>31</v>
      </c>
      <c r="Q122" s="352">
        <v>27</v>
      </c>
      <c r="R122" s="355">
        <v>8</v>
      </c>
      <c r="S122" s="352">
        <v>1</v>
      </c>
      <c r="T122" s="355">
        <v>34</v>
      </c>
      <c r="U122" s="352">
        <v>9</v>
      </c>
      <c r="V122" s="355"/>
      <c r="W122" s="352"/>
      <c r="X122" s="355"/>
      <c r="Y122" s="352"/>
      <c r="Z122" s="355"/>
      <c r="AA122" s="352"/>
      <c r="AB122" s="355">
        <v>1</v>
      </c>
      <c r="AC122" s="352"/>
      <c r="AD122" s="355">
        <v>6</v>
      </c>
      <c r="AE122" s="353">
        <v>20</v>
      </c>
    </row>
    <row r="123" spans="1:31" ht="15">
      <c r="A123" s="145">
        <v>96</v>
      </c>
      <c r="B123" s="4" t="s">
        <v>182</v>
      </c>
      <c r="C123" s="248"/>
      <c r="D123" s="357">
        <v>560</v>
      </c>
      <c r="E123" s="354">
        <v>173</v>
      </c>
      <c r="F123" s="357">
        <v>3563</v>
      </c>
      <c r="G123" s="354">
        <v>426</v>
      </c>
      <c r="H123" s="357">
        <v>366</v>
      </c>
      <c r="I123" s="354">
        <v>185</v>
      </c>
      <c r="J123" s="357">
        <v>67</v>
      </c>
      <c r="K123" s="354">
        <v>46</v>
      </c>
      <c r="L123" s="357">
        <v>1213</v>
      </c>
      <c r="M123" s="354">
        <v>362</v>
      </c>
      <c r="N123" s="357">
        <v>222</v>
      </c>
      <c r="O123" s="354">
        <v>82</v>
      </c>
      <c r="P123" s="357">
        <v>521</v>
      </c>
      <c r="Q123" s="354">
        <v>608</v>
      </c>
      <c r="R123" s="357">
        <v>121</v>
      </c>
      <c r="S123" s="354">
        <v>44</v>
      </c>
      <c r="T123" s="357">
        <v>335</v>
      </c>
      <c r="U123" s="354">
        <v>31</v>
      </c>
      <c r="V123" s="357">
        <v>4</v>
      </c>
      <c r="W123" s="354"/>
      <c r="X123" s="357">
        <v>4</v>
      </c>
      <c r="Y123" s="354">
        <v>2</v>
      </c>
      <c r="Z123" s="357">
        <v>6</v>
      </c>
      <c r="AA123" s="354">
        <v>11</v>
      </c>
      <c r="AB123" s="357">
        <v>54</v>
      </c>
      <c r="AC123" s="354">
        <v>31</v>
      </c>
      <c r="AD123" s="357"/>
      <c r="AE123" s="353"/>
    </row>
    <row r="124" spans="1:31">
      <c r="A124" s="222" t="s">
        <v>24</v>
      </c>
      <c r="B124" s="97"/>
      <c r="C124" s="17"/>
      <c r="D124" s="355"/>
      <c r="E124" s="352"/>
      <c r="F124" s="355"/>
      <c r="G124" s="352"/>
      <c r="H124" s="355"/>
      <c r="I124" s="352"/>
      <c r="J124" s="355"/>
      <c r="K124" s="352"/>
      <c r="L124" s="355"/>
      <c r="M124" s="352"/>
      <c r="N124" s="355"/>
      <c r="O124" s="352"/>
      <c r="P124" s="355"/>
      <c r="Q124" s="352"/>
      <c r="R124" s="355"/>
      <c r="S124" s="352"/>
      <c r="T124" s="355"/>
      <c r="U124" s="352"/>
      <c r="V124" s="355"/>
      <c r="W124" s="352"/>
      <c r="X124" s="355"/>
      <c r="Y124" s="352"/>
      <c r="Z124" s="355"/>
      <c r="AA124" s="352"/>
      <c r="AB124" s="355"/>
      <c r="AC124" s="352"/>
      <c r="AD124" s="355"/>
      <c r="AE124" s="353"/>
    </row>
    <row r="125" spans="1:31">
      <c r="A125" s="224">
        <v>97</v>
      </c>
      <c r="B125" s="113" t="s">
        <v>183</v>
      </c>
      <c r="C125" s="10"/>
      <c r="D125" s="355">
        <v>4840</v>
      </c>
      <c r="E125" s="352">
        <v>1490</v>
      </c>
      <c r="F125" s="355">
        <v>93246</v>
      </c>
      <c r="G125" s="352">
        <v>7645</v>
      </c>
      <c r="H125" s="355">
        <v>1266</v>
      </c>
      <c r="I125" s="352">
        <v>403</v>
      </c>
      <c r="J125" s="355">
        <v>565</v>
      </c>
      <c r="K125" s="352">
        <v>189</v>
      </c>
      <c r="L125" s="355">
        <v>6889</v>
      </c>
      <c r="M125" s="352">
        <v>1467</v>
      </c>
      <c r="N125" s="355">
        <v>882</v>
      </c>
      <c r="O125" s="352">
        <v>1307</v>
      </c>
      <c r="P125" s="355">
        <v>592</v>
      </c>
      <c r="Q125" s="352">
        <v>452</v>
      </c>
      <c r="R125" s="355">
        <v>14</v>
      </c>
      <c r="S125" s="352">
        <v>48</v>
      </c>
      <c r="T125" s="355">
        <v>66</v>
      </c>
      <c r="U125" s="352">
        <v>39</v>
      </c>
      <c r="V125" s="355">
        <v>5</v>
      </c>
      <c r="W125" s="352">
        <v>1</v>
      </c>
      <c r="X125" s="355">
        <v>2</v>
      </c>
      <c r="Y125" s="352"/>
      <c r="Z125" s="355">
        <v>90</v>
      </c>
      <c r="AA125" s="352">
        <v>89</v>
      </c>
      <c r="AB125" s="355">
        <v>739</v>
      </c>
      <c r="AC125" s="352">
        <v>137</v>
      </c>
      <c r="AD125" s="355">
        <v>1671</v>
      </c>
      <c r="AE125" s="353">
        <v>30</v>
      </c>
    </row>
    <row r="126" spans="1:31">
      <c r="A126" s="145">
        <v>98</v>
      </c>
      <c r="B126" s="4" t="s">
        <v>184</v>
      </c>
      <c r="C126" s="10"/>
      <c r="D126" s="355">
        <v>7</v>
      </c>
      <c r="E126" s="352">
        <v>17</v>
      </c>
      <c r="F126" s="355">
        <v>444</v>
      </c>
      <c r="G126" s="352">
        <v>143</v>
      </c>
      <c r="H126" s="355">
        <v>50</v>
      </c>
      <c r="I126" s="352">
        <v>24</v>
      </c>
      <c r="J126" s="355"/>
      <c r="K126" s="352"/>
      <c r="L126" s="355">
        <v>94</v>
      </c>
      <c r="M126" s="352">
        <v>59</v>
      </c>
      <c r="N126" s="355">
        <v>3</v>
      </c>
      <c r="O126" s="352">
        <v>8</v>
      </c>
      <c r="P126" s="355">
        <v>169</v>
      </c>
      <c r="Q126" s="352">
        <v>121</v>
      </c>
      <c r="R126" s="355">
        <v>9</v>
      </c>
      <c r="S126" s="352">
        <v>4</v>
      </c>
      <c r="T126" s="355">
        <v>50</v>
      </c>
      <c r="U126" s="352">
        <v>19</v>
      </c>
      <c r="V126" s="355">
        <v>14</v>
      </c>
      <c r="W126" s="352">
        <v>2</v>
      </c>
      <c r="X126" s="355"/>
      <c r="Y126" s="352"/>
      <c r="Z126" s="355">
        <v>2</v>
      </c>
      <c r="AA126" s="352"/>
      <c r="AB126" s="355">
        <v>4</v>
      </c>
      <c r="AC126" s="352">
        <v>4</v>
      </c>
      <c r="AD126" s="355">
        <v>30</v>
      </c>
      <c r="AE126" s="353"/>
    </row>
    <row r="127" spans="1:31">
      <c r="A127" s="145">
        <v>99</v>
      </c>
      <c r="B127" s="4" t="s">
        <v>185</v>
      </c>
      <c r="C127" s="10"/>
      <c r="D127" s="355">
        <v>214</v>
      </c>
      <c r="E127" s="352">
        <v>72</v>
      </c>
      <c r="F127" s="355">
        <v>1898</v>
      </c>
      <c r="G127" s="352">
        <v>525</v>
      </c>
      <c r="H127" s="355">
        <v>215</v>
      </c>
      <c r="I127" s="352">
        <v>86</v>
      </c>
      <c r="J127" s="355">
        <v>31</v>
      </c>
      <c r="K127" s="352">
        <v>18</v>
      </c>
      <c r="L127" s="355">
        <v>440</v>
      </c>
      <c r="M127" s="352">
        <v>126</v>
      </c>
      <c r="N127" s="355">
        <v>105</v>
      </c>
      <c r="O127" s="352">
        <v>91</v>
      </c>
      <c r="P127" s="355">
        <v>363</v>
      </c>
      <c r="Q127" s="352">
        <v>181</v>
      </c>
      <c r="R127" s="355">
        <v>48</v>
      </c>
      <c r="S127" s="352">
        <v>38</v>
      </c>
      <c r="T127" s="355">
        <v>128</v>
      </c>
      <c r="U127" s="352">
        <v>58</v>
      </c>
      <c r="V127" s="355">
        <v>10</v>
      </c>
      <c r="W127" s="352">
        <v>2</v>
      </c>
      <c r="X127" s="355">
        <v>8</v>
      </c>
      <c r="Y127" s="352">
        <v>1</v>
      </c>
      <c r="Z127" s="355">
        <v>3</v>
      </c>
      <c r="AA127" s="352">
        <v>2</v>
      </c>
      <c r="AB127" s="355">
        <v>37</v>
      </c>
      <c r="AC127" s="352">
        <v>40</v>
      </c>
      <c r="AD127" s="355">
        <v>67</v>
      </c>
      <c r="AE127" s="353">
        <v>2</v>
      </c>
    </row>
    <row r="128" spans="1:31">
      <c r="A128" s="145">
        <v>100</v>
      </c>
      <c r="B128" s="4" t="s">
        <v>186</v>
      </c>
      <c r="C128" s="10"/>
      <c r="D128" s="355">
        <v>68</v>
      </c>
      <c r="E128" s="352">
        <v>64</v>
      </c>
      <c r="F128" s="355">
        <v>896</v>
      </c>
      <c r="G128" s="352">
        <v>299</v>
      </c>
      <c r="H128" s="355">
        <v>120</v>
      </c>
      <c r="I128" s="352">
        <v>140</v>
      </c>
      <c r="J128" s="355">
        <v>1</v>
      </c>
      <c r="K128" s="352">
        <v>8</v>
      </c>
      <c r="L128" s="355">
        <v>264</v>
      </c>
      <c r="M128" s="352">
        <v>69</v>
      </c>
      <c r="N128" s="355">
        <v>30</v>
      </c>
      <c r="O128" s="352">
        <v>47</v>
      </c>
      <c r="P128" s="355">
        <v>598</v>
      </c>
      <c r="Q128" s="352">
        <v>86</v>
      </c>
      <c r="R128" s="355">
        <v>58</v>
      </c>
      <c r="S128" s="352">
        <v>25</v>
      </c>
      <c r="T128" s="355">
        <v>209</v>
      </c>
      <c r="U128" s="352">
        <v>39</v>
      </c>
      <c r="V128" s="355">
        <v>9</v>
      </c>
      <c r="W128" s="352">
        <v>4</v>
      </c>
      <c r="X128" s="355">
        <v>5</v>
      </c>
      <c r="Y128" s="352"/>
      <c r="Z128" s="355">
        <v>2</v>
      </c>
      <c r="AA128" s="352">
        <v>2</v>
      </c>
      <c r="AB128" s="355">
        <v>4</v>
      </c>
      <c r="AC128" s="352">
        <v>4</v>
      </c>
      <c r="AD128" s="355">
        <v>15</v>
      </c>
      <c r="AE128" s="353">
        <v>25</v>
      </c>
    </row>
    <row r="129" spans="1:31" ht="15">
      <c r="A129" s="145">
        <v>101</v>
      </c>
      <c r="B129" s="4" t="s">
        <v>304</v>
      </c>
      <c r="C129" s="248"/>
      <c r="D129" s="357">
        <v>123</v>
      </c>
      <c r="E129" s="354">
        <v>9</v>
      </c>
      <c r="F129" s="357">
        <v>650</v>
      </c>
      <c r="G129" s="354">
        <v>100</v>
      </c>
      <c r="H129" s="357">
        <v>137</v>
      </c>
      <c r="I129" s="354">
        <v>3</v>
      </c>
      <c r="J129" s="357">
        <v>11</v>
      </c>
      <c r="K129" s="354"/>
      <c r="L129" s="357">
        <v>334</v>
      </c>
      <c r="M129" s="354">
        <v>32</v>
      </c>
      <c r="N129" s="357">
        <v>96</v>
      </c>
      <c r="O129" s="354">
        <v>19</v>
      </c>
      <c r="P129" s="357">
        <v>58</v>
      </c>
      <c r="Q129" s="354">
        <v>60</v>
      </c>
      <c r="R129" s="357">
        <v>6</v>
      </c>
      <c r="S129" s="354">
        <v>3</v>
      </c>
      <c r="T129" s="357">
        <v>11</v>
      </c>
      <c r="U129" s="354">
        <v>1</v>
      </c>
      <c r="V129" s="357">
        <v>3</v>
      </c>
      <c r="W129" s="354"/>
      <c r="X129" s="357"/>
      <c r="Y129" s="354"/>
      <c r="Z129" s="357">
        <v>3</v>
      </c>
      <c r="AA129" s="354"/>
      <c r="AB129" s="357">
        <v>22</v>
      </c>
      <c r="AC129" s="354">
        <v>1</v>
      </c>
      <c r="AD129" s="357"/>
      <c r="AE129" s="353"/>
    </row>
    <row r="130" spans="1:31">
      <c r="A130" s="145">
        <v>102</v>
      </c>
      <c r="B130" s="4" t="s">
        <v>187</v>
      </c>
      <c r="C130" s="17"/>
      <c r="D130" s="355">
        <v>843</v>
      </c>
      <c r="E130" s="352">
        <v>145</v>
      </c>
      <c r="F130" s="355">
        <v>3464</v>
      </c>
      <c r="G130" s="352">
        <v>1062</v>
      </c>
      <c r="H130" s="355">
        <v>490</v>
      </c>
      <c r="I130" s="352">
        <v>106</v>
      </c>
      <c r="J130" s="355">
        <v>201</v>
      </c>
      <c r="K130" s="352">
        <v>28</v>
      </c>
      <c r="L130" s="355">
        <v>1434</v>
      </c>
      <c r="M130" s="352">
        <v>880</v>
      </c>
      <c r="N130" s="355">
        <v>191</v>
      </c>
      <c r="O130" s="352">
        <v>121</v>
      </c>
      <c r="P130" s="355">
        <v>210</v>
      </c>
      <c r="Q130" s="352">
        <v>80</v>
      </c>
      <c r="R130" s="355">
        <v>17</v>
      </c>
      <c r="S130" s="352">
        <v>24</v>
      </c>
      <c r="T130" s="355">
        <v>50</v>
      </c>
      <c r="U130" s="352">
        <v>28</v>
      </c>
      <c r="V130" s="355">
        <v>1</v>
      </c>
      <c r="W130" s="352"/>
      <c r="X130" s="355"/>
      <c r="Y130" s="352"/>
      <c r="Z130" s="355">
        <v>3</v>
      </c>
      <c r="AA130" s="352">
        <v>3</v>
      </c>
      <c r="AB130" s="355">
        <v>55</v>
      </c>
      <c r="AC130" s="352">
        <v>13</v>
      </c>
      <c r="AD130" s="355">
        <v>160</v>
      </c>
      <c r="AE130" s="353">
        <v>33</v>
      </c>
    </row>
    <row r="131" spans="1:31">
      <c r="A131" s="145">
        <v>103</v>
      </c>
      <c r="B131" s="4" t="s">
        <v>188</v>
      </c>
      <c r="C131" s="10"/>
      <c r="D131" s="355">
        <v>571</v>
      </c>
      <c r="E131" s="352">
        <v>31</v>
      </c>
      <c r="F131" s="355">
        <v>2427</v>
      </c>
      <c r="G131" s="352">
        <v>108</v>
      </c>
      <c r="H131" s="355">
        <v>333</v>
      </c>
      <c r="I131" s="352">
        <v>127</v>
      </c>
      <c r="J131" s="355">
        <v>113</v>
      </c>
      <c r="K131" s="352"/>
      <c r="L131" s="355">
        <v>776</v>
      </c>
      <c r="M131" s="352">
        <v>241</v>
      </c>
      <c r="N131" s="355">
        <v>190</v>
      </c>
      <c r="O131" s="352">
        <v>127</v>
      </c>
      <c r="P131" s="355">
        <v>57</v>
      </c>
      <c r="Q131" s="352">
        <v>89</v>
      </c>
      <c r="R131" s="355">
        <v>1</v>
      </c>
      <c r="S131" s="352">
        <v>18</v>
      </c>
      <c r="T131" s="355">
        <v>26</v>
      </c>
      <c r="U131" s="352">
        <v>12</v>
      </c>
      <c r="V131" s="355"/>
      <c r="W131" s="352"/>
      <c r="X131" s="355"/>
      <c r="Y131" s="352"/>
      <c r="Z131" s="355"/>
      <c r="AA131" s="352">
        <v>2</v>
      </c>
      <c r="AB131" s="355">
        <v>12</v>
      </c>
      <c r="AC131" s="352">
        <v>13</v>
      </c>
      <c r="AD131" s="355">
        <v>57</v>
      </c>
      <c r="AE131" s="353">
        <v>20</v>
      </c>
    </row>
    <row r="132" spans="1:31">
      <c r="A132" s="222" t="s">
        <v>25</v>
      </c>
      <c r="B132" s="97"/>
      <c r="C132" s="10"/>
      <c r="D132" s="355"/>
      <c r="E132" s="352"/>
      <c r="F132" s="355"/>
      <c r="G132" s="352"/>
      <c r="H132" s="355"/>
      <c r="I132" s="352"/>
      <c r="J132" s="355"/>
      <c r="K132" s="352"/>
      <c r="L132" s="355"/>
      <c r="M132" s="352"/>
      <c r="N132" s="355"/>
      <c r="O132" s="352"/>
      <c r="P132" s="355"/>
      <c r="Q132" s="352"/>
      <c r="R132" s="355"/>
      <c r="S132" s="352"/>
      <c r="T132" s="355"/>
      <c r="U132" s="352"/>
      <c r="V132" s="355"/>
      <c r="W132" s="352"/>
      <c r="X132" s="355"/>
      <c r="Y132" s="352"/>
      <c r="Z132" s="355"/>
      <c r="AA132" s="352"/>
      <c r="AB132" s="355"/>
      <c r="AC132" s="352"/>
      <c r="AD132" s="355"/>
      <c r="AE132" s="353"/>
    </row>
    <row r="133" spans="1:31">
      <c r="A133" s="145">
        <v>104</v>
      </c>
      <c r="B133" s="4" t="s">
        <v>189</v>
      </c>
      <c r="C133" s="10"/>
      <c r="D133" s="355">
        <v>137</v>
      </c>
      <c r="E133" s="352">
        <v>93</v>
      </c>
      <c r="F133" s="355">
        <v>491</v>
      </c>
      <c r="G133" s="352">
        <v>170</v>
      </c>
      <c r="H133" s="355">
        <v>157</v>
      </c>
      <c r="I133" s="352">
        <v>30</v>
      </c>
      <c r="J133" s="355">
        <v>6</v>
      </c>
      <c r="K133" s="352">
        <v>1</v>
      </c>
      <c r="L133" s="355">
        <v>201</v>
      </c>
      <c r="M133" s="352">
        <v>104</v>
      </c>
      <c r="N133" s="355">
        <v>28</v>
      </c>
      <c r="O133" s="352">
        <v>9</v>
      </c>
      <c r="P133" s="355">
        <v>239</v>
      </c>
      <c r="Q133" s="352">
        <v>83</v>
      </c>
      <c r="R133" s="355">
        <v>21</v>
      </c>
      <c r="S133" s="352">
        <v>10</v>
      </c>
      <c r="T133" s="355">
        <v>92</v>
      </c>
      <c r="U133" s="352">
        <v>18</v>
      </c>
      <c r="V133" s="355">
        <v>17</v>
      </c>
      <c r="W133" s="352">
        <v>6</v>
      </c>
      <c r="X133" s="355">
        <v>6</v>
      </c>
      <c r="Y133" s="352"/>
      <c r="Z133" s="355">
        <v>10</v>
      </c>
      <c r="AA133" s="352">
        <v>2</v>
      </c>
      <c r="AB133" s="355">
        <v>9</v>
      </c>
      <c r="AC133" s="352">
        <v>12</v>
      </c>
      <c r="AD133" s="355">
        <v>61</v>
      </c>
      <c r="AE133" s="353">
        <v>89</v>
      </c>
    </row>
    <row r="134" spans="1:31">
      <c r="A134" s="145">
        <v>105</v>
      </c>
      <c r="B134" s="4" t="s">
        <v>190</v>
      </c>
      <c r="C134" s="10"/>
      <c r="D134" s="355">
        <v>79</v>
      </c>
      <c r="E134" s="354">
        <v>5</v>
      </c>
      <c r="F134" s="355">
        <v>350</v>
      </c>
      <c r="G134" s="354">
        <v>35</v>
      </c>
      <c r="H134" s="355">
        <v>46</v>
      </c>
      <c r="I134" s="354">
        <v>23</v>
      </c>
      <c r="J134" s="355">
        <v>3</v>
      </c>
      <c r="K134" s="354">
        <v>8</v>
      </c>
      <c r="L134" s="355">
        <v>158</v>
      </c>
      <c r="M134" s="354">
        <v>25</v>
      </c>
      <c r="N134" s="355">
        <v>36</v>
      </c>
      <c r="O134" s="354">
        <v>9</v>
      </c>
      <c r="P134" s="355">
        <v>120</v>
      </c>
      <c r="Q134" s="354">
        <v>3</v>
      </c>
      <c r="R134" s="355">
        <v>16</v>
      </c>
      <c r="S134" s="354">
        <v>15</v>
      </c>
      <c r="T134" s="355">
        <v>142</v>
      </c>
      <c r="U134" s="354">
        <v>11</v>
      </c>
      <c r="V134" s="355">
        <v>5</v>
      </c>
      <c r="W134" s="354"/>
      <c r="X134" s="355">
        <v>5</v>
      </c>
      <c r="Y134" s="354">
        <v>1</v>
      </c>
      <c r="Z134" s="355"/>
      <c r="AA134" s="354"/>
      <c r="AB134" s="355">
        <v>7</v>
      </c>
      <c r="AC134" s="354"/>
      <c r="AD134" s="355">
        <v>12</v>
      </c>
      <c r="AE134" s="353"/>
    </row>
    <row r="135" spans="1:31">
      <c r="A135" s="145">
        <v>106</v>
      </c>
      <c r="B135" s="4" t="s">
        <v>191</v>
      </c>
      <c r="C135" s="10"/>
      <c r="D135" s="355">
        <v>63</v>
      </c>
      <c r="E135" s="354">
        <v>53</v>
      </c>
      <c r="F135" s="355">
        <v>528</v>
      </c>
      <c r="G135" s="354">
        <v>415</v>
      </c>
      <c r="H135" s="355">
        <v>21</v>
      </c>
      <c r="I135" s="354">
        <v>44</v>
      </c>
      <c r="J135" s="355"/>
      <c r="K135" s="354"/>
      <c r="L135" s="355">
        <v>99</v>
      </c>
      <c r="M135" s="354">
        <v>116</v>
      </c>
      <c r="N135" s="355">
        <v>8</v>
      </c>
      <c r="O135" s="354">
        <v>17</v>
      </c>
      <c r="P135" s="355">
        <v>393</v>
      </c>
      <c r="Q135" s="354">
        <v>303</v>
      </c>
      <c r="R135" s="355">
        <v>28</v>
      </c>
      <c r="S135" s="354">
        <v>63</v>
      </c>
      <c r="T135" s="355">
        <v>109</v>
      </c>
      <c r="U135" s="354">
        <v>90</v>
      </c>
      <c r="V135" s="355">
        <v>19</v>
      </c>
      <c r="W135" s="354">
        <v>7</v>
      </c>
      <c r="X135" s="355">
        <v>1</v>
      </c>
      <c r="Y135" s="354"/>
      <c r="Z135" s="355"/>
      <c r="AA135" s="354">
        <v>1</v>
      </c>
      <c r="AB135" s="355">
        <v>3</v>
      </c>
      <c r="AC135" s="354">
        <v>8</v>
      </c>
      <c r="AD135" s="355">
        <v>23</v>
      </c>
      <c r="AE135" s="353">
        <v>22</v>
      </c>
    </row>
    <row r="136" spans="1:31" ht="15">
      <c r="A136" s="145">
        <v>107</v>
      </c>
      <c r="B136" s="4" t="s">
        <v>192</v>
      </c>
      <c r="C136" s="248"/>
      <c r="D136" s="357">
        <v>56</v>
      </c>
      <c r="E136" s="354">
        <v>83</v>
      </c>
      <c r="F136" s="357">
        <v>779</v>
      </c>
      <c r="G136" s="354">
        <v>190</v>
      </c>
      <c r="H136" s="357">
        <v>78</v>
      </c>
      <c r="I136" s="354">
        <v>76</v>
      </c>
      <c r="J136" s="357">
        <v>18</v>
      </c>
      <c r="K136" s="354">
        <v>10</v>
      </c>
      <c r="L136" s="357">
        <v>329</v>
      </c>
      <c r="M136" s="354">
        <v>62</v>
      </c>
      <c r="N136" s="357">
        <v>28</v>
      </c>
      <c r="O136" s="354">
        <v>61</v>
      </c>
      <c r="P136" s="357">
        <v>57</v>
      </c>
      <c r="Q136" s="354">
        <v>116</v>
      </c>
      <c r="R136" s="357">
        <v>10</v>
      </c>
      <c r="S136" s="354">
        <v>15</v>
      </c>
      <c r="T136" s="357">
        <v>29</v>
      </c>
      <c r="U136" s="354">
        <v>15</v>
      </c>
      <c r="V136" s="357">
        <v>3</v>
      </c>
      <c r="W136" s="354">
        <v>2</v>
      </c>
      <c r="X136" s="357">
        <v>6</v>
      </c>
      <c r="Y136" s="354"/>
      <c r="Z136" s="357"/>
      <c r="AA136" s="354">
        <v>3</v>
      </c>
      <c r="AB136" s="357">
        <v>9</v>
      </c>
      <c r="AC136" s="354">
        <v>1</v>
      </c>
      <c r="AD136" s="357">
        <v>33</v>
      </c>
      <c r="AE136" s="353">
        <v>5</v>
      </c>
    </row>
    <row r="137" spans="1:31">
      <c r="A137" s="145">
        <v>108</v>
      </c>
      <c r="B137" s="4" t="s">
        <v>193</v>
      </c>
      <c r="C137" s="17"/>
      <c r="D137" s="355">
        <v>40</v>
      </c>
      <c r="E137" s="352">
        <v>15</v>
      </c>
      <c r="F137" s="355">
        <v>281</v>
      </c>
      <c r="G137" s="352">
        <v>102</v>
      </c>
      <c r="H137" s="355">
        <v>38</v>
      </c>
      <c r="I137" s="352">
        <v>21</v>
      </c>
      <c r="J137" s="355">
        <v>2</v>
      </c>
      <c r="K137" s="352">
        <v>3</v>
      </c>
      <c r="L137" s="355">
        <v>42</v>
      </c>
      <c r="M137" s="352">
        <v>34</v>
      </c>
      <c r="N137" s="355">
        <v>42</v>
      </c>
      <c r="O137" s="352">
        <v>6</v>
      </c>
      <c r="P137" s="355">
        <v>75</v>
      </c>
      <c r="Q137" s="352">
        <v>13</v>
      </c>
      <c r="R137" s="355">
        <v>1</v>
      </c>
      <c r="S137" s="352"/>
      <c r="T137" s="355">
        <v>14</v>
      </c>
      <c r="U137" s="352">
        <v>1</v>
      </c>
      <c r="V137" s="355">
        <v>4</v>
      </c>
      <c r="W137" s="352"/>
      <c r="X137" s="355"/>
      <c r="Y137" s="352"/>
      <c r="Z137" s="355">
        <v>2</v>
      </c>
      <c r="AA137" s="352"/>
      <c r="AB137" s="355">
        <v>7</v>
      </c>
      <c r="AC137" s="352">
        <v>8</v>
      </c>
      <c r="AD137" s="355">
        <v>5</v>
      </c>
      <c r="AE137" s="353"/>
    </row>
    <row r="138" spans="1:31">
      <c r="A138" s="145">
        <v>109</v>
      </c>
      <c r="B138" s="4" t="s">
        <v>194</v>
      </c>
      <c r="C138" s="10"/>
      <c r="D138" s="355">
        <v>28</v>
      </c>
      <c r="E138" s="352">
        <v>49</v>
      </c>
      <c r="F138" s="355">
        <v>629</v>
      </c>
      <c r="G138" s="352">
        <v>125</v>
      </c>
      <c r="H138" s="355">
        <v>46</v>
      </c>
      <c r="I138" s="352">
        <v>37</v>
      </c>
      <c r="J138" s="355">
        <v>3</v>
      </c>
      <c r="K138" s="352">
        <v>12</v>
      </c>
      <c r="L138" s="355">
        <v>131</v>
      </c>
      <c r="M138" s="352">
        <v>53</v>
      </c>
      <c r="N138" s="355">
        <v>10</v>
      </c>
      <c r="O138" s="352">
        <v>16</v>
      </c>
      <c r="P138" s="355">
        <v>370</v>
      </c>
      <c r="Q138" s="352">
        <v>251</v>
      </c>
      <c r="R138" s="355">
        <v>52</v>
      </c>
      <c r="S138" s="352">
        <v>11</v>
      </c>
      <c r="T138" s="355">
        <v>146</v>
      </c>
      <c r="U138" s="352">
        <v>38</v>
      </c>
      <c r="V138" s="355">
        <v>11</v>
      </c>
      <c r="W138" s="352">
        <v>3</v>
      </c>
      <c r="X138" s="355">
        <v>2</v>
      </c>
      <c r="Y138" s="352">
        <v>1</v>
      </c>
      <c r="Z138" s="355"/>
      <c r="AA138" s="352">
        <v>5</v>
      </c>
      <c r="AB138" s="355">
        <v>3</v>
      </c>
      <c r="AC138" s="352">
        <v>5</v>
      </c>
      <c r="AD138" s="355">
        <v>96</v>
      </c>
      <c r="AE138" s="353">
        <v>8</v>
      </c>
    </row>
    <row r="139" spans="1:31">
      <c r="A139" s="222" t="s">
        <v>26</v>
      </c>
      <c r="B139" s="97"/>
      <c r="C139" s="10"/>
      <c r="D139" s="355"/>
      <c r="E139" s="352"/>
      <c r="F139" s="355"/>
      <c r="G139" s="352"/>
      <c r="H139" s="355"/>
      <c r="I139" s="352"/>
      <c r="J139" s="355"/>
      <c r="K139" s="352"/>
      <c r="L139" s="355"/>
      <c r="M139" s="352"/>
      <c r="N139" s="355"/>
      <c r="O139" s="352"/>
      <c r="P139" s="355"/>
      <c r="Q139" s="352"/>
      <c r="R139" s="355"/>
      <c r="S139" s="352"/>
      <c r="T139" s="355"/>
      <c r="U139" s="352"/>
      <c r="V139" s="355"/>
      <c r="W139" s="352"/>
      <c r="X139" s="355"/>
      <c r="Y139" s="352"/>
      <c r="Z139" s="355"/>
      <c r="AA139" s="352"/>
      <c r="AB139" s="355"/>
      <c r="AC139" s="352"/>
      <c r="AD139" s="355"/>
      <c r="AE139" s="353"/>
    </row>
    <row r="140" spans="1:31">
      <c r="A140" s="145">
        <v>110</v>
      </c>
      <c r="B140" s="4" t="s">
        <v>195</v>
      </c>
      <c r="C140" s="17"/>
      <c r="D140" s="355"/>
      <c r="E140" s="352"/>
      <c r="F140" s="355"/>
      <c r="G140" s="352"/>
      <c r="H140" s="355"/>
      <c r="I140" s="352"/>
      <c r="J140" s="355"/>
      <c r="K140" s="352"/>
      <c r="L140" s="355"/>
      <c r="M140" s="352"/>
      <c r="N140" s="355"/>
      <c r="O140" s="352"/>
      <c r="P140" s="355"/>
      <c r="Q140" s="352"/>
      <c r="R140" s="355"/>
      <c r="S140" s="352"/>
      <c r="T140" s="355"/>
      <c r="U140" s="352"/>
      <c r="V140" s="355"/>
      <c r="W140" s="352"/>
      <c r="X140" s="355"/>
      <c r="Y140" s="352"/>
      <c r="Z140" s="355"/>
      <c r="AA140" s="352"/>
      <c r="AB140" s="355"/>
      <c r="AC140" s="352"/>
      <c r="AD140" s="355"/>
      <c r="AE140" s="353"/>
    </row>
    <row r="141" spans="1:31">
      <c r="A141" s="145">
        <v>111</v>
      </c>
      <c r="B141" s="4" t="s">
        <v>196</v>
      </c>
      <c r="C141" s="10"/>
      <c r="D141" s="355"/>
      <c r="E141" s="352"/>
      <c r="F141" s="355"/>
      <c r="G141" s="352"/>
      <c r="H141" s="355"/>
      <c r="I141" s="352"/>
      <c r="J141" s="355"/>
      <c r="K141" s="352"/>
      <c r="L141" s="355"/>
      <c r="M141" s="352"/>
      <c r="N141" s="355"/>
      <c r="O141" s="352"/>
      <c r="P141" s="355"/>
      <c r="Q141" s="352"/>
      <c r="R141" s="355"/>
      <c r="S141" s="352"/>
      <c r="T141" s="355"/>
      <c r="U141" s="352"/>
      <c r="V141" s="355"/>
      <c r="W141" s="352"/>
      <c r="X141" s="355"/>
      <c r="Y141" s="352"/>
      <c r="Z141" s="355"/>
      <c r="AA141" s="352"/>
      <c r="AB141" s="355"/>
      <c r="AC141" s="352"/>
      <c r="AD141" s="355"/>
      <c r="AE141" s="353"/>
    </row>
    <row r="142" spans="1:31" ht="15">
      <c r="A142" s="145">
        <v>112</v>
      </c>
      <c r="B142" s="4" t="s">
        <v>197</v>
      </c>
      <c r="C142" s="248"/>
      <c r="D142" s="357">
        <v>26</v>
      </c>
      <c r="E142" s="354">
        <v>16</v>
      </c>
      <c r="F142" s="357">
        <v>390</v>
      </c>
      <c r="G142" s="354">
        <v>21</v>
      </c>
      <c r="H142" s="357">
        <v>6</v>
      </c>
      <c r="I142" s="354">
        <v>6</v>
      </c>
      <c r="J142" s="357">
        <v>7</v>
      </c>
      <c r="K142" s="354">
        <v>3</v>
      </c>
      <c r="L142" s="357">
        <v>126</v>
      </c>
      <c r="M142" s="354">
        <v>59</v>
      </c>
      <c r="N142" s="357">
        <v>1</v>
      </c>
      <c r="O142" s="354">
        <v>12</v>
      </c>
      <c r="P142" s="357">
        <v>23</v>
      </c>
      <c r="Q142" s="354">
        <v>25</v>
      </c>
      <c r="R142" s="357">
        <v>12</v>
      </c>
      <c r="S142" s="354">
        <v>3</v>
      </c>
      <c r="T142" s="357">
        <v>17</v>
      </c>
      <c r="U142" s="354">
        <v>6</v>
      </c>
      <c r="V142" s="357"/>
      <c r="W142" s="354"/>
      <c r="X142" s="357"/>
      <c r="Y142" s="354"/>
      <c r="Z142" s="357"/>
      <c r="AA142" s="354">
        <v>2</v>
      </c>
      <c r="AB142" s="357"/>
      <c r="AC142" s="354">
        <v>11</v>
      </c>
      <c r="AD142" s="357">
        <v>18</v>
      </c>
      <c r="AE142" s="353"/>
    </row>
    <row r="143" spans="1:31">
      <c r="A143" s="145">
        <v>113</v>
      </c>
      <c r="B143" s="4" t="s">
        <v>198</v>
      </c>
      <c r="C143" s="17"/>
      <c r="D143" s="355"/>
      <c r="E143" s="352"/>
      <c r="F143" s="355"/>
      <c r="G143" s="352"/>
      <c r="H143" s="355"/>
      <c r="I143" s="352"/>
      <c r="J143" s="355"/>
      <c r="K143" s="352"/>
      <c r="L143" s="355"/>
      <c r="M143" s="352"/>
      <c r="N143" s="355"/>
      <c r="O143" s="352"/>
      <c r="P143" s="355"/>
      <c r="Q143" s="352"/>
      <c r="R143" s="355"/>
      <c r="S143" s="352"/>
      <c r="T143" s="355"/>
      <c r="U143" s="352"/>
      <c r="V143" s="355"/>
      <c r="W143" s="352"/>
      <c r="X143" s="355"/>
      <c r="Y143" s="352"/>
      <c r="Z143" s="355"/>
      <c r="AA143" s="352"/>
      <c r="AB143" s="355"/>
      <c r="AC143" s="352"/>
      <c r="AD143" s="355"/>
      <c r="AE143" s="353"/>
    </row>
    <row r="144" spans="1:31">
      <c r="A144" s="145">
        <v>114</v>
      </c>
      <c r="B144" s="4" t="s">
        <v>199</v>
      </c>
      <c r="C144" s="10"/>
      <c r="D144" s="355">
        <v>206</v>
      </c>
      <c r="E144" s="352">
        <v>11</v>
      </c>
      <c r="F144" s="355">
        <v>770</v>
      </c>
      <c r="G144" s="352">
        <v>135</v>
      </c>
      <c r="H144" s="355">
        <v>34</v>
      </c>
      <c r="I144" s="352">
        <v>4</v>
      </c>
      <c r="J144" s="355">
        <v>2</v>
      </c>
      <c r="K144" s="352">
        <v>2</v>
      </c>
      <c r="L144" s="355">
        <v>450</v>
      </c>
      <c r="M144" s="352">
        <v>100</v>
      </c>
      <c r="N144" s="355">
        <v>16</v>
      </c>
      <c r="O144" s="352">
        <v>5</v>
      </c>
      <c r="P144" s="355">
        <v>440</v>
      </c>
      <c r="Q144" s="352">
        <v>266</v>
      </c>
      <c r="R144" s="355">
        <v>11</v>
      </c>
      <c r="S144" s="352">
        <v>17</v>
      </c>
      <c r="T144" s="355">
        <v>202</v>
      </c>
      <c r="U144" s="352">
        <v>57</v>
      </c>
      <c r="V144" s="355">
        <v>3</v>
      </c>
      <c r="W144" s="352"/>
      <c r="X144" s="355"/>
      <c r="Y144" s="352"/>
      <c r="Z144" s="355"/>
      <c r="AA144" s="352"/>
      <c r="AB144" s="355"/>
      <c r="AC144" s="352">
        <v>1</v>
      </c>
      <c r="AD144" s="355">
        <v>99</v>
      </c>
      <c r="AE144" s="353"/>
    </row>
    <row r="145" spans="1:31">
      <c r="A145" s="145">
        <v>115</v>
      </c>
      <c r="B145" s="4" t="s">
        <v>305</v>
      </c>
      <c r="C145" s="10"/>
      <c r="D145" s="355">
        <v>6</v>
      </c>
      <c r="E145" s="352">
        <v>6</v>
      </c>
      <c r="F145" s="355">
        <v>51</v>
      </c>
      <c r="G145" s="352">
        <v>22</v>
      </c>
      <c r="H145" s="355">
        <v>6</v>
      </c>
      <c r="I145" s="352">
        <v>40</v>
      </c>
      <c r="J145" s="355"/>
      <c r="K145" s="352"/>
      <c r="L145" s="355">
        <v>8</v>
      </c>
      <c r="M145" s="352">
        <v>4</v>
      </c>
      <c r="N145" s="355"/>
      <c r="O145" s="352"/>
      <c r="P145" s="355">
        <v>1162</v>
      </c>
      <c r="Q145" s="352">
        <v>499</v>
      </c>
      <c r="R145" s="355">
        <v>281</v>
      </c>
      <c r="S145" s="352">
        <v>23</v>
      </c>
      <c r="T145" s="355">
        <v>261</v>
      </c>
      <c r="U145" s="352">
        <v>55</v>
      </c>
      <c r="V145" s="355">
        <v>12</v>
      </c>
      <c r="W145" s="352">
        <v>200</v>
      </c>
      <c r="X145" s="355">
        <v>1200</v>
      </c>
      <c r="Y145" s="352"/>
      <c r="Z145" s="355"/>
      <c r="AA145" s="352"/>
      <c r="AB145" s="355">
        <v>4</v>
      </c>
      <c r="AC145" s="352"/>
      <c r="AD145" s="355"/>
      <c r="AE145" s="353"/>
    </row>
    <row r="146" spans="1:31">
      <c r="A146" s="145">
        <v>116</v>
      </c>
      <c r="B146" s="4" t="s">
        <v>200</v>
      </c>
      <c r="C146" s="10"/>
      <c r="D146" s="355">
        <v>96</v>
      </c>
      <c r="E146" s="352">
        <v>59</v>
      </c>
      <c r="F146" s="355">
        <v>981</v>
      </c>
      <c r="G146" s="352">
        <v>156</v>
      </c>
      <c r="H146" s="355">
        <v>83</v>
      </c>
      <c r="I146" s="352">
        <v>74</v>
      </c>
      <c r="J146" s="355">
        <v>38</v>
      </c>
      <c r="K146" s="352">
        <v>15</v>
      </c>
      <c r="L146" s="355">
        <v>203</v>
      </c>
      <c r="M146" s="352">
        <v>129</v>
      </c>
      <c r="N146" s="355">
        <v>39</v>
      </c>
      <c r="O146" s="352">
        <v>114</v>
      </c>
      <c r="P146" s="355">
        <v>72</v>
      </c>
      <c r="Q146" s="352">
        <v>75</v>
      </c>
      <c r="R146" s="355">
        <v>8</v>
      </c>
      <c r="S146" s="352">
        <v>6</v>
      </c>
      <c r="T146" s="355">
        <v>32</v>
      </c>
      <c r="U146" s="352">
        <v>32</v>
      </c>
      <c r="V146" s="355"/>
      <c r="W146" s="352"/>
      <c r="X146" s="355"/>
      <c r="Y146" s="352"/>
      <c r="Z146" s="355">
        <v>2</v>
      </c>
      <c r="AA146" s="352">
        <v>14</v>
      </c>
      <c r="AB146" s="355">
        <v>10</v>
      </c>
      <c r="AC146" s="352">
        <v>15</v>
      </c>
      <c r="AD146" s="355">
        <v>101</v>
      </c>
      <c r="AE146" s="353">
        <v>5</v>
      </c>
    </row>
    <row r="147" spans="1:31">
      <c r="A147" s="215"/>
      <c r="B147" s="203"/>
      <c r="C147" s="12"/>
      <c r="D147" s="363"/>
      <c r="E147" s="364"/>
      <c r="F147" s="363"/>
      <c r="G147" s="364"/>
      <c r="H147" s="363"/>
      <c r="I147" s="364"/>
      <c r="J147" s="363"/>
      <c r="K147" s="364"/>
      <c r="L147" s="363"/>
      <c r="M147" s="364"/>
      <c r="N147" s="363"/>
      <c r="O147" s="364"/>
      <c r="P147" s="363"/>
      <c r="Q147" s="364"/>
      <c r="R147" s="363"/>
      <c r="S147" s="364"/>
      <c r="T147" s="363"/>
      <c r="U147" s="364"/>
      <c r="V147" s="363"/>
      <c r="W147" s="364"/>
      <c r="X147" s="363"/>
      <c r="Y147" s="364"/>
      <c r="Z147" s="363"/>
      <c r="AA147" s="364"/>
      <c r="AB147" s="363"/>
      <c r="AC147" s="364"/>
      <c r="AD147" s="363"/>
      <c r="AE147" s="365"/>
    </row>
    <row r="148" spans="1:31" ht="15">
      <c r="A148" s="145" t="s">
        <v>294</v>
      </c>
      <c r="B148" s="4"/>
      <c r="C148" s="248"/>
      <c r="D148" s="359">
        <f>SUM(D115:D146)</f>
        <v>15977</v>
      </c>
      <c r="E148" s="358">
        <f t="shared" ref="E148:AE148" si="4">SUM(E115:E146)</f>
        <v>4794</v>
      </c>
      <c r="F148" s="359">
        <f t="shared" si="4"/>
        <v>186059</v>
      </c>
      <c r="G148" s="358">
        <f t="shared" si="4"/>
        <v>20557</v>
      </c>
      <c r="H148" s="359">
        <f t="shared" si="4"/>
        <v>8971</v>
      </c>
      <c r="I148" s="358">
        <f t="shared" si="4"/>
        <v>2453</v>
      </c>
      <c r="J148" s="359">
        <f t="shared" si="4"/>
        <v>2446</v>
      </c>
      <c r="K148" s="358">
        <f t="shared" si="4"/>
        <v>538</v>
      </c>
      <c r="L148" s="359">
        <f t="shared" si="4"/>
        <v>23609</v>
      </c>
      <c r="M148" s="358">
        <f t="shared" si="4"/>
        <v>5764</v>
      </c>
      <c r="N148" s="359">
        <f t="shared" si="4"/>
        <v>4844</v>
      </c>
      <c r="O148" s="358">
        <f t="shared" si="4"/>
        <v>3305</v>
      </c>
      <c r="P148" s="359">
        <f t="shared" si="4"/>
        <v>6330</v>
      </c>
      <c r="Q148" s="358">
        <f t="shared" si="4"/>
        <v>3815</v>
      </c>
      <c r="R148" s="359">
        <f t="shared" si="4"/>
        <v>805</v>
      </c>
      <c r="S148" s="358">
        <f t="shared" si="4"/>
        <v>442</v>
      </c>
      <c r="T148" s="359">
        <f t="shared" si="4"/>
        <v>2132</v>
      </c>
      <c r="U148" s="358">
        <f t="shared" si="4"/>
        <v>623</v>
      </c>
      <c r="V148" s="359">
        <f t="shared" si="4"/>
        <v>123</v>
      </c>
      <c r="W148" s="358">
        <f t="shared" si="4"/>
        <v>260</v>
      </c>
      <c r="X148" s="359">
        <f t="shared" si="4"/>
        <v>1244</v>
      </c>
      <c r="Y148" s="358">
        <f t="shared" si="4"/>
        <v>30</v>
      </c>
      <c r="Z148" s="359">
        <f t="shared" si="4"/>
        <v>251</v>
      </c>
      <c r="AA148" s="358">
        <f t="shared" si="4"/>
        <v>186</v>
      </c>
      <c r="AB148" s="359">
        <f t="shared" si="4"/>
        <v>1579</v>
      </c>
      <c r="AC148" s="358">
        <f t="shared" si="4"/>
        <v>617</v>
      </c>
      <c r="AD148" s="359">
        <f t="shared" si="4"/>
        <v>2932</v>
      </c>
      <c r="AE148" s="377">
        <f t="shared" si="4"/>
        <v>283</v>
      </c>
    </row>
    <row r="149" spans="1:31" ht="15" thickBot="1">
      <c r="A149" s="217"/>
      <c r="B149" s="104"/>
      <c r="C149" s="257"/>
      <c r="D149" s="366"/>
      <c r="E149" s="367"/>
      <c r="F149" s="366"/>
      <c r="G149" s="367"/>
      <c r="H149" s="366"/>
      <c r="I149" s="367"/>
      <c r="J149" s="366"/>
      <c r="K149" s="367"/>
      <c r="L149" s="366"/>
      <c r="M149" s="367"/>
      <c r="N149" s="366"/>
      <c r="O149" s="367"/>
      <c r="P149" s="366"/>
      <c r="Q149" s="367"/>
      <c r="R149" s="366"/>
      <c r="S149" s="367"/>
      <c r="T149" s="366"/>
      <c r="U149" s="367"/>
      <c r="V149" s="366"/>
      <c r="W149" s="367"/>
      <c r="X149" s="366"/>
      <c r="Y149" s="367"/>
      <c r="Z149" s="366"/>
      <c r="AA149" s="367"/>
      <c r="AB149" s="366"/>
      <c r="AC149" s="367"/>
      <c r="AD149" s="366"/>
      <c r="AE149" s="368"/>
    </row>
    <row r="150" spans="1:31" ht="15" thickTop="1">
      <c r="A150" s="145"/>
      <c r="B150" s="4"/>
      <c r="C150" s="10"/>
      <c r="D150" s="355"/>
      <c r="E150" s="352"/>
      <c r="F150" s="355"/>
      <c r="G150" s="352"/>
      <c r="H150" s="355"/>
      <c r="I150" s="352"/>
      <c r="J150" s="355"/>
      <c r="K150" s="352"/>
      <c r="L150" s="355"/>
      <c r="M150" s="352"/>
      <c r="N150" s="355"/>
      <c r="O150" s="352"/>
      <c r="P150" s="355"/>
      <c r="Q150" s="352"/>
      <c r="R150" s="355"/>
      <c r="S150" s="352"/>
      <c r="T150" s="355"/>
      <c r="U150" s="352"/>
      <c r="V150" s="355"/>
      <c r="W150" s="352"/>
      <c r="X150" s="355"/>
      <c r="Y150" s="352"/>
      <c r="Z150" s="355"/>
      <c r="AA150" s="352"/>
      <c r="AB150" s="355"/>
      <c r="AC150" s="352"/>
      <c r="AD150" s="355"/>
      <c r="AE150" s="353"/>
    </row>
    <row r="151" spans="1:31">
      <c r="A151" s="218">
        <v>117</v>
      </c>
      <c r="B151" s="111" t="s">
        <v>201</v>
      </c>
      <c r="C151" s="10"/>
      <c r="D151" s="355"/>
      <c r="E151" s="352"/>
      <c r="F151" s="355"/>
      <c r="G151" s="352"/>
      <c r="H151" s="355"/>
      <c r="I151" s="352"/>
      <c r="J151" s="355"/>
      <c r="K151" s="352"/>
      <c r="L151" s="355"/>
      <c r="M151" s="352"/>
      <c r="N151" s="355"/>
      <c r="O151" s="352"/>
      <c r="P151" s="355"/>
      <c r="Q151" s="352"/>
      <c r="R151" s="355"/>
      <c r="S151" s="352"/>
      <c r="T151" s="355"/>
      <c r="U151" s="352"/>
      <c r="V151" s="355"/>
      <c r="W151" s="352"/>
      <c r="X151" s="355"/>
      <c r="Y151" s="352"/>
      <c r="Z151" s="355"/>
      <c r="AA151" s="352"/>
      <c r="AB151" s="355"/>
      <c r="AC151" s="352"/>
      <c r="AD151" s="355"/>
      <c r="AE151" s="353"/>
    </row>
    <row r="152" spans="1:31" ht="15" thickBot="1">
      <c r="A152" s="225"/>
      <c r="B152" s="234"/>
      <c r="C152" s="10"/>
      <c r="D152" s="355"/>
      <c r="E152" s="352"/>
      <c r="F152" s="355"/>
      <c r="G152" s="352"/>
      <c r="H152" s="355"/>
      <c r="I152" s="352"/>
      <c r="J152" s="355"/>
      <c r="K152" s="352"/>
      <c r="L152" s="355"/>
      <c r="M152" s="352"/>
      <c r="N152" s="355"/>
      <c r="O152" s="352"/>
      <c r="P152" s="355"/>
      <c r="Q152" s="352"/>
      <c r="R152" s="355"/>
      <c r="S152" s="352"/>
      <c r="T152" s="355"/>
      <c r="U152" s="352"/>
      <c r="V152" s="355"/>
      <c r="W152" s="352"/>
      <c r="X152" s="355"/>
      <c r="Y152" s="352"/>
      <c r="Z152" s="355"/>
      <c r="AA152" s="352"/>
      <c r="AB152" s="355"/>
      <c r="AC152" s="352"/>
      <c r="AD152" s="355"/>
      <c r="AE152" s="353"/>
    </row>
    <row r="153" spans="1:31" ht="15" thickTop="1">
      <c r="A153" s="218"/>
      <c r="B153" s="111"/>
      <c r="C153" s="9"/>
      <c r="D153" s="369"/>
      <c r="E153" s="370"/>
      <c r="F153" s="369"/>
      <c r="G153" s="370"/>
      <c r="H153" s="369"/>
      <c r="I153" s="370"/>
      <c r="J153" s="369"/>
      <c r="K153" s="370"/>
      <c r="L153" s="369"/>
      <c r="M153" s="370"/>
      <c r="N153" s="369"/>
      <c r="O153" s="370"/>
      <c r="P153" s="369"/>
      <c r="Q153" s="370"/>
      <c r="R153" s="369"/>
      <c r="S153" s="370"/>
      <c r="T153" s="369"/>
      <c r="U153" s="370"/>
      <c r="V153" s="369"/>
      <c r="W153" s="370"/>
      <c r="X153" s="369"/>
      <c r="Y153" s="370"/>
      <c r="Z153" s="369"/>
      <c r="AA153" s="370"/>
      <c r="AB153" s="369"/>
      <c r="AC153" s="370"/>
      <c r="AD153" s="369"/>
      <c r="AE153" s="371"/>
    </row>
    <row r="154" spans="1:31" ht="15">
      <c r="A154" s="218" t="s">
        <v>86</v>
      </c>
      <c r="B154" s="111"/>
      <c r="C154" s="248"/>
      <c r="D154" s="359">
        <f>D151+D148+D111+D102</f>
        <v>306975</v>
      </c>
      <c r="E154" s="358">
        <f t="shared" ref="E154:AE154" si="5">E151+E148+E111+E102</f>
        <v>73231</v>
      </c>
      <c r="F154" s="359">
        <f t="shared" si="5"/>
        <v>1156387</v>
      </c>
      <c r="G154" s="358">
        <f t="shared" si="5"/>
        <v>261639</v>
      </c>
      <c r="H154" s="359">
        <f t="shared" si="5"/>
        <v>283119</v>
      </c>
      <c r="I154" s="358">
        <f t="shared" si="5"/>
        <v>93265</v>
      </c>
      <c r="J154" s="359">
        <f t="shared" si="5"/>
        <v>25908</v>
      </c>
      <c r="K154" s="358">
        <f t="shared" si="5"/>
        <v>15877</v>
      </c>
      <c r="L154" s="359">
        <f t="shared" si="5"/>
        <v>464250</v>
      </c>
      <c r="M154" s="358">
        <f t="shared" si="5"/>
        <v>239365</v>
      </c>
      <c r="N154" s="359">
        <f t="shared" si="5"/>
        <v>239997</v>
      </c>
      <c r="O154" s="358">
        <f t="shared" si="5"/>
        <v>149632</v>
      </c>
      <c r="P154" s="359">
        <f t="shared" si="5"/>
        <v>281133</v>
      </c>
      <c r="Q154" s="358">
        <f t="shared" si="5"/>
        <v>187882</v>
      </c>
      <c r="R154" s="359">
        <f t="shared" si="5"/>
        <v>45845</v>
      </c>
      <c r="S154" s="358">
        <f t="shared" si="5"/>
        <v>34878</v>
      </c>
      <c r="T154" s="359">
        <f t="shared" si="5"/>
        <v>42463</v>
      </c>
      <c r="U154" s="358">
        <f t="shared" si="5"/>
        <v>19249</v>
      </c>
      <c r="V154" s="359">
        <f t="shared" si="5"/>
        <v>42796</v>
      </c>
      <c r="W154" s="358">
        <f t="shared" si="5"/>
        <v>1601</v>
      </c>
      <c r="X154" s="359">
        <f t="shared" si="5"/>
        <v>2663</v>
      </c>
      <c r="Y154" s="358">
        <f t="shared" si="5"/>
        <v>687</v>
      </c>
      <c r="Z154" s="359">
        <f t="shared" si="5"/>
        <v>16478</v>
      </c>
      <c r="AA154" s="358">
        <f t="shared" si="5"/>
        <v>8239</v>
      </c>
      <c r="AB154" s="359">
        <f t="shared" si="5"/>
        <v>15983</v>
      </c>
      <c r="AC154" s="358">
        <f t="shared" si="5"/>
        <v>6819</v>
      </c>
      <c r="AD154" s="359">
        <f t="shared" si="5"/>
        <v>87193</v>
      </c>
      <c r="AE154" s="377">
        <f t="shared" si="5"/>
        <v>15311</v>
      </c>
    </row>
    <row r="155" spans="1:31" ht="15" thickBot="1">
      <c r="A155" s="225"/>
      <c r="B155" s="234"/>
      <c r="C155" s="257"/>
      <c r="D155" s="366"/>
      <c r="E155" s="367"/>
      <c r="F155" s="366"/>
      <c r="G155" s="367"/>
      <c r="H155" s="366"/>
      <c r="I155" s="367"/>
      <c r="J155" s="366"/>
      <c r="K155" s="367"/>
      <c r="L155" s="366"/>
      <c r="M155" s="367"/>
      <c r="N155" s="366"/>
      <c r="O155" s="367"/>
      <c r="P155" s="366"/>
      <c r="Q155" s="367"/>
      <c r="R155" s="366"/>
      <c r="S155" s="367"/>
      <c r="T155" s="366"/>
      <c r="U155" s="367"/>
      <c r="V155" s="366"/>
      <c r="W155" s="367"/>
      <c r="X155" s="366"/>
      <c r="Y155" s="367"/>
      <c r="Z155" s="366"/>
      <c r="AA155" s="367"/>
      <c r="AB155" s="366"/>
      <c r="AC155" s="367"/>
      <c r="AD155" s="366"/>
      <c r="AE155" s="368"/>
    </row>
    <row r="156" spans="1:31" ht="17" thickTop="1" thickBot="1">
      <c r="A156" s="226" t="s">
        <v>27</v>
      </c>
      <c r="B156" s="94"/>
      <c r="C156" s="10"/>
      <c r="D156" s="355"/>
      <c r="E156" s="352"/>
      <c r="F156" s="355"/>
      <c r="G156" s="352"/>
      <c r="H156" s="355"/>
      <c r="I156" s="352"/>
      <c r="J156" s="355"/>
      <c r="K156" s="352"/>
      <c r="L156" s="355"/>
      <c r="M156" s="352"/>
      <c r="N156" s="355"/>
      <c r="O156" s="352"/>
      <c r="P156" s="355"/>
      <c r="Q156" s="352"/>
      <c r="R156" s="355"/>
      <c r="S156" s="352"/>
      <c r="T156" s="355"/>
      <c r="U156" s="352"/>
      <c r="V156" s="355"/>
      <c r="W156" s="352"/>
      <c r="X156" s="355"/>
      <c r="Y156" s="352"/>
      <c r="Z156" s="355"/>
      <c r="AA156" s="352"/>
      <c r="AB156" s="355"/>
      <c r="AC156" s="352"/>
      <c r="AD156" s="355"/>
      <c r="AE156" s="353"/>
    </row>
    <row r="157" spans="1:31">
      <c r="A157" s="227">
        <v>1</v>
      </c>
      <c r="B157" s="4" t="s">
        <v>203</v>
      </c>
      <c r="C157" s="309"/>
      <c r="D157" s="355">
        <v>31</v>
      </c>
      <c r="E157" s="352">
        <v>51</v>
      </c>
      <c r="F157" s="355">
        <v>746</v>
      </c>
      <c r="G157" s="352">
        <v>416</v>
      </c>
      <c r="H157" s="355">
        <v>8</v>
      </c>
      <c r="I157" s="352">
        <v>93</v>
      </c>
      <c r="J157" s="355">
        <v>23</v>
      </c>
      <c r="K157" s="352">
        <v>39</v>
      </c>
      <c r="L157" s="355">
        <v>298</v>
      </c>
      <c r="M157" s="352">
        <v>191</v>
      </c>
      <c r="N157" s="355">
        <v>47</v>
      </c>
      <c r="O157" s="352">
        <v>7</v>
      </c>
      <c r="P157" s="355">
        <v>2629</v>
      </c>
      <c r="Q157" s="352">
        <v>1267</v>
      </c>
      <c r="R157" s="355">
        <v>2122</v>
      </c>
      <c r="S157" s="352">
        <v>889</v>
      </c>
      <c r="T157" s="355">
        <v>1002</v>
      </c>
      <c r="U157" s="352">
        <v>263</v>
      </c>
      <c r="V157" s="355">
        <v>52</v>
      </c>
      <c r="W157" s="352">
        <v>30</v>
      </c>
      <c r="X157" s="355">
        <v>16</v>
      </c>
      <c r="Y157" s="352">
        <v>24</v>
      </c>
      <c r="Z157" s="355"/>
      <c r="AA157" s="352"/>
      <c r="AB157" s="355"/>
      <c r="AC157" s="352"/>
      <c r="AD157" s="355"/>
      <c r="AE157" s="353"/>
    </row>
    <row r="158" spans="1:31">
      <c r="A158" s="145">
        <v>2</v>
      </c>
      <c r="B158" s="4" t="s">
        <v>204</v>
      </c>
      <c r="C158" s="309"/>
      <c r="D158" s="355">
        <v>213</v>
      </c>
      <c r="E158" s="352">
        <v>127</v>
      </c>
      <c r="F158" s="355">
        <v>3012</v>
      </c>
      <c r="G158" s="352">
        <v>1021</v>
      </c>
      <c r="H158" s="355">
        <v>265</v>
      </c>
      <c r="I158" s="352">
        <v>190</v>
      </c>
      <c r="J158" s="355">
        <v>178</v>
      </c>
      <c r="K158" s="352">
        <v>19</v>
      </c>
      <c r="L158" s="355">
        <v>779</v>
      </c>
      <c r="M158" s="352">
        <v>295</v>
      </c>
      <c r="N158" s="355">
        <v>95</v>
      </c>
      <c r="O158" s="352">
        <v>165</v>
      </c>
      <c r="P158" s="355">
        <v>936</v>
      </c>
      <c r="Q158" s="352">
        <v>1035</v>
      </c>
      <c r="R158" s="355">
        <v>205</v>
      </c>
      <c r="S158" s="352">
        <v>159</v>
      </c>
      <c r="T158" s="355">
        <v>684</v>
      </c>
      <c r="U158" s="352">
        <v>127</v>
      </c>
      <c r="V158" s="355">
        <v>14</v>
      </c>
      <c r="W158" s="352">
        <v>3</v>
      </c>
      <c r="X158" s="355">
        <v>8</v>
      </c>
      <c r="Y158" s="352">
        <v>2</v>
      </c>
      <c r="Z158" s="355">
        <v>21</v>
      </c>
      <c r="AA158" s="352">
        <v>45</v>
      </c>
      <c r="AB158" s="355"/>
      <c r="AC158" s="352"/>
      <c r="AD158" s="355">
        <v>92</v>
      </c>
      <c r="AE158" s="353">
        <v>20</v>
      </c>
    </row>
    <row r="159" spans="1:31">
      <c r="A159" s="145">
        <v>3</v>
      </c>
      <c r="B159" s="4" t="s">
        <v>205</v>
      </c>
      <c r="C159" s="309"/>
      <c r="D159" s="355">
        <v>1698</v>
      </c>
      <c r="E159" s="352">
        <v>200</v>
      </c>
      <c r="F159" s="355">
        <v>9065</v>
      </c>
      <c r="G159" s="352">
        <v>1201</v>
      </c>
      <c r="H159" s="355">
        <v>352</v>
      </c>
      <c r="I159" s="352">
        <v>95</v>
      </c>
      <c r="J159" s="355">
        <v>66</v>
      </c>
      <c r="K159" s="352">
        <v>20</v>
      </c>
      <c r="L159" s="355">
        <v>1626</v>
      </c>
      <c r="M159" s="352">
        <v>483</v>
      </c>
      <c r="N159" s="355">
        <v>243</v>
      </c>
      <c r="O159" s="352">
        <v>336</v>
      </c>
      <c r="P159" s="355">
        <v>224</v>
      </c>
      <c r="Q159" s="352">
        <v>108</v>
      </c>
      <c r="R159" s="355">
        <v>81</v>
      </c>
      <c r="S159" s="352">
        <v>25</v>
      </c>
      <c r="T159" s="355">
        <v>132</v>
      </c>
      <c r="U159" s="352">
        <v>38</v>
      </c>
      <c r="V159" s="355">
        <v>2</v>
      </c>
      <c r="W159" s="352">
        <v>1</v>
      </c>
      <c r="X159" s="355"/>
      <c r="Y159" s="352"/>
      <c r="Z159" s="355"/>
      <c r="AA159" s="352"/>
      <c r="AB159" s="355"/>
      <c r="AC159" s="352"/>
      <c r="AD159" s="355">
        <v>308</v>
      </c>
      <c r="AE159" s="353"/>
    </row>
    <row r="160" spans="1:31" ht="15">
      <c r="A160" s="145">
        <v>4</v>
      </c>
      <c r="B160" s="4" t="s">
        <v>206</v>
      </c>
      <c r="C160" s="310"/>
      <c r="D160" s="357">
        <v>141</v>
      </c>
      <c r="E160" s="354">
        <v>103</v>
      </c>
      <c r="F160" s="357">
        <v>502</v>
      </c>
      <c r="G160" s="354">
        <v>332</v>
      </c>
      <c r="H160" s="357">
        <v>116</v>
      </c>
      <c r="I160" s="354">
        <v>587</v>
      </c>
      <c r="J160" s="357">
        <v>8</v>
      </c>
      <c r="K160" s="354">
        <v>8</v>
      </c>
      <c r="L160" s="357">
        <v>658</v>
      </c>
      <c r="M160" s="354">
        <v>588</v>
      </c>
      <c r="N160" s="357">
        <v>12</v>
      </c>
      <c r="O160" s="354">
        <v>242</v>
      </c>
      <c r="P160" s="357">
        <v>4421</v>
      </c>
      <c r="Q160" s="354">
        <v>1422</v>
      </c>
      <c r="R160" s="357">
        <v>2867</v>
      </c>
      <c r="S160" s="354">
        <v>2651</v>
      </c>
      <c r="T160" s="357">
        <v>379</v>
      </c>
      <c r="U160" s="354">
        <v>105</v>
      </c>
      <c r="V160" s="357">
        <v>7</v>
      </c>
      <c r="W160" s="354">
        <v>1</v>
      </c>
      <c r="X160" s="357">
        <v>1</v>
      </c>
      <c r="Y160" s="354">
        <v>3</v>
      </c>
      <c r="Z160" s="357">
        <v>8</v>
      </c>
      <c r="AA160" s="354">
        <v>46</v>
      </c>
      <c r="AB160" s="357">
        <v>37</v>
      </c>
      <c r="AC160" s="354">
        <v>10</v>
      </c>
      <c r="AD160" s="357"/>
      <c r="AE160" s="353"/>
    </row>
    <row r="161" spans="1:31">
      <c r="A161" s="145">
        <v>5</v>
      </c>
      <c r="B161" s="4" t="s">
        <v>207</v>
      </c>
      <c r="C161" s="309"/>
      <c r="D161" s="355">
        <v>486</v>
      </c>
      <c r="E161" s="352">
        <v>1967</v>
      </c>
      <c r="F161" s="355">
        <v>857</v>
      </c>
      <c r="G161" s="352">
        <v>4278</v>
      </c>
      <c r="H161" s="355">
        <v>2257</v>
      </c>
      <c r="I161" s="352">
        <v>4338</v>
      </c>
      <c r="J161" s="355">
        <v>273</v>
      </c>
      <c r="K161" s="352">
        <v>899</v>
      </c>
      <c r="L161" s="355">
        <v>1765</v>
      </c>
      <c r="M161" s="352">
        <v>15939</v>
      </c>
      <c r="N161" s="355">
        <v>741</v>
      </c>
      <c r="O161" s="352">
        <v>243</v>
      </c>
      <c r="P161" s="355">
        <v>7870</v>
      </c>
      <c r="Q161" s="352">
        <v>7117</v>
      </c>
      <c r="R161" s="355">
        <v>3216</v>
      </c>
      <c r="S161" s="352">
        <v>1588</v>
      </c>
      <c r="T161" s="355">
        <v>1098</v>
      </c>
      <c r="U161" s="352">
        <v>567</v>
      </c>
      <c r="V161" s="355">
        <v>74</v>
      </c>
      <c r="W161" s="352">
        <v>155</v>
      </c>
      <c r="X161" s="355">
        <v>4</v>
      </c>
      <c r="Y161" s="352">
        <v>102</v>
      </c>
      <c r="Z161" s="355"/>
      <c r="AA161" s="352">
        <v>1</v>
      </c>
      <c r="AB161" s="355">
        <v>12</v>
      </c>
      <c r="AC161" s="352">
        <v>7</v>
      </c>
      <c r="AD161" s="355">
        <v>43</v>
      </c>
      <c r="AE161" s="353">
        <v>1753</v>
      </c>
    </row>
    <row r="162" spans="1:31">
      <c r="A162" s="145">
        <v>6</v>
      </c>
      <c r="B162" s="4" t="s">
        <v>208</v>
      </c>
      <c r="C162" s="309"/>
      <c r="D162" s="355">
        <v>3411</v>
      </c>
      <c r="E162" s="352">
        <v>883</v>
      </c>
      <c r="F162" s="355">
        <v>17133</v>
      </c>
      <c r="G162" s="352">
        <v>4551</v>
      </c>
      <c r="H162" s="355">
        <v>2705</v>
      </c>
      <c r="I162" s="352">
        <v>1039</v>
      </c>
      <c r="J162" s="355">
        <v>416</v>
      </c>
      <c r="K162" s="352">
        <v>229</v>
      </c>
      <c r="L162" s="355">
        <v>4875</v>
      </c>
      <c r="M162" s="352">
        <v>1981</v>
      </c>
      <c r="N162" s="355">
        <v>981</v>
      </c>
      <c r="O162" s="352">
        <v>1021</v>
      </c>
      <c r="P162" s="355">
        <v>1107</v>
      </c>
      <c r="Q162" s="352">
        <v>476</v>
      </c>
      <c r="R162" s="355">
        <v>249</v>
      </c>
      <c r="S162" s="352">
        <v>131</v>
      </c>
      <c r="T162" s="355">
        <v>399</v>
      </c>
      <c r="U162" s="352">
        <v>130</v>
      </c>
      <c r="V162" s="355">
        <v>32</v>
      </c>
      <c r="W162" s="352">
        <v>7</v>
      </c>
      <c r="X162" s="355">
        <v>2</v>
      </c>
      <c r="Y162" s="352"/>
      <c r="Z162" s="355">
        <v>36</v>
      </c>
      <c r="AA162" s="352">
        <v>40</v>
      </c>
      <c r="AB162" s="355">
        <v>42</v>
      </c>
      <c r="AC162" s="352">
        <v>53</v>
      </c>
      <c r="AD162" s="355">
        <v>241</v>
      </c>
      <c r="AE162" s="353">
        <v>98</v>
      </c>
    </row>
    <row r="163" spans="1:31">
      <c r="A163" s="145">
        <v>7</v>
      </c>
      <c r="B163" s="4" t="s">
        <v>209</v>
      </c>
      <c r="C163" s="309"/>
      <c r="D163" s="355">
        <v>50</v>
      </c>
      <c r="E163" s="352">
        <v>11</v>
      </c>
      <c r="F163" s="355">
        <v>19</v>
      </c>
      <c r="G163" s="352">
        <v>11</v>
      </c>
      <c r="H163" s="355"/>
      <c r="I163" s="352"/>
      <c r="J163" s="355"/>
      <c r="K163" s="352"/>
      <c r="L163" s="355">
        <v>68</v>
      </c>
      <c r="M163" s="352">
        <v>50</v>
      </c>
      <c r="N163" s="355">
        <v>175</v>
      </c>
      <c r="O163" s="352">
        <v>29</v>
      </c>
      <c r="P163" s="355">
        <v>542</v>
      </c>
      <c r="Q163" s="352">
        <v>141</v>
      </c>
      <c r="R163" s="355">
        <v>607</v>
      </c>
      <c r="S163" s="352">
        <v>33</v>
      </c>
      <c r="T163" s="355">
        <v>231</v>
      </c>
      <c r="U163" s="352">
        <v>10</v>
      </c>
      <c r="V163" s="355">
        <v>3</v>
      </c>
      <c r="W163" s="352"/>
      <c r="X163" s="355"/>
      <c r="Y163" s="352">
        <v>1</v>
      </c>
      <c r="Z163" s="355"/>
      <c r="AA163" s="352"/>
      <c r="AB163" s="355"/>
      <c r="AC163" s="352"/>
      <c r="AD163" s="355"/>
      <c r="AE163" s="353"/>
    </row>
    <row r="164" spans="1:31">
      <c r="A164" s="145">
        <v>8</v>
      </c>
      <c r="B164" s="4" t="s">
        <v>210</v>
      </c>
      <c r="C164" s="309"/>
      <c r="D164" s="355">
        <v>5879</v>
      </c>
      <c r="E164" s="352">
        <v>1900</v>
      </c>
      <c r="F164" s="355">
        <v>41999</v>
      </c>
      <c r="G164" s="352">
        <v>10998</v>
      </c>
      <c r="H164" s="355">
        <v>2479</v>
      </c>
      <c r="I164" s="352">
        <v>3754</v>
      </c>
      <c r="J164" s="355">
        <v>1104</v>
      </c>
      <c r="K164" s="352">
        <v>377</v>
      </c>
      <c r="L164" s="355">
        <v>12078</v>
      </c>
      <c r="M164" s="352">
        <v>4890</v>
      </c>
      <c r="N164" s="355">
        <v>6468</v>
      </c>
      <c r="O164" s="352">
        <v>3624</v>
      </c>
      <c r="P164" s="355">
        <v>839</v>
      </c>
      <c r="Q164" s="352">
        <v>306</v>
      </c>
      <c r="R164" s="355">
        <v>203</v>
      </c>
      <c r="S164" s="352">
        <v>115</v>
      </c>
      <c r="T164" s="355">
        <v>375</v>
      </c>
      <c r="U164" s="352">
        <v>118</v>
      </c>
      <c r="V164" s="355">
        <v>10</v>
      </c>
      <c r="W164" s="352"/>
      <c r="X164" s="355">
        <v>17</v>
      </c>
      <c r="Y164" s="352">
        <v>9</v>
      </c>
      <c r="Z164" s="355">
        <v>33</v>
      </c>
      <c r="AA164" s="352">
        <v>7</v>
      </c>
      <c r="AB164" s="355">
        <v>278</v>
      </c>
      <c r="AC164" s="352">
        <v>112</v>
      </c>
      <c r="AD164" s="355"/>
      <c r="AE164" s="353"/>
    </row>
    <row r="165" spans="1:31">
      <c r="A165" s="145">
        <v>9</v>
      </c>
      <c r="B165" s="4" t="s">
        <v>211</v>
      </c>
      <c r="C165" s="309"/>
      <c r="D165" s="355">
        <v>809</v>
      </c>
      <c r="E165" s="352">
        <v>601</v>
      </c>
      <c r="F165" s="355">
        <v>4178</v>
      </c>
      <c r="G165" s="352">
        <v>1019</v>
      </c>
      <c r="H165" s="355">
        <v>334</v>
      </c>
      <c r="I165" s="352">
        <v>137</v>
      </c>
      <c r="J165" s="355">
        <v>72</v>
      </c>
      <c r="K165" s="352">
        <v>5</v>
      </c>
      <c r="L165" s="355">
        <v>731</v>
      </c>
      <c r="M165" s="352">
        <v>344</v>
      </c>
      <c r="N165" s="355">
        <v>159</v>
      </c>
      <c r="O165" s="352">
        <v>157</v>
      </c>
      <c r="P165" s="355">
        <v>737</v>
      </c>
      <c r="Q165" s="352">
        <v>48</v>
      </c>
      <c r="R165" s="355">
        <v>130</v>
      </c>
      <c r="S165" s="352">
        <v>72</v>
      </c>
      <c r="T165" s="355">
        <v>236</v>
      </c>
      <c r="U165" s="352">
        <v>38</v>
      </c>
      <c r="V165" s="355">
        <v>6</v>
      </c>
      <c r="W165" s="352">
        <v>7</v>
      </c>
      <c r="X165" s="355">
        <v>42</v>
      </c>
      <c r="Y165" s="352">
        <v>12</v>
      </c>
      <c r="Z165" s="355">
        <v>20</v>
      </c>
      <c r="AA165" s="352"/>
      <c r="AB165" s="355">
        <v>167</v>
      </c>
      <c r="AC165" s="352">
        <v>20</v>
      </c>
      <c r="AD165" s="355"/>
      <c r="AE165" s="353"/>
    </row>
    <row r="166" spans="1:31">
      <c r="A166" s="145">
        <v>10</v>
      </c>
      <c r="B166" s="4" t="s">
        <v>212</v>
      </c>
      <c r="C166" s="309"/>
      <c r="D166" s="355">
        <v>709</v>
      </c>
      <c r="E166" s="354">
        <v>345</v>
      </c>
      <c r="F166" s="355">
        <v>6318</v>
      </c>
      <c r="G166" s="354">
        <v>415</v>
      </c>
      <c r="H166" s="355">
        <v>718</v>
      </c>
      <c r="I166" s="354">
        <v>215</v>
      </c>
      <c r="J166" s="355">
        <v>171</v>
      </c>
      <c r="K166" s="354">
        <v>141</v>
      </c>
      <c r="L166" s="355">
        <v>1153</v>
      </c>
      <c r="M166" s="354">
        <v>529</v>
      </c>
      <c r="N166" s="355">
        <v>394</v>
      </c>
      <c r="O166" s="354">
        <v>196</v>
      </c>
      <c r="P166" s="355">
        <v>132</v>
      </c>
      <c r="Q166" s="354">
        <v>73</v>
      </c>
      <c r="R166" s="355">
        <v>206</v>
      </c>
      <c r="S166" s="354">
        <v>10</v>
      </c>
      <c r="T166" s="355">
        <v>114</v>
      </c>
      <c r="U166" s="354">
        <v>26</v>
      </c>
      <c r="V166" s="355"/>
      <c r="W166" s="354"/>
      <c r="X166" s="355">
        <v>6</v>
      </c>
      <c r="Y166" s="354"/>
      <c r="Z166" s="355">
        <v>35</v>
      </c>
      <c r="AA166" s="354">
        <v>56</v>
      </c>
      <c r="AB166" s="355">
        <v>5</v>
      </c>
      <c r="AC166" s="354"/>
      <c r="AD166" s="355">
        <v>40</v>
      </c>
      <c r="AE166" s="353">
        <v>9</v>
      </c>
    </row>
    <row r="167" spans="1:31" ht="15">
      <c r="A167" s="145">
        <v>11</v>
      </c>
      <c r="B167" s="4" t="s">
        <v>213</v>
      </c>
      <c r="C167" s="310"/>
      <c r="D167" s="357">
        <v>26</v>
      </c>
      <c r="E167" s="354">
        <v>10</v>
      </c>
      <c r="F167" s="357">
        <v>93</v>
      </c>
      <c r="G167" s="354">
        <v>120</v>
      </c>
      <c r="H167" s="357">
        <v>11</v>
      </c>
      <c r="I167" s="354">
        <v>19</v>
      </c>
      <c r="J167" s="357"/>
      <c r="K167" s="354">
        <v>10</v>
      </c>
      <c r="L167" s="357">
        <v>19</v>
      </c>
      <c r="M167" s="354">
        <v>10</v>
      </c>
      <c r="N167" s="357"/>
      <c r="O167" s="354">
        <v>16</v>
      </c>
      <c r="P167" s="357">
        <v>28</v>
      </c>
      <c r="Q167" s="354">
        <v>24</v>
      </c>
      <c r="R167" s="357">
        <v>16</v>
      </c>
      <c r="S167" s="354">
        <v>23</v>
      </c>
      <c r="T167" s="357">
        <v>6</v>
      </c>
      <c r="U167" s="354">
        <v>9</v>
      </c>
      <c r="V167" s="357"/>
      <c r="W167" s="354"/>
      <c r="X167" s="357"/>
      <c r="Y167" s="354"/>
      <c r="Z167" s="357"/>
      <c r="AA167" s="354"/>
      <c r="AB167" s="357"/>
      <c r="AC167" s="354">
        <v>8</v>
      </c>
      <c r="AD167" s="357"/>
      <c r="AE167" s="353"/>
    </row>
    <row r="168" spans="1:31">
      <c r="A168" s="145">
        <v>12</v>
      </c>
      <c r="B168" s="4" t="s">
        <v>214</v>
      </c>
      <c r="C168" s="309"/>
      <c r="D168" s="355">
        <v>2</v>
      </c>
      <c r="E168" s="352">
        <v>1</v>
      </c>
      <c r="F168" s="355">
        <v>313</v>
      </c>
      <c r="G168" s="352">
        <v>110</v>
      </c>
      <c r="H168" s="355"/>
      <c r="I168" s="352">
        <v>2</v>
      </c>
      <c r="J168" s="355"/>
      <c r="K168" s="352"/>
      <c r="L168" s="355">
        <v>100</v>
      </c>
      <c r="M168" s="352">
        <v>50</v>
      </c>
      <c r="N168" s="355">
        <v>177</v>
      </c>
      <c r="O168" s="352">
        <v>377</v>
      </c>
      <c r="P168" s="355">
        <v>9767</v>
      </c>
      <c r="Q168" s="352">
        <v>7909</v>
      </c>
      <c r="R168" s="355">
        <v>39333</v>
      </c>
      <c r="S168" s="352">
        <v>48320</v>
      </c>
      <c r="T168" s="355">
        <v>3347</v>
      </c>
      <c r="U168" s="352">
        <v>1457</v>
      </c>
      <c r="V168" s="355">
        <v>136</v>
      </c>
      <c r="W168" s="352">
        <v>36</v>
      </c>
      <c r="X168" s="355">
        <v>49</v>
      </c>
      <c r="Y168" s="352">
        <v>44</v>
      </c>
      <c r="Z168" s="355"/>
      <c r="AA168" s="352"/>
      <c r="AB168" s="355"/>
      <c r="AC168" s="352"/>
      <c r="AD168" s="355"/>
      <c r="AE168" s="353"/>
    </row>
    <row r="169" spans="1:31">
      <c r="A169" s="145">
        <v>13</v>
      </c>
      <c r="B169" s="4" t="s">
        <v>215</v>
      </c>
      <c r="C169" s="309"/>
      <c r="D169" s="355">
        <v>892</v>
      </c>
      <c r="E169" s="352">
        <v>360</v>
      </c>
      <c r="F169" s="355">
        <v>9312</v>
      </c>
      <c r="G169" s="352">
        <v>2430</v>
      </c>
      <c r="H169" s="355">
        <v>2860</v>
      </c>
      <c r="I169" s="352">
        <v>713</v>
      </c>
      <c r="J169" s="355">
        <v>434</v>
      </c>
      <c r="K169" s="352">
        <v>116</v>
      </c>
      <c r="L169" s="355">
        <v>2962</v>
      </c>
      <c r="M169" s="352">
        <v>1420</v>
      </c>
      <c r="N169" s="355">
        <v>1568</v>
      </c>
      <c r="O169" s="352">
        <v>1437</v>
      </c>
      <c r="P169" s="355">
        <v>874</v>
      </c>
      <c r="Q169" s="352">
        <v>678</v>
      </c>
      <c r="R169" s="355">
        <v>101</v>
      </c>
      <c r="S169" s="352">
        <v>37</v>
      </c>
      <c r="T169" s="355">
        <v>210</v>
      </c>
      <c r="U169" s="352">
        <v>49</v>
      </c>
      <c r="V169" s="355">
        <v>3</v>
      </c>
      <c r="W169" s="352"/>
      <c r="X169" s="355">
        <v>9</v>
      </c>
      <c r="Y169" s="352"/>
      <c r="Z169" s="355"/>
      <c r="AA169" s="352"/>
      <c r="AB169" s="355"/>
      <c r="AC169" s="352"/>
      <c r="AD169" s="355"/>
      <c r="AE169" s="353"/>
    </row>
    <row r="170" spans="1:31">
      <c r="A170" s="145">
        <v>14</v>
      </c>
      <c r="B170" s="4" t="s">
        <v>216</v>
      </c>
      <c r="C170" s="309"/>
      <c r="D170" s="355">
        <v>711</v>
      </c>
      <c r="E170" s="352">
        <v>603</v>
      </c>
      <c r="F170" s="355">
        <v>4122</v>
      </c>
      <c r="G170" s="352">
        <v>440</v>
      </c>
      <c r="H170" s="355">
        <v>1053</v>
      </c>
      <c r="I170" s="352">
        <v>297</v>
      </c>
      <c r="J170" s="355">
        <v>966</v>
      </c>
      <c r="K170" s="352">
        <v>435</v>
      </c>
      <c r="L170" s="355">
        <v>1737</v>
      </c>
      <c r="M170" s="352">
        <v>621</v>
      </c>
      <c r="N170" s="355">
        <v>773</v>
      </c>
      <c r="O170" s="352">
        <v>336</v>
      </c>
      <c r="P170" s="355">
        <v>1088</v>
      </c>
      <c r="Q170" s="352">
        <v>634</v>
      </c>
      <c r="R170" s="355">
        <v>236</v>
      </c>
      <c r="S170" s="352">
        <v>125</v>
      </c>
      <c r="T170" s="355">
        <v>577</v>
      </c>
      <c r="U170" s="352">
        <v>269</v>
      </c>
      <c r="V170" s="355">
        <v>20</v>
      </c>
      <c r="W170" s="352">
        <v>20</v>
      </c>
      <c r="X170" s="355">
        <v>15</v>
      </c>
      <c r="Y170" s="352">
        <v>2</v>
      </c>
      <c r="Z170" s="355">
        <v>98</v>
      </c>
      <c r="AA170" s="352">
        <v>71</v>
      </c>
      <c r="AB170" s="355">
        <v>8</v>
      </c>
      <c r="AC170" s="352">
        <v>11</v>
      </c>
      <c r="AD170" s="355">
        <v>120</v>
      </c>
      <c r="AE170" s="353">
        <v>29</v>
      </c>
    </row>
    <row r="171" spans="1:31">
      <c r="A171" s="145">
        <v>15</v>
      </c>
      <c r="B171" s="4" t="s">
        <v>217</v>
      </c>
      <c r="C171" s="309"/>
      <c r="D171" s="355">
        <v>2094</v>
      </c>
      <c r="E171" s="352">
        <v>1739</v>
      </c>
      <c r="F171" s="355">
        <v>14464</v>
      </c>
      <c r="G171" s="352">
        <v>3397</v>
      </c>
      <c r="H171" s="355">
        <v>735</v>
      </c>
      <c r="I171" s="352">
        <v>731</v>
      </c>
      <c r="J171" s="355">
        <v>116</v>
      </c>
      <c r="K171" s="352">
        <v>73</v>
      </c>
      <c r="L171" s="355">
        <v>2697</v>
      </c>
      <c r="M171" s="352">
        <v>1344</v>
      </c>
      <c r="N171" s="355">
        <v>403</v>
      </c>
      <c r="O171" s="352">
        <v>678</v>
      </c>
      <c r="P171" s="355">
        <v>1295</v>
      </c>
      <c r="Q171" s="352">
        <v>569</v>
      </c>
      <c r="R171" s="355">
        <v>279</v>
      </c>
      <c r="S171" s="352">
        <v>110</v>
      </c>
      <c r="T171" s="355">
        <v>367</v>
      </c>
      <c r="U171" s="352">
        <v>127</v>
      </c>
      <c r="V171" s="355">
        <v>24</v>
      </c>
      <c r="W171" s="352">
        <v>19</v>
      </c>
      <c r="X171" s="355">
        <v>4</v>
      </c>
      <c r="Y171" s="352">
        <v>1</v>
      </c>
      <c r="Z171" s="355">
        <v>1</v>
      </c>
      <c r="AA171" s="352">
        <v>23</v>
      </c>
      <c r="AB171" s="355">
        <v>21</v>
      </c>
      <c r="AC171" s="352">
        <v>36</v>
      </c>
      <c r="AD171" s="355">
        <v>244</v>
      </c>
      <c r="AE171" s="353">
        <v>56</v>
      </c>
    </row>
    <row r="172" spans="1:31">
      <c r="A172" s="145">
        <v>16</v>
      </c>
      <c r="B172" s="4" t="s">
        <v>218</v>
      </c>
      <c r="C172" s="309"/>
      <c r="D172" s="355">
        <v>60</v>
      </c>
      <c r="E172" s="352">
        <v>26</v>
      </c>
      <c r="F172" s="355">
        <v>1778</v>
      </c>
      <c r="G172" s="352">
        <v>327</v>
      </c>
      <c r="H172" s="355">
        <v>394</v>
      </c>
      <c r="I172" s="352">
        <v>207</v>
      </c>
      <c r="J172" s="355">
        <v>9</v>
      </c>
      <c r="K172" s="352">
        <v>15</v>
      </c>
      <c r="L172" s="355">
        <v>828</v>
      </c>
      <c r="M172" s="352">
        <v>127</v>
      </c>
      <c r="N172" s="355">
        <v>53</v>
      </c>
      <c r="O172" s="352">
        <v>47</v>
      </c>
      <c r="P172" s="357">
        <v>471</v>
      </c>
      <c r="Q172" s="352">
        <v>526</v>
      </c>
      <c r="R172" s="355">
        <v>98</v>
      </c>
      <c r="S172" s="352">
        <v>101</v>
      </c>
      <c r="T172" s="355">
        <v>156</v>
      </c>
      <c r="U172" s="352">
        <v>115</v>
      </c>
      <c r="V172" s="355">
        <v>9</v>
      </c>
      <c r="W172" s="352">
        <v>1</v>
      </c>
      <c r="X172" s="355">
        <v>11</v>
      </c>
      <c r="Y172" s="352">
        <v>9</v>
      </c>
      <c r="Z172" s="355"/>
      <c r="AA172" s="352"/>
      <c r="AB172" s="355">
        <v>9</v>
      </c>
      <c r="AC172" s="352">
        <v>29</v>
      </c>
      <c r="AD172" s="355">
        <v>2</v>
      </c>
      <c r="AE172" s="353">
        <v>7</v>
      </c>
    </row>
    <row r="173" spans="1:31" ht="15">
      <c r="A173" s="145">
        <v>17</v>
      </c>
      <c r="B173" s="4" t="s">
        <v>219</v>
      </c>
      <c r="C173" s="310"/>
      <c r="D173" s="357">
        <v>1442</v>
      </c>
      <c r="E173" s="354">
        <v>538</v>
      </c>
      <c r="F173" s="357">
        <v>6311</v>
      </c>
      <c r="G173" s="354">
        <v>1377</v>
      </c>
      <c r="H173" s="357">
        <v>7275</v>
      </c>
      <c r="I173" s="354">
        <v>3492</v>
      </c>
      <c r="J173" s="357">
        <v>361</v>
      </c>
      <c r="K173" s="354">
        <v>97</v>
      </c>
      <c r="L173" s="357">
        <v>8726</v>
      </c>
      <c r="M173" s="354">
        <v>6496</v>
      </c>
      <c r="N173" s="357">
        <v>2527</v>
      </c>
      <c r="O173" s="354">
        <v>2542</v>
      </c>
      <c r="P173" s="355">
        <v>549</v>
      </c>
      <c r="Q173" s="354">
        <v>371</v>
      </c>
      <c r="R173" s="357">
        <v>113</v>
      </c>
      <c r="S173" s="354">
        <v>137</v>
      </c>
      <c r="T173" s="357">
        <v>401</v>
      </c>
      <c r="U173" s="354">
        <v>134</v>
      </c>
      <c r="V173" s="357">
        <v>12</v>
      </c>
      <c r="W173" s="354">
        <v>8</v>
      </c>
      <c r="X173" s="357">
        <v>1</v>
      </c>
      <c r="Y173" s="354">
        <v>4</v>
      </c>
      <c r="Z173" s="357"/>
      <c r="AA173" s="354">
        <v>29</v>
      </c>
      <c r="AB173" s="357">
        <v>193</v>
      </c>
      <c r="AC173" s="354">
        <v>72</v>
      </c>
      <c r="AD173" s="357"/>
      <c r="AE173" s="353"/>
    </row>
    <row r="174" spans="1:31">
      <c r="A174" s="145">
        <v>18</v>
      </c>
      <c r="B174" s="4" t="s">
        <v>220</v>
      </c>
      <c r="C174" s="309"/>
      <c r="D174" s="355">
        <v>12</v>
      </c>
      <c r="E174" s="352">
        <v>36</v>
      </c>
      <c r="F174" s="355">
        <v>371</v>
      </c>
      <c r="G174" s="352">
        <v>218</v>
      </c>
      <c r="H174" s="355">
        <v>9</v>
      </c>
      <c r="I174" s="352">
        <v>15</v>
      </c>
      <c r="J174" s="355"/>
      <c r="K174" s="352">
        <v>2</v>
      </c>
      <c r="L174" s="355">
        <v>100</v>
      </c>
      <c r="M174" s="352">
        <v>58</v>
      </c>
      <c r="N174" s="355">
        <v>20</v>
      </c>
      <c r="O174" s="352">
        <v>159</v>
      </c>
      <c r="P174" s="355">
        <v>3377</v>
      </c>
      <c r="Q174" s="352">
        <v>1701</v>
      </c>
      <c r="R174" s="355">
        <v>5595</v>
      </c>
      <c r="S174" s="352">
        <v>10000</v>
      </c>
      <c r="T174" s="355">
        <v>1438</v>
      </c>
      <c r="U174" s="352">
        <v>664</v>
      </c>
      <c r="V174" s="355">
        <v>56</v>
      </c>
      <c r="W174" s="352">
        <v>8</v>
      </c>
      <c r="X174" s="355">
        <v>9602</v>
      </c>
      <c r="Y174" s="352">
        <v>2403</v>
      </c>
      <c r="Z174" s="355"/>
      <c r="AA174" s="352"/>
      <c r="AB174" s="355"/>
      <c r="AC174" s="352"/>
      <c r="AD174" s="355"/>
      <c r="AE174" s="353"/>
    </row>
    <row r="175" spans="1:31">
      <c r="A175" s="145">
        <v>19</v>
      </c>
      <c r="B175" s="4" t="s">
        <v>221</v>
      </c>
      <c r="C175" s="309"/>
      <c r="D175" s="355">
        <v>5</v>
      </c>
      <c r="E175" s="352">
        <v>18</v>
      </c>
      <c r="F175" s="355">
        <v>1164</v>
      </c>
      <c r="G175" s="352">
        <v>808</v>
      </c>
      <c r="H175" s="355">
        <v>80</v>
      </c>
      <c r="I175" s="352">
        <v>114</v>
      </c>
      <c r="J175" s="355"/>
      <c r="K175" s="352">
        <v>2</v>
      </c>
      <c r="L175" s="355">
        <v>134</v>
      </c>
      <c r="M175" s="352">
        <v>124</v>
      </c>
      <c r="N175" s="355">
        <v>21</v>
      </c>
      <c r="O175" s="352">
        <v>69</v>
      </c>
      <c r="P175" s="355">
        <v>9856</v>
      </c>
      <c r="Q175" s="352">
        <v>8370</v>
      </c>
      <c r="R175" s="355">
        <v>4718</v>
      </c>
      <c r="S175" s="352">
        <v>9573</v>
      </c>
      <c r="T175" s="355">
        <v>2928</v>
      </c>
      <c r="U175" s="352">
        <v>788</v>
      </c>
      <c r="V175" s="355">
        <v>65</v>
      </c>
      <c r="W175" s="352">
        <v>258</v>
      </c>
      <c r="X175" s="355">
        <v>28</v>
      </c>
      <c r="Y175" s="352">
        <v>73</v>
      </c>
      <c r="Z175" s="355"/>
      <c r="AA175" s="352"/>
      <c r="AB175" s="355"/>
      <c r="AC175" s="352"/>
      <c r="AD175" s="355"/>
      <c r="AE175" s="353"/>
    </row>
    <row r="176" spans="1:31">
      <c r="A176" s="145">
        <v>20</v>
      </c>
      <c r="B176" s="4" t="s">
        <v>222</v>
      </c>
      <c r="C176" s="309"/>
      <c r="D176" s="355"/>
      <c r="E176" s="352"/>
      <c r="F176" s="355"/>
      <c r="G176" s="352"/>
      <c r="H176" s="355"/>
      <c r="I176" s="352"/>
      <c r="J176" s="355"/>
      <c r="K176" s="352"/>
      <c r="L176" s="355"/>
      <c r="M176" s="352"/>
      <c r="N176" s="355"/>
      <c r="O176" s="352"/>
      <c r="P176" s="355"/>
      <c r="Q176" s="352"/>
      <c r="R176" s="355"/>
      <c r="S176" s="352"/>
      <c r="T176" s="355"/>
      <c r="U176" s="352"/>
      <c r="V176" s="355"/>
      <c r="W176" s="352"/>
      <c r="X176" s="355"/>
      <c r="Y176" s="352"/>
      <c r="Z176" s="355"/>
      <c r="AA176" s="352"/>
      <c r="AB176" s="355"/>
      <c r="AC176" s="352"/>
      <c r="AD176" s="355"/>
      <c r="AE176" s="353"/>
    </row>
    <row r="177" spans="1:31">
      <c r="A177" s="145">
        <v>21</v>
      </c>
      <c r="B177" s="4" t="s">
        <v>223</v>
      </c>
      <c r="C177" s="309"/>
      <c r="D177" s="355">
        <v>574</v>
      </c>
      <c r="E177" s="352">
        <v>250</v>
      </c>
      <c r="F177" s="355">
        <v>6139</v>
      </c>
      <c r="G177" s="352">
        <v>947</v>
      </c>
      <c r="H177" s="355">
        <v>1611</v>
      </c>
      <c r="I177" s="352">
        <v>599</v>
      </c>
      <c r="J177" s="355">
        <v>93</v>
      </c>
      <c r="K177" s="352">
        <v>80</v>
      </c>
      <c r="L177" s="355">
        <v>3564</v>
      </c>
      <c r="M177" s="352">
        <v>1467</v>
      </c>
      <c r="N177" s="355">
        <v>218</v>
      </c>
      <c r="O177" s="352">
        <v>438</v>
      </c>
      <c r="P177" s="355">
        <v>1808</v>
      </c>
      <c r="Q177" s="352">
        <v>916</v>
      </c>
      <c r="R177" s="355">
        <v>407</v>
      </c>
      <c r="S177" s="352">
        <v>348</v>
      </c>
      <c r="T177" s="355">
        <v>716</v>
      </c>
      <c r="U177" s="352">
        <v>211</v>
      </c>
      <c r="V177" s="355">
        <v>14</v>
      </c>
      <c r="W177" s="352"/>
      <c r="X177" s="355">
        <v>37</v>
      </c>
      <c r="Y177" s="352">
        <v>17</v>
      </c>
      <c r="Z177" s="355">
        <v>11</v>
      </c>
      <c r="AA177" s="352">
        <v>1</v>
      </c>
      <c r="AB177" s="355">
        <v>35</v>
      </c>
      <c r="AC177" s="352">
        <v>34</v>
      </c>
      <c r="AD177" s="355">
        <v>18</v>
      </c>
      <c r="AE177" s="353">
        <v>11</v>
      </c>
    </row>
    <row r="178" spans="1:31">
      <c r="A178" s="145">
        <v>22</v>
      </c>
      <c r="B178" s="4" t="s">
        <v>224</v>
      </c>
      <c r="C178" s="309"/>
      <c r="D178" s="355">
        <v>4130</v>
      </c>
      <c r="E178" s="352">
        <v>1961</v>
      </c>
      <c r="F178" s="355">
        <v>34147</v>
      </c>
      <c r="G178" s="352">
        <v>9379</v>
      </c>
      <c r="H178" s="355">
        <v>2869</v>
      </c>
      <c r="I178" s="352">
        <v>1092</v>
      </c>
      <c r="J178" s="355">
        <v>329</v>
      </c>
      <c r="K178" s="352">
        <v>130</v>
      </c>
      <c r="L178" s="355">
        <v>3803</v>
      </c>
      <c r="M178" s="352">
        <v>2235</v>
      </c>
      <c r="N178" s="355">
        <v>1079</v>
      </c>
      <c r="O178" s="352">
        <v>703</v>
      </c>
      <c r="P178" s="356">
        <v>532</v>
      </c>
      <c r="Q178" s="352">
        <v>496</v>
      </c>
      <c r="R178" s="355">
        <v>165</v>
      </c>
      <c r="S178" s="352">
        <v>191</v>
      </c>
      <c r="T178" s="355">
        <v>332</v>
      </c>
      <c r="U178" s="352">
        <v>156</v>
      </c>
      <c r="V178" s="355">
        <v>21</v>
      </c>
      <c r="W178" s="352">
        <v>1</v>
      </c>
      <c r="X178" s="355"/>
      <c r="Y178" s="352">
        <v>5</v>
      </c>
      <c r="Z178" s="355">
        <v>47</v>
      </c>
      <c r="AA178" s="352">
        <v>30</v>
      </c>
      <c r="AB178" s="355">
        <v>163</v>
      </c>
      <c r="AC178" s="352">
        <v>89</v>
      </c>
      <c r="AD178" s="355">
        <v>515</v>
      </c>
      <c r="AE178" s="353">
        <v>79</v>
      </c>
    </row>
    <row r="179" spans="1:31">
      <c r="A179" s="145">
        <v>23</v>
      </c>
      <c r="B179" s="4" t="s">
        <v>225</v>
      </c>
      <c r="C179" s="311"/>
      <c r="D179" s="356">
        <v>245</v>
      </c>
      <c r="E179" s="354">
        <v>143</v>
      </c>
      <c r="F179" s="356">
        <v>2621</v>
      </c>
      <c r="G179" s="354">
        <v>569</v>
      </c>
      <c r="H179" s="356">
        <v>59</v>
      </c>
      <c r="I179" s="354">
        <v>59</v>
      </c>
      <c r="J179" s="356">
        <v>36</v>
      </c>
      <c r="K179" s="354">
        <v>13</v>
      </c>
      <c r="L179" s="356">
        <v>290</v>
      </c>
      <c r="M179" s="354">
        <v>86</v>
      </c>
      <c r="N179" s="356">
        <v>23</v>
      </c>
      <c r="O179" s="354">
        <v>47</v>
      </c>
      <c r="P179" s="357">
        <v>1001</v>
      </c>
      <c r="Q179" s="354">
        <v>402</v>
      </c>
      <c r="R179" s="356">
        <v>141</v>
      </c>
      <c r="S179" s="354">
        <v>156</v>
      </c>
      <c r="T179" s="356">
        <v>178</v>
      </c>
      <c r="U179" s="354">
        <v>46</v>
      </c>
      <c r="V179" s="356">
        <v>12</v>
      </c>
      <c r="W179" s="354">
        <v>9</v>
      </c>
      <c r="X179" s="356">
        <v>11</v>
      </c>
      <c r="Y179" s="354">
        <v>1</v>
      </c>
      <c r="Z179" s="356">
        <v>8</v>
      </c>
      <c r="AA179" s="354">
        <v>1</v>
      </c>
      <c r="AB179" s="356">
        <v>21</v>
      </c>
      <c r="AC179" s="354">
        <v>21</v>
      </c>
      <c r="AD179" s="356"/>
      <c r="AE179" s="353"/>
    </row>
    <row r="180" spans="1:31" ht="15">
      <c r="A180" s="145">
        <v>24</v>
      </c>
      <c r="B180" s="4" t="s">
        <v>226</v>
      </c>
      <c r="C180" s="310"/>
      <c r="D180" s="357">
        <v>1130</v>
      </c>
      <c r="E180" s="352">
        <v>323</v>
      </c>
      <c r="F180" s="357">
        <v>19548</v>
      </c>
      <c r="G180" s="352">
        <v>1481</v>
      </c>
      <c r="H180" s="357">
        <v>258</v>
      </c>
      <c r="I180" s="352">
        <v>632</v>
      </c>
      <c r="J180" s="357">
        <v>47</v>
      </c>
      <c r="K180" s="352">
        <v>9</v>
      </c>
      <c r="L180" s="357">
        <v>1164</v>
      </c>
      <c r="M180" s="352">
        <v>315</v>
      </c>
      <c r="N180" s="357">
        <v>156</v>
      </c>
      <c r="O180" s="352">
        <v>235</v>
      </c>
      <c r="P180" s="355">
        <v>1289</v>
      </c>
      <c r="Q180" s="352">
        <v>525</v>
      </c>
      <c r="R180" s="357">
        <v>109</v>
      </c>
      <c r="S180" s="352">
        <v>99</v>
      </c>
      <c r="T180" s="357">
        <v>162</v>
      </c>
      <c r="U180" s="352">
        <v>30</v>
      </c>
      <c r="V180" s="357">
        <v>24</v>
      </c>
      <c r="W180" s="352">
        <v>4</v>
      </c>
      <c r="X180" s="357">
        <v>10</v>
      </c>
      <c r="Y180" s="352"/>
      <c r="Z180" s="357">
        <v>9</v>
      </c>
      <c r="AA180" s="352"/>
      <c r="AB180" s="357">
        <v>41</v>
      </c>
      <c r="AC180" s="352">
        <v>13</v>
      </c>
      <c r="AD180" s="357"/>
      <c r="AE180" s="353"/>
    </row>
    <row r="181" spans="1:31">
      <c r="A181" s="145">
        <v>25</v>
      </c>
      <c r="B181" s="4" t="s">
        <v>147</v>
      </c>
      <c r="C181" s="309"/>
      <c r="D181" s="355">
        <v>463</v>
      </c>
      <c r="E181" s="352">
        <v>183</v>
      </c>
      <c r="F181" s="355">
        <v>2725</v>
      </c>
      <c r="G181" s="352">
        <v>413</v>
      </c>
      <c r="H181" s="355">
        <v>2469</v>
      </c>
      <c r="I181" s="352">
        <v>1018</v>
      </c>
      <c r="J181" s="355">
        <v>110</v>
      </c>
      <c r="K181" s="352">
        <v>128</v>
      </c>
      <c r="L181" s="355">
        <v>2558</v>
      </c>
      <c r="M181" s="352">
        <v>1391</v>
      </c>
      <c r="N181" s="355">
        <v>408</v>
      </c>
      <c r="O181" s="352">
        <v>377</v>
      </c>
      <c r="P181" s="355">
        <v>2045</v>
      </c>
      <c r="Q181" s="352">
        <v>726</v>
      </c>
      <c r="R181" s="355">
        <v>546</v>
      </c>
      <c r="S181" s="352">
        <v>135</v>
      </c>
      <c r="T181" s="355">
        <v>1211</v>
      </c>
      <c r="U181" s="352">
        <v>238</v>
      </c>
      <c r="V181" s="355">
        <v>34</v>
      </c>
      <c r="W181" s="352">
        <v>4</v>
      </c>
      <c r="X181" s="355">
        <v>16</v>
      </c>
      <c r="Y181" s="352"/>
      <c r="Z181" s="355">
        <v>5</v>
      </c>
      <c r="AA181" s="352">
        <v>6</v>
      </c>
      <c r="AB181" s="355"/>
      <c r="AC181" s="352"/>
      <c r="AD181" s="355"/>
      <c r="AE181" s="353"/>
    </row>
    <row r="182" spans="1:31">
      <c r="A182" s="145">
        <v>26</v>
      </c>
      <c r="B182" s="4" t="s">
        <v>227</v>
      </c>
      <c r="C182" s="309"/>
      <c r="D182" s="355">
        <v>346</v>
      </c>
      <c r="E182" s="352">
        <v>271</v>
      </c>
      <c r="F182" s="355">
        <v>1507</v>
      </c>
      <c r="G182" s="352">
        <v>538</v>
      </c>
      <c r="H182" s="355">
        <v>1912</v>
      </c>
      <c r="I182" s="352">
        <v>3048</v>
      </c>
      <c r="J182" s="355">
        <v>44</v>
      </c>
      <c r="K182" s="352">
        <v>33</v>
      </c>
      <c r="L182" s="355">
        <v>1521</v>
      </c>
      <c r="M182" s="352">
        <v>1184</v>
      </c>
      <c r="N182" s="355">
        <v>332</v>
      </c>
      <c r="O182" s="352">
        <v>426</v>
      </c>
      <c r="P182" s="355">
        <v>2939</v>
      </c>
      <c r="Q182" s="352">
        <v>2270</v>
      </c>
      <c r="R182" s="355">
        <v>1050</v>
      </c>
      <c r="S182" s="352">
        <v>216</v>
      </c>
      <c r="T182" s="355">
        <v>2164</v>
      </c>
      <c r="U182" s="352">
        <v>148</v>
      </c>
      <c r="V182" s="355">
        <v>30</v>
      </c>
      <c r="W182" s="352">
        <v>5</v>
      </c>
      <c r="X182" s="355">
        <v>7</v>
      </c>
      <c r="Y182" s="352">
        <v>10</v>
      </c>
      <c r="Z182" s="355">
        <v>1</v>
      </c>
      <c r="AA182" s="352">
        <v>22</v>
      </c>
      <c r="AB182" s="355">
        <v>9</v>
      </c>
      <c r="AC182" s="352">
        <v>71</v>
      </c>
      <c r="AD182" s="355">
        <v>65</v>
      </c>
      <c r="AE182" s="353">
        <v>22</v>
      </c>
    </row>
    <row r="183" spans="1:31">
      <c r="A183" s="145">
        <v>27</v>
      </c>
      <c r="B183" s="4" t="s">
        <v>228</v>
      </c>
      <c r="C183" s="309"/>
      <c r="D183" s="355">
        <v>179</v>
      </c>
      <c r="E183" s="352">
        <v>331</v>
      </c>
      <c r="F183" s="355">
        <v>702</v>
      </c>
      <c r="G183" s="352">
        <v>711</v>
      </c>
      <c r="H183" s="355">
        <v>130</v>
      </c>
      <c r="I183" s="352">
        <v>120</v>
      </c>
      <c r="J183" s="355">
        <v>37</v>
      </c>
      <c r="K183" s="352">
        <v>20</v>
      </c>
      <c r="L183" s="355">
        <v>694</v>
      </c>
      <c r="M183" s="352">
        <v>781</v>
      </c>
      <c r="N183" s="355">
        <v>704</v>
      </c>
      <c r="O183" s="352">
        <v>1115</v>
      </c>
      <c r="P183" s="355">
        <v>26269</v>
      </c>
      <c r="Q183" s="352">
        <v>68802</v>
      </c>
      <c r="R183" s="355">
        <v>42579</v>
      </c>
      <c r="S183" s="352">
        <v>79331</v>
      </c>
      <c r="T183" s="355">
        <v>16698</v>
      </c>
      <c r="U183" s="352">
        <v>14562</v>
      </c>
      <c r="V183" s="355">
        <v>468</v>
      </c>
      <c r="W183" s="352">
        <v>319</v>
      </c>
      <c r="X183" s="355">
        <v>254</v>
      </c>
      <c r="Y183" s="352">
        <v>458</v>
      </c>
      <c r="Z183" s="355"/>
      <c r="AA183" s="352"/>
      <c r="AB183" s="355">
        <v>3</v>
      </c>
      <c r="AC183" s="352"/>
      <c r="AD183" s="355">
        <v>3</v>
      </c>
      <c r="AE183" s="353">
        <v>2</v>
      </c>
    </row>
    <row r="184" spans="1:31">
      <c r="A184" s="145">
        <v>28</v>
      </c>
      <c r="B184" s="4" t="s">
        <v>229</v>
      </c>
      <c r="C184" s="309"/>
      <c r="D184" s="355">
        <v>1022</v>
      </c>
      <c r="E184" s="352">
        <v>239</v>
      </c>
      <c r="F184" s="355">
        <v>11673</v>
      </c>
      <c r="G184" s="352">
        <v>1228</v>
      </c>
      <c r="H184" s="355">
        <v>2262</v>
      </c>
      <c r="I184" s="352">
        <v>674</v>
      </c>
      <c r="J184" s="355">
        <v>297</v>
      </c>
      <c r="K184" s="352">
        <v>64</v>
      </c>
      <c r="L184" s="355">
        <v>4557</v>
      </c>
      <c r="M184" s="352">
        <v>3126</v>
      </c>
      <c r="N184" s="355">
        <v>628</v>
      </c>
      <c r="O184" s="352">
        <v>1878</v>
      </c>
      <c r="P184" s="355">
        <v>1731</v>
      </c>
      <c r="Q184" s="352">
        <v>854</v>
      </c>
      <c r="R184" s="355">
        <v>404</v>
      </c>
      <c r="S184" s="352">
        <v>2117</v>
      </c>
      <c r="T184" s="355">
        <v>757</v>
      </c>
      <c r="U184" s="352">
        <v>150</v>
      </c>
      <c r="V184" s="355">
        <v>68</v>
      </c>
      <c r="W184" s="352">
        <v>19</v>
      </c>
      <c r="X184" s="355">
        <v>36</v>
      </c>
      <c r="Y184" s="352">
        <v>18</v>
      </c>
      <c r="Z184" s="355">
        <v>10</v>
      </c>
      <c r="AA184" s="352">
        <v>9</v>
      </c>
      <c r="AB184" s="355">
        <v>129</v>
      </c>
      <c r="AC184" s="352">
        <v>249</v>
      </c>
      <c r="AD184" s="355">
        <v>70</v>
      </c>
      <c r="AE184" s="353"/>
    </row>
    <row r="185" spans="1:31">
      <c r="A185" s="145">
        <v>29</v>
      </c>
      <c r="B185" s="4" t="s">
        <v>230</v>
      </c>
      <c r="C185" s="309"/>
      <c r="D185" s="355">
        <v>3134</v>
      </c>
      <c r="E185" s="354">
        <v>1075</v>
      </c>
      <c r="F185" s="355">
        <v>33467</v>
      </c>
      <c r="G185" s="354">
        <v>11508</v>
      </c>
      <c r="H185" s="355">
        <v>1051</v>
      </c>
      <c r="I185" s="354">
        <v>875</v>
      </c>
      <c r="J185" s="355">
        <v>229</v>
      </c>
      <c r="K185" s="354">
        <v>33</v>
      </c>
      <c r="L185" s="355">
        <v>2844</v>
      </c>
      <c r="M185" s="354">
        <v>751</v>
      </c>
      <c r="N185" s="355">
        <v>612</v>
      </c>
      <c r="O185" s="354">
        <v>337</v>
      </c>
      <c r="P185" s="357">
        <v>1136</v>
      </c>
      <c r="Q185" s="354">
        <v>538</v>
      </c>
      <c r="R185" s="355">
        <v>207</v>
      </c>
      <c r="S185" s="354">
        <v>92</v>
      </c>
      <c r="T185" s="355">
        <v>302</v>
      </c>
      <c r="U185" s="354">
        <v>102</v>
      </c>
      <c r="V185" s="355">
        <v>78</v>
      </c>
      <c r="W185" s="354">
        <v>102</v>
      </c>
      <c r="X185" s="355">
        <v>7</v>
      </c>
      <c r="Y185" s="354">
        <v>1</v>
      </c>
      <c r="Z185" s="355">
        <v>33</v>
      </c>
      <c r="AA185" s="354">
        <v>10</v>
      </c>
      <c r="AB185" s="355">
        <v>82</v>
      </c>
      <c r="AC185" s="354">
        <v>12</v>
      </c>
      <c r="AD185" s="355">
        <v>112</v>
      </c>
      <c r="AE185" s="353">
        <v>12</v>
      </c>
    </row>
    <row r="186" spans="1:31" ht="15">
      <c r="A186" s="145">
        <v>30</v>
      </c>
      <c r="B186" s="4" t="s">
        <v>231</v>
      </c>
      <c r="C186" s="310"/>
      <c r="D186" s="357">
        <v>2563</v>
      </c>
      <c r="E186" s="352">
        <v>1606</v>
      </c>
      <c r="F186" s="357">
        <v>22251</v>
      </c>
      <c r="G186" s="352">
        <v>11025</v>
      </c>
      <c r="H186" s="357">
        <v>790</v>
      </c>
      <c r="I186" s="352">
        <v>1004</v>
      </c>
      <c r="J186" s="357">
        <v>170</v>
      </c>
      <c r="K186" s="352">
        <v>401</v>
      </c>
      <c r="L186" s="357">
        <v>2004</v>
      </c>
      <c r="M186" s="352">
        <v>893</v>
      </c>
      <c r="N186" s="357">
        <v>255</v>
      </c>
      <c r="O186" s="352">
        <v>444</v>
      </c>
      <c r="P186" s="355">
        <v>2495</v>
      </c>
      <c r="Q186" s="352">
        <v>1221</v>
      </c>
      <c r="R186" s="357">
        <v>323</v>
      </c>
      <c r="S186" s="352">
        <v>482</v>
      </c>
      <c r="T186" s="357">
        <v>794</v>
      </c>
      <c r="U186" s="352">
        <v>201</v>
      </c>
      <c r="V186" s="357">
        <v>76</v>
      </c>
      <c r="W186" s="352"/>
      <c r="X186" s="357">
        <v>25</v>
      </c>
      <c r="Y186" s="352">
        <v>20</v>
      </c>
      <c r="Z186" s="357">
        <v>25</v>
      </c>
      <c r="AA186" s="352">
        <v>41</v>
      </c>
      <c r="AB186" s="357">
        <v>117</v>
      </c>
      <c r="AC186" s="352">
        <v>81</v>
      </c>
      <c r="AD186" s="357">
        <v>1415</v>
      </c>
      <c r="AE186" s="353">
        <v>187</v>
      </c>
    </row>
    <row r="187" spans="1:31">
      <c r="A187" s="145">
        <v>31</v>
      </c>
      <c r="B187" s="4" t="s">
        <v>232</v>
      </c>
      <c r="C187" s="309"/>
      <c r="D187" s="355">
        <v>1265</v>
      </c>
      <c r="E187" s="352">
        <v>411</v>
      </c>
      <c r="F187" s="355">
        <v>6340</v>
      </c>
      <c r="G187" s="352">
        <v>1723</v>
      </c>
      <c r="H187" s="355">
        <v>638</v>
      </c>
      <c r="I187" s="352">
        <v>646</v>
      </c>
      <c r="J187" s="355">
        <v>118</v>
      </c>
      <c r="K187" s="352">
        <v>58</v>
      </c>
      <c r="L187" s="355">
        <v>1415</v>
      </c>
      <c r="M187" s="352">
        <v>1133</v>
      </c>
      <c r="N187" s="355">
        <v>319</v>
      </c>
      <c r="O187" s="352">
        <v>493</v>
      </c>
      <c r="P187" s="356">
        <v>782</v>
      </c>
      <c r="Q187" s="352">
        <v>471</v>
      </c>
      <c r="R187" s="355">
        <v>344</v>
      </c>
      <c r="S187" s="352">
        <v>457</v>
      </c>
      <c r="T187" s="355">
        <v>170</v>
      </c>
      <c r="U187" s="352">
        <v>223</v>
      </c>
      <c r="V187" s="355">
        <v>18</v>
      </c>
      <c r="W187" s="352">
        <v>2</v>
      </c>
      <c r="X187" s="355">
        <v>9</v>
      </c>
      <c r="Y187" s="352">
        <v>1</v>
      </c>
      <c r="Z187" s="355">
        <v>30</v>
      </c>
      <c r="AA187" s="352">
        <v>12</v>
      </c>
      <c r="AB187" s="355">
        <v>10</v>
      </c>
      <c r="AC187" s="352">
        <v>39</v>
      </c>
      <c r="AD187" s="355"/>
      <c r="AE187" s="353"/>
    </row>
    <row r="188" spans="1:31">
      <c r="A188" s="215"/>
      <c r="B188" s="203"/>
      <c r="C188" s="312"/>
      <c r="D188" s="363"/>
      <c r="E188" s="364"/>
      <c r="F188" s="363"/>
      <c r="G188" s="364"/>
      <c r="H188" s="363"/>
      <c r="I188" s="364"/>
      <c r="J188" s="363"/>
      <c r="K188" s="364"/>
      <c r="L188" s="363"/>
      <c r="M188" s="364"/>
      <c r="N188" s="363"/>
      <c r="O188" s="364"/>
      <c r="P188" s="363"/>
      <c r="Q188" s="364"/>
      <c r="R188" s="363"/>
      <c r="S188" s="364"/>
      <c r="T188" s="363"/>
      <c r="U188" s="364"/>
      <c r="V188" s="363"/>
      <c r="W188" s="364"/>
      <c r="X188" s="363"/>
      <c r="Y188" s="364"/>
      <c r="Z188" s="363"/>
      <c r="AA188" s="364"/>
      <c r="AB188" s="363"/>
      <c r="AC188" s="364"/>
      <c r="AD188" s="363"/>
      <c r="AE188" s="365"/>
    </row>
    <row r="189" spans="1:31">
      <c r="A189" s="145" t="s">
        <v>297</v>
      </c>
      <c r="B189" s="4"/>
      <c r="C189" s="162"/>
      <c r="D189" s="374">
        <f>SUM(D157:D187)</f>
        <v>33722</v>
      </c>
      <c r="E189" s="379">
        <f t="shared" ref="E189:AE189" si="6">SUM(E157:E187)</f>
        <v>16312</v>
      </c>
      <c r="F189" s="374">
        <f t="shared" si="6"/>
        <v>262877</v>
      </c>
      <c r="G189" s="379">
        <f t="shared" si="6"/>
        <v>72991</v>
      </c>
      <c r="H189" s="374">
        <f t="shared" si="6"/>
        <v>35700</v>
      </c>
      <c r="I189" s="379">
        <f t="shared" si="6"/>
        <v>25805</v>
      </c>
      <c r="J189" s="374">
        <f t="shared" si="6"/>
        <v>5707</v>
      </c>
      <c r="K189" s="379">
        <f t="shared" si="6"/>
        <v>3456</v>
      </c>
      <c r="L189" s="374">
        <f t="shared" si="6"/>
        <v>65748</v>
      </c>
      <c r="M189" s="379">
        <f t="shared" si="6"/>
        <v>48902</v>
      </c>
      <c r="N189" s="374">
        <f t="shared" si="6"/>
        <v>19591</v>
      </c>
      <c r="O189" s="379">
        <f t="shared" si="6"/>
        <v>18174</v>
      </c>
      <c r="P189" s="374">
        <f>SUM(P157:P187)</f>
        <v>88769</v>
      </c>
      <c r="Q189" s="358">
        <f t="shared" si="6"/>
        <v>109996</v>
      </c>
      <c r="R189" s="374">
        <f t="shared" si="6"/>
        <v>106650</v>
      </c>
      <c r="S189" s="379">
        <f t="shared" si="6"/>
        <v>157723</v>
      </c>
      <c r="T189" s="374">
        <f t="shared" si="6"/>
        <v>37564</v>
      </c>
      <c r="U189" s="379">
        <f t="shared" si="6"/>
        <v>21101</v>
      </c>
      <c r="V189" s="374">
        <f t="shared" si="6"/>
        <v>1368</v>
      </c>
      <c r="W189" s="379">
        <f t="shared" si="6"/>
        <v>1019</v>
      </c>
      <c r="X189" s="374">
        <f t="shared" si="6"/>
        <v>10227</v>
      </c>
      <c r="Y189" s="379">
        <f t="shared" si="6"/>
        <v>3220</v>
      </c>
      <c r="Z189" s="374">
        <f t="shared" si="6"/>
        <v>431</v>
      </c>
      <c r="AA189" s="379">
        <f t="shared" si="6"/>
        <v>450</v>
      </c>
      <c r="AB189" s="374">
        <f t="shared" si="6"/>
        <v>1382</v>
      </c>
      <c r="AC189" s="379">
        <f t="shared" si="6"/>
        <v>967</v>
      </c>
      <c r="AD189" s="374">
        <f t="shared" si="6"/>
        <v>3288</v>
      </c>
      <c r="AE189" s="378">
        <f t="shared" si="6"/>
        <v>2285</v>
      </c>
    </row>
    <row r="190" spans="1:31" ht="15" thickBot="1">
      <c r="A190" s="217"/>
      <c r="B190" s="104"/>
      <c r="C190" s="252"/>
      <c r="D190" s="366"/>
      <c r="E190" s="367"/>
      <c r="F190" s="366"/>
      <c r="G190" s="367"/>
      <c r="H190" s="366"/>
      <c r="I190" s="367"/>
      <c r="J190" s="366"/>
      <c r="K190" s="367"/>
      <c r="L190" s="366"/>
      <c r="M190" s="367"/>
      <c r="N190" s="366"/>
      <c r="O190" s="367"/>
      <c r="P190" s="366"/>
      <c r="Q190" s="367"/>
      <c r="R190" s="366"/>
      <c r="S190" s="367"/>
      <c r="T190" s="366"/>
      <c r="U190" s="367"/>
      <c r="V190" s="366"/>
      <c r="W190" s="367"/>
      <c r="X190" s="366"/>
      <c r="Y190" s="367"/>
      <c r="Z190" s="366"/>
      <c r="AA190" s="367"/>
      <c r="AB190" s="366"/>
      <c r="AC190" s="367"/>
      <c r="AD190" s="366"/>
      <c r="AE190" s="368"/>
    </row>
    <row r="191" spans="1:31" ht="16" thickTop="1">
      <c r="A191" s="222" t="s">
        <v>28</v>
      </c>
      <c r="B191" s="97"/>
      <c r="C191" s="248"/>
      <c r="D191" s="357"/>
      <c r="E191" s="354"/>
      <c r="F191" s="357"/>
      <c r="G191" s="354"/>
      <c r="H191" s="357"/>
      <c r="I191" s="354"/>
      <c r="J191" s="357"/>
      <c r="K191" s="354"/>
      <c r="L191" s="357"/>
      <c r="M191" s="354"/>
      <c r="N191" s="357"/>
      <c r="O191" s="354"/>
      <c r="P191" s="357"/>
      <c r="Q191" s="354"/>
      <c r="R191" s="357"/>
      <c r="S191" s="354"/>
      <c r="T191" s="357"/>
      <c r="U191" s="354"/>
      <c r="V191" s="357"/>
      <c r="W191" s="354"/>
      <c r="X191" s="357"/>
      <c r="Y191" s="354"/>
      <c r="Z191" s="357"/>
      <c r="AA191" s="354"/>
      <c r="AB191" s="357"/>
      <c r="AC191" s="354"/>
      <c r="AD191" s="357"/>
      <c r="AE191" s="353"/>
    </row>
    <row r="192" spans="1:31">
      <c r="A192" s="145">
        <v>32</v>
      </c>
      <c r="B192" s="235" t="s">
        <v>233</v>
      </c>
      <c r="C192" s="17" t="s">
        <v>377</v>
      </c>
      <c r="D192" s="355">
        <v>64</v>
      </c>
      <c r="E192" s="352">
        <v>21</v>
      </c>
      <c r="F192" s="355">
        <v>1088</v>
      </c>
      <c r="G192" s="352">
        <v>170</v>
      </c>
      <c r="H192" s="355">
        <v>25</v>
      </c>
      <c r="I192" s="352">
        <v>14</v>
      </c>
      <c r="J192" s="355">
        <v>47</v>
      </c>
      <c r="K192" s="352">
        <v>52</v>
      </c>
      <c r="L192" s="355">
        <v>113</v>
      </c>
      <c r="M192" s="352">
        <v>39</v>
      </c>
      <c r="N192" s="355">
        <v>50</v>
      </c>
      <c r="O192" s="352">
        <v>2</v>
      </c>
      <c r="P192" s="355">
        <v>609</v>
      </c>
      <c r="Q192" s="352">
        <v>49</v>
      </c>
      <c r="R192" s="355">
        <v>150</v>
      </c>
      <c r="S192" s="352">
        <v>14</v>
      </c>
      <c r="T192" s="355">
        <v>125</v>
      </c>
      <c r="U192" s="352">
        <v>5</v>
      </c>
      <c r="V192" s="355">
        <v>4</v>
      </c>
      <c r="W192" s="352">
        <v>1</v>
      </c>
      <c r="X192" s="355"/>
      <c r="Y192" s="352"/>
      <c r="Z192" s="355">
        <v>2</v>
      </c>
      <c r="AA192" s="352">
        <v>1</v>
      </c>
      <c r="AB192" s="355">
        <v>2</v>
      </c>
      <c r="AC192" s="352">
        <v>2</v>
      </c>
      <c r="AD192" s="355"/>
      <c r="AE192" s="353"/>
    </row>
    <row r="193" spans="1:31">
      <c r="A193" s="145">
        <v>33</v>
      </c>
      <c r="B193" s="4" t="s">
        <v>234</v>
      </c>
      <c r="C193" s="10"/>
      <c r="D193" s="355">
        <v>5</v>
      </c>
      <c r="E193" s="352">
        <v>11</v>
      </c>
      <c r="F193" s="355">
        <v>612</v>
      </c>
      <c r="G193" s="352">
        <v>365</v>
      </c>
      <c r="H193" s="355">
        <v>60</v>
      </c>
      <c r="I193" s="352">
        <v>98</v>
      </c>
      <c r="J193" s="355">
        <v>2</v>
      </c>
      <c r="K193" s="352">
        <v>4</v>
      </c>
      <c r="L193" s="355">
        <v>72</v>
      </c>
      <c r="M193" s="352">
        <v>131</v>
      </c>
      <c r="N193" s="355">
        <v>7</v>
      </c>
      <c r="O193" s="352">
        <v>49</v>
      </c>
      <c r="P193" s="355">
        <v>720</v>
      </c>
      <c r="Q193" s="352">
        <v>809</v>
      </c>
      <c r="R193" s="355">
        <v>202</v>
      </c>
      <c r="S193" s="352">
        <v>242</v>
      </c>
      <c r="T193" s="355">
        <v>472</v>
      </c>
      <c r="U193" s="352">
        <v>162</v>
      </c>
      <c r="V193" s="355">
        <v>5</v>
      </c>
      <c r="W193" s="352">
        <v>1</v>
      </c>
      <c r="X193" s="355">
        <v>7</v>
      </c>
      <c r="Y193" s="352">
        <v>18</v>
      </c>
      <c r="Z193" s="355"/>
      <c r="AA193" s="352">
        <v>2</v>
      </c>
      <c r="AB193" s="355"/>
      <c r="AC193" s="352">
        <v>3</v>
      </c>
      <c r="AD193" s="355">
        <v>2</v>
      </c>
      <c r="AE193" s="353">
        <v>3</v>
      </c>
    </row>
    <row r="194" spans="1:31">
      <c r="A194" s="145">
        <v>34</v>
      </c>
      <c r="B194" s="4" t="s">
        <v>235</v>
      </c>
      <c r="C194" s="10"/>
      <c r="D194" s="355"/>
      <c r="E194" s="352"/>
      <c r="F194" s="355">
        <v>84</v>
      </c>
      <c r="G194" s="352">
        <v>20</v>
      </c>
      <c r="H194" s="355"/>
      <c r="I194" s="352"/>
      <c r="J194" s="355"/>
      <c r="K194" s="352"/>
      <c r="L194" s="355">
        <v>6</v>
      </c>
      <c r="M194" s="352"/>
      <c r="N194" s="355"/>
      <c r="O194" s="352">
        <v>3</v>
      </c>
      <c r="P194" s="355">
        <v>21</v>
      </c>
      <c r="Q194" s="352">
        <v>97</v>
      </c>
      <c r="R194" s="355">
        <v>11</v>
      </c>
      <c r="S194" s="352">
        <v>13</v>
      </c>
      <c r="T194" s="355">
        <v>61</v>
      </c>
      <c r="U194" s="352">
        <v>10</v>
      </c>
      <c r="V194" s="355"/>
      <c r="W194" s="352"/>
      <c r="X194" s="355"/>
      <c r="Y194" s="352"/>
      <c r="Z194" s="355"/>
      <c r="AA194" s="352"/>
      <c r="AB194" s="355"/>
      <c r="AC194" s="352"/>
      <c r="AD194" s="355"/>
      <c r="AE194" s="353"/>
    </row>
    <row r="195" spans="1:31">
      <c r="A195" s="145">
        <v>35</v>
      </c>
      <c r="B195" s="4" t="s">
        <v>236</v>
      </c>
      <c r="C195" s="10"/>
      <c r="D195" s="355"/>
      <c r="E195" s="352"/>
      <c r="F195" s="355"/>
      <c r="G195" s="352">
        <v>1</v>
      </c>
      <c r="H195" s="355"/>
      <c r="I195" s="352"/>
      <c r="J195" s="355"/>
      <c r="K195" s="352"/>
      <c r="L195" s="355"/>
      <c r="M195" s="352"/>
      <c r="N195" s="355"/>
      <c r="O195" s="352"/>
      <c r="P195" s="355">
        <v>1</v>
      </c>
      <c r="Q195" s="352">
        <v>6</v>
      </c>
      <c r="R195" s="355">
        <v>25</v>
      </c>
      <c r="S195" s="352"/>
      <c r="T195" s="355"/>
      <c r="U195" s="352"/>
      <c r="V195" s="355"/>
      <c r="W195" s="352"/>
      <c r="X195" s="355">
        <v>1</v>
      </c>
      <c r="Y195" s="352"/>
      <c r="Z195" s="355"/>
      <c r="AA195" s="352"/>
      <c r="AB195" s="355"/>
      <c r="AC195" s="352"/>
      <c r="AD195" s="355"/>
      <c r="AE195" s="353"/>
    </row>
    <row r="196" spans="1:31">
      <c r="A196" s="145">
        <v>36</v>
      </c>
      <c r="B196" s="4" t="s">
        <v>237</v>
      </c>
      <c r="C196" s="10"/>
      <c r="D196" s="355">
        <v>18</v>
      </c>
      <c r="E196" s="352">
        <v>3</v>
      </c>
      <c r="F196" s="355">
        <v>92</v>
      </c>
      <c r="G196" s="352">
        <v>39</v>
      </c>
      <c r="H196" s="355"/>
      <c r="I196" s="352">
        <v>6</v>
      </c>
      <c r="J196" s="355"/>
      <c r="K196" s="352"/>
      <c r="L196" s="355">
        <v>42</v>
      </c>
      <c r="M196" s="352">
        <v>32</v>
      </c>
      <c r="N196" s="355">
        <v>6</v>
      </c>
      <c r="O196" s="352">
        <v>6</v>
      </c>
      <c r="P196" s="355">
        <v>140</v>
      </c>
      <c r="Q196" s="352">
        <v>15</v>
      </c>
      <c r="R196" s="355">
        <v>14</v>
      </c>
      <c r="S196" s="352">
        <v>8</v>
      </c>
      <c r="T196" s="355">
        <v>110</v>
      </c>
      <c r="U196" s="352">
        <v>21</v>
      </c>
      <c r="V196" s="355"/>
      <c r="W196" s="352"/>
      <c r="X196" s="355"/>
      <c r="Y196" s="352"/>
      <c r="Z196" s="355"/>
      <c r="AA196" s="352"/>
      <c r="AB196" s="355"/>
      <c r="AC196" s="352"/>
      <c r="AD196" s="355">
        <v>3</v>
      </c>
      <c r="AE196" s="353"/>
    </row>
    <row r="197" spans="1:31">
      <c r="A197" s="145">
        <v>37</v>
      </c>
      <c r="B197" s="4" t="s">
        <v>238</v>
      </c>
      <c r="C197" s="10"/>
      <c r="D197" s="355"/>
      <c r="E197" s="354">
        <v>12</v>
      </c>
      <c r="F197" s="355">
        <v>203</v>
      </c>
      <c r="G197" s="354">
        <v>93</v>
      </c>
      <c r="H197" s="355">
        <v>6</v>
      </c>
      <c r="I197" s="354">
        <v>28</v>
      </c>
      <c r="J197" s="355">
        <v>13</v>
      </c>
      <c r="K197" s="354">
        <v>8</v>
      </c>
      <c r="L197" s="355">
        <v>7</v>
      </c>
      <c r="M197" s="354">
        <v>48</v>
      </c>
      <c r="N197" s="355">
        <v>23</v>
      </c>
      <c r="O197" s="354">
        <v>4</v>
      </c>
      <c r="P197" s="355">
        <v>442</v>
      </c>
      <c r="Q197" s="354">
        <v>601</v>
      </c>
      <c r="R197" s="355">
        <v>229</v>
      </c>
      <c r="S197" s="354">
        <v>761</v>
      </c>
      <c r="T197" s="355">
        <v>204</v>
      </c>
      <c r="U197" s="354">
        <v>285</v>
      </c>
      <c r="V197" s="355">
        <v>6</v>
      </c>
      <c r="W197" s="354">
        <v>18</v>
      </c>
      <c r="X197" s="355">
        <v>1</v>
      </c>
      <c r="Y197" s="354">
        <v>4</v>
      </c>
      <c r="Z197" s="355"/>
      <c r="AA197" s="354"/>
      <c r="AB197" s="355"/>
      <c r="AC197" s="354">
        <v>1</v>
      </c>
      <c r="AD197" s="355"/>
      <c r="AE197" s="353"/>
    </row>
    <row r="198" spans="1:31" ht="15">
      <c r="A198" s="145">
        <v>38</v>
      </c>
      <c r="B198" s="4" t="s">
        <v>239</v>
      </c>
      <c r="C198" s="248"/>
      <c r="D198" s="357"/>
      <c r="E198" s="354"/>
      <c r="F198" s="357">
        <v>6</v>
      </c>
      <c r="G198" s="354"/>
      <c r="H198" s="357"/>
      <c r="I198" s="354"/>
      <c r="J198" s="357"/>
      <c r="K198" s="354"/>
      <c r="L198" s="357"/>
      <c r="M198" s="354"/>
      <c r="N198" s="357"/>
      <c r="O198" s="354"/>
      <c r="P198" s="357">
        <v>12</v>
      </c>
      <c r="Q198" s="354"/>
      <c r="R198" s="357"/>
      <c r="S198" s="354"/>
      <c r="T198" s="357"/>
      <c r="U198" s="354"/>
      <c r="V198" s="357"/>
      <c r="W198" s="354"/>
      <c r="X198" s="357">
        <v>8</v>
      </c>
      <c r="Y198" s="354">
        <v>8</v>
      </c>
      <c r="Z198" s="357"/>
      <c r="AA198" s="354"/>
      <c r="AB198" s="357"/>
      <c r="AC198" s="354"/>
      <c r="AD198" s="357"/>
      <c r="AE198" s="353"/>
    </row>
    <row r="199" spans="1:31">
      <c r="A199" s="145">
        <v>39</v>
      </c>
      <c r="B199" s="4" t="s">
        <v>240</v>
      </c>
      <c r="C199" s="17"/>
      <c r="D199" s="355">
        <v>8</v>
      </c>
      <c r="E199" s="352">
        <v>26</v>
      </c>
      <c r="F199" s="355">
        <v>824</v>
      </c>
      <c r="G199" s="352">
        <v>404</v>
      </c>
      <c r="H199" s="355">
        <v>129</v>
      </c>
      <c r="I199" s="352">
        <v>106</v>
      </c>
      <c r="J199" s="355">
        <v>12</v>
      </c>
      <c r="K199" s="352">
        <v>5</v>
      </c>
      <c r="L199" s="355">
        <v>214</v>
      </c>
      <c r="M199" s="352">
        <v>216</v>
      </c>
      <c r="N199" s="355">
        <v>19</v>
      </c>
      <c r="O199" s="352">
        <v>58</v>
      </c>
      <c r="P199" s="355">
        <v>104</v>
      </c>
      <c r="Q199" s="352">
        <v>235</v>
      </c>
      <c r="R199" s="355">
        <v>15</v>
      </c>
      <c r="S199" s="352">
        <v>45</v>
      </c>
      <c r="T199" s="355">
        <v>40</v>
      </c>
      <c r="U199" s="352">
        <v>821</v>
      </c>
      <c r="V199" s="355">
        <v>2</v>
      </c>
      <c r="W199" s="352"/>
      <c r="X199" s="355">
        <v>3</v>
      </c>
      <c r="Y199" s="352">
        <v>2</v>
      </c>
      <c r="Z199" s="355">
        <v>1</v>
      </c>
      <c r="AA199" s="352"/>
      <c r="AB199" s="355">
        <v>2</v>
      </c>
      <c r="AC199" s="352">
        <v>6</v>
      </c>
      <c r="AD199" s="355">
        <v>10</v>
      </c>
      <c r="AE199" s="353">
        <v>17</v>
      </c>
    </row>
    <row r="200" spans="1:31">
      <c r="A200" s="145">
        <v>40</v>
      </c>
      <c r="B200" s="4" t="s">
        <v>241</v>
      </c>
      <c r="C200" s="10"/>
      <c r="D200" s="355">
        <v>64</v>
      </c>
      <c r="E200" s="352">
        <v>59</v>
      </c>
      <c r="F200" s="355">
        <v>392</v>
      </c>
      <c r="G200" s="352">
        <v>359</v>
      </c>
      <c r="H200" s="355">
        <v>49</v>
      </c>
      <c r="I200" s="352">
        <v>58</v>
      </c>
      <c r="J200" s="355">
        <v>7</v>
      </c>
      <c r="K200" s="352">
        <v>4</v>
      </c>
      <c r="L200" s="355">
        <v>41</v>
      </c>
      <c r="M200" s="352">
        <v>53</v>
      </c>
      <c r="N200" s="355">
        <v>18</v>
      </c>
      <c r="O200" s="352">
        <v>31</v>
      </c>
      <c r="P200" s="355">
        <v>71</v>
      </c>
      <c r="Q200" s="352">
        <v>11</v>
      </c>
      <c r="R200" s="355">
        <v>7</v>
      </c>
      <c r="S200" s="352">
        <v>8</v>
      </c>
      <c r="T200" s="355">
        <v>23</v>
      </c>
      <c r="U200" s="352">
        <v>4</v>
      </c>
      <c r="V200" s="355"/>
      <c r="W200" s="352"/>
      <c r="X200" s="355"/>
      <c r="Y200" s="352"/>
      <c r="Z200" s="355"/>
      <c r="AA200" s="352">
        <v>11</v>
      </c>
      <c r="AB200" s="355">
        <v>4</v>
      </c>
      <c r="AC200" s="352">
        <v>17</v>
      </c>
      <c r="AD200" s="355">
        <v>3</v>
      </c>
      <c r="AE200" s="353">
        <v>1</v>
      </c>
    </row>
    <row r="201" spans="1:31">
      <c r="A201" s="145">
        <v>41</v>
      </c>
      <c r="B201" s="4" t="s">
        <v>242</v>
      </c>
      <c r="C201" s="10"/>
      <c r="D201" s="355"/>
      <c r="E201" s="352"/>
      <c r="F201" s="355"/>
      <c r="G201" s="352"/>
      <c r="H201" s="355"/>
      <c r="I201" s="352"/>
      <c r="J201" s="355"/>
      <c r="K201" s="352"/>
      <c r="L201" s="355"/>
      <c r="M201" s="352"/>
      <c r="N201" s="355"/>
      <c r="O201" s="352"/>
      <c r="P201" s="355"/>
      <c r="Q201" s="352"/>
      <c r="R201" s="355"/>
      <c r="S201" s="352"/>
      <c r="T201" s="355"/>
      <c r="U201" s="352"/>
      <c r="V201" s="355"/>
      <c r="W201" s="352"/>
      <c r="X201" s="355"/>
      <c r="Y201" s="352"/>
      <c r="Z201" s="355"/>
      <c r="AA201" s="352"/>
      <c r="AB201" s="355"/>
      <c r="AC201" s="352"/>
      <c r="AD201" s="355"/>
      <c r="AE201" s="353"/>
    </row>
    <row r="202" spans="1:31">
      <c r="A202" s="145">
        <v>42</v>
      </c>
      <c r="B202" s="4" t="s">
        <v>243</v>
      </c>
      <c r="C202" s="10"/>
      <c r="D202" s="355"/>
      <c r="E202" s="352">
        <v>4</v>
      </c>
      <c r="F202" s="355">
        <v>2</v>
      </c>
      <c r="G202" s="352">
        <v>27</v>
      </c>
      <c r="H202" s="355"/>
      <c r="I202" s="352">
        <v>4</v>
      </c>
      <c r="J202" s="355"/>
      <c r="K202" s="352">
        <v>4</v>
      </c>
      <c r="L202" s="355"/>
      <c r="M202" s="352">
        <v>12</v>
      </c>
      <c r="N202" s="355"/>
      <c r="O202" s="352">
        <v>3</v>
      </c>
      <c r="P202" s="355">
        <v>27</v>
      </c>
      <c r="Q202" s="352">
        <v>104</v>
      </c>
      <c r="R202" s="355">
        <v>13</v>
      </c>
      <c r="S202" s="352">
        <v>93</v>
      </c>
      <c r="T202" s="355">
        <v>90</v>
      </c>
      <c r="U202" s="352">
        <v>35</v>
      </c>
      <c r="V202" s="355">
        <v>10</v>
      </c>
      <c r="W202" s="352"/>
      <c r="X202" s="355"/>
      <c r="Y202" s="352"/>
      <c r="Z202" s="355"/>
      <c r="AA202" s="352"/>
      <c r="AB202" s="355"/>
      <c r="AC202" s="352">
        <v>2</v>
      </c>
      <c r="AD202" s="355"/>
      <c r="AE202" s="353"/>
    </row>
    <row r="203" spans="1:31">
      <c r="A203" s="215"/>
      <c r="B203" s="203"/>
      <c r="C203" s="12"/>
      <c r="D203" s="363"/>
      <c r="E203" s="364"/>
      <c r="F203" s="363"/>
      <c r="G203" s="364"/>
      <c r="H203" s="363"/>
      <c r="I203" s="364"/>
      <c r="J203" s="363"/>
      <c r="K203" s="364"/>
      <c r="L203" s="363"/>
      <c r="M203" s="364"/>
      <c r="N203" s="363"/>
      <c r="O203" s="364"/>
      <c r="P203" s="363"/>
      <c r="Q203" s="364"/>
      <c r="R203" s="363"/>
      <c r="S203" s="364"/>
      <c r="T203" s="363"/>
      <c r="U203" s="364"/>
      <c r="V203" s="363"/>
      <c r="W203" s="364"/>
      <c r="X203" s="363"/>
      <c r="Y203" s="364"/>
      <c r="Z203" s="363"/>
      <c r="AA203" s="364"/>
      <c r="AB203" s="363"/>
      <c r="AC203" s="364"/>
      <c r="AD203" s="363"/>
      <c r="AE203" s="365"/>
    </row>
    <row r="204" spans="1:31" ht="15">
      <c r="A204" s="145" t="s">
        <v>298</v>
      </c>
      <c r="B204" s="4"/>
      <c r="C204" s="248"/>
      <c r="D204" s="359">
        <f>SUM(D192:D202)</f>
        <v>159</v>
      </c>
      <c r="E204" s="358">
        <f>SUM(E192:E202)</f>
        <v>136</v>
      </c>
      <c r="F204" s="375">
        <f t="shared" ref="F204:AE204" si="7">SUM(F192:F202)</f>
        <v>3303</v>
      </c>
      <c r="G204" s="358">
        <f t="shared" si="7"/>
        <v>1478</v>
      </c>
      <c r="H204" s="375">
        <f t="shared" si="7"/>
        <v>269</v>
      </c>
      <c r="I204" s="358">
        <f t="shared" si="7"/>
        <v>314</v>
      </c>
      <c r="J204" s="375">
        <f t="shared" si="7"/>
        <v>81</v>
      </c>
      <c r="K204" s="358">
        <f t="shared" si="7"/>
        <v>77</v>
      </c>
      <c r="L204" s="375">
        <f t="shared" si="7"/>
        <v>495</v>
      </c>
      <c r="M204" s="358">
        <f t="shared" si="7"/>
        <v>531</v>
      </c>
      <c r="N204" s="375">
        <f t="shared" si="7"/>
        <v>123</v>
      </c>
      <c r="O204" s="358">
        <f t="shared" si="7"/>
        <v>156</v>
      </c>
      <c r="P204" s="375">
        <f t="shared" si="7"/>
        <v>2147</v>
      </c>
      <c r="Q204" s="358">
        <f t="shared" si="7"/>
        <v>1927</v>
      </c>
      <c r="R204" s="375">
        <f t="shared" si="7"/>
        <v>666</v>
      </c>
      <c r="S204" s="358">
        <f t="shared" si="7"/>
        <v>1184</v>
      </c>
      <c r="T204" s="375">
        <f t="shared" si="7"/>
        <v>1125</v>
      </c>
      <c r="U204" s="358">
        <f t="shared" si="7"/>
        <v>1343</v>
      </c>
      <c r="V204" s="375">
        <f t="shared" si="7"/>
        <v>27</v>
      </c>
      <c r="W204" s="358">
        <f t="shared" si="7"/>
        <v>20</v>
      </c>
      <c r="X204" s="375">
        <f t="shared" si="7"/>
        <v>20</v>
      </c>
      <c r="Y204" s="358">
        <f t="shared" si="7"/>
        <v>32</v>
      </c>
      <c r="Z204" s="375">
        <f t="shared" si="7"/>
        <v>3</v>
      </c>
      <c r="AA204" s="358">
        <f t="shared" si="7"/>
        <v>14</v>
      </c>
      <c r="AB204" s="375">
        <f t="shared" si="7"/>
        <v>8</v>
      </c>
      <c r="AC204" s="358">
        <f t="shared" si="7"/>
        <v>31</v>
      </c>
      <c r="AD204" s="375">
        <f t="shared" si="7"/>
        <v>18</v>
      </c>
      <c r="AE204" s="377">
        <f t="shared" si="7"/>
        <v>21</v>
      </c>
    </row>
    <row r="205" spans="1:31" ht="15" thickBot="1">
      <c r="A205" s="217"/>
      <c r="B205" s="104"/>
      <c r="C205" s="257"/>
      <c r="D205" s="366"/>
      <c r="E205" s="367"/>
      <c r="F205" s="366"/>
      <c r="G205" s="367"/>
      <c r="H205" s="366"/>
      <c r="I205" s="367"/>
      <c r="J205" s="366"/>
      <c r="K205" s="367"/>
      <c r="L205" s="366"/>
      <c r="M205" s="367"/>
      <c r="N205" s="366"/>
      <c r="O205" s="367"/>
      <c r="P205" s="366"/>
      <c r="Q205" s="367"/>
      <c r="R205" s="366"/>
      <c r="S205" s="367"/>
      <c r="T205" s="366"/>
      <c r="U205" s="367"/>
      <c r="V205" s="366"/>
      <c r="W205" s="367"/>
      <c r="X205" s="366"/>
      <c r="Y205" s="367"/>
      <c r="Z205" s="366"/>
      <c r="AA205" s="367"/>
      <c r="AB205" s="366"/>
      <c r="AC205" s="367"/>
      <c r="AD205" s="366"/>
      <c r="AE205" s="368"/>
    </row>
    <row r="206" spans="1:31" ht="15" thickTop="1">
      <c r="A206" s="145"/>
      <c r="B206" s="4"/>
      <c r="C206" s="9"/>
      <c r="D206" s="369"/>
      <c r="E206" s="370"/>
      <c r="F206" s="369"/>
      <c r="G206" s="370"/>
      <c r="H206" s="369"/>
      <c r="I206" s="370"/>
      <c r="J206" s="369"/>
      <c r="K206" s="370"/>
      <c r="L206" s="369"/>
      <c r="M206" s="370"/>
      <c r="N206" s="369"/>
      <c r="O206" s="370"/>
      <c r="P206" s="369"/>
      <c r="Q206" s="370"/>
      <c r="R206" s="369"/>
      <c r="S206" s="370"/>
      <c r="T206" s="369"/>
      <c r="U206" s="370"/>
      <c r="V206" s="369"/>
      <c r="W206" s="370"/>
      <c r="X206" s="369"/>
      <c r="Y206" s="370"/>
      <c r="Z206" s="369"/>
      <c r="AA206" s="370"/>
      <c r="AB206" s="369"/>
      <c r="AC206" s="370"/>
      <c r="AD206" s="369"/>
      <c r="AE206" s="371"/>
    </row>
    <row r="207" spans="1:31">
      <c r="A207" s="145" t="s">
        <v>299</v>
      </c>
      <c r="B207" s="4"/>
      <c r="C207" s="10"/>
      <c r="D207" s="374">
        <f>D204+D189</f>
        <v>33881</v>
      </c>
      <c r="E207" s="379">
        <f t="shared" ref="E207:AE207" si="8">E204+E189</f>
        <v>16448</v>
      </c>
      <c r="F207" s="374">
        <f t="shared" si="8"/>
        <v>266180</v>
      </c>
      <c r="G207" s="379">
        <f t="shared" si="8"/>
        <v>74469</v>
      </c>
      <c r="H207" s="374">
        <f t="shared" si="8"/>
        <v>35969</v>
      </c>
      <c r="I207" s="379">
        <f t="shared" si="8"/>
        <v>26119</v>
      </c>
      <c r="J207" s="374">
        <f t="shared" si="8"/>
        <v>5788</v>
      </c>
      <c r="K207" s="379">
        <f t="shared" si="8"/>
        <v>3533</v>
      </c>
      <c r="L207" s="374">
        <f t="shared" si="8"/>
        <v>66243</v>
      </c>
      <c r="M207" s="379">
        <f t="shared" si="8"/>
        <v>49433</v>
      </c>
      <c r="N207" s="374">
        <f t="shared" si="8"/>
        <v>19714</v>
      </c>
      <c r="O207" s="379">
        <f t="shared" si="8"/>
        <v>18330</v>
      </c>
      <c r="P207" s="374">
        <f t="shared" si="8"/>
        <v>90916</v>
      </c>
      <c r="Q207" s="379">
        <f t="shared" si="8"/>
        <v>111923</v>
      </c>
      <c r="R207" s="374">
        <f t="shared" si="8"/>
        <v>107316</v>
      </c>
      <c r="S207" s="379">
        <f t="shared" si="8"/>
        <v>158907</v>
      </c>
      <c r="T207" s="374">
        <f t="shared" si="8"/>
        <v>38689</v>
      </c>
      <c r="U207" s="379">
        <f t="shared" si="8"/>
        <v>22444</v>
      </c>
      <c r="V207" s="374">
        <f t="shared" si="8"/>
        <v>1395</v>
      </c>
      <c r="W207" s="379">
        <f t="shared" si="8"/>
        <v>1039</v>
      </c>
      <c r="X207" s="374">
        <f t="shared" si="8"/>
        <v>10247</v>
      </c>
      <c r="Y207" s="379">
        <f t="shared" si="8"/>
        <v>3252</v>
      </c>
      <c r="Z207" s="374">
        <f t="shared" si="8"/>
        <v>434</v>
      </c>
      <c r="AA207" s="379">
        <f t="shared" si="8"/>
        <v>464</v>
      </c>
      <c r="AB207" s="374">
        <f t="shared" si="8"/>
        <v>1390</v>
      </c>
      <c r="AC207" s="379">
        <f t="shared" si="8"/>
        <v>998</v>
      </c>
      <c r="AD207" s="374">
        <f t="shared" si="8"/>
        <v>3306</v>
      </c>
      <c r="AE207" s="378">
        <f t="shared" si="8"/>
        <v>2306</v>
      </c>
    </row>
    <row r="208" spans="1:31" ht="15" thickBot="1">
      <c r="A208" s="217"/>
      <c r="B208" s="104"/>
      <c r="C208" s="251"/>
      <c r="D208" s="366"/>
      <c r="E208" s="367"/>
      <c r="F208" s="366"/>
      <c r="G208" s="367"/>
      <c r="H208" s="366"/>
      <c r="I208" s="367"/>
      <c r="J208" s="366"/>
      <c r="K208" s="367"/>
      <c r="L208" s="366"/>
      <c r="M208" s="367"/>
      <c r="N208" s="366"/>
      <c r="O208" s="367"/>
      <c r="P208" s="366"/>
      <c r="Q208" s="367"/>
      <c r="R208" s="366"/>
      <c r="S208" s="367"/>
      <c r="T208" s="366"/>
      <c r="U208" s="367"/>
      <c r="V208" s="366"/>
      <c r="W208" s="367"/>
      <c r="X208" s="366"/>
      <c r="Y208" s="367"/>
      <c r="Z208" s="366"/>
      <c r="AA208" s="367"/>
      <c r="AB208" s="366"/>
      <c r="AC208" s="367"/>
      <c r="AD208" s="366"/>
      <c r="AE208" s="368"/>
    </row>
    <row r="209" spans="1:31" ht="17" thickTop="1" thickBot="1">
      <c r="A209" s="226" t="s">
        <v>38</v>
      </c>
      <c r="B209" s="94"/>
      <c r="C209" s="10"/>
      <c r="D209" s="355"/>
      <c r="E209" s="352"/>
      <c r="F209" s="355"/>
      <c r="G209" s="352"/>
      <c r="H209" s="355"/>
      <c r="I209" s="352"/>
      <c r="J209" s="355"/>
      <c r="K209" s="352"/>
      <c r="L209" s="355"/>
      <c r="M209" s="352"/>
      <c r="N209" s="355"/>
      <c r="O209" s="352"/>
      <c r="P209" s="355"/>
      <c r="Q209" s="352"/>
      <c r="R209" s="355"/>
      <c r="S209" s="352"/>
      <c r="T209" s="355"/>
      <c r="U209" s="352"/>
      <c r="V209" s="355"/>
      <c r="W209" s="352"/>
      <c r="X209" s="355"/>
      <c r="Y209" s="352"/>
      <c r="Z209" s="355"/>
      <c r="AA209" s="352"/>
      <c r="AB209" s="355"/>
      <c r="AC209" s="352"/>
      <c r="AD209" s="355"/>
      <c r="AE209" s="353"/>
    </row>
    <row r="210" spans="1:31">
      <c r="A210" s="145">
        <v>1</v>
      </c>
      <c r="B210" s="4" t="s">
        <v>244</v>
      </c>
      <c r="C210" s="277"/>
      <c r="D210" s="357">
        <v>161</v>
      </c>
      <c r="E210" s="354">
        <v>327</v>
      </c>
      <c r="F210" s="357">
        <v>1398</v>
      </c>
      <c r="G210" s="354">
        <v>1502</v>
      </c>
      <c r="H210" s="357">
        <v>1136</v>
      </c>
      <c r="I210" s="354">
        <v>467</v>
      </c>
      <c r="J210" s="357"/>
      <c r="K210" s="354">
        <v>14</v>
      </c>
      <c r="L210" s="357">
        <v>475</v>
      </c>
      <c r="M210" s="354">
        <v>639</v>
      </c>
      <c r="N210" s="357">
        <v>161</v>
      </c>
      <c r="O210" s="354">
        <v>201</v>
      </c>
      <c r="P210" s="357">
        <v>7725</v>
      </c>
      <c r="Q210" s="354">
        <v>10572</v>
      </c>
      <c r="R210" s="357">
        <v>5765</v>
      </c>
      <c r="S210" s="354">
        <v>4046</v>
      </c>
      <c r="T210" s="357">
        <v>1752</v>
      </c>
      <c r="U210" s="354">
        <v>3356</v>
      </c>
      <c r="V210" s="357">
        <v>87</v>
      </c>
      <c r="W210" s="354">
        <v>51</v>
      </c>
      <c r="X210" s="357">
        <v>7</v>
      </c>
      <c r="Y210" s="354">
        <v>25</v>
      </c>
      <c r="Z210" s="357"/>
      <c r="AA210" s="354"/>
      <c r="AB210" s="357"/>
      <c r="AC210" s="354"/>
      <c r="AD210" s="357">
        <v>43</v>
      </c>
      <c r="AE210" s="353">
        <v>46</v>
      </c>
    </row>
    <row r="211" spans="1:31">
      <c r="A211" s="145">
        <v>2</v>
      </c>
      <c r="B211" s="4" t="s">
        <v>245</v>
      </c>
      <c r="C211" s="17"/>
      <c r="D211" s="355">
        <v>6714</v>
      </c>
      <c r="E211" s="352">
        <v>6358</v>
      </c>
      <c r="F211" s="355">
        <v>108736</v>
      </c>
      <c r="G211" s="352">
        <v>35441</v>
      </c>
      <c r="H211" s="355">
        <v>1100</v>
      </c>
      <c r="I211" s="352">
        <v>1626</v>
      </c>
      <c r="J211" s="355">
        <v>406</v>
      </c>
      <c r="K211" s="352">
        <v>105</v>
      </c>
      <c r="L211" s="355">
        <v>7521</v>
      </c>
      <c r="M211" s="352">
        <v>4330</v>
      </c>
      <c r="N211" s="355">
        <v>1254</v>
      </c>
      <c r="O211" s="352">
        <v>1728</v>
      </c>
      <c r="P211" s="355">
        <v>11</v>
      </c>
      <c r="Q211" s="352">
        <v>11</v>
      </c>
      <c r="R211" s="355">
        <v>1</v>
      </c>
      <c r="S211" s="352"/>
      <c r="T211" s="355"/>
      <c r="U211" s="352">
        <v>4</v>
      </c>
      <c r="V211" s="355"/>
      <c r="W211" s="352"/>
      <c r="X211" s="355"/>
      <c r="Y211" s="352"/>
      <c r="Z211" s="355">
        <v>10</v>
      </c>
      <c r="AA211" s="352">
        <v>8</v>
      </c>
      <c r="AB211" s="355">
        <v>38</v>
      </c>
      <c r="AC211" s="352">
        <v>46</v>
      </c>
      <c r="AD211" s="355">
        <v>52</v>
      </c>
      <c r="AE211" s="353">
        <v>21</v>
      </c>
    </row>
    <row r="212" spans="1:31">
      <c r="A212" s="145">
        <v>3</v>
      </c>
      <c r="B212" s="4" t="s">
        <v>246</v>
      </c>
      <c r="C212" s="10"/>
      <c r="D212" s="355">
        <v>2539</v>
      </c>
      <c r="E212" s="352">
        <v>2506</v>
      </c>
      <c r="F212" s="355">
        <v>15737</v>
      </c>
      <c r="G212" s="352">
        <v>5895</v>
      </c>
      <c r="H212" s="355">
        <v>927</v>
      </c>
      <c r="I212" s="352">
        <v>350</v>
      </c>
      <c r="J212" s="355">
        <v>178</v>
      </c>
      <c r="K212" s="352">
        <v>165</v>
      </c>
      <c r="L212" s="355">
        <v>1631</v>
      </c>
      <c r="M212" s="352">
        <v>1919</v>
      </c>
      <c r="N212" s="355">
        <v>218</v>
      </c>
      <c r="O212" s="352">
        <v>338</v>
      </c>
      <c r="P212" s="355">
        <v>90</v>
      </c>
      <c r="Q212" s="352">
        <v>235</v>
      </c>
      <c r="R212" s="355">
        <v>1</v>
      </c>
      <c r="S212" s="352">
        <v>14</v>
      </c>
      <c r="T212" s="355">
        <v>6</v>
      </c>
      <c r="U212" s="352">
        <v>7</v>
      </c>
      <c r="V212" s="355">
        <v>13</v>
      </c>
      <c r="W212" s="352"/>
      <c r="X212" s="355"/>
      <c r="Y212" s="352"/>
      <c r="Z212" s="355">
        <v>34</v>
      </c>
      <c r="AA212" s="352">
        <v>81</v>
      </c>
      <c r="AB212" s="355">
        <v>3</v>
      </c>
      <c r="AC212" s="352">
        <v>32</v>
      </c>
      <c r="AD212" s="355">
        <v>415</v>
      </c>
      <c r="AE212" s="353">
        <v>379</v>
      </c>
    </row>
    <row r="213" spans="1:31">
      <c r="A213" s="145">
        <v>4</v>
      </c>
      <c r="B213" s="4" t="s">
        <v>247</v>
      </c>
      <c r="C213" s="10"/>
      <c r="D213" s="355">
        <v>554</v>
      </c>
      <c r="E213" s="352">
        <v>474</v>
      </c>
      <c r="F213" s="355">
        <v>4367</v>
      </c>
      <c r="G213" s="352">
        <v>1743</v>
      </c>
      <c r="H213" s="355">
        <v>404</v>
      </c>
      <c r="I213" s="352">
        <v>518</v>
      </c>
      <c r="J213" s="355">
        <v>96</v>
      </c>
      <c r="K213" s="352">
        <v>78</v>
      </c>
      <c r="L213" s="355">
        <v>605</v>
      </c>
      <c r="M213" s="352">
        <v>722</v>
      </c>
      <c r="N213" s="355">
        <v>190</v>
      </c>
      <c r="O213" s="352">
        <v>269</v>
      </c>
      <c r="P213" s="355">
        <v>3</v>
      </c>
      <c r="Q213" s="352">
        <v>2</v>
      </c>
      <c r="R213" s="355"/>
      <c r="S213" s="352"/>
      <c r="T213" s="355"/>
      <c r="U213" s="352"/>
      <c r="V213" s="355"/>
      <c r="W213" s="352"/>
      <c r="X213" s="355"/>
      <c r="Y213" s="352"/>
      <c r="Z213" s="355">
        <v>18</v>
      </c>
      <c r="AA213" s="352">
        <v>8</v>
      </c>
      <c r="AB213" s="355"/>
      <c r="AC213" s="352"/>
      <c r="AD213" s="355"/>
      <c r="AE213" s="353">
        <v>82</v>
      </c>
    </row>
    <row r="214" spans="1:31">
      <c r="A214" s="145">
        <v>5</v>
      </c>
      <c r="B214" s="4" t="s">
        <v>248</v>
      </c>
      <c r="C214" s="10"/>
      <c r="D214" s="355">
        <v>3962</v>
      </c>
      <c r="E214" s="352">
        <v>1822</v>
      </c>
      <c r="F214" s="355">
        <v>61981</v>
      </c>
      <c r="G214" s="352">
        <v>16991</v>
      </c>
      <c r="H214" s="355">
        <v>1335</v>
      </c>
      <c r="I214" s="352">
        <v>995</v>
      </c>
      <c r="J214" s="355">
        <v>371</v>
      </c>
      <c r="K214" s="352">
        <v>86</v>
      </c>
      <c r="L214" s="355">
        <v>8266</v>
      </c>
      <c r="M214" s="352">
        <v>2747</v>
      </c>
      <c r="N214" s="355">
        <v>1333</v>
      </c>
      <c r="O214" s="352">
        <v>1292</v>
      </c>
      <c r="P214" s="355">
        <v>89</v>
      </c>
      <c r="Q214" s="352">
        <v>259</v>
      </c>
      <c r="R214" s="355">
        <v>9</v>
      </c>
      <c r="S214" s="352">
        <v>9</v>
      </c>
      <c r="T214" s="355">
        <v>14</v>
      </c>
      <c r="U214" s="352">
        <v>6</v>
      </c>
      <c r="V214" s="355"/>
      <c r="W214" s="352"/>
      <c r="X214" s="355"/>
      <c r="Y214" s="352"/>
      <c r="Z214" s="355">
        <v>41</v>
      </c>
      <c r="AA214" s="352">
        <v>42</v>
      </c>
      <c r="AB214" s="355">
        <v>124</v>
      </c>
      <c r="AC214" s="352">
        <v>121</v>
      </c>
      <c r="AD214" s="355">
        <v>779</v>
      </c>
      <c r="AE214" s="353">
        <v>60</v>
      </c>
    </row>
    <row r="215" spans="1:31">
      <c r="A215" s="145">
        <v>6</v>
      </c>
      <c r="B215" s="4" t="s">
        <v>249</v>
      </c>
      <c r="C215" s="10"/>
      <c r="D215" s="355">
        <v>7228</v>
      </c>
      <c r="E215" s="352">
        <v>5420</v>
      </c>
      <c r="F215" s="355">
        <v>91613</v>
      </c>
      <c r="G215" s="352">
        <v>27341</v>
      </c>
      <c r="H215" s="355">
        <v>3699</v>
      </c>
      <c r="I215" s="352">
        <v>2585</v>
      </c>
      <c r="J215" s="355">
        <v>570</v>
      </c>
      <c r="K215" s="352">
        <v>399</v>
      </c>
      <c r="L215" s="355">
        <v>12156</v>
      </c>
      <c r="M215" s="352">
        <v>9905</v>
      </c>
      <c r="N215" s="355">
        <v>1462</v>
      </c>
      <c r="O215" s="352">
        <v>1726</v>
      </c>
      <c r="P215" s="355">
        <v>315</v>
      </c>
      <c r="Q215" s="352">
        <v>388</v>
      </c>
      <c r="R215" s="355">
        <v>45</v>
      </c>
      <c r="S215" s="352">
        <v>87</v>
      </c>
      <c r="T215" s="355">
        <v>57</v>
      </c>
      <c r="U215" s="352">
        <v>49</v>
      </c>
      <c r="V215" s="355">
        <v>3</v>
      </c>
      <c r="W215" s="352">
        <v>4</v>
      </c>
      <c r="X215" s="355">
        <v>1</v>
      </c>
      <c r="Y215" s="352">
        <v>4</v>
      </c>
      <c r="Z215" s="355"/>
      <c r="AA215" s="352"/>
      <c r="AB215" s="355">
        <v>272</v>
      </c>
      <c r="AC215" s="352">
        <v>213</v>
      </c>
      <c r="AD215" s="355">
        <v>936</v>
      </c>
      <c r="AE215" s="353">
        <v>287</v>
      </c>
    </row>
    <row r="216" spans="1:31" ht="15">
      <c r="A216" s="145">
        <v>7</v>
      </c>
      <c r="B216" s="4" t="s">
        <v>250</v>
      </c>
      <c r="C216" s="248"/>
      <c r="D216" s="357">
        <v>2383</v>
      </c>
      <c r="E216" s="354">
        <v>580</v>
      </c>
      <c r="F216" s="357">
        <v>9025</v>
      </c>
      <c r="G216" s="354">
        <v>1861</v>
      </c>
      <c r="H216" s="357">
        <v>2221</v>
      </c>
      <c r="I216" s="354">
        <v>863</v>
      </c>
      <c r="J216" s="357">
        <v>1384</v>
      </c>
      <c r="K216" s="354">
        <v>142</v>
      </c>
      <c r="L216" s="357">
        <v>3372</v>
      </c>
      <c r="M216" s="354">
        <v>1314</v>
      </c>
      <c r="N216" s="357">
        <v>741</v>
      </c>
      <c r="O216" s="354">
        <v>559</v>
      </c>
      <c r="P216" s="357">
        <v>97</v>
      </c>
      <c r="Q216" s="354">
        <v>19</v>
      </c>
      <c r="R216" s="357">
        <v>13</v>
      </c>
      <c r="S216" s="354">
        <v>12</v>
      </c>
      <c r="T216" s="357">
        <v>16</v>
      </c>
      <c r="U216" s="354">
        <v>7</v>
      </c>
      <c r="V216" s="357">
        <v>35</v>
      </c>
      <c r="W216" s="354">
        <v>1</v>
      </c>
      <c r="X216" s="357"/>
      <c r="Y216" s="354"/>
      <c r="Z216" s="357">
        <v>45</v>
      </c>
      <c r="AA216" s="354"/>
      <c r="AB216" s="357">
        <v>10</v>
      </c>
      <c r="AC216" s="354">
        <v>10</v>
      </c>
      <c r="AD216" s="357">
        <v>91</v>
      </c>
      <c r="AE216" s="353">
        <v>29</v>
      </c>
    </row>
    <row r="217" spans="1:31">
      <c r="A217" s="224">
        <v>8</v>
      </c>
      <c r="B217" s="113" t="s">
        <v>251</v>
      </c>
      <c r="C217" s="17"/>
      <c r="D217" s="355">
        <v>11799</v>
      </c>
      <c r="E217" s="352">
        <v>6509</v>
      </c>
      <c r="F217" s="355">
        <v>126753</v>
      </c>
      <c r="G217" s="352">
        <v>38697</v>
      </c>
      <c r="H217" s="355">
        <v>5002</v>
      </c>
      <c r="I217" s="352">
        <v>2375</v>
      </c>
      <c r="J217" s="355">
        <v>1514</v>
      </c>
      <c r="K217" s="352">
        <v>572</v>
      </c>
      <c r="L217" s="355">
        <v>15872</v>
      </c>
      <c r="M217" s="352">
        <v>8851</v>
      </c>
      <c r="N217" s="355">
        <v>4037</v>
      </c>
      <c r="O217" s="352">
        <v>3374</v>
      </c>
      <c r="P217" s="355">
        <v>595</v>
      </c>
      <c r="Q217" s="352">
        <v>351</v>
      </c>
      <c r="R217" s="355">
        <v>44</v>
      </c>
      <c r="S217" s="352">
        <v>18</v>
      </c>
      <c r="T217" s="355">
        <v>64</v>
      </c>
      <c r="U217" s="352">
        <v>121</v>
      </c>
      <c r="V217" s="355">
        <v>13</v>
      </c>
      <c r="W217" s="352">
        <v>1</v>
      </c>
      <c r="X217" s="355">
        <v>2</v>
      </c>
      <c r="Y217" s="352"/>
      <c r="Z217" s="355">
        <v>86</v>
      </c>
      <c r="AA217" s="352">
        <v>269</v>
      </c>
      <c r="AB217" s="355">
        <v>658</v>
      </c>
      <c r="AC217" s="352">
        <v>831</v>
      </c>
      <c r="AD217" s="355">
        <v>3324</v>
      </c>
      <c r="AE217" s="353">
        <v>174</v>
      </c>
    </row>
    <row r="218" spans="1:31">
      <c r="A218" s="224">
        <v>9</v>
      </c>
      <c r="B218" s="113" t="s">
        <v>252</v>
      </c>
      <c r="C218" s="10"/>
      <c r="D218" s="355">
        <v>6773</v>
      </c>
      <c r="E218" s="352">
        <v>1551</v>
      </c>
      <c r="F218" s="355">
        <v>32006</v>
      </c>
      <c r="G218" s="352">
        <v>7191</v>
      </c>
      <c r="H218" s="355">
        <v>5773</v>
      </c>
      <c r="I218" s="352">
        <v>1799</v>
      </c>
      <c r="J218" s="355">
        <v>2301</v>
      </c>
      <c r="K218" s="352">
        <v>317</v>
      </c>
      <c r="L218" s="355">
        <v>8391</v>
      </c>
      <c r="M218" s="352">
        <v>5490</v>
      </c>
      <c r="N218" s="355">
        <v>3806</v>
      </c>
      <c r="O218" s="352">
        <v>2691</v>
      </c>
      <c r="P218" s="355">
        <v>969</v>
      </c>
      <c r="Q218" s="352">
        <v>386</v>
      </c>
      <c r="R218" s="355">
        <v>196</v>
      </c>
      <c r="S218" s="352">
        <v>71</v>
      </c>
      <c r="T218" s="355">
        <v>329</v>
      </c>
      <c r="U218" s="352">
        <v>64</v>
      </c>
      <c r="V218" s="355">
        <v>19</v>
      </c>
      <c r="W218" s="352">
        <v>8</v>
      </c>
      <c r="X218" s="355">
        <v>26</v>
      </c>
      <c r="Y218" s="352">
        <v>6</v>
      </c>
      <c r="Z218" s="355">
        <v>296</v>
      </c>
      <c r="AA218" s="352">
        <v>75</v>
      </c>
      <c r="AB218" s="355">
        <v>192</v>
      </c>
      <c r="AC218" s="352">
        <v>65</v>
      </c>
      <c r="AD218" s="355">
        <v>437</v>
      </c>
      <c r="AE218" s="353">
        <v>76</v>
      </c>
    </row>
    <row r="219" spans="1:31">
      <c r="A219" s="224">
        <v>10</v>
      </c>
      <c r="B219" s="113" t="s">
        <v>253</v>
      </c>
      <c r="C219" s="10"/>
      <c r="D219" s="355">
        <v>12641</v>
      </c>
      <c r="E219" s="352">
        <v>3653</v>
      </c>
      <c r="F219" s="355">
        <v>104603</v>
      </c>
      <c r="G219" s="352">
        <v>19633</v>
      </c>
      <c r="H219" s="355">
        <v>4408</v>
      </c>
      <c r="I219" s="352">
        <v>2270</v>
      </c>
      <c r="J219" s="355">
        <v>1490</v>
      </c>
      <c r="K219" s="352">
        <v>1179</v>
      </c>
      <c r="L219" s="355">
        <v>8833</v>
      </c>
      <c r="M219" s="352">
        <v>10458</v>
      </c>
      <c r="N219" s="355">
        <v>4648</v>
      </c>
      <c r="O219" s="352">
        <v>5145</v>
      </c>
      <c r="P219" s="355">
        <v>3204</v>
      </c>
      <c r="Q219" s="352">
        <v>1797</v>
      </c>
      <c r="R219" s="355">
        <v>194</v>
      </c>
      <c r="S219" s="352">
        <v>120</v>
      </c>
      <c r="T219" s="355">
        <v>317</v>
      </c>
      <c r="U219" s="352">
        <v>926</v>
      </c>
      <c r="V219" s="355">
        <v>15</v>
      </c>
      <c r="W219" s="352">
        <v>7</v>
      </c>
      <c r="X219" s="355">
        <v>5</v>
      </c>
      <c r="Y219" s="352">
        <v>4</v>
      </c>
      <c r="Z219" s="355">
        <v>206</v>
      </c>
      <c r="AA219" s="352">
        <v>111</v>
      </c>
      <c r="AB219" s="355">
        <v>776</v>
      </c>
      <c r="AC219" s="352">
        <v>281</v>
      </c>
      <c r="AD219" s="355">
        <v>1403</v>
      </c>
      <c r="AE219" s="353">
        <v>655</v>
      </c>
    </row>
    <row r="220" spans="1:31">
      <c r="A220" s="228">
        <v>11</v>
      </c>
      <c r="B220" s="236" t="s">
        <v>254</v>
      </c>
      <c r="C220" s="10"/>
      <c r="D220" s="355">
        <v>6584</v>
      </c>
      <c r="E220" s="352">
        <v>4029</v>
      </c>
      <c r="F220" s="355">
        <v>69758</v>
      </c>
      <c r="G220" s="352">
        <v>26251</v>
      </c>
      <c r="H220" s="355">
        <v>1331</v>
      </c>
      <c r="I220" s="352">
        <v>2369</v>
      </c>
      <c r="J220" s="355">
        <v>96</v>
      </c>
      <c r="K220" s="352">
        <v>61</v>
      </c>
      <c r="L220" s="355">
        <v>2796</v>
      </c>
      <c r="M220" s="352">
        <v>2567</v>
      </c>
      <c r="N220" s="355">
        <v>820</v>
      </c>
      <c r="O220" s="352">
        <v>977</v>
      </c>
      <c r="P220" s="355">
        <v>164</v>
      </c>
      <c r="Q220" s="352">
        <v>302</v>
      </c>
      <c r="R220" s="355">
        <v>6</v>
      </c>
      <c r="S220" s="352">
        <v>18</v>
      </c>
      <c r="T220" s="355">
        <v>15</v>
      </c>
      <c r="U220" s="352">
        <v>18</v>
      </c>
      <c r="V220" s="355">
        <v>1</v>
      </c>
      <c r="W220" s="352">
        <v>50</v>
      </c>
      <c r="X220" s="355">
        <v>4</v>
      </c>
      <c r="Y220" s="352">
        <v>1</v>
      </c>
      <c r="Z220" s="355">
        <v>174</v>
      </c>
      <c r="AA220" s="352">
        <v>134</v>
      </c>
      <c r="AB220" s="355">
        <v>47</v>
      </c>
      <c r="AC220" s="352">
        <v>103</v>
      </c>
      <c r="AD220" s="355">
        <v>1064</v>
      </c>
      <c r="AE220" s="353">
        <v>412</v>
      </c>
    </row>
    <row r="221" spans="1:31">
      <c r="A221" s="228">
        <v>12</v>
      </c>
      <c r="B221" s="236" t="s">
        <v>255</v>
      </c>
      <c r="C221" s="10"/>
      <c r="D221" s="355">
        <v>6566</v>
      </c>
      <c r="E221" s="352">
        <v>3422</v>
      </c>
      <c r="F221" s="355">
        <v>71121</v>
      </c>
      <c r="G221" s="352">
        <v>19154</v>
      </c>
      <c r="H221" s="355">
        <v>2694</v>
      </c>
      <c r="I221" s="352">
        <v>2305</v>
      </c>
      <c r="J221" s="355">
        <v>281</v>
      </c>
      <c r="K221" s="352">
        <v>122</v>
      </c>
      <c r="L221" s="355">
        <v>7234</v>
      </c>
      <c r="M221" s="352">
        <v>4273</v>
      </c>
      <c r="N221" s="355">
        <v>2854</v>
      </c>
      <c r="O221" s="352">
        <v>2614</v>
      </c>
      <c r="P221" s="355">
        <v>5420</v>
      </c>
      <c r="Q221" s="352">
        <v>4844</v>
      </c>
      <c r="R221" s="355">
        <v>1194</v>
      </c>
      <c r="S221" s="352">
        <v>888</v>
      </c>
      <c r="T221" s="355">
        <v>682</v>
      </c>
      <c r="U221" s="352">
        <v>143</v>
      </c>
      <c r="V221" s="355">
        <v>53</v>
      </c>
      <c r="W221" s="352">
        <v>7</v>
      </c>
      <c r="X221" s="355">
        <v>25</v>
      </c>
      <c r="Y221" s="352">
        <v>39</v>
      </c>
      <c r="Z221" s="355">
        <v>95</v>
      </c>
      <c r="AA221" s="352">
        <v>126</v>
      </c>
      <c r="AB221" s="355">
        <v>346</v>
      </c>
      <c r="AC221" s="352">
        <v>191</v>
      </c>
      <c r="AD221" s="355">
        <v>1676</v>
      </c>
      <c r="AE221" s="353">
        <v>234</v>
      </c>
    </row>
    <row r="222" spans="1:31" ht="15">
      <c r="A222" s="228">
        <v>13</v>
      </c>
      <c r="B222" s="236" t="s">
        <v>256</v>
      </c>
      <c r="C222" s="248"/>
      <c r="D222" s="357">
        <v>4567</v>
      </c>
      <c r="E222" s="354">
        <v>1619</v>
      </c>
      <c r="F222" s="357">
        <v>46790</v>
      </c>
      <c r="G222" s="354">
        <v>7111</v>
      </c>
      <c r="H222" s="357">
        <v>483</v>
      </c>
      <c r="I222" s="354">
        <v>491</v>
      </c>
      <c r="J222" s="357">
        <v>40</v>
      </c>
      <c r="K222" s="354">
        <v>65</v>
      </c>
      <c r="L222" s="357">
        <v>2291</v>
      </c>
      <c r="M222" s="354">
        <v>1300</v>
      </c>
      <c r="N222" s="357">
        <v>1103</v>
      </c>
      <c r="O222" s="354">
        <v>938</v>
      </c>
      <c r="P222" s="357">
        <v>14311</v>
      </c>
      <c r="Q222" s="354">
        <v>21951</v>
      </c>
      <c r="R222" s="357">
        <v>940</v>
      </c>
      <c r="S222" s="354">
        <v>1045</v>
      </c>
      <c r="T222" s="357">
        <v>427</v>
      </c>
      <c r="U222" s="354">
        <v>872</v>
      </c>
      <c r="V222" s="357">
        <v>67</v>
      </c>
      <c r="W222" s="354">
        <v>23</v>
      </c>
      <c r="X222" s="357">
        <v>127</v>
      </c>
      <c r="Y222" s="354">
        <v>32</v>
      </c>
      <c r="Z222" s="357">
        <v>90</v>
      </c>
      <c r="AA222" s="354">
        <v>79</v>
      </c>
      <c r="AB222" s="357">
        <v>153</v>
      </c>
      <c r="AC222" s="354">
        <v>63</v>
      </c>
      <c r="AD222" s="357">
        <v>667</v>
      </c>
      <c r="AE222" s="353">
        <v>46</v>
      </c>
    </row>
    <row r="223" spans="1:31">
      <c r="A223" s="228">
        <v>14</v>
      </c>
      <c r="B223" s="236" t="s">
        <v>257</v>
      </c>
      <c r="C223" s="17"/>
      <c r="D223" s="355">
        <v>13184</v>
      </c>
      <c r="E223" s="352">
        <v>5825</v>
      </c>
      <c r="F223" s="355">
        <v>186580</v>
      </c>
      <c r="G223" s="352">
        <v>43475</v>
      </c>
      <c r="H223" s="355">
        <v>2161</v>
      </c>
      <c r="I223" s="352">
        <v>2822</v>
      </c>
      <c r="J223" s="355">
        <v>370</v>
      </c>
      <c r="K223" s="352">
        <v>390</v>
      </c>
      <c r="L223" s="355">
        <v>13649</v>
      </c>
      <c r="M223" s="352">
        <v>6044</v>
      </c>
      <c r="N223" s="355">
        <v>4483</v>
      </c>
      <c r="O223" s="352">
        <v>3941</v>
      </c>
      <c r="P223" s="355">
        <v>1772</v>
      </c>
      <c r="Q223" s="352">
        <v>2685</v>
      </c>
      <c r="R223" s="355">
        <v>191</v>
      </c>
      <c r="S223" s="352">
        <v>109</v>
      </c>
      <c r="T223" s="355">
        <v>339</v>
      </c>
      <c r="U223" s="352">
        <v>121</v>
      </c>
      <c r="V223" s="355">
        <v>24</v>
      </c>
      <c r="W223" s="352">
        <v>7</v>
      </c>
      <c r="X223" s="355">
        <v>13</v>
      </c>
      <c r="Y223" s="352">
        <v>6</v>
      </c>
      <c r="Z223" s="355">
        <v>165</v>
      </c>
      <c r="AA223" s="352">
        <v>103</v>
      </c>
      <c r="AB223" s="355">
        <v>602</v>
      </c>
      <c r="AC223" s="352">
        <v>219</v>
      </c>
      <c r="AD223" s="355">
        <v>7618</v>
      </c>
      <c r="AE223" s="353">
        <v>855</v>
      </c>
    </row>
    <row r="224" spans="1:31">
      <c r="A224" s="228">
        <v>15</v>
      </c>
      <c r="B224" s="236" t="s">
        <v>258</v>
      </c>
      <c r="C224" s="10"/>
      <c r="D224" s="355">
        <v>2442</v>
      </c>
      <c r="E224" s="352">
        <v>863</v>
      </c>
      <c r="F224" s="355">
        <v>43835</v>
      </c>
      <c r="G224" s="352">
        <v>4341</v>
      </c>
      <c r="H224" s="355">
        <v>820</v>
      </c>
      <c r="I224" s="352">
        <v>485</v>
      </c>
      <c r="J224" s="355">
        <v>99</v>
      </c>
      <c r="K224" s="352">
        <v>16</v>
      </c>
      <c r="L224" s="355">
        <v>2682</v>
      </c>
      <c r="M224" s="352">
        <v>1281</v>
      </c>
      <c r="N224" s="355">
        <v>766</v>
      </c>
      <c r="O224" s="352">
        <v>522</v>
      </c>
      <c r="P224" s="355">
        <v>2425</v>
      </c>
      <c r="Q224" s="352">
        <v>2438</v>
      </c>
      <c r="R224" s="355">
        <v>160</v>
      </c>
      <c r="S224" s="352">
        <v>224</v>
      </c>
      <c r="T224" s="355">
        <v>356</v>
      </c>
      <c r="U224" s="352">
        <v>145</v>
      </c>
      <c r="V224" s="355">
        <v>29</v>
      </c>
      <c r="W224" s="352">
        <v>14</v>
      </c>
      <c r="X224" s="355">
        <v>12</v>
      </c>
      <c r="Y224" s="352">
        <v>4</v>
      </c>
      <c r="Z224" s="355">
        <v>12</v>
      </c>
      <c r="AA224" s="352">
        <v>29</v>
      </c>
      <c r="AB224" s="355">
        <v>70</v>
      </c>
      <c r="AC224" s="352">
        <v>107</v>
      </c>
      <c r="AD224" s="355"/>
      <c r="AE224" s="353"/>
    </row>
    <row r="225" spans="1:31">
      <c r="A225" s="228">
        <v>16</v>
      </c>
      <c r="B225" s="236" t="s">
        <v>259</v>
      </c>
      <c r="C225" s="10"/>
      <c r="D225" s="355">
        <v>17551</v>
      </c>
      <c r="E225" s="352">
        <v>10201</v>
      </c>
      <c r="F225" s="355">
        <v>185236</v>
      </c>
      <c r="G225" s="352">
        <v>61128</v>
      </c>
      <c r="H225" s="355">
        <v>5065</v>
      </c>
      <c r="I225" s="352">
        <v>3616</v>
      </c>
      <c r="J225" s="355">
        <v>1066</v>
      </c>
      <c r="K225" s="352">
        <v>696</v>
      </c>
      <c r="L225" s="355">
        <v>17890</v>
      </c>
      <c r="M225" s="352">
        <v>23715</v>
      </c>
      <c r="N225" s="355">
        <v>6485</v>
      </c>
      <c r="O225" s="352">
        <v>7817</v>
      </c>
      <c r="P225" s="355">
        <v>3011</v>
      </c>
      <c r="Q225" s="352">
        <v>1787</v>
      </c>
      <c r="R225" s="355">
        <v>381</v>
      </c>
      <c r="S225" s="352">
        <v>112</v>
      </c>
      <c r="T225" s="355">
        <v>288</v>
      </c>
      <c r="U225" s="352">
        <v>258</v>
      </c>
      <c r="V225" s="355">
        <v>36</v>
      </c>
      <c r="W225" s="352">
        <v>6</v>
      </c>
      <c r="X225" s="355">
        <v>12</v>
      </c>
      <c r="Y225" s="352">
        <v>7</v>
      </c>
      <c r="Z225" s="355">
        <v>676</v>
      </c>
      <c r="AA225" s="352">
        <v>370</v>
      </c>
      <c r="AB225" s="355">
        <v>929</v>
      </c>
      <c r="AC225" s="352">
        <v>692</v>
      </c>
      <c r="AD225" s="355">
        <v>1467</v>
      </c>
      <c r="AE225" s="353">
        <v>622</v>
      </c>
    </row>
    <row r="226" spans="1:31">
      <c r="A226" s="228">
        <v>17</v>
      </c>
      <c r="B226" s="236" t="s">
        <v>260</v>
      </c>
      <c r="C226" s="10"/>
      <c r="D226" s="355">
        <v>18914</v>
      </c>
      <c r="E226" s="352">
        <v>19237</v>
      </c>
      <c r="F226" s="355">
        <v>168130</v>
      </c>
      <c r="G226" s="352">
        <v>94167</v>
      </c>
      <c r="H226" s="355">
        <v>11364</v>
      </c>
      <c r="I226" s="352">
        <v>9088</v>
      </c>
      <c r="J226" s="355">
        <v>1100</v>
      </c>
      <c r="K226" s="352">
        <v>2845</v>
      </c>
      <c r="L226" s="355">
        <v>18131</v>
      </c>
      <c r="M226" s="352">
        <v>23905</v>
      </c>
      <c r="N226" s="355">
        <v>8212</v>
      </c>
      <c r="O226" s="352">
        <v>7756</v>
      </c>
      <c r="P226" s="355">
        <v>19258</v>
      </c>
      <c r="Q226" s="352">
        <v>13102</v>
      </c>
      <c r="R226" s="355">
        <v>3673</v>
      </c>
      <c r="S226" s="352">
        <v>1345</v>
      </c>
      <c r="T226" s="355">
        <v>2542</v>
      </c>
      <c r="U226" s="352">
        <v>5123</v>
      </c>
      <c r="V226" s="355">
        <v>466</v>
      </c>
      <c r="W226" s="352">
        <v>141</v>
      </c>
      <c r="X226" s="355">
        <v>244</v>
      </c>
      <c r="Y226" s="352">
        <v>47</v>
      </c>
      <c r="Z226" s="355">
        <v>231</v>
      </c>
      <c r="AA226" s="352">
        <v>351</v>
      </c>
      <c r="AB226" s="355">
        <v>187</v>
      </c>
      <c r="AC226" s="352">
        <v>435</v>
      </c>
      <c r="AD226" s="355">
        <v>3824</v>
      </c>
      <c r="AE226" s="353">
        <v>669</v>
      </c>
    </row>
    <row r="227" spans="1:31">
      <c r="A227" s="228">
        <v>18</v>
      </c>
      <c r="B227" s="236" t="s">
        <v>261</v>
      </c>
      <c r="C227" s="10"/>
      <c r="D227" s="355">
        <v>14654</v>
      </c>
      <c r="E227" s="352">
        <v>5939</v>
      </c>
      <c r="F227" s="355">
        <v>142522</v>
      </c>
      <c r="G227" s="352">
        <v>29917</v>
      </c>
      <c r="H227" s="355">
        <v>3304</v>
      </c>
      <c r="I227" s="352">
        <v>1992</v>
      </c>
      <c r="J227" s="355">
        <v>419</v>
      </c>
      <c r="K227" s="352">
        <v>288</v>
      </c>
      <c r="L227" s="355">
        <v>5440</v>
      </c>
      <c r="M227" s="352">
        <v>9621</v>
      </c>
      <c r="N227" s="355">
        <v>5460</v>
      </c>
      <c r="O227" s="352">
        <v>8543</v>
      </c>
      <c r="P227" s="355">
        <v>44764</v>
      </c>
      <c r="Q227" s="352">
        <v>75987</v>
      </c>
      <c r="R227" s="355">
        <v>7845</v>
      </c>
      <c r="S227" s="352">
        <v>6158</v>
      </c>
      <c r="T227" s="355">
        <v>2656</v>
      </c>
      <c r="U227" s="352">
        <v>16718</v>
      </c>
      <c r="V227" s="355">
        <v>191</v>
      </c>
      <c r="W227" s="352">
        <v>90</v>
      </c>
      <c r="X227" s="355">
        <v>166</v>
      </c>
      <c r="Y227" s="352">
        <v>261</v>
      </c>
      <c r="Z227" s="355">
        <v>120</v>
      </c>
      <c r="AA227" s="352">
        <v>211</v>
      </c>
      <c r="AB227" s="355">
        <v>354</v>
      </c>
      <c r="AC227" s="352">
        <v>338</v>
      </c>
      <c r="AD227" s="355">
        <v>3734</v>
      </c>
      <c r="AE227" s="353">
        <v>272</v>
      </c>
    </row>
    <row r="228" spans="1:31">
      <c r="A228" s="228">
        <v>19</v>
      </c>
      <c r="B228" s="236" t="s">
        <v>262</v>
      </c>
      <c r="C228" s="10"/>
      <c r="D228" s="355">
        <v>12003</v>
      </c>
      <c r="E228" s="354">
        <v>10256</v>
      </c>
      <c r="F228" s="355">
        <v>92678</v>
      </c>
      <c r="G228" s="354">
        <v>53179</v>
      </c>
      <c r="H228" s="355">
        <v>2510</v>
      </c>
      <c r="I228" s="354">
        <v>1940</v>
      </c>
      <c r="J228" s="355">
        <v>779</v>
      </c>
      <c r="K228" s="354">
        <v>616</v>
      </c>
      <c r="L228" s="355">
        <v>9733</v>
      </c>
      <c r="M228" s="354">
        <v>11581</v>
      </c>
      <c r="N228" s="355">
        <v>1383</v>
      </c>
      <c r="O228" s="354">
        <v>2446</v>
      </c>
      <c r="P228" s="355">
        <v>4</v>
      </c>
      <c r="Q228" s="354">
        <v>18</v>
      </c>
      <c r="R228" s="355"/>
      <c r="S228" s="354">
        <v>4</v>
      </c>
      <c r="T228" s="355"/>
      <c r="U228" s="354">
        <v>3</v>
      </c>
      <c r="V228" s="355">
        <v>1</v>
      </c>
      <c r="W228" s="354"/>
      <c r="X228" s="355"/>
      <c r="Y228" s="354"/>
      <c r="Z228" s="355">
        <v>20</v>
      </c>
      <c r="AA228" s="354">
        <v>65</v>
      </c>
      <c r="AB228" s="355">
        <v>82</v>
      </c>
      <c r="AC228" s="354">
        <v>370</v>
      </c>
      <c r="AD228" s="355">
        <v>158</v>
      </c>
      <c r="AE228" s="353">
        <v>90</v>
      </c>
    </row>
    <row r="229" spans="1:31" ht="15">
      <c r="A229" s="228">
        <v>20</v>
      </c>
      <c r="B229" s="236" t="s">
        <v>263</v>
      </c>
      <c r="C229" s="248"/>
      <c r="D229" s="357">
        <v>6558</v>
      </c>
      <c r="E229" s="354">
        <v>4471</v>
      </c>
      <c r="F229" s="357">
        <v>81293</v>
      </c>
      <c r="G229" s="354">
        <v>23812</v>
      </c>
      <c r="H229" s="357">
        <v>3025</v>
      </c>
      <c r="I229" s="354">
        <v>1790</v>
      </c>
      <c r="J229" s="357">
        <v>1003</v>
      </c>
      <c r="K229" s="354">
        <v>308</v>
      </c>
      <c r="L229" s="357">
        <v>7981</v>
      </c>
      <c r="M229" s="354">
        <v>4729</v>
      </c>
      <c r="N229" s="357">
        <v>1476</v>
      </c>
      <c r="O229" s="354">
        <v>1368</v>
      </c>
      <c r="P229" s="357">
        <v>243</v>
      </c>
      <c r="Q229" s="354">
        <v>213</v>
      </c>
      <c r="R229" s="357">
        <v>31</v>
      </c>
      <c r="S229" s="354">
        <v>21</v>
      </c>
      <c r="T229" s="357">
        <v>50</v>
      </c>
      <c r="U229" s="354">
        <v>3</v>
      </c>
      <c r="V229" s="357">
        <v>11</v>
      </c>
      <c r="W229" s="354">
        <v>6</v>
      </c>
      <c r="X229" s="357">
        <v>9</v>
      </c>
      <c r="Y229" s="354">
        <v>25</v>
      </c>
      <c r="Z229" s="357">
        <v>113</v>
      </c>
      <c r="AA229" s="354">
        <v>74</v>
      </c>
      <c r="AB229" s="357">
        <v>312</v>
      </c>
      <c r="AC229" s="354">
        <v>178</v>
      </c>
      <c r="AD229" s="357">
        <v>139</v>
      </c>
      <c r="AE229" s="353">
        <v>147</v>
      </c>
    </row>
    <row r="230" spans="1:31">
      <c r="A230" s="228">
        <v>21</v>
      </c>
      <c r="B230" s="236" t="s">
        <v>264</v>
      </c>
      <c r="C230" s="17"/>
      <c r="D230" s="355">
        <v>4411</v>
      </c>
      <c r="E230" s="352">
        <v>2653</v>
      </c>
      <c r="F230" s="355">
        <v>36018</v>
      </c>
      <c r="G230" s="352">
        <v>11955</v>
      </c>
      <c r="H230" s="355">
        <v>3112</v>
      </c>
      <c r="I230" s="352">
        <v>1225</v>
      </c>
      <c r="J230" s="355">
        <v>91</v>
      </c>
      <c r="K230" s="352">
        <v>327</v>
      </c>
      <c r="L230" s="355">
        <v>2560</v>
      </c>
      <c r="M230" s="352">
        <v>3350</v>
      </c>
      <c r="N230" s="355">
        <v>1524</v>
      </c>
      <c r="O230" s="352">
        <v>1576</v>
      </c>
      <c r="P230" s="355">
        <v>13067</v>
      </c>
      <c r="Q230" s="352">
        <v>12202</v>
      </c>
      <c r="R230" s="355">
        <v>6331</v>
      </c>
      <c r="S230" s="352">
        <v>3856</v>
      </c>
      <c r="T230" s="355">
        <v>1466</v>
      </c>
      <c r="U230" s="352">
        <v>1919</v>
      </c>
      <c r="V230" s="355">
        <v>104</v>
      </c>
      <c r="W230" s="352">
        <v>68</v>
      </c>
      <c r="X230" s="355">
        <v>57</v>
      </c>
      <c r="Y230" s="352">
        <v>23</v>
      </c>
      <c r="Z230" s="355">
        <v>28</v>
      </c>
      <c r="AA230" s="352">
        <v>136</v>
      </c>
      <c r="AB230" s="355">
        <v>43</v>
      </c>
      <c r="AC230" s="352">
        <v>115</v>
      </c>
      <c r="AD230" s="355">
        <v>206</v>
      </c>
      <c r="AE230" s="353">
        <v>144</v>
      </c>
    </row>
    <row r="231" spans="1:31">
      <c r="A231" s="228">
        <v>22</v>
      </c>
      <c r="B231" s="236" t="s">
        <v>265</v>
      </c>
      <c r="C231" s="10"/>
      <c r="D231" s="355">
        <v>2865</v>
      </c>
      <c r="E231" s="352">
        <v>1839</v>
      </c>
      <c r="F231" s="355">
        <v>20667</v>
      </c>
      <c r="G231" s="352">
        <v>6891</v>
      </c>
      <c r="H231" s="355">
        <v>234</v>
      </c>
      <c r="I231" s="352">
        <v>245</v>
      </c>
      <c r="J231" s="355">
        <v>25</v>
      </c>
      <c r="K231" s="352">
        <v>10</v>
      </c>
      <c r="L231" s="355">
        <v>1457</v>
      </c>
      <c r="M231" s="352">
        <v>1406</v>
      </c>
      <c r="N231" s="355">
        <v>361</v>
      </c>
      <c r="O231" s="352">
        <v>477</v>
      </c>
      <c r="P231" s="355">
        <v>59</v>
      </c>
      <c r="Q231" s="352">
        <v>176</v>
      </c>
      <c r="R231" s="355">
        <v>6</v>
      </c>
      <c r="S231" s="352">
        <v>17</v>
      </c>
      <c r="T231" s="355">
        <v>16</v>
      </c>
      <c r="U231" s="352">
        <v>12</v>
      </c>
      <c r="V231" s="355"/>
      <c r="W231" s="352">
        <v>1</v>
      </c>
      <c r="X231" s="355"/>
      <c r="Y231" s="352">
        <v>1</v>
      </c>
      <c r="Z231" s="355"/>
      <c r="AA231" s="352"/>
      <c r="AB231" s="355">
        <v>65</v>
      </c>
      <c r="AC231" s="352">
        <v>37</v>
      </c>
      <c r="AD231" s="355">
        <v>602</v>
      </c>
      <c r="AE231" s="353">
        <v>104</v>
      </c>
    </row>
    <row r="232" spans="1:31">
      <c r="A232" s="228">
        <v>23</v>
      </c>
      <c r="B232" s="236" t="s">
        <v>266</v>
      </c>
      <c r="C232" s="10"/>
      <c r="D232" s="355">
        <v>5833</v>
      </c>
      <c r="E232" s="352">
        <v>4088</v>
      </c>
      <c r="F232" s="355">
        <v>51402</v>
      </c>
      <c r="G232" s="352">
        <v>19940</v>
      </c>
      <c r="H232" s="355">
        <v>2595</v>
      </c>
      <c r="I232" s="352">
        <v>2483</v>
      </c>
      <c r="J232" s="355">
        <v>353</v>
      </c>
      <c r="K232" s="352">
        <v>294</v>
      </c>
      <c r="L232" s="355">
        <v>12472</v>
      </c>
      <c r="M232" s="352">
        <v>11459</v>
      </c>
      <c r="N232" s="355">
        <v>898</v>
      </c>
      <c r="O232" s="352">
        <v>2217</v>
      </c>
      <c r="P232" s="355">
        <v>13812</v>
      </c>
      <c r="Q232" s="352">
        <v>18135</v>
      </c>
      <c r="R232" s="355">
        <v>2479</v>
      </c>
      <c r="S232" s="352">
        <v>8126</v>
      </c>
      <c r="T232" s="355">
        <v>3215</v>
      </c>
      <c r="U232" s="352">
        <v>3070</v>
      </c>
      <c r="V232" s="355">
        <v>183</v>
      </c>
      <c r="W232" s="352">
        <v>184</v>
      </c>
      <c r="X232" s="355">
        <v>139</v>
      </c>
      <c r="Y232" s="352">
        <v>632</v>
      </c>
      <c r="Z232" s="355">
        <v>84</v>
      </c>
      <c r="AA232" s="352">
        <v>147</v>
      </c>
      <c r="AB232" s="355">
        <v>371</v>
      </c>
      <c r="AC232" s="352">
        <v>327</v>
      </c>
      <c r="AD232" s="355">
        <v>1298</v>
      </c>
      <c r="AE232" s="353">
        <v>624</v>
      </c>
    </row>
    <row r="233" spans="1:31">
      <c r="A233" s="229"/>
      <c r="B233" s="237"/>
      <c r="C233" s="12"/>
      <c r="D233" s="363"/>
      <c r="E233" s="364"/>
      <c r="F233" s="363"/>
      <c r="G233" s="364"/>
      <c r="H233" s="363"/>
      <c r="I233" s="364"/>
      <c r="J233" s="363"/>
      <c r="K233" s="364"/>
      <c r="L233" s="363"/>
      <c r="M233" s="364"/>
      <c r="N233" s="363"/>
      <c r="O233" s="364"/>
      <c r="P233" s="363"/>
      <c r="Q233" s="364"/>
      <c r="R233" s="363"/>
      <c r="S233" s="364"/>
      <c r="T233" s="363"/>
      <c r="U233" s="364"/>
      <c r="V233" s="363"/>
      <c r="W233" s="364"/>
      <c r="X233" s="363"/>
      <c r="Y233" s="364"/>
      <c r="Z233" s="363"/>
      <c r="AA233" s="364"/>
      <c r="AB233" s="363"/>
      <c r="AC233" s="364"/>
      <c r="AD233" s="363"/>
      <c r="AE233" s="365"/>
    </row>
    <row r="234" spans="1:31">
      <c r="A234" s="228" t="s">
        <v>296</v>
      </c>
      <c r="B234" s="236"/>
      <c r="C234" s="10"/>
      <c r="D234" s="359">
        <f>SUM(D210:D232)</f>
        <v>170886</v>
      </c>
      <c r="E234" s="358">
        <f t="shared" ref="E234:AE234" si="9">SUM(E210:E232)</f>
        <v>103642</v>
      </c>
      <c r="F234" s="359">
        <f t="shared" si="9"/>
        <v>1752249</v>
      </c>
      <c r="G234" s="358">
        <f t="shared" si="9"/>
        <v>557616</v>
      </c>
      <c r="H234" s="359">
        <f t="shared" si="9"/>
        <v>64703</v>
      </c>
      <c r="I234" s="358">
        <f t="shared" si="9"/>
        <v>44699</v>
      </c>
      <c r="J234" s="359">
        <f t="shared" si="9"/>
        <v>14032</v>
      </c>
      <c r="K234" s="358">
        <f t="shared" si="9"/>
        <v>9095</v>
      </c>
      <c r="L234" s="375">
        <f t="shared" si="9"/>
        <v>171438</v>
      </c>
      <c r="M234" s="358">
        <f t="shared" si="9"/>
        <v>151606</v>
      </c>
      <c r="N234" s="375">
        <f t="shared" si="9"/>
        <v>53675</v>
      </c>
      <c r="O234" s="358">
        <f t="shared" si="9"/>
        <v>58515</v>
      </c>
      <c r="P234" s="375">
        <f t="shared" si="9"/>
        <v>131408</v>
      </c>
      <c r="Q234" s="358">
        <f t="shared" si="9"/>
        <v>167860</v>
      </c>
      <c r="R234" s="375">
        <f t="shared" si="9"/>
        <v>29505</v>
      </c>
      <c r="S234" s="358">
        <f t="shared" si="9"/>
        <v>26300</v>
      </c>
      <c r="T234" s="375">
        <f t="shared" si="9"/>
        <v>14607</v>
      </c>
      <c r="U234" s="358">
        <f t="shared" si="9"/>
        <v>32945</v>
      </c>
      <c r="V234" s="375">
        <f t="shared" si="9"/>
        <v>1351</v>
      </c>
      <c r="W234" s="358">
        <f t="shared" si="9"/>
        <v>669</v>
      </c>
      <c r="X234" s="375">
        <f t="shared" si="9"/>
        <v>849</v>
      </c>
      <c r="Y234" s="358">
        <f t="shared" si="9"/>
        <v>1117</v>
      </c>
      <c r="Z234" s="375">
        <f t="shared" si="9"/>
        <v>2544</v>
      </c>
      <c r="AA234" s="358">
        <f t="shared" si="9"/>
        <v>2419</v>
      </c>
      <c r="AB234" s="375">
        <f t="shared" si="9"/>
        <v>5634</v>
      </c>
      <c r="AC234" s="358">
        <f t="shared" si="9"/>
        <v>4774</v>
      </c>
      <c r="AD234" s="375">
        <f t="shared" si="9"/>
        <v>29933</v>
      </c>
      <c r="AE234" s="377">
        <f t="shared" si="9"/>
        <v>6028</v>
      </c>
    </row>
    <row r="235" spans="1:31" ht="16" thickBot="1">
      <c r="A235" s="230"/>
      <c r="B235" s="238"/>
      <c r="C235" s="261"/>
      <c r="D235" s="373"/>
      <c r="E235" s="372"/>
      <c r="F235" s="373"/>
      <c r="G235" s="372"/>
      <c r="H235" s="373"/>
      <c r="I235" s="372"/>
      <c r="J235" s="373"/>
      <c r="K235" s="372"/>
      <c r="L235" s="373"/>
      <c r="M235" s="372"/>
      <c r="N235" s="373"/>
      <c r="O235" s="372"/>
      <c r="P235" s="373"/>
      <c r="Q235" s="372"/>
      <c r="R235" s="373"/>
      <c r="S235" s="372"/>
      <c r="T235" s="373"/>
      <c r="U235" s="372"/>
      <c r="V235" s="373"/>
      <c r="W235" s="372"/>
      <c r="X235" s="373"/>
      <c r="Y235" s="372"/>
      <c r="Z235" s="373"/>
      <c r="AA235" s="372"/>
      <c r="AB235" s="373"/>
      <c r="AC235" s="372"/>
      <c r="AD235" s="373"/>
      <c r="AE235" s="368"/>
    </row>
    <row r="236" spans="1:31" ht="17" thickTop="1" thickBot="1">
      <c r="A236" s="226" t="s">
        <v>40</v>
      </c>
      <c r="B236" s="94"/>
      <c r="C236" s="17"/>
      <c r="D236" s="355"/>
      <c r="E236" s="352"/>
      <c r="F236" s="355"/>
      <c r="G236" s="352"/>
      <c r="H236" s="355"/>
      <c r="I236" s="352"/>
      <c r="J236" s="355"/>
      <c r="K236" s="352"/>
      <c r="L236" s="355"/>
      <c r="M236" s="352"/>
      <c r="N236" s="355"/>
      <c r="O236" s="352"/>
      <c r="P236" s="355"/>
      <c r="Q236" s="352"/>
      <c r="R236" s="355"/>
      <c r="S236" s="352"/>
      <c r="T236" s="355"/>
      <c r="U236" s="352"/>
      <c r="V236" s="355"/>
      <c r="W236" s="352"/>
      <c r="X236" s="355"/>
      <c r="Y236" s="352"/>
      <c r="Z236" s="355"/>
      <c r="AA236" s="352"/>
      <c r="AB236" s="355"/>
      <c r="AC236" s="352"/>
      <c r="AD236" s="355"/>
      <c r="AE236" s="353"/>
    </row>
    <row r="237" spans="1:31">
      <c r="A237" s="228">
        <v>1</v>
      </c>
      <c r="B237" s="236" t="s">
        <v>267</v>
      </c>
      <c r="C237" s="10"/>
      <c r="D237" s="355">
        <v>17277</v>
      </c>
      <c r="E237" s="352">
        <v>12502</v>
      </c>
      <c r="F237" s="355">
        <v>157327</v>
      </c>
      <c r="G237" s="352">
        <v>50461</v>
      </c>
      <c r="H237" s="355">
        <v>7464</v>
      </c>
      <c r="I237" s="352">
        <v>3316</v>
      </c>
      <c r="J237" s="355">
        <v>2782</v>
      </c>
      <c r="K237" s="352">
        <v>469</v>
      </c>
      <c r="L237" s="355">
        <v>17218</v>
      </c>
      <c r="M237" s="352">
        <v>7724</v>
      </c>
      <c r="N237" s="355">
        <v>4787</v>
      </c>
      <c r="O237" s="352">
        <v>4323</v>
      </c>
      <c r="P237" s="355">
        <v>202</v>
      </c>
      <c r="Q237" s="352">
        <v>202</v>
      </c>
      <c r="R237" s="355">
        <v>16</v>
      </c>
      <c r="S237" s="352">
        <v>26</v>
      </c>
      <c r="T237" s="355">
        <v>47</v>
      </c>
      <c r="U237" s="352">
        <v>31</v>
      </c>
      <c r="V237" s="355">
        <v>10</v>
      </c>
      <c r="W237" s="352"/>
      <c r="X237" s="355">
        <v>1</v>
      </c>
      <c r="Y237" s="352"/>
      <c r="Z237" s="355">
        <v>482</v>
      </c>
      <c r="AA237" s="352">
        <v>672</v>
      </c>
      <c r="AB237" s="355">
        <v>268</v>
      </c>
      <c r="AC237" s="352">
        <v>467</v>
      </c>
      <c r="AD237" s="355"/>
      <c r="AE237" s="353"/>
    </row>
    <row r="238" spans="1:31">
      <c r="A238" s="228">
        <v>2</v>
      </c>
      <c r="B238" s="236" t="s">
        <v>268</v>
      </c>
      <c r="C238" s="10"/>
      <c r="D238" s="355">
        <v>2415</v>
      </c>
      <c r="E238" s="352">
        <v>396</v>
      </c>
      <c r="F238" s="355">
        <v>19789</v>
      </c>
      <c r="G238" s="352">
        <v>2427</v>
      </c>
      <c r="H238" s="355">
        <v>797</v>
      </c>
      <c r="I238" s="352">
        <v>261</v>
      </c>
      <c r="J238" s="355">
        <v>365</v>
      </c>
      <c r="K238" s="352">
        <v>89</v>
      </c>
      <c r="L238" s="355">
        <v>2907</v>
      </c>
      <c r="M238" s="352">
        <v>808</v>
      </c>
      <c r="N238" s="355">
        <v>1928</v>
      </c>
      <c r="O238" s="352">
        <v>324</v>
      </c>
      <c r="P238" s="355">
        <v>95</v>
      </c>
      <c r="Q238" s="352">
        <v>24</v>
      </c>
      <c r="R238" s="355">
        <v>4</v>
      </c>
      <c r="S238" s="352">
        <v>2</v>
      </c>
      <c r="T238" s="355">
        <v>27</v>
      </c>
      <c r="U238" s="352">
        <v>615</v>
      </c>
      <c r="V238" s="355"/>
      <c r="W238" s="352"/>
      <c r="X238" s="355"/>
      <c r="Y238" s="352"/>
      <c r="Z238" s="355">
        <v>127</v>
      </c>
      <c r="AA238" s="352">
        <v>93</v>
      </c>
      <c r="AB238" s="355">
        <v>99</v>
      </c>
      <c r="AC238" s="352">
        <v>56</v>
      </c>
      <c r="AD238" s="355">
        <v>4262</v>
      </c>
      <c r="AE238" s="353">
        <v>226</v>
      </c>
    </row>
    <row r="239" spans="1:31">
      <c r="A239" s="228">
        <v>3</v>
      </c>
      <c r="B239" s="236" t="s">
        <v>269</v>
      </c>
      <c r="C239" s="10"/>
      <c r="D239" s="355">
        <v>12876</v>
      </c>
      <c r="E239" s="352">
        <v>3823</v>
      </c>
      <c r="F239" s="355">
        <v>97089</v>
      </c>
      <c r="G239" s="352">
        <v>17198</v>
      </c>
      <c r="H239" s="355">
        <v>4218</v>
      </c>
      <c r="I239" s="352">
        <v>1827</v>
      </c>
      <c r="J239" s="355">
        <v>2190</v>
      </c>
      <c r="K239" s="352">
        <v>370</v>
      </c>
      <c r="L239" s="355">
        <v>13972</v>
      </c>
      <c r="M239" s="352">
        <v>7131</v>
      </c>
      <c r="N239" s="355">
        <v>7568</v>
      </c>
      <c r="O239" s="352">
        <v>3501</v>
      </c>
      <c r="P239" s="355">
        <v>1049</v>
      </c>
      <c r="Q239" s="352">
        <v>451</v>
      </c>
      <c r="R239" s="355">
        <v>140</v>
      </c>
      <c r="S239" s="352">
        <v>57</v>
      </c>
      <c r="T239" s="355">
        <v>307</v>
      </c>
      <c r="U239" s="352">
        <v>67</v>
      </c>
      <c r="V239" s="355">
        <v>61</v>
      </c>
      <c r="W239" s="352">
        <v>15</v>
      </c>
      <c r="X239" s="355">
        <v>59</v>
      </c>
      <c r="Y239" s="352">
        <v>5</v>
      </c>
      <c r="Z239" s="355">
        <v>648</v>
      </c>
      <c r="AA239" s="352">
        <v>364</v>
      </c>
      <c r="AB239" s="355">
        <v>254</v>
      </c>
      <c r="AC239" s="352">
        <v>237</v>
      </c>
      <c r="AD239" s="355"/>
      <c r="AE239" s="353"/>
    </row>
    <row r="240" spans="1:31">
      <c r="A240" s="228">
        <v>4</v>
      </c>
      <c r="B240" s="236" t="s">
        <v>270</v>
      </c>
      <c r="C240" s="10"/>
      <c r="D240" s="355">
        <v>3624</v>
      </c>
      <c r="E240" s="352">
        <v>964</v>
      </c>
      <c r="F240" s="355">
        <v>24386</v>
      </c>
      <c r="G240" s="352">
        <v>5536</v>
      </c>
      <c r="H240" s="355">
        <v>493</v>
      </c>
      <c r="I240" s="352">
        <v>404</v>
      </c>
      <c r="J240" s="355">
        <v>305</v>
      </c>
      <c r="K240" s="352">
        <v>97</v>
      </c>
      <c r="L240" s="355">
        <v>3312</v>
      </c>
      <c r="M240" s="352">
        <v>1576</v>
      </c>
      <c r="N240" s="355">
        <v>912</v>
      </c>
      <c r="O240" s="352">
        <v>528</v>
      </c>
      <c r="P240" s="355">
        <v>372</v>
      </c>
      <c r="Q240" s="352">
        <v>315</v>
      </c>
      <c r="R240" s="355">
        <v>38</v>
      </c>
      <c r="S240" s="352">
        <v>30</v>
      </c>
      <c r="T240" s="355">
        <v>42</v>
      </c>
      <c r="U240" s="352">
        <v>28</v>
      </c>
      <c r="V240" s="355">
        <v>11</v>
      </c>
      <c r="W240" s="352">
        <v>1</v>
      </c>
      <c r="X240" s="355">
        <v>1</v>
      </c>
      <c r="Y240" s="352">
        <v>1</v>
      </c>
      <c r="Z240" s="355">
        <v>160</v>
      </c>
      <c r="AA240" s="352">
        <v>40</v>
      </c>
      <c r="AB240" s="355">
        <v>19</v>
      </c>
      <c r="AC240" s="352">
        <v>29</v>
      </c>
      <c r="AD240" s="355">
        <v>1413</v>
      </c>
      <c r="AE240" s="353">
        <v>251</v>
      </c>
    </row>
    <row r="241" spans="1:31" ht="15">
      <c r="A241" s="228">
        <v>5</v>
      </c>
      <c r="B241" s="236" t="s">
        <v>271</v>
      </c>
      <c r="C241" s="248"/>
      <c r="D241" s="357">
        <v>3062</v>
      </c>
      <c r="E241" s="354">
        <v>723</v>
      </c>
      <c r="F241" s="357">
        <v>27516</v>
      </c>
      <c r="G241" s="354">
        <v>2901</v>
      </c>
      <c r="H241" s="357">
        <v>821</v>
      </c>
      <c r="I241" s="354">
        <v>240</v>
      </c>
      <c r="J241" s="357">
        <v>407</v>
      </c>
      <c r="K241" s="354">
        <v>48</v>
      </c>
      <c r="L241" s="357">
        <v>3658</v>
      </c>
      <c r="M241" s="354">
        <v>926</v>
      </c>
      <c r="N241" s="357">
        <v>1894</v>
      </c>
      <c r="O241" s="354">
        <v>643</v>
      </c>
      <c r="P241" s="357">
        <v>425</v>
      </c>
      <c r="Q241" s="354">
        <v>95</v>
      </c>
      <c r="R241" s="357">
        <v>30</v>
      </c>
      <c r="S241" s="354">
        <v>9</v>
      </c>
      <c r="T241" s="357">
        <v>26</v>
      </c>
      <c r="U241" s="354">
        <v>2</v>
      </c>
      <c r="V241" s="357">
        <v>4</v>
      </c>
      <c r="W241" s="354"/>
      <c r="X241" s="357"/>
      <c r="Y241" s="354"/>
      <c r="Z241" s="357">
        <v>215</v>
      </c>
      <c r="AA241" s="354">
        <v>31</v>
      </c>
      <c r="AB241" s="357">
        <v>141</v>
      </c>
      <c r="AC241" s="354">
        <v>39</v>
      </c>
      <c r="AD241" s="357">
        <v>523</v>
      </c>
      <c r="AE241" s="353">
        <v>18</v>
      </c>
    </row>
    <row r="242" spans="1:31">
      <c r="A242" s="228">
        <v>6</v>
      </c>
      <c r="B242" s="236" t="s">
        <v>272</v>
      </c>
      <c r="C242" s="17"/>
      <c r="D242" s="355">
        <v>3780</v>
      </c>
      <c r="E242" s="352">
        <v>1401</v>
      </c>
      <c r="F242" s="355">
        <v>30355</v>
      </c>
      <c r="G242" s="352">
        <v>5519</v>
      </c>
      <c r="H242" s="355">
        <v>846</v>
      </c>
      <c r="I242" s="352">
        <v>429</v>
      </c>
      <c r="J242" s="355">
        <v>507</v>
      </c>
      <c r="K242" s="352">
        <v>121</v>
      </c>
      <c r="L242" s="355">
        <v>4536</v>
      </c>
      <c r="M242" s="352">
        <v>1825</v>
      </c>
      <c r="N242" s="355">
        <v>2148</v>
      </c>
      <c r="O242" s="352">
        <v>759</v>
      </c>
      <c r="P242" s="355">
        <v>498</v>
      </c>
      <c r="Q242" s="352">
        <v>351</v>
      </c>
      <c r="R242" s="355">
        <v>50</v>
      </c>
      <c r="S242" s="352">
        <v>20</v>
      </c>
      <c r="T242" s="355">
        <v>96</v>
      </c>
      <c r="U242" s="352">
        <v>9</v>
      </c>
      <c r="V242" s="355">
        <v>7</v>
      </c>
      <c r="W242" s="352"/>
      <c r="X242" s="355">
        <v>9</v>
      </c>
      <c r="Y242" s="352"/>
      <c r="Z242" s="355">
        <v>636</v>
      </c>
      <c r="AA242" s="352">
        <v>190</v>
      </c>
      <c r="AB242" s="355">
        <v>36</v>
      </c>
      <c r="AC242" s="352">
        <v>113</v>
      </c>
      <c r="AD242" s="355"/>
      <c r="AE242" s="353"/>
    </row>
    <row r="243" spans="1:31">
      <c r="A243" s="228">
        <v>7</v>
      </c>
      <c r="B243" s="236" t="s">
        <v>273</v>
      </c>
      <c r="C243" s="10"/>
      <c r="D243" s="355">
        <v>8299</v>
      </c>
      <c r="E243" s="352">
        <v>4138</v>
      </c>
      <c r="F243" s="355">
        <v>65211</v>
      </c>
      <c r="G243" s="352">
        <v>11664</v>
      </c>
      <c r="H243" s="355">
        <v>3285</v>
      </c>
      <c r="I243" s="352">
        <v>1209</v>
      </c>
      <c r="J243" s="355">
        <v>855</v>
      </c>
      <c r="K243" s="352">
        <v>166</v>
      </c>
      <c r="L243" s="355">
        <v>24373</v>
      </c>
      <c r="M243" s="352">
        <v>17559</v>
      </c>
      <c r="N243" s="355">
        <v>3978</v>
      </c>
      <c r="O243" s="352">
        <v>6997</v>
      </c>
      <c r="P243" s="355">
        <v>1148</v>
      </c>
      <c r="Q243" s="352">
        <v>399</v>
      </c>
      <c r="R243" s="355">
        <v>80</v>
      </c>
      <c r="S243" s="352">
        <v>63</v>
      </c>
      <c r="T243" s="355">
        <v>111</v>
      </c>
      <c r="U243" s="352">
        <v>4</v>
      </c>
      <c r="V243" s="355">
        <v>20</v>
      </c>
      <c r="W243" s="352">
        <v>7</v>
      </c>
      <c r="X243" s="355">
        <v>1</v>
      </c>
      <c r="Y243" s="352">
        <v>1</v>
      </c>
      <c r="Z243" s="355">
        <v>518</v>
      </c>
      <c r="AA243" s="352">
        <v>322</v>
      </c>
      <c r="AB243" s="355">
        <v>341</v>
      </c>
      <c r="AC243" s="352">
        <v>752</v>
      </c>
      <c r="AD243" s="355">
        <v>1263</v>
      </c>
      <c r="AE243" s="353">
        <v>401</v>
      </c>
    </row>
    <row r="244" spans="1:31">
      <c r="A244" s="228">
        <v>8</v>
      </c>
      <c r="B244" s="236" t="s">
        <v>274</v>
      </c>
      <c r="C244" s="10"/>
      <c r="D244" s="355">
        <v>8313</v>
      </c>
      <c r="E244" s="352">
        <v>6119</v>
      </c>
      <c r="F244" s="355">
        <v>77507</v>
      </c>
      <c r="G244" s="352">
        <v>35552</v>
      </c>
      <c r="H244" s="355">
        <v>782</v>
      </c>
      <c r="I244" s="352">
        <v>458</v>
      </c>
      <c r="J244" s="355">
        <v>376</v>
      </c>
      <c r="K244" s="352">
        <v>106</v>
      </c>
      <c r="L244" s="355">
        <v>6723</v>
      </c>
      <c r="M244" s="352">
        <v>4495</v>
      </c>
      <c r="N244" s="355">
        <v>1068</v>
      </c>
      <c r="O244" s="352">
        <v>1598</v>
      </c>
      <c r="P244" s="355">
        <v>30</v>
      </c>
      <c r="Q244" s="352">
        <v>46</v>
      </c>
      <c r="R244" s="355">
        <v>1</v>
      </c>
      <c r="S244" s="352">
        <v>3</v>
      </c>
      <c r="T244" s="355">
        <v>7</v>
      </c>
      <c r="U244" s="352">
        <v>2</v>
      </c>
      <c r="V244" s="355"/>
      <c r="W244" s="352"/>
      <c r="X244" s="355"/>
      <c r="Y244" s="352">
        <v>90</v>
      </c>
      <c r="Z244" s="355">
        <v>71</v>
      </c>
      <c r="AA244" s="352">
        <v>65</v>
      </c>
      <c r="AB244" s="355">
        <v>42</v>
      </c>
      <c r="AC244" s="352">
        <v>49</v>
      </c>
      <c r="AD244" s="355"/>
      <c r="AE244" s="353"/>
    </row>
    <row r="245" spans="1:31">
      <c r="A245" s="228">
        <v>9</v>
      </c>
      <c r="B245" s="236" t="s">
        <v>275</v>
      </c>
      <c r="C245" s="10"/>
      <c r="D245" s="355">
        <v>17404</v>
      </c>
      <c r="E245" s="352">
        <v>52605</v>
      </c>
      <c r="F245" s="355">
        <v>103973</v>
      </c>
      <c r="G245" s="352">
        <v>28213</v>
      </c>
      <c r="H245" s="355">
        <v>10209</v>
      </c>
      <c r="I245" s="352">
        <v>2752</v>
      </c>
      <c r="J245" s="355">
        <v>1552</v>
      </c>
      <c r="K245" s="352">
        <v>404</v>
      </c>
      <c r="L245" s="355">
        <v>11652</v>
      </c>
      <c r="M245" s="352">
        <v>4103</v>
      </c>
      <c r="N245" s="355">
        <v>4662</v>
      </c>
      <c r="O245" s="352">
        <v>1713</v>
      </c>
      <c r="P245" s="355">
        <v>29</v>
      </c>
      <c r="Q245" s="352">
        <v>18</v>
      </c>
      <c r="R245" s="355">
        <v>13</v>
      </c>
      <c r="S245" s="352">
        <v>8</v>
      </c>
      <c r="T245" s="355">
        <v>5</v>
      </c>
      <c r="U245" s="352"/>
      <c r="V245" s="355">
        <v>1</v>
      </c>
      <c r="W245" s="352"/>
      <c r="X245" s="355"/>
      <c r="Y245" s="352"/>
      <c r="Z245" s="355"/>
      <c r="AA245" s="352"/>
      <c r="AB245" s="355"/>
      <c r="AC245" s="352"/>
      <c r="AD245" s="355"/>
      <c r="AE245" s="353"/>
    </row>
    <row r="246" spans="1:31">
      <c r="A246" s="228">
        <v>10</v>
      </c>
      <c r="B246" s="236" t="s">
        <v>276</v>
      </c>
      <c r="C246" s="10"/>
      <c r="D246" s="355">
        <v>7469</v>
      </c>
      <c r="E246" s="352">
        <v>5033</v>
      </c>
      <c r="F246" s="355">
        <v>59603</v>
      </c>
      <c r="G246" s="352">
        <v>21355</v>
      </c>
      <c r="H246" s="355">
        <v>2713</v>
      </c>
      <c r="I246" s="352">
        <v>1088</v>
      </c>
      <c r="J246" s="355">
        <v>764</v>
      </c>
      <c r="K246" s="352">
        <v>259</v>
      </c>
      <c r="L246" s="355">
        <v>10286</v>
      </c>
      <c r="M246" s="352">
        <v>6861</v>
      </c>
      <c r="N246" s="355">
        <v>2695</v>
      </c>
      <c r="O246" s="352">
        <v>2382</v>
      </c>
      <c r="P246" s="355">
        <v>68</v>
      </c>
      <c r="Q246" s="352">
        <v>40</v>
      </c>
      <c r="R246" s="355">
        <v>8</v>
      </c>
      <c r="S246" s="352">
        <v>7</v>
      </c>
      <c r="T246" s="355">
        <v>4</v>
      </c>
      <c r="U246" s="352"/>
      <c r="V246" s="355"/>
      <c r="W246" s="352"/>
      <c r="X246" s="355">
        <v>1</v>
      </c>
      <c r="Y246" s="352">
        <v>2</v>
      </c>
      <c r="Z246" s="355">
        <v>69</v>
      </c>
      <c r="AA246" s="352">
        <v>46</v>
      </c>
      <c r="AB246" s="355">
        <v>29</v>
      </c>
      <c r="AC246" s="352">
        <v>41</v>
      </c>
      <c r="AD246" s="355">
        <v>141</v>
      </c>
      <c r="AE246" s="353">
        <v>2096</v>
      </c>
    </row>
    <row r="247" spans="1:31" ht="15">
      <c r="A247" s="228">
        <v>11</v>
      </c>
      <c r="B247" s="236" t="s">
        <v>277</v>
      </c>
      <c r="C247" s="248"/>
      <c r="D247" s="357">
        <v>2375</v>
      </c>
      <c r="E247" s="354">
        <v>946</v>
      </c>
      <c r="F247" s="357">
        <v>24018</v>
      </c>
      <c r="G247" s="354">
        <v>6482</v>
      </c>
      <c r="H247" s="357">
        <v>288</v>
      </c>
      <c r="I247" s="354">
        <v>184</v>
      </c>
      <c r="J247" s="357">
        <v>202</v>
      </c>
      <c r="K247" s="354">
        <v>44</v>
      </c>
      <c r="L247" s="357">
        <v>4288</v>
      </c>
      <c r="M247" s="354">
        <v>1342</v>
      </c>
      <c r="N247" s="357">
        <v>472</v>
      </c>
      <c r="O247" s="354">
        <v>422</v>
      </c>
      <c r="P247" s="357">
        <v>197</v>
      </c>
      <c r="Q247" s="354">
        <v>73</v>
      </c>
      <c r="R247" s="357">
        <v>19</v>
      </c>
      <c r="S247" s="354">
        <v>5</v>
      </c>
      <c r="T247" s="357">
        <v>16</v>
      </c>
      <c r="U247" s="354">
        <v>10</v>
      </c>
      <c r="V247" s="357">
        <v>5</v>
      </c>
      <c r="W247" s="354"/>
      <c r="X247" s="357">
        <v>26</v>
      </c>
      <c r="Y247" s="354">
        <v>1</v>
      </c>
      <c r="Z247" s="357">
        <v>96</v>
      </c>
      <c r="AA247" s="354">
        <v>54</v>
      </c>
      <c r="AB247" s="357">
        <v>11</v>
      </c>
      <c r="AC247" s="354">
        <v>24</v>
      </c>
      <c r="AD247" s="357">
        <v>1006</v>
      </c>
      <c r="AE247" s="353">
        <v>78</v>
      </c>
    </row>
    <row r="248" spans="1:31">
      <c r="A248" s="228">
        <v>12</v>
      </c>
      <c r="B248" s="236" t="s">
        <v>278</v>
      </c>
      <c r="C248" s="17"/>
      <c r="D248" s="355">
        <v>774</v>
      </c>
      <c r="E248" s="352">
        <v>440</v>
      </c>
      <c r="F248" s="355">
        <v>5018</v>
      </c>
      <c r="G248" s="352">
        <v>917</v>
      </c>
      <c r="H248" s="355">
        <v>348</v>
      </c>
      <c r="I248" s="352">
        <v>106</v>
      </c>
      <c r="J248" s="355">
        <v>151</v>
      </c>
      <c r="K248" s="352">
        <v>34</v>
      </c>
      <c r="L248" s="355">
        <v>723</v>
      </c>
      <c r="M248" s="352">
        <v>278</v>
      </c>
      <c r="N248" s="355">
        <v>234</v>
      </c>
      <c r="O248" s="352">
        <v>237</v>
      </c>
      <c r="P248" s="355">
        <v>118</v>
      </c>
      <c r="Q248" s="352">
        <v>86</v>
      </c>
      <c r="R248" s="355">
        <v>7</v>
      </c>
      <c r="S248" s="352">
        <v>8</v>
      </c>
      <c r="T248" s="355">
        <v>9</v>
      </c>
      <c r="U248" s="352">
        <v>10</v>
      </c>
      <c r="V248" s="355">
        <v>1</v>
      </c>
      <c r="W248" s="352">
        <v>3</v>
      </c>
      <c r="X248" s="355"/>
      <c r="Y248" s="352"/>
      <c r="Z248" s="355">
        <v>3</v>
      </c>
      <c r="AA248" s="352">
        <v>1</v>
      </c>
      <c r="AB248" s="355">
        <v>66</v>
      </c>
      <c r="AC248" s="352">
        <v>57</v>
      </c>
      <c r="AD248" s="355"/>
      <c r="AE248" s="353"/>
    </row>
    <row r="249" spans="1:31">
      <c r="A249" s="228">
        <v>13</v>
      </c>
      <c r="B249" s="236" t="s">
        <v>279</v>
      </c>
      <c r="C249" s="10"/>
      <c r="D249" s="355">
        <v>11248</v>
      </c>
      <c r="E249" s="352">
        <v>6660</v>
      </c>
      <c r="F249" s="355">
        <v>118939</v>
      </c>
      <c r="G249" s="352">
        <v>29645</v>
      </c>
      <c r="H249" s="355">
        <v>3537</v>
      </c>
      <c r="I249" s="352">
        <v>832</v>
      </c>
      <c r="J249" s="355">
        <v>802</v>
      </c>
      <c r="K249" s="352">
        <v>192</v>
      </c>
      <c r="L249" s="355">
        <v>13334</v>
      </c>
      <c r="M249" s="352">
        <v>5167</v>
      </c>
      <c r="N249" s="355">
        <v>2904</v>
      </c>
      <c r="O249" s="352">
        <v>1683</v>
      </c>
      <c r="P249" s="355">
        <v>176</v>
      </c>
      <c r="Q249" s="352">
        <v>275</v>
      </c>
      <c r="R249" s="355">
        <v>17</v>
      </c>
      <c r="S249" s="352">
        <v>20</v>
      </c>
      <c r="T249" s="355">
        <v>29</v>
      </c>
      <c r="U249" s="352">
        <v>17</v>
      </c>
      <c r="V249" s="355">
        <v>1</v>
      </c>
      <c r="W249" s="352"/>
      <c r="X249" s="355">
        <v>1</v>
      </c>
      <c r="Y249" s="352">
        <v>1</v>
      </c>
      <c r="Z249" s="355">
        <v>268</v>
      </c>
      <c r="AA249" s="352">
        <v>139</v>
      </c>
      <c r="AB249" s="355">
        <v>90</v>
      </c>
      <c r="AC249" s="352">
        <v>120</v>
      </c>
      <c r="AD249" s="355">
        <v>616</v>
      </c>
      <c r="AE249" s="353">
        <v>132</v>
      </c>
    </row>
    <row r="250" spans="1:31">
      <c r="A250" s="228">
        <v>14</v>
      </c>
      <c r="B250" s="236" t="s">
        <v>280</v>
      </c>
      <c r="C250" s="10"/>
      <c r="D250" s="355">
        <v>8616</v>
      </c>
      <c r="E250" s="352">
        <v>1673</v>
      </c>
      <c r="F250" s="355">
        <v>91877</v>
      </c>
      <c r="G250" s="352">
        <v>12148</v>
      </c>
      <c r="H250" s="355">
        <v>3583</v>
      </c>
      <c r="I250" s="352">
        <v>720</v>
      </c>
      <c r="J250" s="355">
        <v>1134</v>
      </c>
      <c r="K250" s="352">
        <v>153</v>
      </c>
      <c r="L250" s="355">
        <v>12075</v>
      </c>
      <c r="M250" s="352">
        <v>3784</v>
      </c>
      <c r="N250" s="355">
        <v>5458</v>
      </c>
      <c r="O250" s="352">
        <v>1887</v>
      </c>
      <c r="P250" s="355">
        <v>1496</v>
      </c>
      <c r="Q250" s="352">
        <v>1100</v>
      </c>
      <c r="R250" s="355">
        <v>122</v>
      </c>
      <c r="S250" s="352">
        <v>86</v>
      </c>
      <c r="T250" s="355">
        <v>155</v>
      </c>
      <c r="U250" s="352">
        <v>19</v>
      </c>
      <c r="V250" s="355">
        <v>19</v>
      </c>
      <c r="W250" s="352">
        <v>3</v>
      </c>
      <c r="X250" s="355">
        <v>36</v>
      </c>
      <c r="Y250" s="352">
        <v>2</v>
      </c>
      <c r="Z250" s="355">
        <v>456</v>
      </c>
      <c r="AA250" s="352">
        <v>188</v>
      </c>
      <c r="AB250" s="355">
        <v>311</v>
      </c>
      <c r="AC250" s="352">
        <v>166</v>
      </c>
      <c r="AD250" s="355"/>
      <c r="AE250" s="353"/>
    </row>
    <row r="251" spans="1:31">
      <c r="A251" s="228">
        <v>15</v>
      </c>
      <c r="B251" s="236" t="s">
        <v>281</v>
      </c>
      <c r="C251" s="10"/>
      <c r="D251" s="355">
        <v>9026</v>
      </c>
      <c r="E251" s="352">
        <v>11324</v>
      </c>
      <c r="F251" s="355">
        <v>64602</v>
      </c>
      <c r="G251" s="352">
        <v>17568</v>
      </c>
      <c r="H251" s="355">
        <v>2389</v>
      </c>
      <c r="I251" s="352">
        <v>469</v>
      </c>
      <c r="J251" s="355">
        <v>627</v>
      </c>
      <c r="K251" s="352">
        <v>136</v>
      </c>
      <c r="L251" s="355">
        <v>5811</v>
      </c>
      <c r="M251" s="352">
        <v>1976</v>
      </c>
      <c r="N251" s="355">
        <v>2570</v>
      </c>
      <c r="O251" s="352">
        <v>967</v>
      </c>
      <c r="P251" s="355">
        <v>119</v>
      </c>
      <c r="Q251" s="352">
        <v>30</v>
      </c>
      <c r="R251" s="355">
        <v>6</v>
      </c>
      <c r="S251" s="352">
        <v>3</v>
      </c>
      <c r="T251" s="355">
        <v>10</v>
      </c>
      <c r="U251" s="352">
        <v>30</v>
      </c>
      <c r="V251" s="355"/>
      <c r="W251" s="352"/>
      <c r="X251" s="355"/>
      <c r="Y251" s="352"/>
      <c r="Z251" s="355">
        <v>123</v>
      </c>
      <c r="AA251" s="352">
        <v>76</v>
      </c>
      <c r="AB251" s="355">
        <v>67</v>
      </c>
      <c r="AC251" s="352">
        <v>43</v>
      </c>
      <c r="AD251" s="355">
        <v>325</v>
      </c>
      <c r="AE251" s="353">
        <v>55</v>
      </c>
    </row>
    <row r="252" spans="1:31">
      <c r="A252" s="228">
        <v>16</v>
      </c>
      <c r="B252" s="236" t="s">
        <v>282</v>
      </c>
      <c r="C252" s="10"/>
      <c r="D252" s="355">
        <v>2689</v>
      </c>
      <c r="E252" s="352">
        <v>628</v>
      </c>
      <c r="F252" s="355">
        <v>18106</v>
      </c>
      <c r="G252" s="352">
        <v>3275</v>
      </c>
      <c r="H252" s="355">
        <v>1481</v>
      </c>
      <c r="I252" s="352">
        <v>199</v>
      </c>
      <c r="J252" s="355">
        <v>416</v>
      </c>
      <c r="K252" s="352">
        <v>58</v>
      </c>
      <c r="L252" s="355">
        <v>3199</v>
      </c>
      <c r="M252" s="352">
        <v>1034</v>
      </c>
      <c r="N252" s="355">
        <v>1143</v>
      </c>
      <c r="O252" s="352">
        <v>632</v>
      </c>
      <c r="P252" s="355">
        <v>589</v>
      </c>
      <c r="Q252" s="352">
        <v>64</v>
      </c>
      <c r="R252" s="355">
        <v>46</v>
      </c>
      <c r="S252" s="352">
        <v>9</v>
      </c>
      <c r="T252" s="355">
        <v>53</v>
      </c>
      <c r="U252" s="352">
        <v>18</v>
      </c>
      <c r="V252" s="355">
        <v>3</v>
      </c>
      <c r="W252" s="352"/>
      <c r="X252" s="355"/>
      <c r="Y252" s="352"/>
      <c r="Z252" s="355">
        <v>201</v>
      </c>
      <c r="AA252" s="352">
        <v>39</v>
      </c>
      <c r="AB252" s="355">
        <v>114</v>
      </c>
      <c r="AC252" s="352">
        <v>22</v>
      </c>
      <c r="AD252" s="355"/>
      <c r="AE252" s="353"/>
    </row>
    <row r="253" spans="1:31" ht="15">
      <c r="A253" s="228">
        <v>17</v>
      </c>
      <c r="B253" s="236" t="s">
        <v>283</v>
      </c>
      <c r="C253" s="248"/>
      <c r="D253" s="357">
        <v>6755</v>
      </c>
      <c r="E253" s="354">
        <v>1605</v>
      </c>
      <c r="F253" s="357">
        <v>55132</v>
      </c>
      <c r="G253" s="354">
        <v>9568</v>
      </c>
      <c r="H253" s="357">
        <v>2222</v>
      </c>
      <c r="I253" s="354">
        <v>749</v>
      </c>
      <c r="J253" s="357">
        <v>1214</v>
      </c>
      <c r="K253" s="354">
        <v>170</v>
      </c>
      <c r="L253" s="357">
        <v>4330</v>
      </c>
      <c r="M253" s="354">
        <v>1438</v>
      </c>
      <c r="N253" s="357">
        <v>3683</v>
      </c>
      <c r="O253" s="354">
        <v>1513</v>
      </c>
      <c r="P253" s="357">
        <v>1014</v>
      </c>
      <c r="Q253" s="354">
        <v>350</v>
      </c>
      <c r="R253" s="357">
        <v>47</v>
      </c>
      <c r="S253" s="354">
        <v>21</v>
      </c>
      <c r="T253" s="357">
        <v>84</v>
      </c>
      <c r="U253" s="354">
        <v>18</v>
      </c>
      <c r="V253" s="357">
        <v>35</v>
      </c>
      <c r="W253" s="354">
        <v>4</v>
      </c>
      <c r="X253" s="357">
        <v>3</v>
      </c>
      <c r="Y253" s="354"/>
      <c r="Z253" s="357">
        <v>325</v>
      </c>
      <c r="AA253" s="354">
        <v>112</v>
      </c>
      <c r="AB253" s="357">
        <v>666</v>
      </c>
      <c r="AC253" s="354">
        <v>141</v>
      </c>
      <c r="AD253" s="357">
        <v>1063</v>
      </c>
      <c r="AE253" s="353">
        <v>144</v>
      </c>
    </row>
    <row r="254" spans="1:31">
      <c r="A254" s="228">
        <v>18</v>
      </c>
      <c r="B254" s="236" t="s">
        <v>284</v>
      </c>
      <c r="C254" s="17"/>
      <c r="D254" s="355">
        <v>10772</v>
      </c>
      <c r="E254" s="352">
        <v>6408</v>
      </c>
      <c r="F254" s="355">
        <v>94893</v>
      </c>
      <c r="G254" s="352">
        <v>21474</v>
      </c>
      <c r="H254" s="355">
        <v>4684</v>
      </c>
      <c r="I254" s="352">
        <v>896</v>
      </c>
      <c r="J254" s="355">
        <v>946</v>
      </c>
      <c r="K254" s="352">
        <v>125</v>
      </c>
      <c r="L254" s="355">
        <v>6764</v>
      </c>
      <c r="M254" s="352">
        <v>2432</v>
      </c>
      <c r="N254" s="355">
        <v>2980</v>
      </c>
      <c r="O254" s="352">
        <v>1317</v>
      </c>
      <c r="P254" s="355">
        <v>716</v>
      </c>
      <c r="Q254" s="352">
        <v>227</v>
      </c>
      <c r="R254" s="355">
        <v>85</v>
      </c>
      <c r="S254" s="352">
        <v>53</v>
      </c>
      <c r="T254" s="355">
        <v>117</v>
      </c>
      <c r="U254" s="352">
        <v>29</v>
      </c>
      <c r="V254" s="355">
        <v>12</v>
      </c>
      <c r="W254" s="352">
        <v>1</v>
      </c>
      <c r="X254" s="355">
        <v>2</v>
      </c>
      <c r="Y254" s="352"/>
      <c r="Z254" s="355">
        <v>452</v>
      </c>
      <c r="AA254" s="352">
        <v>114</v>
      </c>
      <c r="AB254" s="355">
        <v>135</v>
      </c>
      <c r="AC254" s="352">
        <v>40</v>
      </c>
      <c r="AD254" s="355"/>
      <c r="AE254" s="353"/>
    </row>
    <row r="255" spans="1:31">
      <c r="A255" s="228">
        <v>19</v>
      </c>
      <c r="B255" s="236" t="s">
        <v>285</v>
      </c>
      <c r="C255" s="10"/>
      <c r="D255" s="355">
        <v>3970</v>
      </c>
      <c r="E255" s="352">
        <v>1131</v>
      </c>
      <c r="F255" s="355">
        <v>39406</v>
      </c>
      <c r="G255" s="352">
        <v>4234</v>
      </c>
      <c r="H255" s="355">
        <v>2494</v>
      </c>
      <c r="I255" s="352">
        <v>314</v>
      </c>
      <c r="J255" s="355">
        <v>473</v>
      </c>
      <c r="K255" s="352">
        <v>52</v>
      </c>
      <c r="L255" s="355">
        <v>4387</v>
      </c>
      <c r="M255" s="352">
        <v>1000</v>
      </c>
      <c r="N255" s="355">
        <v>3072</v>
      </c>
      <c r="O255" s="352">
        <v>767</v>
      </c>
      <c r="P255" s="355">
        <v>100</v>
      </c>
      <c r="Q255" s="352">
        <v>40</v>
      </c>
      <c r="R255" s="355">
        <v>54</v>
      </c>
      <c r="S255" s="352">
        <v>12</v>
      </c>
      <c r="T255" s="355">
        <v>4</v>
      </c>
      <c r="U255" s="352">
        <v>2</v>
      </c>
      <c r="V255" s="355"/>
      <c r="W255" s="352"/>
      <c r="X255" s="355"/>
      <c r="Y255" s="352"/>
      <c r="Z255" s="355">
        <v>361</v>
      </c>
      <c r="AA255" s="352">
        <v>78</v>
      </c>
      <c r="AB255" s="355">
        <v>193</v>
      </c>
      <c r="AC255" s="352">
        <v>36</v>
      </c>
      <c r="AD255" s="355">
        <v>529</v>
      </c>
      <c r="AE255" s="353">
        <v>104</v>
      </c>
    </row>
    <row r="256" spans="1:31">
      <c r="A256" s="228">
        <v>20</v>
      </c>
      <c r="B256" s="236" t="s">
        <v>286</v>
      </c>
      <c r="C256" s="10"/>
      <c r="D256" s="355">
        <v>5002</v>
      </c>
      <c r="E256" s="352">
        <v>2327</v>
      </c>
      <c r="F256" s="355">
        <v>34334</v>
      </c>
      <c r="G256" s="352">
        <v>6043</v>
      </c>
      <c r="H256" s="355">
        <v>2556</v>
      </c>
      <c r="I256" s="352">
        <v>1092</v>
      </c>
      <c r="J256" s="355">
        <v>763</v>
      </c>
      <c r="K256" s="352">
        <v>209</v>
      </c>
      <c r="L256" s="355">
        <v>7891</v>
      </c>
      <c r="M256" s="352">
        <v>17117</v>
      </c>
      <c r="N256" s="355">
        <v>2167</v>
      </c>
      <c r="O256" s="352">
        <v>3187</v>
      </c>
      <c r="P256" s="355">
        <v>114</v>
      </c>
      <c r="Q256" s="352">
        <v>109</v>
      </c>
      <c r="R256" s="355">
        <v>14</v>
      </c>
      <c r="S256" s="352">
        <v>7</v>
      </c>
      <c r="T256" s="355">
        <v>12</v>
      </c>
      <c r="U256" s="352">
        <v>5</v>
      </c>
      <c r="V256" s="355">
        <v>1</v>
      </c>
      <c r="W256" s="352"/>
      <c r="X256" s="355">
        <v>16</v>
      </c>
      <c r="Y256" s="352"/>
      <c r="Z256" s="355">
        <v>138</v>
      </c>
      <c r="AA256" s="352">
        <v>93</v>
      </c>
      <c r="AB256" s="355">
        <v>52</v>
      </c>
      <c r="AC256" s="352">
        <v>188</v>
      </c>
      <c r="AD256" s="355"/>
      <c r="AE256" s="353"/>
    </row>
    <row r="257" spans="1:31">
      <c r="A257" s="228">
        <v>21</v>
      </c>
      <c r="B257" s="236" t="s">
        <v>287</v>
      </c>
      <c r="C257" s="10"/>
      <c r="D257" s="355">
        <v>8961</v>
      </c>
      <c r="E257" s="352">
        <v>4664</v>
      </c>
      <c r="F257" s="355">
        <v>67206</v>
      </c>
      <c r="G257" s="352">
        <v>34643</v>
      </c>
      <c r="H257" s="355">
        <v>2625</v>
      </c>
      <c r="I257" s="352">
        <v>1797</v>
      </c>
      <c r="J257" s="355">
        <v>1077</v>
      </c>
      <c r="K257" s="352">
        <v>136</v>
      </c>
      <c r="L257" s="355">
        <v>6285</v>
      </c>
      <c r="M257" s="352">
        <v>3306</v>
      </c>
      <c r="N257" s="355">
        <v>2450</v>
      </c>
      <c r="O257" s="352">
        <v>1679</v>
      </c>
      <c r="P257" s="355">
        <v>14</v>
      </c>
      <c r="Q257" s="352">
        <v>14</v>
      </c>
      <c r="R257" s="355">
        <v>5</v>
      </c>
      <c r="S257" s="352">
        <v>2</v>
      </c>
      <c r="T257" s="355">
        <v>18</v>
      </c>
      <c r="U257" s="352">
        <v>3</v>
      </c>
      <c r="V257" s="355"/>
      <c r="W257" s="352"/>
      <c r="X257" s="355"/>
      <c r="Y257" s="352"/>
      <c r="Z257" s="355">
        <v>62</v>
      </c>
      <c r="AA257" s="352">
        <v>141</v>
      </c>
      <c r="AB257" s="355">
        <v>107</v>
      </c>
      <c r="AC257" s="352">
        <v>205</v>
      </c>
      <c r="AD257" s="355">
        <v>242</v>
      </c>
      <c r="AE257" s="353">
        <v>57</v>
      </c>
    </row>
    <row r="258" spans="1:31">
      <c r="A258" s="228">
        <v>22</v>
      </c>
      <c r="B258" s="236" t="s">
        <v>288</v>
      </c>
      <c r="C258" s="10"/>
      <c r="D258" s="355">
        <v>4726</v>
      </c>
      <c r="E258" s="352">
        <v>4149</v>
      </c>
      <c r="F258" s="355">
        <v>48892</v>
      </c>
      <c r="G258" s="352">
        <v>49120</v>
      </c>
      <c r="H258" s="355">
        <v>967</v>
      </c>
      <c r="I258" s="352">
        <v>2122</v>
      </c>
      <c r="J258" s="355">
        <v>584</v>
      </c>
      <c r="K258" s="352">
        <v>197</v>
      </c>
      <c r="L258" s="355">
        <v>6086</v>
      </c>
      <c r="M258" s="352">
        <v>3980</v>
      </c>
      <c r="N258" s="355">
        <v>1604</v>
      </c>
      <c r="O258" s="352">
        <v>1171</v>
      </c>
      <c r="P258" s="355">
        <v>332</v>
      </c>
      <c r="Q258" s="352">
        <v>184</v>
      </c>
      <c r="R258" s="355">
        <v>51</v>
      </c>
      <c r="S258" s="352">
        <v>33</v>
      </c>
      <c r="T258" s="355">
        <v>27</v>
      </c>
      <c r="U258" s="352">
        <v>17</v>
      </c>
      <c r="V258" s="355">
        <v>10</v>
      </c>
      <c r="W258" s="352">
        <v>2</v>
      </c>
      <c r="X258" s="355"/>
      <c r="Y258" s="352"/>
      <c r="Z258" s="355">
        <v>70</v>
      </c>
      <c r="AA258" s="352">
        <v>120</v>
      </c>
      <c r="AB258" s="355">
        <v>100</v>
      </c>
      <c r="AC258" s="352">
        <v>114</v>
      </c>
      <c r="AD258" s="355">
        <v>1148</v>
      </c>
      <c r="AE258" s="353">
        <v>391</v>
      </c>
    </row>
    <row r="259" spans="1:31">
      <c r="A259" s="228">
        <v>23</v>
      </c>
      <c r="B259" s="236" t="s">
        <v>289</v>
      </c>
      <c r="C259" s="10"/>
      <c r="D259" s="355">
        <v>6256</v>
      </c>
      <c r="E259" s="354">
        <v>1644</v>
      </c>
      <c r="F259" s="355">
        <v>36843</v>
      </c>
      <c r="G259" s="354">
        <v>3778</v>
      </c>
      <c r="H259" s="355">
        <v>1376</v>
      </c>
      <c r="I259" s="354">
        <v>1359</v>
      </c>
      <c r="J259" s="355">
        <v>556</v>
      </c>
      <c r="K259" s="354">
        <v>45</v>
      </c>
      <c r="L259" s="355">
        <v>3598</v>
      </c>
      <c r="M259" s="354">
        <v>912</v>
      </c>
      <c r="N259" s="355">
        <v>2472</v>
      </c>
      <c r="O259" s="354">
        <v>657</v>
      </c>
      <c r="P259" s="355">
        <v>60</v>
      </c>
      <c r="Q259" s="354">
        <v>33</v>
      </c>
      <c r="R259" s="355">
        <v>4</v>
      </c>
      <c r="S259" s="354">
        <v>5</v>
      </c>
      <c r="T259" s="355">
        <v>6</v>
      </c>
      <c r="U259" s="354">
        <v>101</v>
      </c>
      <c r="V259" s="355">
        <v>4</v>
      </c>
      <c r="W259" s="354"/>
      <c r="X259" s="355"/>
      <c r="Y259" s="354"/>
      <c r="Z259" s="355">
        <v>230</v>
      </c>
      <c r="AA259" s="354">
        <v>87</v>
      </c>
      <c r="AB259" s="355">
        <v>273</v>
      </c>
      <c r="AC259" s="354">
        <v>96</v>
      </c>
      <c r="AD259" s="355"/>
      <c r="AE259" s="353"/>
    </row>
    <row r="260" spans="1:31" ht="15">
      <c r="A260" s="228">
        <v>24</v>
      </c>
      <c r="B260" s="236" t="s">
        <v>290</v>
      </c>
      <c r="C260" s="248"/>
      <c r="D260" s="357">
        <v>17795</v>
      </c>
      <c r="E260" s="354">
        <v>5343</v>
      </c>
      <c r="F260" s="357">
        <v>73118</v>
      </c>
      <c r="G260" s="354">
        <v>19079</v>
      </c>
      <c r="H260" s="357">
        <v>3586</v>
      </c>
      <c r="I260" s="354">
        <v>1185</v>
      </c>
      <c r="J260" s="357">
        <v>1458</v>
      </c>
      <c r="K260" s="354">
        <v>268</v>
      </c>
      <c r="L260" s="357">
        <v>10235</v>
      </c>
      <c r="M260" s="354">
        <v>3106</v>
      </c>
      <c r="N260" s="357">
        <v>5526</v>
      </c>
      <c r="O260" s="354">
        <v>3812</v>
      </c>
      <c r="P260" s="357">
        <v>784</v>
      </c>
      <c r="Q260" s="354">
        <v>208</v>
      </c>
      <c r="R260" s="357">
        <v>84</v>
      </c>
      <c r="S260" s="354">
        <v>8</v>
      </c>
      <c r="T260" s="357">
        <v>195</v>
      </c>
      <c r="U260" s="354">
        <v>15</v>
      </c>
      <c r="V260" s="357">
        <v>10</v>
      </c>
      <c r="W260" s="354">
        <v>3</v>
      </c>
      <c r="X260" s="357">
        <v>2</v>
      </c>
      <c r="Y260" s="354">
        <v>1</v>
      </c>
      <c r="Z260" s="357">
        <v>134</v>
      </c>
      <c r="AA260" s="354">
        <v>131</v>
      </c>
      <c r="AB260" s="357">
        <v>404</v>
      </c>
      <c r="AC260" s="354">
        <v>291</v>
      </c>
      <c r="AD260" s="357"/>
      <c r="AE260" s="353"/>
    </row>
    <row r="261" spans="1:31">
      <c r="A261" s="215"/>
      <c r="B261" s="203"/>
      <c r="C261" s="16"/>
      <c r="D261" s="363"/>
      <c r="E261" s="364"/>
      <c r="F261" s="363"/>
      <c r="G261" s="364"/>
      <c r="H261" s="363"/>
      <c r="I261" s="364"/>
      <c r="J261" s="363"/>
      <c r="K261" s="364"/>
      <c r="L261" s="363"/>
      <c r="M261" s="364"/>
      <c r="N261" s="363"/>
      <c r="O261" s="364"/>
      <c r="P261" s="363"/>
      <c r="Q261" s="364"/>
      <c r="R261" s="363"/>
      <c r="S261" s="364"/>
      <c r="T261" s="363"/>
      <c r="U261" s="364"/>
      <c r="V261" s="363"/>
      <c r="W261" s="364"/>
      <c r="X261" s="363"/>
      <c r="Y261" s="364"/>
      <c r="Z261" s="363"/>
      <c r="AA261" s="364"/>
      <c r="AB261" s="363"/>
      <c r="AC261" s="364"/>
      <c r="AD261" s="363"/>
      <c r="AE261" s="365"/>
    </row>
    <row r="262" spans="1:31" ht="15">
      <c r="A262" s="216" t="s">
        <v>295</v>
      </c>
      <c r="B262" s="239"/>
      <c r="C262" s="10"/>
      <c r="D262" s="359">
        <f>SUM(D237:D260)</f>
        <v>183484</v>
      </c>
      <c r="E262" s="358">
        <f t="shared" ref="E262:AE262" si="10">SUM(E237:E260)</f>
        <v>136646</v>
      </c>
      <c r="F262" s="359">
        <f t="shared" si="10"/>
        <v>1435140</v>
      </c>
      <c r="G262" s="358">
        <f t="shared" si="10"/>
        <v>398800</v>
      </c>
      <c r="H262" s="359">
        <f t="shared" si="10"/>
        <v>63764</v>
      </c>
      <c r="I262" s="358">
        <f t="shared" si="10"/>
        <v>24008</v>
      </c>
      <c r="J262" s="359">
        <f t="shared" si="10"/>
        <v>20506</v>
      </c>
      <c r="K262" s="358">
        <f t="shared" si="10"/>
        <v>3948</v>
      </c>
      <c r="L262" s="359">
        <f t="shared" si="10"/>
        <v>187643</v>
      </c>
      <c r="M262" s="358">
        <f t="shared" si="10"/>
        <v>99880</v>
      </c>
      <c r="N262" s="359">
        <f t="shared" si="10"/>
        <v>68375</v>
      </c>
      <c r="O262" s="358">
        <f t="shared" si="10"/>
        <v>42699</v>
      </c>
      <c r="P262" s="359">
        <f t="shared" si="10"/>
        <v>9745</v>
      </c>
      <c r="Q262" s="358">
        <f t="shared" si="10"/>
        <v>4734</v>
      </c>
      <c r="R262" s="359">
        <f t="shared" si="10"/>
        <v>941</v>
      </c>
      <c r="S262" s="358">
        <f t="shared" si="10"/>
        <v>497</v>
      </c>
      <c r="T262" s="359">
        <f t="shared" si="10"/>
        <v>1407</v>
      </c>
      <c r="U262" s="358">
        <f t="shared" si="10"/>
        <v>1052</v>
      </c>
      <c r="V262" s="359">
        <f t="shared" si="10"/>
        <v>215</v>
      </c>
      <c r="W262" s="358">
        <f t="shared" si="10"/>
        <v>39</v>
      </c>
      <c r="X262" s="359">
        <f t="shared" si="10"/>
        <v>158</v>
      </c>
      <c r="Y262" s="358">
        <f t="shared" si="10"/>
        <v>104</v>
      </c>
      <c r="Z262" s="359">
        <f t="shared" si="10"/>
        <v>5845</v>
      </c>
      <c r="AA262" s="358">
        <f t="shared" si="10"/>
        <v>3196</v>
      </c>
      <c r="AB262" s="359">
        <f t="shared" si="10"/>
        <v>3818</v>
      </c>
      <c r="AC262" s="358">
        <f t="shared" si="10"/>
        <v>3326</v>
      </c>
      <c r="AD262" s="359">
        <f t="shared" si="10"/>
        <v>12531</v>
      </c>
      <c r="AE262" s="377">
        <f t="shared" si="10"/>
        <v>3953</v>
      </c>
    </row>
    <row r="263" spans="1:31" ht="15" thickBot="1">
      <c r="A263" s="217"/>
      <c r="B263" s="104"/>
      <c r="C263" s="251"/>
      <c r="D263" s="366"/>
      <c r="E263" s="367"/>
      <c r="F263" s="366"/>
      <c r="G263" s="367"/>
      <c r="H263" s="366"/>
      <c r="I263" s="367"/>
      <c r="J263" s="366"/>
      <c r="K263" s="367"/>
      <c r="L263" s="366"/>
      <c r="M263" s="367"/>
      <c r="N263" s="366"/>
      <c r="O263" s="367"/>
      <c r="P263" s="366"/>
      <c r="Q263" s="367"/>
      <c r="R263" s="366"/>
      <c r="S263" s="367"/>
      <c r="T263" s="366"/>
      <c r="U263" s="367"/>
      <c r="V263" s="366"/>
      <c r="W263" s="367"/>
      <c r="X263" s="366"/>
      <c r="Y263" s="367"/>
      <c r="Z263" s="366"/>
      <c r="AA263" s="367"/>
      <c r="AB263" s="366"/>
      <c r="AC263" s="367"/>
      <c r="AD263" s="366"/>
      <c r="AE263" s="368"/>
    </row>
    <row r="264" spans="1:31" ht="15" thickTop="1">
      <c r="C264" s="31"/>
      <c r="D264" s="31"/>
      <c r="E264" s="32"/>
      <c r="F264" s="134"/>
      <c r="G264" s="134"/>
      <c r="H264" s="134"/>
      <c r="I264" s="134"/>
      <c r="J264" s="134"/>
      <c r="K264" s="134"/>
      <c r="L264" s="134"/>
      <c r="M264" s="134"/>
      <c r="N264" s="134"/>
      <c r="O264" s="134"/>
      <c r="P264" s="134"/>
      <c r="Q264" s="134"/>
      <c r="R264" s="134"/>
    </row>
    <row r="265" spans="1:31">
      <c r="C265" s="31"/>
      <c r="D265" s="31"/>
      <c r="E265" s="32"/>
      <c r="F265" s="134"/>
      <c r="G265" s="134"/>
      <c r="H265" s="134"/>
      <c r="I265" s="134"/>
      <c r="J265" s="134"/>
      <c r="K265" s="134"/>
      <c r="L265" s="134"/>
      <c r="M265" s="134"/>
      <c r="N265" s="134"/>
      <c r="O265" s="134"/>
      <c r="P265" s="134"/>
      <c r="Q265" s="134"/>
      <c r="R265" s="134"/>
    </row>
    <row r="266" spans="1:31" ht="15">
      <c r="C266" s="249"/>
      <c r="D266" s="249"/>
      <c r="E266" s="31"/>
      <c r="F266" s="31"/>
      <c r="G266" s="31"/>
      <c r="H266" s="31"/>
      <c r="I266" s="31"/>
      <c r="J266" s="31"/>
      <c r="K266" s="31"/>
      <c r="L266" s="31"/>
      <c r="M266" s="31"/>
      <c r="N266" s="31"/>
      <c r="O266" s="31"/>
      <c r="P266" s="31"/>
      <c r="Q266" s="31"/>
      <c r="R266" s="31"/>
    </row>
    <row r="267" spans="1:31">
      <c r="C267" s="47"/>
      <c r="D267" s="47"/>
      <c r="E267" s="32"/>
      <c r="F267" s="134"/>
      <c r="G267" s="134"/>
      <c r="H267" s="134"/>
      <c r="I267" s="134"/>
      <c r="J267" s="134"/>
      <c r="K267" s="134"/>
      <c r="L267" s="134"/>
      <c r="M267" s="134"/>
      <c r="N267" s="134"/>
      <c r="O267" s="134"/>
      <c r="P267" s="134"/>
      <c r="Q267" s="134"/>
      <c r="R267" s="134"/>
    </row>
    <row r="268" spans="1:31">
      <c r="C268" s="31"/>
      <c r="D268" s="31"/>
      <c r="E268" s="32"/>
      <c r="F268" s="134"/>
      <c r="G268" s="134"/>
      <c r="H268" s="134"/>
      <c r="I268" s="134"/>
      <c r="J268" s="134"/>
      <c r="K268" s="134"/>
      <c r="L268" s="134"/>
      <c r="M268" s="134"/>
      <c r="N268" s="134"/>
      <c r="O268" s="134"/>
      <c r="P268" s="134"/>
      <c r="Q268" s="134"/>
      <c r="R268" s="134"/>
    </row>
    <row r="269" spans="1:31">
      <c r="C269" s="31"/>
      <c r="D269" s="31"/>
      <c r="E269" s="32"/>
      <c r="F269" s="134"/>
      <c r="G269" s="134"/>
      <c r="H269" s="134"/>
      <c r="I269" s="134"/>
      <c r="J269" s="134"/>
      <c r="K269" s="134"/>
      <c r="L269" s="134"/>
      <c r="M269" s="134"/>
      <c r="N269" s="134"/>
      <c r="O269" s="134"/>
      <c r="P269" s="134"/>
      <c r="Q269" s="134"/>
      <c r="R269" s="134"/>
    </row>
    <row r="270" spans="1:31">
      <c r="C270" s="31"/>
      <c r="D270" s="31"/>
      <c r="E270" s="32"/>
      <c r="F270" s="134"/>
      <c r="G270" s="134"/>
      <c r="H270" s="134"/>
      <c r="I270" s="134"/>
      <c r="J270" s="134"/>
      <c r="K270" s="134"/>
      <c r="L270" s="134"/>
      <c r="M270" s="134"/>
      <c r="N270" s="134"/>
      <c r="O270" s="134"/>
      <c r="P270" s="134"/>
      <c r="Q270" s="134"/>
      <c r="R270" s="134"/>
    </row>
    <row r="271" spans="1:31">
      <c r="C271" s="31"/>
      <c r="D271" s="31"/>
      <c r="E271" s="32"/>
      <c r="F271" s="134"/>
      <c r="G271" s="134"/>
      <c r="H271" s="134"/>
      <c r="I271" s="134"/>
      <c r="J271" s="134"/>
      <c r="K271" s="134"/>
      <c r="L271" s="134"/>
      <c r="M271" s="134"/>
      <c r="N271" s="134"/>
      <c r="O271" s="134"/>
      <c r="P271" s="134"/>
      <c r="Q271" s="134"/>
      <c r="R271" s="134"/>
    </row>
  </sheetData>
  <mergeCells count="15">
    <mergeCell ref="Z4:AA5"/>
    <mergeCell ref="AB4:AC5"/>
    <mergeCell ref="AD4:AE5"/>
    <mergeCell ref="C4:C5"/>
    <mergeCell ref="P4:Q5"/>
    <mergeCell ref="R4:S5"/>
    <mergeCell ref="T4:U5"/>
    <mergeCell ref="V4:W5"/>
    <mergeCell ref="X4:Y5"/>
    <mergeCell ref="D4:E5"/>
    <mergeCell ref="F4:G5"/>
    <mergeCell ref="H4:I5"/>
    <mergeCell ref="J4:K5"/>
    <mergeCell ref="L4:M5"/>
    <mergeCell ref="N4:O5"/>
  </mergeCell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1"/>
  </sheetPr>
  <dimension ref="A2:V272"/>
  <sheetViews>
    <sheetView topLeftCell="M1" workbookViewId="0">
      <selection activeCell="B3" sqref="B3"/>
    </sheetView>
  </sheetViews>
  <sheetFormatPr baseColWidth="10" defaultColWidth="8.83203125" defaultRowHeight="14" x14ac:dyDescent="0"/>
  <cols>
    <col min="1" max="1" width="31.5" customWidth="1"/>
    <col min="2" max="2" width="21.5" customWidth="1"/>
    <col min="3" max="3" width="10.1640625" customWidth="1"/>
    <col min="4" max="4" width="11.1640625" customWidth="1"/>
    <col min="5" max="5" width="11.5" customWidth="1"/>
    <col min="6" max="6" width="10.5" customWidth="1"/>
    <col min="7" max="7" width="10.6640625" customWidth="1"/>
    <col min="8" max="8" width="11.83203125" customWidth="1"/>
    <col min="9" max="10" width="11" customWidth="1"/>
    <col min="11" max="11" width="12" customWidth="1"/>
    <col min="12" max="13" width="11.5" customWidth="1"/>
    <col min="14" max="14" width="14" customWidth="1"/>
    <col min="15" max="15" width="11.5" customWidth="1"/>
    <col min="16" max="16" width="12" customWidth="1"/>
    <col min="17" max="17" width="9.1640625" customWidth="1"/>
    <col min="18" max="18" width="10.1640625" customWidth="1"/>
    <col min="19" max="19" width="11.33203125" customWidth="1"/>
    <col min="20" max="20" width="11.5" customWidth="1"/>
    <col min="21" max="21" width="12.6640625" customWidth="1"/>
  </cols>
  <sheetData>
    <row r="2" spans="1:22" ht="18">
      <c r="A2" s="705" t="s">
        <v>378</v>
      </c>
      <c r="B2" s="262" t="s">
        <v>488</v>
      </c>
    </row>
    <row r="3" spans="1:22" ht="19" thickBot="1">
      <c r="A3" s="278"/>
    </row>
    <row r="4" spans="1:22" ht="15" thickTop="1">
      <c r="A4" s="33"/>
      <c r="B4" s="7"/>
      <c r="C4" s="9"/>
      <c r="D4" s="721" t="s">
        <v>379</v>
      </c>
      <c r="E4" s="727"/>
      <c r="F4" s="727"/>
      <c r="G4" s="727"/>
      <c r="H4" s="722"/>
      <c r="I4" s="721" t="s">
        <v>388</v>
      </c>
      <c r="J4" s="729"/>
      <c r="K4" s="729"/>
      <c r="L4" s="730"/>
      <c r="M4" s="734" t="s">
        <v>392</v>
      </c>
      <c r="N4" s="727"/>
      <c r="O4" s="722"/>
      <c r="P4" s="710" t="s">
        <v>395</v>
      </c>
      <c r="Q4" s="721" t="s">
        <v>396</v>
      </c>
      <c r="R4" s="727"/>
      <c r="S4" s="727"/>
      <c r="T4" s="727"/>
      <c r="U4" s="725"/>
      <c r="V4" s="319"/>
    </row>
    <row r="5" spans="1:22">
      <c r="A5" s="140" t="s">
        <v>42</v>
      </c>
      <c r="B5" s="97"/>
      <c r="C5" s="711" t="s">
        <v>306</v>
      </c>
      <c r="D5" s="723"/>
      <c r="E5" s="728"/>
      <c r="F5" s="728"/>
      <c r="G5" s="728"/>
      <c r="H5" s="724"/>
      <c r="I5" s="731"/>
      <c r="J5" s="732"/>
      <c r="K5" s="732"/>
      <c r="L5" s="733"/>
      <c r="M5" s="735"/>
      <c r="N5" s="728"/>
      <c r="O5" s="724"/>
      <c r="P5" s="711"/>
      <c r="Q5" s="723"/>
      <c r="R5" s="728"/>
      <c r="S5" s="728"/>
      <c r="T5" s="728"/>
      <c r="U5" s="726"/>
      <c r="V5" s="319"/>
    </row>
    <row r="6" spans="1:22">
      <c r="A6" s="140"/>
      <c r="B6" s="97"/>
      <c r="C6" s="711"/>
      <c r="D6" s="403"/>
      <c r="E6" s="400"/>
      <c r="F6" s="392"/>
      <c r="G6" s="392"/>
      <c r="H6" s="394"/>
      <c r="I6" s="403"/>
      <c r="J6" s="155"/>
      <c r="K6" s="143"/>
      <c r="L6" s="414"/>
      <c r="M6" s="403"/>
      <c r="N6" s="155"/>
      <c r="O6" s="414"/>
      <c r="P6" s="711"/>
      <c r="Q6" s="403"/>
      <c r="R6" s="114"/>
      <c r="S6" s="158"/>
      <c r="T6" s="154"/>
      <c r="U6" s="160"/>
      <c r="V6" s="319"/>
    </row>
    <row r="7" spans="1:22">
      <c r="A7" s="141">
        <v>4145</v>
      </c>
      <c r="B7" s="241"/>
      <c r="C7" s="711"/>
      <c r="D7" s="8" t="s">
        <v>380</v>
      </c>
      <c r="E7" s="381" t="s">
        <v>381</v>
      </c>
      <c r="F7" s="18" t="s">
        <v>383</v>
      </c>
      <c r="G7" s="18" t="s">
        <v>383</v>
      </c>
      <c r="H7" s="61" t="s">
        <v>386</v>
      </c>
      <c r="I7" s="8" t="s">
        <v>389</v>
      </c>
      <c r="J7" s="381" t="s">
        <v>384</v>
      </c>
      <c r="K7" s="18" t="s">
        <v>390</v>
      </c>
      <c r="L7" s="161" t="s">
        <v>391</v>
      </c>
      <c r="M7" s="8" t="s">
        <v>389</v>
      </c>
      <c r="N7" s="381" t="s">
        <v>393</v>
      </c>
      <c r="O7" s="161" t="s">
        <v>394</v>
      </c>
      <c r="P7" s="711"/>
      <c r="Q7" s="8" t="s">
        <v>389</v>
      </c>
      <c r="R7" s="381" t="s">
        <v>397</v>
      </c>
      <c r="S7" s="18" t="s">
        <v>398</v>
      </c>
      <c r="T7" s="18" t="s">
        <v>399</v>
      </c>
      <c r="U7" s="161" t="s">
        <v>400</v>
      </c>
      <c r="V7" s="319"/>
    </row>
    <row r="8" spans="1:22">
      <c r="A8" s="141"/>
      <c r="B8" s="241"/>
      <c r="C8" s="711"/>
      <c r="D8" s="8"/>
      <c r="E8" s="2" t="s">
        <v>382</v>
      </c>
      <c r="F8" s="18" t="s">
        <v>384</v>
      </c>
      <c r="G8" s="18" t="s">
        <v>385</v>
      </c>
      <c r="H8" s="61"/>
      <c r="I8" s="8"/>
      <c r="J8" s="381" t="s">
        <v>382</v>
      </c>
      <c r="K8" s="18" t="s">
        <v>382</v>
      </c>
      <c r="L8" s="161" t="s">
        <v>382</v>
      </c>
      <c r="M8" s="8"/>
      <c r="N8" s="381"/>
      <c r="O8" s="161"/>
      <c r="P8" s="711"/>
      <c r="Q8" s="8"/>
      <c r="R8" s="47"/>
      <c r="S8" s="161"/>
      <c r="T8" s="18"/>
      <c r="U8" s="47"/>
      <c r="V8" s="319"/>
    </row>
    <row r="9" spans="1:22">
      <c r="A9" s="3"/>
      <c r="B9" s="5"/>
      <c r="C9" s="712"/>
      <c r="D9" s="46" t="s">
        <v>403</v>
      </c>
      <c r="E9" s="401" t="s">
        <v>403</v>
      </c>
      <c r="F9" s="393" t="s">
        <v>403</v>
      </c>
      <c r="G9" s="393" t="s">
        <v>403</v>
      </c>
      <c r="H9" s="62" t="s">
        <v>403</v>
      </c>
      <c r="I9" s="46" t="s">
        <v>85</v>
      </c>
      <c r="J9" s="419" t="s">
        <v>85</v>
      </c>
      <c r="K9" s="393" t="s">
        <v>85</v>
      </c>
      <c r="L9" s="420" t="s">
        <v>85</v>
      </c>
      <c r="M9" s="46" t="s">
        <v>85</v>
      </c>
      <c r="N9" s="401" t="s">
        <v>85</v>
      </c>
      <c r="O9" s="393" t="s">
        <v>85</v>
      </c>
      <c r="P9" s="712"/>
      <c r="Q9" s="46" t="s">
        <v>59</v>
      </c>
      <c r="R9" s="19" t="s">
        <v>59</v>
      </c>
      <c r="S9" s="420" t="s">
        <v>59</v>
      </c>
      <c r="T9" s="393" t="s">
        <v>59</v>
      </c>
      <c r="U9" s="19" t="s">
        <v>59</v>
      </c>
      <c r="V9" s="319"/>
    </row>
    <row r="10" spans="1:22">
      <c r="A10" s="31"/>
      <c r="B10" s="4"/>
      <c r="C10" s="10"/>
      <c r="D10" s="404"/>
      <c r="E10" s="123"/>
      <c r="F10" s="28"/>
      <c r="G10" s="22"/>
      <c r="H10" s="397"/>
      <c r="I10" s="406"/>
      <c r="J10" s="70"/>
      <c r="K10" s="22"/>
      <c r="L10" s="23"/>
      <c r="M10" s="406"/>
      <c r="N10" s="70"/>
      <c r="O10" s="23"/>
      <c r="P10" s="406"/>
      <c r="Q10" s="406"/>
      <c r="R10" s="32"/>
      <c r="S10" s="316"/>
      <c r="T10" s="24"/>
      <c r="U10" s="23"/>
      <c r="V10" s="319"/>
    </row>
    <row r="11" spans="1:22">
      <c r="A11" s="145" t="s">
        <v>61</v>
      </c>
      <c r="B11" s="235"/>
      <c r="C11" s="244"/>
      <c r="D11" s="701">
        <f>SUM(D14:D17)</f>
        <v>5753682</v>
      </c>
      <c r="E11" s="702">
        <f t="shared" ref="E11:U11" si="0">SUM(E14:E17)</f>
        <v>495965</v>
      </c>
      <c r="F11" s="152">
        <f>SUM(F14:F17)</f>
        <v>3567273</v>
      </c>
      <c r="G11" s="152">
        <f t="shared" si="0"/>
        <v>341487</v>
      </c>
      <c r="H11" s="703">
        <f t="shared" si="0"/>
        <v>1348957</v>
      </c>
      <c r="I11" s="701">
        <f t="shared" si="0"/>
        <v>621543</v>
      </c>
      <c r="J11" s="702">
        <f t="shared" si="0"/>
        <v>152196</v>
      </c>
      <c r="K11" s="152">
        <f t="shared" si="0"/>
        <v>77922</v>
      </c>
      <c r="L11" s="703">
        <f t="shared" si="0"/>
        <v>391425</v>
      </c>
      <c r="M11" s="701">
        <f>SUM(M14:M17)</f>
        <v>7501013</v>
      </c>
      <c r="N11" s="704">
        <f t="shared" si="0"/>
        <v>5468032</v>
      </c>
      <c r="O11" s="703">
        <f t="shared" si="0"/>
        <v>2032981</v>
      </c>
      <c r="P11" s="701">
        <f t="shared" si="0"/>
        <v>32167</v>
      </c>
      <c r="Q11" s="701">
        <f t="shared" si="0"/>
        <v>2524828</v>
      </c>
      <c r="R11" s="702">
        <f t="shared" si="0"/>
        <v>125310</v>
      </c>
      <c r="S11" s="152">
        <f t="shared" si="0"/>
        <v>2230787</v>
      </c>
      <c r="T11" s="152">
        <f t="shared" si="0"/>
        <v>157572</v>
      </c>
      <c r="U11" s="703">
        <f t="shared" si="0"/>
        <v>11159</v>
      </c>
      <c r="V11" s="319"/>
    </row>
    <row r="12" spans="1:22" ht="15" thickBot="1">
      <c r="A12" s="47" t="s">
        <v>62</v>
      </c>
      <c r="B12" s="8"/>
      <c r="C12" s="17"/>
      <c r="D12" s="405"/>
      <c r="E12" s="402"/>
      <c r="F12" s="148"/>
      <c r="G12" s="148"/>
      <c r="H12" s="398"/>
      <c r="I12" s="405"/>
      <c r="J12" s="402"/>
      <c r="K12" s="149"/>
      <c r="L12" s="415"/>
      <c r="M12" s="405"/>
      <c r="N12" s="149"/>
      <c r="O12" s="415"/>
      <c r="P12" s="418"/>
      <c r="Q12" s="418"/>
      <c r="R12" s="417"/>
      <c r="S12" s="168"/>
      <c r="T12" s="168"/>
      <c r="U12" s="314"/>
      <c r="V12" s="319"/>
    </row>
    <row r="13" spans="1:22">
      <c r="A13" s="47"/>
      <c r="B13" s="8"/>
      <c r="C13" s="17"/>
      <c r="D13" s="406"/>
      <c r="E13" s="70"/>
      <c r="F13" s="22"/>
      <c r="G13" s="22"/>
      <c r="H13" s="49"/>
      <c r="I13" s="406"/>
      <c r="J13" s="70"/>
      <c r="K13" s="32"/>
      <c r="L13" s="23"/>
      <c r="M13" s="406"/>
      <c r="N13" s="32"/>
      <c r="O13" s="23"/>
      <c r="P13" s="404"/>
      <c r="Q13" s="404"/>
      <c r="R13" s="123"/>
      <c r="S13" s="28"/>
      <c r="T13" s="28"/>
      <c r="U13" s="45"/>
      <c r="V13" s="319"/>
    </row>
    <row r="14" spans="1:22">
      <c r="A14" s="31" t="s">
        <v>4</v>
      </c>
      <c r="B14" s="4"/>
      <c r="C14" s="10"/>
      <c r="D14" s="406">
        <v>5695970</v>
      </c>
      <c r="E14" s="123">
        <v>492032</v>
      </c>
      <c r="F14" s="22">
        <v>3560368</v>
      </c>
      <c r="G14" s="22">
        <v>340370</v>
      </c>
      <c r="H14" s="49">
        <v>1303200</v>
      </c>
      <c r="I14" s="406">
        <v>617040</v>
      </c>
      <c r="J14" s="70">
        <v>151521</v>
      </c>
      <c r="K14" s="32">
        <v>76073</v>
      </c>
      <c r="L14" s="23">
        <v>389446</v>
      </c>
      <c r="M14" s="406">
        <f>N14+O14</f>
        <v>7488897</v>
      </c>
      <c r="N14" s="32">
        <v>5463272</v>
      </c>
      <c r="O14" s="23">
        <v>2025625</v>
      </c>
      <c r="P14" s="404">
        <v>31786</v>
      </c>
      <c r="Q14" s="404">
        <f>R14+S14+T14+U14</f>
        <v>2522739</v>
      </c>
      <c r="R14" s="123">
        <v>124980</v>
      </c>
      <c r="S14" s="28">
        <v>2229055</v>
      </c>
      <c r="T14" s="28">
        <v>157547</v>
      </c>
      <c r="U14" s="45">
        <v>11157</v>
      </c>
      <c r="V14" s="319"/>
    </row>
    <row r="15" spans="1:22">
      <c r="A15" s="68" t="s">
        <v>1</v>
      </c>
      <c r="B15" s="111"/>
      <c r="C15" s="245"/>
      <c r="D15" s="406">
        <v>3106</v>
      </c>
      <c r="E15" s="70"/>
      <c r="F15" s="22">
        <v>863</v>
      </c>
      <c r="G15" s="22">
        <v>8</v>
      </c>
      <c r="H15" s="49">
        <v>2235</v>
      </c>
      <c r="I15" s="406"/>
      <c r="J15" s="70"/>
      <c r="K15" s="32"/>
      <c r="L15" s="23"/>
      <c r="M15" s="406">
        <f t="shared" ref="M15:M17" si="1">N15+O15</f>
        <v>1848</v>
      </c>
      <c r="N15" s="32">
        <v>310</v>
      </c>
      <c r="O15" s="23">
        <v>1538</v>
      </c>
      <c r="P15" s="404"/>
      <c r="Q15" s="404">
        <f t="shared" ref="Q15:Q17" si="2">R15+S15+T15+U15</f>
        <v>50</v>
      </c>
      <c r="R15" s="123"/>
      <c r="S15" s="28">
        <v>50</v>
      </c>
      <c r="T15" s="28"/>
      <c r="U15" s="45"/>
      <c r="V15" s="319"/>
    </row>
    <row r="16" spans="1:22">
      <c r="A16" s="68" t="s">
        <v>2</v>
      </c>
      <c r="B16" s="111"/>
      <c r="C16" s="245"/>
      <c r="D16" s="406">
        <v>26773</v>
      </c>
      <c r="E16" s="70">
        <v>3924</v>
      </c>
      <c r="F16" s="22">
        <v>5524</v>
      </c>
      <c r="G16" s="28">
        <v>512</v>
      </c>
      <c r="H16" s="49">
        <v>16813</v>
      </c>
      <c r="I16" s="406">
        <v>4503</v>
      </c>
      <c r="J16" s="70">
        <v>675</v>
      </c>
      <c r="K16" s="32">
        <v>1849</v>
      </c>
      <c r="L16" s="23">
        <v>1979</v>
      </c>
      <c r="M16" s="406">
        <f t="shared" si="1"/>
        <v>10248</v>
      </c>
      <c r="N16" s="32">
        <v>4445</v>
      </c>
      <c r="O16" s="23">
        <v>5803</v>
      </c>
      <c r="P16" s="404">
        <v>203</v>
      </c>
      <c r="Q16" s="404">
        <f t="shared" si="2"/>
        <v>843</v>
      </c>
      <c r="R16" s="123">
        <v>295</v>
      </c>
      <c r="S16" s="28">
        <v>548</v>
      </c>
      <c r="T16" s="28"/>
      <c r="U16" s="45"/>
      <c r="V16" s="319"/>
    </row>
    <row r="17" spans="1:22">
      <c r="A17" s="68" t="s">
        <v>3</v>
      </c>
      <c r="B17" s="111"/>
      <c r="C17" s="245"/>
      <c r="D17" s="406">
        <v>27833</v>
      </c>
      <c r="E17" s="70">
        <v>9</v>
      </c>
      <c r="F17" s="22">
        <v>518</v>
      </c>
      <c r="G17" s="22">
        <v>597</v>
      </c>
      <c r="H17" s="49">
        <v>26709</v>
      </c>
      <c r="I17" s="406"/>
      <c r="J17" s="70"/>
      <c r="K17" s="32"/>
      <c r="L17" s="23"/>
      <c r="M17" s="406">
        <f t="shared" si="1"/>
        <v>20</v>
      </c>
      <c r="N17" s="32">
        <v>5</v>
      </c>
      <c r="O17" s="23">
        <v>15</v>
      </c>
      <c r="P17" s="404">
        <v>178</v>
      </c>
      <c r="Q17" s="404">
        <f t="shared" si="2"/>
        <v>1196</v>
      </c>
      <c r="R17" s="123">
        <v>35</v>
      </c>
      <c r="S17" s="28">
        <v>1134</v>
      </c>
      <c r="T17" s="28">
        <v>25</v>
      </c>
      <c r="U17" s="45">
        <v>2</v>
      </c>
      <c r="V17" s="319"/>
    </row>
    <row r="18" spans="1:22">
      <c r="A18" s="68"/>
      <c r="B18" s="111"/>
      <c r="C18" s="245"/>
      <c r="D18" s="407"/>
      <c r="E18" s="231"/>
      <c r="F18" s="43"/>
      <c r="G18" s="43"/>
      <c r="H18" s="399"/>
      <c r="I18" s="406"/>
      <c r="J18" s="231"/>
      <c r="K18" s="32"/>
      <c r="L18" s="416"/>
      <c r="M18" s="406"/>
      <c r="N18" s="32"/>
      <c r="O18" s="416"/>
      <c r="P18" s="406"/>
      <c r="Q18" s="406"/>
      <c r="R18" s="231"/>
      <c r="S18" s="21"/>
      <c r="T18" s="43"/>
      <c r="U18" s="23"/>
      <c r="V18" s="319"/>
    </row>
    <row r="19" spans="1:22" ht="16" thickBot="1">
      <c r="A19" s="144" t="s">
        <v>5</v>
      </c>
      <c r="B19" s="242"/>
      <c r="C19" s="246"/>
      <c r="D19" s="312"/>
      <c r="E19" s="204"/>
      <c r="F19" s="24"/>
      <c r="G19" s="24"/>
      <c r="H19" s="397"/>
      <c r="I19" s="312"/>
      <c r="J19" s="256"/>
      <c r="K19" s="24"/>
      <c r="L19" s="421"/>
      <c r="M19" s="312"/>
      <c r="N19" s="204"/>
      <c r="O19" s="316"/>
      <c r="P19" s="312"/>
      <c r="Q19" s="312"/>
      <c r="R19" s="204"/>
      <c r="S19" s="24"/>
      <c r="T19" s="24"/>
      <c r="U19" s="316"/>
      <c r="V19" s="319"/>
    </row>
    <row r="20" spans="1:22">
      <c r="A20" s="100">
        <v>1</v>
      </c>
      <c r="B20" s="4" t="s">
        <v>300</v>
      </c>
      <c r="C20" s="17" t="s">
        <v>387</v>
      </c>
      <c r="D20" s="404">
        <f>SUM(E20:H20)</f>
        <v>2044</v>
      </c>
      <c r="E20" s="123">
        <v>76</v>
      </c>
      <c r="F20" s="28">
        <v>16</v>
      </c>
      <c r="G20" s="28">
        <v>89</v>
      </c>
      <c r="H20" s="122">
        <v>1863</v>
      </c>
      <c r="I20" s="406">
        <f t="shared" ref="I20:I77" si="3">J20+K20+L20</f>
        <v>100</v>
      </c>
      <c r="J20" s="134"/>
      <c r="K20" s="28">
        <v>74</v>
      </c>
      <c r="L20" s="134">
        <v>26</v>
      </c>
      <c r="M20" s="404">
        <f t="shared" ref="M20:M77" si="4">N20+O20</f>
        <v>2</v>
      </c>
      <c r="N20" s="123"/>
      <c r="O20" s="134">
        <v>2</v>
      </c>
      <c r="P20" s="404">
        <v>894</v>
      </c>
      <c r="Q20" s="404">
        <f t="shared" ref="Q20:Q77" si="5">R20+S20+T20+U20</f>
        <v>710</v>
      </c>
      <c r="R20" s="123">
        <v>50</v>
      </c>
      <c r="S20" s="28">
        <v>640</v>
      </c>
      <c r="T20" s="134">
        <v>20</v>
      </c>
      <c r="U20" s="45"/>
      <c r="V20" s="319"/>
    </row>
    <row r="21" spans="1:22">
      <c r="A21" s="100">
        <v>2</v>
      </c>
      <c r="B21" s="4" t="s">
        <v>88</v>
      </c>
      <c r="C21" s="10"/>
      <c r="D21" s="404">
        <f>SUM(E21:H21)</f>
        <v>655</v>
      </c>
      <c r="E21" s="123"/>
      <c r="F21" s="28"/>
      <c r="G21" s="28"/>
      <c r="H21" s="122">
        <v>655</v>
      </c>
      <c r="I21" s="406">
        <f t="shared" si="3"/>
        <v>0</v>
      </c>
      <c r="J21" s="134"/>
      <c r="K21" s="28"/>
      <c r="L21" s="134"/>
      <c r="M21" s="404">
        <f t="shared" si="4"/>
        <v>0</v>
      </c>
      <c r="N21" s="123"/>
      <c r="O21" s="134"/>
      <c r="P21" s="404"/>
      <c r="Q21" s="404">
        <f t="shared" si="5"/>
        <v>0</v>
      </c>
      <c r="R21" s="123"/>
      <c r="S21" s="28"/>
      <c r="T21" s="134"/>
      <c r="U21" s="45"/>
      <c r="V21" s="319"/>
    </row>
    <row r="22" spans="1:22">
      <c r="A22" s="100">
        <v>3</v>
      </c>
      <c r="B22" s="4" t="s">
        <v>89</v>
      </c>
      <c r="C22" s="10"/>
      <c r="D22" s="404">
        <f t="shared" ref="D22:D85" si="6">SUM(E22:H22)</f>
        <v>70</v>
      </c>
      <c r="E22" s="123"/>
      <c r="F22" s="28"/>
      <c r="G22" s="28"/>
      <c r="H22" s="122">
        <v>70</v>
      </c>
      <c r="I22" s="406">
        <f t="shared" si="3"/>
        <v>0</v>
      </c>
      <c r="J22" s="134"/>
      <c r="K22" s="28"/>
      <c r="L22" s="134"/>
      <c r="M22" s="404">
        <f t="shared" si="4"/>
        <v>0</v>
      </c>
      <c r="N22" s="123"/>
      <c r="O22" s="134"/>
      <c r="P22" s="404"/>
      <c r="Q22" s="404">
        <f t="shared" si="5"/>
        <v>0</v>
      </c>
      <c r="R22" s="123"/>
      <c r="S22" s="28"/>
      <c r="T22" s="134"/>
      <c r="U22" s="45"/>
      <c r="V22" s="319"/>
    </row>
    <row r="23" spans="1:22">
      <c r="A23" s="100">
        <v>4</v>
      </c>
      <c r="B23" s="4" t="s">
        <v>90</v>
      </c>
      <c r="C23" s="10"/>
      <c r="D23" s="404">
        <f t="shared" si="6"/>
        <v>2204</v>
      </c>
      <c r="E23" s="123">
        <v>40</v>
      </c>
      <c r="F23" s="28">
        <v>10</v>
      </c>
      <c r="G23" s="28">
        <v>20</v>
      </c>
      <c r="H23" s="122">
        <v>2134</v>
      </c>
      <c r="I23" s="406">
        <f t="shared" si="3"/>
        <v>25</v>
      </c>
      <c r="J23" s="134"/>
      <c r="K23" s="28">
        <v>25</v>
      </c>
      <c r="L23" s="134"/>
      <c r="M23" s="404">
        <f t="shared" si="4"/>
        <v>0</v>
      </c>
      <c r="N23" s="123"/>
      <c r="O23" s="134"/>
      <c r="P23" s="404"/>
      <c r="Q23" s="404">
        <f t="shared" si="5"/>
        <v>30</v>
      </c>
      <c r="R23" s="123"/>
      <c r="S23" s="28">
        <v>30</v>
      </c>
      <c r="T23" s="134"/>
      <c r="U23" s="45"/>
      <c r="V23" s="319"/>
    </row>
    <row r="24" spans="1:22">
      <c r="A24" s="100">
        <v>5</v>
      </c>
      <c r="B24" s="4" t="s">
        <v>91</v>
      </c>
      <c r="C24" s="10"/>
      <c r="D24" s="404">
        <f t="shared" si="6"/>
        <v>0</v>
      </c>
      <c r="E24" s="123"/>
      <c r="F24" s="28"/>
      <c r="G24" s="28"/>
      <c r="H24" s="122"/>
      <c r="I24" s="406">
        <f t="shared" si="3"/>
        <v>0</v>
      </c>
      <c r="J24" s="134"/>
      <c r="K24" s="28"/>
      <c r="L24" s="134"/>
      <c r="M24" s="404">
        <f t="shared" si="4"/>
        <v>0</v>
      </c>
      <c r="N24" s="123"/>
      <c r="O24" s="134"/>
      <c r="P24" s="404"/>
      <c r="Q24" s="404">
        <f t="shared" si="5"/>
        <v>0</v>
      </c>
      <c r="R24" s="123"/>
      <c r="S24" s="28"/>
      <c r="T24" s="134"/>
      <c r="U24" s="45"/>
      <c r="V24" s="319"/>
    </row>
    <row r="25" spans="1:22" ht="15">
      <c r="A25" s="100">
        <v>6</v>
      </c>
      <c r="B25" s="4" t="s">
        <v>92</v>
      </c>
      <c r="C25" s="248"/>
      <c r="D25" s="404">
        <f t="shared" si="6"/>
        <v>13</v>
      </c>
      <c r="E25" s="123"/>
      <c r="F25" s="28"/>
      <c r="G25" s="28"/>
      <c r="H25" s="122">
        <v>13</v>
      </c>
      <c r="I25" s="406">
        <f t="shared" si="3"/>
        <v>0</v>
      </c>
      <c r="J25" s="134"/>
      <c r="K25" s="28"/>
      <c r="L25" s="134"/>
      <c r="M25" s="404">
        <f t="shared" si="4"/>
        <v>0</v>
      </c>
      <c r="N25" s="123"/>
      <c r="O25" s="45"/>
      <c r="P25" s="406"/>
      <c r="Q25" s="404">
        <f t="shared" si="5"/>
        <v>0</v>
      </c>
      <c r="R25" s="123"/>
      <c r="S25" s="28"/>
      <c r="T25" s="134"/>
      <c r="U25" s="45"/>
      <c r="V25" s="319"/>
    </row>
    <row r="26" spans="1:22">
      <c r="A26" s="100">
        <v>7</v>
      </c>
      <c r="B26" s="4" t="s">
        <v>93</v>
      </c>
      <c r="C26" s="17"/>
      <c r="D26" s="404">
        <f t="shared" si="6"/>
        <v>86</v>
      </c>
      <c r="E26" s="123"/>
      <c r="F26" s="28"/>
      <c r="G26" s="28"/>
      <c r="H26" s="122">
        <v>86</v>
      </c>
      <c r="I26" s="406">
        <f t="shared" si="3"/>
        <v>0</v>
      </c>
      <c r="J26" s="134"/>
      <c r="K26" s="28"/>
      <c r="L26" s="134"/>
      <c r="M26" s="404">
        <f t="shared" si="4"/>
        <v>0</v>
      </c>
      <c r="N26" s="123"/>
      <c r="O26" s="134"/>
      <c r="P26" s="404"/>
      <c r="Q26" s="404">
        <f t="shared" si="5"/>
        <v>0</v>
      </c>
      <c r="R26" s="123"/>
      <c r="S26" s="28"/>
      <c r="T26" s="134"/>
      <c r="U26" s="45"/>
      <c r="V26" s="319"/>
    </row>
    <row r="27" spans="1:22">
      <c r="A27" s="100">
        <v>8</v>
      </c>
      <c r="B27" s="4" t="s">
        <v>94</v>
      </c>
      <c r="C27" s="10"/>
      <c r="D27" s="404">
        <f t="shared" si="6"/>
        <v>231</v>
      </c>
      <c r="E27" s="123"/>
      <c r="F27" s="28"/>
      <c r="G27" s="28"/>
      <c r="H27" s="122">
        <v>231</v>
      </c>
      <c r="I27" s="406">
        <f t="shared" si="3"/>
        <v>0</v>
      </c>
      <c r="J27" s="134"/>
      <c r="K27" s="28"/>
      <c r="L27" s="134"/>
      <c r="M27" s="404">
        <f t="shared" si="4"/>
        <v>0</v>
      </c>
      <c r="N27" s="123"/>
      <c r="O27" s="134"/>
      <c r="P27" s="404"/>
      <c r="Q27" s="404">
        <f t="shared" si="5"/>
        <v>0</v>
      </c>
      <c r="R27" s="123"/>
      <c r="S27" s="28"/>
      <c r="T27" s="134"/>
      <c r="U27" s="45"/>
      <c r="V27" s="319"/>
    </row>
    <row r="28" spans="1:22">
      <c r="A28" s="100">
        <v>9</v>
      </c>
      <c r="B28" s="4" t="s">
        <v>95</v>
      </c>
      <c r="C28" s="10"/>
      <c r="D28" s="404">
        <f t="shared" si="6"/>
        <v>458</v>
      </c>
      <c r="E28" s="123"/>
      <c r="F28" s="28"/>
      <c r="G28" s="28"/>
      <c r="H28" s="122">
        <v>458</v>
      </c>
      <c r="I28" s="406">
        <f t="shared" si="3"/>
        <v>0</v>
      </c>
      <c r="J28" s="134"/>
      <c r="K28" s="28"/>
      <c r="L28" s="134"/>
      <c r="M28" s="404">
        <f t="shared" si="4"/>
        <v>0</v>
      </c>
      <c r="N28" s="123"/>
      <c r="O28" s="134"/>
      <c r="P28" s="413"/>
      <c r="Q28" s="404">
        <f t="shared" si="5"/>
        <v>0</v>
      </c>
      <c r="R28" s="123"/>
      <c r="S28" s="28"/>
      <c r="T28" s="134"/>
      <c r="U28" s="45"/>
      <c r="V28" s="319"/>
    </row>
    <row r="29" spans="1:22">
      <c r="A29" s="100">
        <v>10</v>
      </c>
      <c r="B29" s="4" t="s">
        <v>96</v>
      </c>
      <c r="C29" s="10"/>
      <c r="D29" s="404">
        <f t="shared" si="6"/>
        <v>3413</v>
      </c>
      <c r="E29" s="123">
        <v>20</v>
      </c>
      <c r="F29" s="28">
        <v>3</v>
      </c>
      <c r="G29" s="28">
        <v>50</v>
      </c>
      <c r="H29" s="122">
        <v>3340</v>
      </c>
      <c r="I29" s="406">
        <f t="shared" si="3"/>
        <v>0</v>
      </c>
      <c r="J29" s="134"/>
      <c r="K29" s="28"/>
      <c r="L29" s="134"/>
      <c r="M29" s="404">
        <f t="shared" si="4"/>
        <v>0</v>
      </c>
      <c r="N29" s="123"/>
      <c r="O29" s="134"/>
      <c r="P29" s="404"/>
      <c r="Q29" s="404">
        <f t="shared" si="5"/>
        <v>720</v>
      </c>
      <c r="R29" s="123"/>
      <c r="S29" s="28">
        <v>720</v>
      </c>
      <c r="T29" s="134"/>
      <c r="U29" s="45"/>
      <c r="V29" s="319"/>
    </row>
    <row r="30" spans="1:22">
      <c r="A30" s="100">
        <v>11</v>
      </c>
      <c r="B30" s="4" t="s">
        <v>97</v>
      </c>
      <c r="C30" s="10"/>
      <c r="D30" s="404">
        <f t="shared" si="6"/>
        <v>71</v>
      </c>
      <c r="E30" s="123"/>
      <c r="F30" s="28"/>
      <c r="G30" s="28"/>
      <c r="H30" s="122">
        <v>71</v>
      </c>
      <c r="I30" s="406">
        <f t="shared" si="3"/>
        <v>0</v>
      </c>
      <c r="J30" s="134"/>
      <c r="K30" s="28"/>
      <c r="L30" s="134"/>
      <c r="M30" s="404">
        <f t="shared" si="4"/>
        <v>0</v>
      </c>
      <c r="N30" s="123"/>
      <c r="O30" s="134"/>
      <c r="P30" s="404"/>
      <c r="Q30" s="404">
        <f t="shared" si="5"/>
        <v>0</v>
      </c>
      <c r="R30" s="123"/>
      <c r="S30" s="28"/>
      <c r="T30" s="134"/>
      <c r="U30" s="45"/>
      <c r="V30" s="319"/>
    </row>
    <row r="31" spans="1:22" ht="15">
      <c r="A31" s="100">
        <v>12</v>
      </c>
      <c r="B31" s="4" t="s">
        <v>98</v>
      </c>
      <c r="C31" s="248"/>
      <c r="D31" s="404">
        <f t="shared" si="6"/>
        <v>2002</v>
      </c>
      <c r="E31" s="123">
        <v>345</v>
      </c>
      <c r="F31" s="28">
        <v>669</v>
      </c>
      <c r="G31" s="28"/>
      <c r="H31" s="122">
        <v>988</v>
      </c>
      <c r="I31" s="406">
        <f t="shared" si="3"/>
        <v>1646</v>
      </c>
      <c r="J31" s="134"/>
      <c r="K31" s="28"/>
      <c r="L31" s="134">
        <v>1646</v>
      </c>
      <c r="M31" s="404">
        <f t="shared" si="4"/>
        <v>0</v>
      </c>
      <c r="N31" s="123"/>
      <c r="O31" s="45"/>
      <c r="P31" s="404"/>
      <c r="Q31" s="404">
        <f t="shared" si="5"/>
        <v>0</v>
      </c>
      <c r="R31" s="123"/>
      <c r="S31" s="28"/>
      <c r="T31" s="134"/>
      <c r="U31" s="45"/>
      <c r="V31" s="319"/>
    </row>
    <row r="32" spans="1:22">
      <c r="A32" s="100">
        <v>13</v>
      </c>
      <c r="B32" s="4" t="s">
        <v>99</v>
      </c>
      <c r="C32" s="17"/>
      <c r="D32" s="404">
        <f t="shared" si="6"/>
        <v>1192</v>
      </c>
      <c r="E32" s="123"/>
      <c r="F32" s="28"/>
      <c r="G32" s="28"/>
      <c r="H32" s="122">
        <v>1192</v>
      </c>
      <c r="I32" s="406">
        <f t="shared" si="3"/>
        <v>0</v>
      </c>
      <c r="J32" s="134"/>
      <c r="K32" s="28"/>
      <c r="L32" s="134"/>
      <c r="M32" s="404">
        <f t="shared" si="4"/>
        <v>0</v>
      </c>
      <c r="N32" s="123"/>
      <c r="O32" s="134"/>
      <c r="P32" s="406"/>
      <c r="Q32" s="404">
        <f t="shared" si="5"/>
        <v>2</v>
      </c>
      <c r="R32" s="123"/>
      <c r="S32" s="28">
        <v>2</v>
      </c>
      <c r="T32" s="27"/>
      <c r="U32" s="45"/>
      <c r="V32" s="319"/>
    </row>
    <row r="33" spans="1:22">
      <c r="A33" s="100">
        <v>14</v>
      </c>
      <c r="B33" s="4" t="s">
        <v>100</v>
      </c>
      <c r="C33" s="10"/>
      <c r="D33" s="404">
        <f t="shared" si="6"/>
        <v>110841</v>
      </c>
      <c r="E33" s="123">
        <v>3559</v>
      </c>
      <c r="F33" s="28">
        <v>93165</v>
      </c>
      <c r="G33" s="28">
        <v>3391</v>
      </c>
      <c r="H33" s="122">
        <v>10726</v>
      </c>
      <c r="I33" s="406">
        <f t="shared" si="3"/>
        <v>12729</v>
      </c>
      <c r="J33" s="134">
        <v>7147</v>
      </c>
      <c r="K33" s="28">
        <v>605</v>
      </c>
      <c r="L33" s="134">
        <v>4977</v>
      </c>
      <c r="M33" s="404">
        <f t="shared" si="4"/>
        <v>141844</v>
      </c>
      <c r="N33" s="123">
        <v>106060</v>
      </c>
      <c r="O33" s="134">
        <v>35784</v>
      </c>
      <c r="P33" s="404">
        <v>1111</v>
      </c>
      <c r="Q33" s="404">
        <f t="shared" si="5"/>
        <v>16830</v>
      </c>
      <c r="R33" s="123">
        <v>6150</v>
      </c>
      <c r="S33" s="28">
        <v>10415</v>
      </c>
      <c r="T33" s="134">
        <v>250</v>
      </c>
      <c r="U33" s="45">
        <v>15</v>
      </c>
      <c r="V33" s="319"/>
    </row>
    <row r="34" spans="1:22">
      <c r="A34" s="100">
        <v>15</v>
      </c>
      <c r="B34" s="4" t="s">
        <v>101</v>
      </c>
      <c r="C34" s="10"/>
      <c r="D34" s="404">
        <f t="shared" si="6"/>
        <v>1119</v>
      </c>
      <c r="E34" s="123">
        <v>475</v>
      </c>
      <c r="F34" s="28">
        <v>80</v>
      </c>
      <c r="G34" s="28">
        <v>42</v>
      </c>
      <c r="H34" s="122">
        <v>522</v>
      </c>
      <c r="I34" s="406">
        <f t="shared" si="3"/>
        <v>104</v>
      </c>
      <c r="J34" s="134">
        <v>95</v>
      </c>
      <c r="K34" s="28"/>
      <c r="L34" s="134">
        <v>9</v>
      </c>
      <c r="M34" s="404">
        <f t="shared" si="4"/>
        <v>290</v>
      </c>
      <c r="N34" s="123">
        <v>290</v>
      </c>
      <c r="O34" s="134"/>
      <c r="P34" s="404"/>
      <c r="Q34" s="404">
        <f t="shared" si="5"/>
        <v>817</v>
      </c>
      <c r="R34" s="123">
        <v>775</v>
      </c>
      <c r="S34" s="28">
        <v>42</v>
      </c>
      <c r="T34" s="134"/>
      <c r="U34" s="45"/>
      <c r="V34" s="319"/>
    </row>
    <row r="35" spans="1:22">
      <c r="A35" s="100">
        <v>16</v>
      </c>
      <c r="B35" s="4" t="s">
        <v>102</v>
      </c>
      <c r="C35" s="10"/>
      <c r="D35" s="404">
        <f t="shared" si="6"/>
        <v>242152</v>
      </c>
      <c r="E35" s="123">
        <v>3780</v>
      </c>
      <c r="F35" s="28">
        <v>128678</v>
      </c>
      <c r="G35" s="28">
        <v>774</v>
      </c>
      <c r="H35" s="122">
        <v>108920</v>
      </c>
      <c r="I35" s="406">
        <f t="shared" si="3"/>
        <v>9681</v>
      </c>
      <c r="J35" s="134">
        <v>1834</v>
      </c>
      <c r="K35" s="28"/>
      <c r="L35" s="134">
        <v>7847</v>
      </c>
      <c r="M35" s="404">
        <f t="shared" si="4"/>
        <v>321416</v>
      </c>
      <c r="N35" s="123">
        <v>151400</v>
      </c>
      <c r="O35" s="134">
        <v>170016</v>
      </c>
      <c r="P35" s="404">
        <v>127</v>
      </c>
      <c r="Q35" s="404">
        <f t="shared" si="5"/>
        <v>30</v>
      </c>
      <c r="R35" s="123">
        <v>15</v>
      </c>
      <c r="S35" s="28">
        <v>15</v>
      </c>
      <c r="T35" s="134"/>
      <c r="U35" s="45"/>
      <c r="V35" s="319"/>
    </row>
    <row r="36" spans="1:22">
      <c r="A36" s="100">
        <v>17</v>
      </c>
      <c r="B36" s="4" t="s">
        <v>301</v>
      </c>
      <c r="C36" s="10"/>
      <c r="D36" s="404">
        <f t="shared" si="6"/>
        <v>3665</v>
      </c>
      <c r="E36" s="123"/>
      <c r="F36" s="28"/>
      <c r="G36" s="28">
        <v>553</v>
      </c>
      <c r="H36" s="122">
        <v>3112</v>
      </c>
      <c r="I36" s="406">
        <f t="shared" si="3"/>
        <v>0</v>
      </c>
      <c r="J36" s="134"/>
      <c r="K36" s="28"/>
      <c r="L36" s="134"/>
      <c r="M36" s="404">
        <f t="shared" si="4"/>
        <v>0</v>
      </c>
      <c r="N36" s="123"/>
      <c r="O36" s="134"/>
      <c r="P36" s="404"/>
      <c r="Q36" s="404">
        <f t="shared" si="5"/>
        <v>800</v>
      </c>
      <c r="R36" s="123"/>
      <c r="S36" s="28">
        <v>800</v>
      </c>
      <c r="T36" s="134"/>
      <c r="U36" s="45"/>
      <c r="V36" s="319"/>
    </row>
    <row r="37" spans="1:22" ht="15">
      <c r="A37" s="100">
        <v>18</v>
      </c>
      <c r="B37" s="4" t="s">
        <v>302</v>
      </c>
      <c r="C37" s="248"/>
      <c r="D37" s="404">
        <f t="shared" si="6"/>
        <v>920</v>
      </c>
      <c r="E37" s="123"/>
      <c r="F37" s="28"/>
      <c r="G37" s="28"/>
      <c r="H37" s="122">
        <v>920</v>
      </c>
      <c r="I37" s="406">
        <f t="shared" si="3"/>
        <v>0</v>
      </c>
      <c r="J37" s="134"/>
      <c r="K37" s="28"/>
      <c r="L37" s="134"/>
      <c r="M37" s="404">
        <f t="shared" si="4"/>
        <v>0</v>
      </c>
      <c r="N37" s="123"/>
      <c r="O37" s="45"/>
      <c r="P37" s="404"/>
      <c r="Q37" s="404">
        <f t="shared" si="5"/>
        <v>0</v>
      </c>
      <c r="R37" s="123"/>
      <c r="S37" s="28"/>
      <c r="T37" s="134"/>
      <c r="U37" s="45"/>
      <c r="V37" s="319"/>
    </row>
    <row r="38" spans="1:22">
      <c r="A38" s="100">
        <v>19</v>
      </c>
      <c r="B38" s="4" t="s">
        <v>105</v>
      </c>
      <c r="C38" s="17"/>
      <c r="D38" s="404">
        <f t="shared" si="6"/>
        <v>33522</v>
      </c>
      <c r="E38" s="123">
        <v>14793</v>
      </c>
      <c r="F38" s="28">
        <v>10198</v>
      </c>
      <c r="G38" s="28">
        <v>602</v>
      </c>
      <c r="H38" s="122">
        <v>7929</v>
      </c>
      <c r="I38" s="406">
        <f t="shared" si="3"/>
        <v>5686</v>
      </c>
      <c r="J38" s="134">
        <v>3126</v>
      </c>
      <c r="K38" s="28">
        <v>378</v>
      </c>
      <c r="L38" s="134">
        <v>2182</v>
      </c>
      <c r="M38" s="404">
        <f t="shared" si="4"/>
        <v>30898</v>
      </c>
      <c r="N38" s="123">
        <v>16698</v>
      </c>
      <c r="O38" s="134">
        <v>14200</v>
      </c>
      <c r="P38" s="406"/>
      <c r="Q38" s="404">
        <f t="shared" si="5"/>
        <v>5346</v>
      </c>
      <c r="R38" s="123">
        <v>700</v>
      </c>
      <c r="S38" s="28">
        <v>4646</v>
      </c>
      <c r="T38" s="134"/>
      <c r="U38" s="45"/>
      <c r="V38" s="319"/>
    </row>
    <row r="39" spans="1:22">
      <c r="A39" s="100">
        <v>20</v>
      </c>
      <c r="B39" s="4" t="s">
        <v>106</v>
      </c>
      <c r="C39" s="10"/>
      <c r="D39" s="404">
        <f t="shared" si="6"/>
        <v>29232</v>
      </c>
      <c r="E39" s="123">
        <v>1373</v>
      </c>
      <c r="F39" s="28">
        <v>14452</v>
      </c>
      <c r="G39" s="28">
        <v>575</v>
      </c>
      <c r="H39" s="122">
        <v>12832</v>
      </c>
      <c r="I39" s="406">
        <f t="shared" si="3"/>
        <v>2415</v>
      </c>
      <c r="J39" s="134">
        <v>365</v>
      </c>
      <c r="K39" s="28">
        <v>101</v>
      </c>
      <c r="L39" s="134">
        <v>1949</v>
      </c>
      <c r="M39" s="404">
        <f t="shared" si="4"/>
        <v>20440</v>
      </c>
      <c r="N39" s="123">
        <v>13546</v>
      </c>
      <c r="O39" s="134">
        <v>6894</v>
      </c>
      <c r="P39" s="404">
        <v>469</v>
      </c>
      <c r="Q39" s="404">
        <f t="shared" si="5"/>
        <v>5030</v>
      </c>
      <c r="R39" s="123">
        <v>915</v>
      </c>
      <c r="S39" s="28">
        <v>4115</v>
      </c>
      <c r="T39" s="134"/>
      <c r="U39" s="45"/>
      <c r="V39" s="319"/>
    </row>
    <row r="40" spans="1:22">
      <c r="A40" s="100">
        <v>21</v>
      </c>
      <c r="B40" s="4" t="s">
        <v>107</v>
      </c>
      <c r="C40" s="10"/>
      <c r="D40" s="404">
        <f t="shared" si="6"/>
        <v>987</v>
      </c>
      <c r="E40" s="123"/>
      <c r="F40" s="28"/>
      <c r="G40" s="28">
        <v>9</v>
      </c>
      <c r="H40" s="122">
        <v>978</v>
      </c>
      <c r="I40" s="406">
        <f t="shared" si="3"/>
        <v>0</v>
      </c>
      <c r="J40" s="134"/>
      <c r="K40" s="28"/>
      <c r="L40" s="134"/>
      <c r="M40" s="404">
        <f t="shared" si="4"/>
        <v>0</v>
      </c>
      <c r="N40" s="123"/>
      <c r="O40" s="134"/>
      <c r="P40" s="404"/>
      <c r="Q40" s="404">
        <f t="shared" si="5"/>
        <v>0</v>
      </c>
      <c r="R40" s="123"/>
      <c r="S40" s="28"/>
      <c r="T40" s="134"/>
      <c r="U40" s="45"/>
      <c r="V40" s="319"/>
    </row>
    <row r="41" spans="1:22">
      <c r="A41" s="214">
        <v>22</v>
      </c>
      <c r="B41" s="96" t="s">
        <v>108</v>
      </c>
      <c r="C41" s="10"/>
      <c r="D41" s="404">
        <f t="shared" si="6"/>
        <v>685</v>
      </c>
      <c r="E41" s="123">
        <v>30</v>
      </c>
      <c r="F41" s="28"/>
      <c r="G41" s="28">
        <v>208</v>
      </c>
      <c r="H41" s="122">
        <v>447</v>
      </c>
      <c r="I41" s="406">
        <f t="shared" si="3"/>
        <v>2075</v>
      </c>
      <c r="J41" s="134"/>
      <c r="K41" s="28">
        <v>2075</v>
      </c>
      <c r="L41" s="134"/>
      <c r="M41" s="404">
        <f t="shared" si="4"/>
        <v>0</v>
      </c>
      <c r="N41" s="123"/>
      <c r="O41" s="134"/>
      <c r="P41" s="404"/>
      <c r="Q41" s="404">
        <f t="shared" si="5"/>
        <v>500</v>
      </c>
      <c r="R41" s="123"/>
      <c r="S41" s="28">
        <v>500</v>
      </c>
      <c r="T41" s="134"/>
      <c r="U41" s="45"/>
      <c r="V41" s="319"/>
    </row>
    <row r="42" spans="1:22">
      <c r="A42" s="100">
        <v>23</v>
      </c>
      <c r="B42" s="4" t="s">
        <v>109</v>
      </c>
      <c r="C42" s="10"/>
      <c r="D42" s="404">
        <f t="shared" si="6"/>
        <v>2037</v>
      </c>
      <c r="E42" s="123"/>
      <c r="F42" s="28"/>
      <c r="G42" s="28"/>
      <c r="H42" s="122">
        <v>2037</v>
      </c>
      <c r="I42" s="406">
        <f t="shared" si="3"/>
        <v>0</v>
      </c>
      <c r="J42" s="134"/>
      <c r="K42" s="28"/>
      <c r="L42" s="134"/>
      <c r="M42" s="404">
        <f t="shared" si="4"/>
        <v>0</v>
      </c>
      <c r="N42" s="70"/>
      <c r="O42" s="134"/>
      <c r="P42" s="404"/>
      <c r="Q42" s="404">
        <f t="shared" si="5"/>
        <v>0</v>
      </c>
      <c r="R42" s="123"/>
      <c r="S42" s="28"/>
      <c r="T42" s="134"/>
      <c r="U42" s="45"/>
      <c r="V42" s="319"/>
    </row>
    <row r="43" spans="1:22">
      <c r="A43" s="100">
        <v>24</v>
      </c>
      <c r="B43" s="4" t="s">
        <v>110</v>
      </c>
      <c r="C43" s="10"/>
      <c r="D43" s="404">
        <f t="shared" si="6"/>
        <v>0</v>
      </c>
      <c r="E43" s="123"/>
      <c r="F43" s="205"/>
      <c r="G43" s="134"/>
      <c r="H43" s="122"/>
      <c r="I43" s="406">
        <f t="shared" si="3"/>
        <v>0</v>
      </c>
      <c r="J43" s="123"/>
      <c r="K43" s="134"/>
      <c r="L43" s="45"/>
      <c r="M43" s="404">
        <f t="shared" si="4"/>
        <v>0</v>
      </c>
      <c r="N43" s="123"/>
      <c r="O43" s="45"/>
      <c r="P43" s="404"/>
      <c r="Q43" s="404">
        <f t="shared" si="5"/>
        <v>0</v>
      </c>
      <c r="R43" s="123"/>
      <c r="S43" s="28"/>
      <c r="T43" s="134"/>
      <c r="U43" s="45"/>
      <c r="V43" s="319"/>
    </row>
    <row r="44" spans="1:22" ht="15">
      <c r="A44" s="100">
        <v>25</v>
      </c>
      <c r="B44" s="4" t="s">
        <v>111</v>
      </c>
      <c r="C44" s="248"/>
      <c r="D44" s="404">
        <f t="shared" si="6"/>
        <v>0</v>
      </c>
      <c r="E44" s="396"/>
      <c r="F44" s="28"/>
      <c r="G44" s="28"/>
      <c r="H44" s="122"/>
      <c r="I44" s="406">
        <f t="shared" si="3"/>
        <v>0</v>
      </c>
      <c r="J44" s="134"/>
      <c r="K44" s="28"/>
      <c r="L44" s="134"/>
      <c r="M44" s="404">
        <f t="shared" si="4"/>
        <v>0</v>
      </c>
      <c r="N44" s="134"/>
      <c r="O44" s="45"/>
      <c r="P44" s="406"/>
      <c r="Q44" s="404">
        <f t="shared" si="5"/>
        <v>0</v>
      </c>
      <c r="R44" s="123"/>
      <c r="S44" s="28"/>
      <c r="T44" s="134"/>
      <c r="U44" s="45"/>
      <c r="V44" s="319"/>
    </row>
    <row r="45" spans="1:22">
      <c r="A45" s="100">
        <v>26</v>
      </c>
      <c r="B45" s="4" t="s">
        <v>112</v>
      </c>
      <c r="C45" s="17"/>
      <c r="D45" s="404">
        <f t="shared" si="6"/>
        <v>1306</v>
      </c>
      <c r="E45" s="123"/>
      <c r="F45" s="28"/>
      <c r="G45" s="28">
        <v>4</v>
      </c>
      <c r="H45" s="122">
        <v>1302</v>
      </c>
      <c r="I45" s="406">
        <f t="shared" si="3"/>
        <v>0</v>
      </c>
      <c r="J45" s="134"/>
      <c r="K45" s="28"/>
      <c r="L45" s="134"/>
      <c r="M45" s="404">
        <f t="shared" si="4"/>
        <v>0</v>
      </c>
      <c r="N45" s="70"/>
      <c r="O45" s="134"/>
      <c r="P45" s="413"/>
      <c r="Q45" s="404">
        <f t="shared" si="5"/>
        <v>0</v>
      </c>
      <c r="R45" s="123"/>
      <c r="S45" s="28"/>
      <c r="T45" s="134"/>
      <c r="U45" s="45"/>
      <c r="V45" s="319"/>
    </row>
    <row r="46" spans="1:22">
      <c r="A46" s="100">
        <v>27</v>
      </c>
      <c r="B46" s="4" t="s">
        <v>113</v>
      </c>
      <c r="C46" s="10"/>
      <c r="D46" s="404">
        <f t="shared" si="6"/>
        <v>5633</v>
      </c>
      <c r="E46" s="123">
        <v>2013</v>
      </c>
      <c r="F46" s="28">
        <v>10</v>
      </c>
      <c r="G46" s="28">
        <v>460</v>
      </c>
      <c r="H46" s="122">
        <v>3150</v>
      </c>
      <c r="I46" s="406">
        <f t="shared" si="3"/>
        <v>5118</v>
      </c>
      <c r="J46" s="134">
        <v>379</v>
      </c>
      <c r="K46" s="28">
        <v>40</v>
      </c>
      <c r="L46" s="134">
        <v>4699</v>
      </c>
      <c r="M46" s="404">
        <f t="shared" si="4"/>
        <v>0</v>
      </c>
      <c r="N46" s="123"/>
      <c r="O46" s="134"/>
      <c r="P46" s="406"/>
      <c r="Q46" s="404">
        <f t="shared" si="5"/>
        <v>100</v>
      </c>
      <c r="R46" s="123"/>
      <c r="S46" s="28">
        <v>100</v>
      </c>
      <c r="T46" s="134"/>
      <c r="U46" s="45"/>
      <c r="V46" s="319"/>
    </row>
    <row r="47" spans="1:22">
      <c r="A47" s="100">
        <v>28</v>
      </c>
      <c r="B47" s="4" t="s">
        <v>114</v>
      </c>
      <c r="C47" s="10"/>
      <c r="D47" s="404">
        <f t="shared" si="6"/>
        <v>35</v>
      </c>
      <c r="E47" s="123"/>
      <c r="F47" s="26"/>
      <c r="G47" s="28"/>
      <c r="H47" s="122">
        <v>35</v>
      </c>
      <c r="I47" s="406">
        <f t="shared" si="3"/>
        <v>0</v>
      </c>
      <c r="J47" s="134"/>
      <c r="K47" s="28"/>
      <c r="L47" s="134"/>
      <c r="M47" s="404">
        <f t="shared" si="4"/>
        <v>0</v>
      </c>
      <c r="N47" s="123"/>
      <c r="O47" s="134"/>
      <c r="P47" s="404"/>
      <c r="Q47" s="404">
        <f t="shared" si="5"/>
        <v>0</v>
      </c>
      <c r="R47" s="123"/>
      <c r="S47" s="28"/>
      <c r="T47" s="134"/>
      <c r="U47" s="45"/>
      <c r="V47" s="319"/>
    </row>
    <row r="48" spans="1:22">
      <c r="A48" s="100">
        <v>29</v>
      </c>
      <c r="B48" s="4" t="s">
        <v>115</v>
      </c>
      <c r="C48" s="10"/>
      <c r="D48" s="404">
        <f t="shared" si="6"/>
        <v>53094</v>
      </c>
      <c r="E48" s="123">
        <v>14002</v>
      </c>
      <c r="F48" s="28">
        <v>1115</v>
      </c>
      <c r="G48" s="28">
        <v>3685</v>
      </c>
      <c r="H48" s="122">
        <v>34292</v>
      </c>
      <c r="I48" s="406">
        <f t="shared" si="3"/>
        <v>6807</v>
      </c>
      <c r="J48" s="134">
        <v>1668</v>
      </c>
      <c r="K48" s="28">
        <v>3579</v>
      </c>
      <c r="L48" s="134">
        <v>1560</v>
      </c>
      <c r="M48" s="404">
        <f t="shared" si="4"/>
        <v>4226</v>
      </c>
      <c r="N48" s="123"/>
      <c r="O48" s="134">
        <v>4226</v>
      </c>
      <c r="P48" s="406">
        <v>4819</v>
      </c>
      <c r="Q48" s="404">
        <f t="shared" si="5"/>
        <v>14572</v>
      </c>
      <c r="R48" s="123">
        <v>485</v>
      </c>
      <c r="S48" s="28">
        <v>13287</v>
      </c>
      <c r="T48" s="134">
        <v>703</v>
      </c>
      <c r="U48" s="45">
        <v>97</v>
      </c>
      <c r="V48" s="319"/>
    </row>
    <row r="49" spans="1:22">
      <c r="A49" s="100">
        <v>30</v>
      </c>
      <c r="B49" s="4" t="s">
        <v>116</v>
      </c>
      <c r="C49" s="10"/>
      <c r="D49" s="404">
        <f t="shared" si="6"/>
        <v>262</v>
      </c>
      <c r="E49" s="123"/>
      <c r="F49" s="28"/>
      <c r="G49" s="28"/>
      <c r="H49" s="122">
        <v>262</v>
      </c>
      <c r="I49" s="406">
        <f t="shared" si="3"/>
        <v>0</v>
      </c>
      <c r="J49" s="134"/>
      <c r="K49" s="28"/>
      <c r="L49" s="134"/>
      <c r="M49" s="404">
        <f t="shared" si="4"/>
        <v>0</v>
      </c>
      <c r="N49" s="123"/>
      <c r="O49" s="134"/>
      <c r="P49" s="404"/>
      <c r="Q49" s="404">
        <f t="shared" si="5"/>
        <v>0</v>
      </c>
      <c r="R49" s="123"/>
      <c r="S49" s="28"/>
      <c r="T49" s="134"/>
      <c r="U49" s="45"/>
      <c r="V49" s="319"/>
    </row>
    <row r="50" spans="1:22" ht="15">
      <c r="A50" s="100">
        <v>31</v>
      </c>
      <c r="B50" s="4" t="s">
        <v>117</v>
      </c>
      <c r="C50" s="248"/>
      <c r="D50" s="404">
        <f t="shared" si="6"/>
        <v>3054</v>
      </c>
      <c r="E50" s="123"/>
      <c r="F50" s="28"/>
      <c r="G50" s="28">
        <v>10</v>
      </c>
      <c r="H50" s="122">
        <v>3044</v>
      </c>
      <c r="I50" s="406">
        <f t="shared" si="3"/>
        <v>0</v>
      </c>
      <c r="J50" s="134"/>
      <c r="K50" s="28"/>
      <c r="L50" s="134"/>
      <c r="M50" s="404">
        <f t="shared" si="4"/>
        <v>0</v>
      </c>
      <c r="N50" s="123"/>
      <c r="O50" s="45"/>
      <c r="P50" s="404"/>
      <c r="Q50" s="404">
        <f t="shared" si="5"/>
        <v>268</v>
      </c>
      <c r="R50" s="123">
        <v>68</v>
      </c>
      <c r="S50" s="28">
        <v>200</v>
      </c>
      <c r="T50" s="134"/>
      <c r="U50" s="45"/>
      <c r="V50" s="319"/>
    </row>
    <row r="51" spans="1:22">
      <c r="A51" s="100">
        <v>32</v>
      </c>
      <c r="B51" s="4" t="s">
        <v>118</v>
      </c>
      <c r="C51" s="17"/>
      <c r="D51" s="404">
        <f t="shared" si="6"/>
        <v>2622</v>
      </c>
      <c r="E51" s="123">
        <v>246</v>
      </c>
      <c r="F51" s="28">
        <v>5</v>
      </c>
      <c r="G51" s="28">
        <v>572</v>
      </c>
      <c r="H51" s="122">
        <v>1799</v>
      </c>
      <c r="I51" s="406">
        <f t="shared" si="3"/>
        <v>45</v>
      </c>
      <c r="J51" s="134">
        <v>10</v>
      </c>
      <c r="K51" s="28">
        <v>35</v>
      </c>
      <c r="L51" s="134"/>
      <c r="M51" s="404">
        <f t="shared" si="4"/>
        <v>0</v>
      </c>
      <c r="N51" s="123"/>
      <c r="O51" s="134"/>
      <c r="P51" s="404"/>
      <c r="Q51" s="404">
        <f t="shared" si="5"/>
        <v>2540</v>
      </c>
      <c r="R51" s="123">
        <v>400</v>
      </c>
      <c r="S51" s="28">
        <v>2140</v>
      </c>
      <c r="T51" s="134"/>
      <c r="U51" s="45"/>
      <c r="V51" s="319"/>
    </row>
    <row r="52" spans="1:22">
      <c r="A52" s="100">
        <v>33</v>
      </c>
      <c r="B52" s="4" t="s">
        <v>119</v>
      </c>
      <c r="C52" s="10"/>
      <c r="D52" s="404">
        <f t="shared" si="6"/>
        <v>0</v>
      </c>
      <c r="E52" s="123"/>
      <c r="F52" s="28"/>
      <c r="G52" s="28"/>
      <c r="H52" s="122"/>
      <c r="I52" s="406">
        <f t="shared" si="3"/>
        <v>0</v>
      </c>
      <c r="J52" s="134"/>
      <c r="K52" s="28"/>
      <c r="L52" s="134"/>
      <c r="M52" s="404">
        <f t="shared" si="4"/>
        <v>0</v>
      </c>
      <c r="N52" s="70"/>
      <c r="O52" s="134"/>
      <c r="P52" s="406"/>
      <c r="Q52" s="404">
        <f t="shared" si="5"/>
        <v>0</v>
      </c>
      <c r="R52" s="123"/>
      <c r="S52" s="28"/>
      <c r="T52" s="134"/>
      <c r="U52" s="45"/>
      <c r="V52" s="319"/>
    </row>
    <row r="53" spans="1:22">
      <c r="A53" s="100">
        <v>34</v>
      </c>
      <c r="B53" s="4" t="s">
        <v>120</v>
      </c>
      <c r="C53" s="10"/>
      <c r="D53" s="404">
        <f t="shared" si="6"/>
        <v>4474</v>
      </c>
      <c r="E53" s="123"/>
      <c r="F53" s="28"/>
      <c r="G53" s="28">
        <v>41</v>
      </c>
      <c r="H53" s="122">
        <v>4433</v>
      </c>
      <c r="I53" s="406">
        <f t="shared" si="3"/>
        <v>0</v>
      </c>
      <c r="J53" s="134"/>
      <c r="K53" s="28"/>
      <c r="L53" s="134"/>
      <c r="M53" s="404">
        <f t="shared" si="4"/>
        <v>0</v>
      </c>
      <c r="N53" s="123"/>
      <c r="O53" s="134"/>
      <c r="P53" s="406"/>
      <c r="Q53" s="404">
        <f t="shared" si="5"/>
        <v>0</v>
      </c>
      <c r="R53" s="123"/>
      <c r="S53" s="28"/>
      <c r="T53" s="134"/>
      <c r="U53" s="45"/>
      <c r="V53" s="319"/>
    </row>
    <row r="54" spans="1:22">
      <c r="A54" s="100">
        <v>35</v>
      </c>
      <c r="B54" s="4" t="s">
        <v>121</v>
      </c>
      <c r="C54" s="10"/>
      <c r="D54" s="404">
        <f t="shared" si="6"/>
        <v>448</v>
      </c>
      <c r="E54" s="123">
        <v>230</v>
      </c>
      <c r="F54" s="28"/>
      <c r="G54" s="28"/>
      <c r="H54" s="122">
        <v>218</v>
      </c>
      <c r="I54" s="406">
        <f t="shared" si="3"/>
        <v>17</v>
      </c>
      <c r="J54" s="134"/>
      <c r="K54" s="28"/>
      <c r="L54" s="134">
        <v>17</v>
      </c>
      <c r="M54" s="404">
        <f t="shared" si="4"/>
        <v>0</v>
      </c>
      <c r="N54" s="123"/>
      <c r="O54" s="134"/>
      <c r="P54" s="404"/>
      <c r="Q54" s="404">
        <f t="shared" si="5"/>
        <v>0</v>
      </c>
      <c r="R54" s="123"/>
      <c r="S54" s="28"/>
      <c r="T54" s="134"/>
      <c r="U54" s="45"/>
      <c r="V54" s="319"/>
    </row>
    <row r="55" spans="1:22">
      <c r="A55" s="100">
        <v>36</v>
      </c>
      <c r="B55" s="4" t="s">
        <v>122</v>
      </c>
      <c r="C55" s="10"/>
      <c r="D55" s="404">
        <f t="shared" si="6"/>
        <v>4240</v>
      </c>
      <c r="E55" s="123">
        <v>1535</v>
      </c>
      <c r="F55" s="28">
        <v>100</v>
      </c>
      <c r="G55" s="28">
        <v>234</v>
      </c>
      <c r="H55" s="122">
        <v>2371</v>
      </c>
      <c r="I55" s="406">
        <f t="shared" si="3"/>
        <v>4104</v>
      </c>
      <c r="J55" s="134">
        <v>4049</v>
      </c>
      <c r="K55" s="28">
        <v>55</v>
      </c>
      <c r="L55" s="134"/>
      <c r="M55" s="404">
        <f t="shared" si="4"/>
        <v>16</v>
      </c>
      <c r="N55" s="123"/>
      <c r="O55" s="134">
        <v>16</v>
      </c>
      <c r="P55" s="404"/>
      <c r="Q55" s="404">
        <f t="shared" si="5"/>
        <v>1139</v>
      </c>
      <c r="R55" s="123">
        <v>530</v>
      </c>
      <c r="S55" s="28">
        <v>594</v>
      </c>
      <c r="T55" s="134"/>
      <c r="U55" s="45">
        <v>15</v>
      </c>
      <c r="V55" s="319"/>
    </row>
    <row r="56" spans="1:22" ht="15">
      <c r="A56" s="100">
        <v>37</v>
      </c>
      <c r="B56" s="4" t="s">
        <v>123</v>
      </c>
      <c r="C56" s="248"/>
      <c r="D56" s="404">
        <f t="shared" si="6"/>
        <v>17204</v>
      </c>
      <c r="E56" s="123">
        <v>360</v>
      </c>
      <c r="F56" s="28"/>
      <c r="G56" s="28">
        <v>4792</v>
      </c>
      <c r="H56" s="122">
        <v>12052</v>
      </c>
      <c r="I56" s="406">
        <f t="shared" si="3"/>
        <v>0</v>
      </c>
      <c r="J56" s="134"/>
      <c r="K56" s="28"/>
      <c r="L56" s="134"/>
      <c r="M56" s="404">
        <f t="shared" si="4"/>
        <v>0</v>
      </c>
      <c r="N56" s="123"/>
      <c r="O56" s="45"/>
      <c r="P56" s="404"/>
      <c r="Q56" s="404">
        <f t="shared" si="5"/>
        <v>37495</v>
      </c>
      <c r="R56" s="123"/>
      <c r="S56" s="28">
        <v>37495</v>
      </c>
      <c r="T56" s="134"/>
      <c r="U56" s="45"/>
      <c r="V56" s="319"/>
    </row>
    <row r="57" spans="1:22">
      <c r="A57" s="100">
        <v>38</v>
      </c>
      <c r="B57" s="4" t="s">
        <v>124</v>
      </c>
      <c r="C57" s="17"/>
      <c r="D57" s="404">
        <f t="shared" si="6"/>
        <v>2715</v>
      </c>
      <c r="E57" s="123"/>
      <c r="F57" s="28"/>
      <c r="G57" s="28">
        <v>1</v>
      </c>
      <c r="H57" s="122">
        <v>2714</v>
      </c>
      <c r="I57" s="406">
        <f t="shared" si="3"/>
        <v>0</v>
      </c>
      <c r="J57" s="134"/>
      <c r="K57" s="28"/>
      <c r="L57" s="134"/>
      <c r="M57" s="404">
        <f t="shared" si="4"/>
        <v>0</v>
      </c>
      <c r="N57" s="123"/>
      <c r="O57" s="134"/>
      <c r="P57" s="404"/>
      <c r="Q57" s="404">
        <f t="shared" si="5"/>
        <v>0</v>
      </c>
      <c r="R57" s="123"/>
      <c r="S57" s="28"/>
      <c r="T57" s="134"/>
      <c r="U57" s="45"/>
      <c r="V57" s="319"/>
    </row>
    <row r="58" spans="1:22">
      <c r="A58" s="100">
        <v>39</v>
      </c>
      <c r="B58" s="4" t="s">
        <v>125</v>
      </c>
      <c r="C58" s="10"/>
      <c r="D58" s="404">
        <f t="shared" si="6"/>
        <v>406</v>
      </c>
      <c r="E58" s="123"/>
      <c r="F58" s="28">
        <v>176</v>
      </c>
      <c r="G58" s="28"/>
      <c r="H58" s="122">
        <v>230</v>
      </c>
      <c r="I58" s="406">
        <f t="shared" si="3"/>
        <v>63</v>
      </c>
      <c r="J58" s="134">
        <v>63</v>
      </c>
      <c r="K58" s="28"/>
      <c r="L58" s="134"/>
      <c r="M58" s="404">
        <f t="shared" si="4"/>
        <v>2</v>
      </c>
      <c r="N58" s="123"/>
      <c r="O58" s="134">
        <v>2</v>
      </c>
      <c r="P58" s="406"/>
      <c r="Q58" s="404">
        <f t="shared" si="5"/>
        <v>55</v>
      </c>
      <c r="R58" s="123">
        <v>25</v>
      </c>
      <c r="S58" s="28"/>
      <c r="T58" s="134"/>
      <c r="U58" s="45">
        <v>30</v>
      </c>
      <c r="V58" s="319"/>
    </row>
    <row r="59" spans="1:22">
      <c r="A59" s="100">
        <v>40</v>
      </c>
      <c r="B59" s="4" t="s">
        <v>126</v>
      </c>
      <c r="C59" s="10"/>
      <c r="D59" s="404">
        <f t="shared" si="6"/>
        <v>280</v>
      </c>
      <c r="E59" s="123">
        <v>100</v>
      </c>
      <c r="F59" s="28"/>
      <c r="G59" s="28"/>
      <c r="H59" s="122">
        <v>180</v>
      </c>
      <c r="I59" s="406">
        <f t="shared" si="3"/>
        <v>0</v>
      </c>
      <c r="J59" s="134"/>
      <c r="K59" s="28"/>
      <c r="L59" s="134"/>
      <c r="M59" s="404">
        <f t="shared" si="4"/>
        <v>0</v>
      </c>
      <c r="N59" s="123"/>
      <c r="O59" s="134"/>
      <c r="P59" s="406"/>
      <c r="Q59" s="404">
        <f t="shared" si="5"/>
        <v>0</v>
      </c>
      <c r="R59" s="123"/>
      <c r="S59" s="28"/>
      <c r="T59" s="134"/>
      <c r="U59" s="45"/>
      <c r="V59" s="319"/>
    </row>
    <row r="60" spans="1:22">
      <c r="A60" s="100">
        <v>41</v>
      </c>
      <c r="B60" s="4" t="s">
        <v>127</v>
      </c>
      <c r="C60" s="10"/>
      <c r="D60" s="404">
        <f t="shared" si="6"/>
        <v>0</v>
      </c>
      <c r="E60" s="123"/>
      <c r="F60" s="28"/>
      <c r="G60" s="28"/>
      <c r="H60" s="122"/>
      <c r="I60" s="406">
        <f t="shared" si="3"/>
        <v>0</v>
      </c>
      <c r="J60" s="134"/>
      <c r="K60" s="28"/>
      <c r="L60" s="134"/>
      <c r="M60" s="404">
        <f t="shared" si="4"/>
        <v>0</v>
      </c>
      <c r="N60" s="123"/>
      <c r="O60" s="134"/>
      <c r="P60" s="404"/>
      <c r="Q60" s="404">
        <f t="shared" si="5"/>
        <v>0</v>
      </c>
      <c r="R60" s="123"/>
      <c r="S60" s="28"/>
      <c r="T60" s="134"/>
      <c r="U60" s="45"/>
      <c r="V60" s="319"/>
    </row>
    <row r="61" spans="1:22">
      <c r="A61" s="100">
        <v>42</v>
      </c>
      <c r="B61" s="4" t="s">
        <v>303</v>
      </c>
      <c r="C61" s="10"/>
      <c r="D61" s="404">
        <f t="shared" si="6"/>
        <v>56924</v>
      </c>
      <c r="E61" s="123">
        <v>16188</v>
      </c>
      <c r="F61" s="28">
        <v>3016</v>
      </c>
      <c r="G61" s="28">
        <v>20640</v>
      </c>
      <c r="H61" s="122">
        <v>17080</v>
      </c>
      <c r="I61" s="406">
        <f t="shared" si="3"/>
        <v>9131</v>
      </c>
      <c r="J61" s="134">
        <v>2510</v>
      </c>
      <c r="K61" s="28">
        <v>4164</v>
      </c>
      <c r="L61" s="134">
        <v>2457</v>
      </c>
      <c r="M61" s="404">
        <f t="shared" si="4"/>
        <v>4996</v>
      </c>
      <c r="N61" s="123">
        <v>885</v>
      </c>
      <c r="O61" s="134">
        <v>4111</v>
      </c>
      <c r="P61" s="406"/>
      <c r="Q61" s="404">
        <f t="shared" si="5"/>
        <v>71352</v>
      </c>
      <c r="R61" s="123">
        <v>7877</v>
      </c>
      <c r="S61" s="28">
        <v>63475</v>
      </c>
      <c r="T61" s="29"/>
      <c r="U61" s="45"/>
      <c r="V61" s="319"/>
    </row>
    <row r="62" spans="1:22" ht="15">
      <c r="A62" s="175">
        <v>43</v>
      </c>
      <c r="B62" s="111" t="s">
        <v>129</v>
      </c>
      <c r="C62" s="248"/>
      <c r="D62" s="404">
        <f t="shared" si="6"/>
        <v>12976</v>
      </c>
      <c r="E62" s="123">
        <v>2047</v>
      </c>
      <c r="F62" s="28">
        <v>2650</v>
      </c>
      <c r="G62" s="28">
        <v>2773</v>
      </c>
      <c r="H62" s="122">
        <v>5506</v>
      </c>
      <c r="I62" s="406">
        <f t="shared" si="3"/>
        <v>6399</v>
      </c>
      <c r="J62" s="134">
        <v>42</v>
      </c>
      <c r="K62" s="28">
        <v>32</v>
      </c>
      <c r="L62" s="134">
        <v>6325</v>
      </c>
      <c r="M62" s="404">
        <f t="shared" si="4"/>
        <v>63</v>
      </c>
      <c r="N62" s="123">
        <v>63</v>
      </c>
      <c r="O62" s="45"/>
      <c r="P62" s="404">
        <v>99</v>
      </c>
      <c r="Q62" s="404">
        <f t="shared" si="5"/>
        <v>17555</v>
      </c>
      <c r="R62" s="123">
        <v>2305</v>
      </c>
      <c r="S62" s="28">
        <v>15250</v>
      </c>
      <c r="T62" s="134"/>
      <c r="U62" s="45"/>
      <c r="V62" s="319"/>
    </row>
    <row r="63" spans="1:22">
      <c r="A63" s="175">
        <v>44</v>
      </c>
      <c r="B63" s="111" t="s">
        <v>130</v>
      </c>
      <c r="C63" s="17"/>
      <c r="D63" s="404">
        <f t="shared" si="6"/>
        <v>273823</v>
      </c>
      <c r="E63" s="123">
        <v>580</v>
      </c>
      <c r="F63" s="28">
        <v>223786</v>
      </c>
      <c r="G63" s="28">
        <v>763</v>
      </c>
      <c r="H63" s="122">
        <v>48694</v>
      </c>
      <c r="I63" s="406">
        <f t="shared" si="3"/>
        <v>28146</v>
      </c>
      <c r="J63" s="134">
        <v>822</v>
      </c>
      <c r="K63" s="28">
        <v>380</v>
      </c>
      <c r="L63" s="134">
        <v>26944</v>
      </c>
      <c r="M63" s="404">
        <f t="shared" si="4"/>
        <v>496386</v>
      </c>
      <c r="N63" s="123">
        <v>427127</v>
      </c>
      <c r="O63" s="134">
        <v>69259</v>
      </c>
      <c r="P63" s="404">
        <v>365</v>
      </c>
      <c r="Q63" s="404">
        <f t="shared" si="5"/>
        <v>6178</v>
      </c>
      <c r="R63" s="123">
        <v>18</v>
      </c>
      <c r="S63" s="28">
        <v>6140</v>
      </c>
      <c r="T63" s="134">
        <v>20</v>
      </c>
      <c r="U63" s="45"/>
      <c r="V63" s="319"/>
    </row>
    <row r="64" spans="1:22">
      <c r="A64" s="175">
        <v>45</v>
      </c>
      <c r="B64" s="111" t="s">
        <v>131</v>
      </c>
      <c r="C64" s="10"/>
      <c r="D64" s="404">
        <f t="shared" si="6"/>
        <v>1041</v>
      </c>
      <c r="E64" s="123"/>
      <c r="F64" s="28"/>
      <c r="G64" s="28">
        <v>43</v>
      </c>
      <c r="H64" s="122">
        <v>998</v>
      </c>
      <c r="I64" s="406">
        <f t="shared" si="3"/>
        <v>0</v>
      </c>
      <c r="J64" s="134"/>
      <c r="K64" s="28"/>
      <c r="L64" s="134"/>
      <c r="M64" s="404">
        <f t="shared" si="4"/>
        <v>0</v>
      </c>
      <c r="N64" s="123"/>
      <c r="O64" s="134"/>
      <c r="P64" s="406">
        <v>127</v>
      </c>
      <c r="Q64" s="404">
        <f t="shared" si="5"/>
        <v>0</v>
      </c>
      <c r="R64" s="123"/>
      <c r="S64" s="28"/>
      <c r="T64" s="134"/>
      <c r="U64" s="45"/>
      <c r="V64" s="319"/>
    </row>
    <row r="65" spans="1:22">
      <c r="A65" s="175">
        <v>46</v>
      </c>
      <c r="B65" s="111" t="s">
        <v>132</v>
      </c>
      <c r="C65" s="10"/>
      <c r="D65" s="404">
        <f t="shared" si="6"/>
        <v>0</v>
      </c>
      <c r="E65" s="123"/>
      <c r="F65" s="205"/>
      <c r="G65" s="28"/>
      <c r="H65" s="122"/>
      <c r="I65" s="406">
        <f t="shared" si="3"/>
        <v>0</v>
      </c>
      <c r="J65" s="134"/>
      <c r="K65" s="28"/>
      <c r="L65" s="134"/>
      <c r="M65" s="404">
        <f t="shared" si="4"/>
        <v>0</v>
      </c>
      <c r="N65" s="123"/>
      <c r="O65" s="134"/>
      <c r="P65" s="404"/>
      <c r="Q65" s="404">
        <f t="shared" si="5"/>
        <v>0</v>
      </c>
      <c r="R65" s="123"/>
      <c r="S65" s="28"/>
      <c r="T65" s="134"/>
      <c r="U65" s="45"/>
      <c r="V65" s="319"/>
    </row>
    <row r="66" spans="1:22">
      <c r="A66" s="175">
        <v>47</v>
      </c>
      <c r="B66" s="111" t="s">
        <v>133</v>
      </c>
      <c r="C66" s="10"/>
      <c r="D66" s="404">
        <f t="shared" si="6"/>
        <v>283368</v>
      </c>
      <c r="E66" s="123">
        <v>30404</v>
      </c>
      <c r="F66" s="205">
        <v>237023</v>
      </c>
      <c r="G66" s="28">
        <v>7875</v>
      </c>
      <c r="H66" s="122">
        <v>8066</v>
      </c>
      <c r="I66" s="406">
        <f t="shared" si="3"/>
        <v>23350</v>
      </c>
      <c r="J66" s="134">
        <v>4280</v>
      </c>
      <c r="K66" s="28">
        <v>10816</v>
      </c>
      <c r="L66" s="134">
        <v>8254</v>
      </c>
      <c r="M66" s="404">
        <f t="shared" si="4"/>
        <v>386737</v>
      </c>
      <c r="N66" s="123">
        <v>182250</v>
      </c>
      <c r="O66" s="134">
        <v>204487</v>
      </c>
      <c r="P66" s="404">
        <v>2095</v>
      </c>
      <c r="Q66" s="404">
        <v>107822</v>
      </c>
      <c r="R66" s="123">
        <v>35835</v>
      </c>
      <c r="S66" s="28">
        <v>62643</v>
      </c>
      <c r="T66" s="134">
        <v>3815</v>
      </c>
      <c r="U66" s="45">
        <v>5529</v>
      </c>
      <c r="V66" s="319"/>
    </row>
    <row r="67" spans="1:22">
      <c r="A67" s="175">
        <v>48</v>
      </c>
      <c r="B67" s="111" t="s">
        <v>134</v>
      </c>
      <c r="C67" s="10"/>
      <c r="D67" s="404">
        <f t="shared" si="6"/>
        <v>1805</v>
      </c>
      <c r="E67" s="123">
        <v>30</v>
      </c>
      <c r="F67" s="26"/>
      <c r="G67" s="28"/>
      <c r="H67" s="122">
        <v>1775</v>
      </c>
      <c r="I67" s="406">
        <f t="shared" si="3"/>
        <v>8</v>
      </c>
      <c r="J67" s="134"/>
      <c r="K67" s="28">
        <v>8</v>
      </c>
      <c r="L67" s="134"/>
      <c r="M67" s="404">
        <f t="shared" si="4"/>
        <v>0</v>
      </c>
      <c r="N67" s="123"/>
      <c r="O67" s="134"/>
      <c r="P67" s="413"/>
      <c r="Q67" s="404">
        <f t="shared" si="5"/>
        <v>0</v>
      </c>
      <c r="R67" s="123"/>
      <c r="S67" s="28"/>
      <c r="T67" s="134"/>
      <c r="U67" s="45"/>
      <c r="V67" s="319"/>
    </row>
    <row r="68" spans="1:22" ht="15">
      <c r="A68" s="175">
        <v>49</v>
      </c>
      <c r="B68" s="111" t="s">
        <v>135</v>
      </c>
      <c r="C68" s="248"/>
      <c r="D68" s="404">
        <f t="shared" si="6"/>
        <v>397</v>
      </c>
      <c r="E68" s="123"/>
      <c r="F68" s="26"/>
      <c r="G68" s="28">
        <v>4</v>
      </c>
      <c r="H68" s="122">
        <v>393</v>
      </c>
      <c r="I68" s="406">
        <f t="shared" si="3"/>
        <v>0</v>
      </c>
      <c r="J68" s="134"/>
      <c r="K68" s="28"/>
      <c r="L68" s="134"/>
      <c r="M68" s="404">
        <f t="shared" si="4"/>
        <v>0</v>
      </c>
      <c r="N68" s="123"/>
      <c r="O68" s="45"/>
      <c r="P68" s="404"/>
      <c r="Q68" s="404">
        <f t="shared" si="5"/>
        <v>120</v>
      </c>
      <c r="R68" s="123">
        <v>40</v>
      </c>
      <c r="S68" s="28">
        <v>80</v>
      </c>
      <c r="T68" s="29"/>
      <c r="U68" s="45"/>
      <c r="V68" s="319"/>
    </row>
    <row r="69" spans="1:22">
      <c r="A69" s="175">
        <v>50</v>
      </c>
      <c r="B69" s="111" t="s">
        <v>136</v>
      </c>
      <c r="C69" s="17"/>
      <c r="D69" s="404">
        <f t="shared" si="6"/>
        <v>4264</v>
      </c>
      <c r="E69" s="123">
        <v>488</v>
      </c>
      <c r="F69" s="28">
        <v>608</v>
      </c>
      <c r="G69" s="28">
        <v>121</v>
      </c>
      <c r="H69" s="122">
        <v>3047</v>
      </c>
      <c r="I69" s="406">
        <f t="shared" si="3"/>
        <v>79</v>
      </c>
      <c r="J69" s="134">
        <v>73</v>
      </c>
      <c r="K69" s="28"/>
      <c r="L69" s="134">
        <v>6</v>
      </c>
      <c r="M69" s="404">
        <f t="shared" si="4"/>
        <v>442</v>
      </c>
      <c r="N69" s="123">
        <v>63</v>
      </c>
      <c r="O69" s="134">
        <v>379</v>
      </c>
      <c r="P69" s="404"/>
      <c r="Q69" s="404">
        <f t="shared" si="5"/>
        <v>0</v>
      </c>
      <c r="R69" s="123"/>
      <c r="S69" s="28"/>
      <c r="T69" s="134"/>
      <c r="U69" s="45"/>
      <c r="V69" s="319"/>
    </row>
    <row r="70" spans="1:22">
      <c r="A70" s="218">
        <v>51</v>
      </c>
      <c r="B70" s="111" t="s">
        <v>137</v>
      </c>
      <c r="C70" s="10"/>
      <c r="D70" s="404">
        <f t="shared" si="6"/>
        <v>119267</v>
      </c>
      <c r="E70" s="123">
        <v>45147</v>
      </c>
      <c r="F70" s="28">
        <v>12192</v>
      </c>
      <c r="G70" s="28">
        <v>25289</v>
      </c>
      <c r="H70" s="122">
        <v>36639</v>
      </c>
      <c r="I70" s="406">
        <f t="shared" si="3"/>
        <v>56034</v>
      </c>
      <c r="J70" s="134">
        <v>12964</v>
      </c>
      <c r="K70" s="28">
        <v>19857</v>
      </c>
      <c r="L70" s="134">
        <v>23213</v>
      </c>
      <c r="M70" s="404">
        <f t="shared" si="4"/>
        <v>3080</v>
      </c>
      <c r="N70" s="123">
        <v>360</v>
      </c>
      <c r="O70" s="134">
        <v>2720</v>
      </c>
      <c r="P70" s="404">
        <v>2960</v>
      </c>
      <c r="Q70" s="404">
        <f t="shared" si="5"/>
        <v>74755</v>
      </c>
      <c r="R70" s="123">
        <v>5282</v>
      </c>
      <c r="S70" s="28">
        <v>69423</v>
      </c>
      <c r="T70" s="27"/>
      <c r="U70" s="45">
        <v>50</v>
      </c>
      <c r="V70" s="319"/>
    </row>
    <row r="71" spans="1:22">
      <c r="A71" s="218">
        <v>52</v>
      </c>
      <c r="B71" s="111" t="s">
        <v>138</v>
      </c>
      <c r="C71" s="10"/>
      <c r="D71" s="404">
        <f t="shared" si="6"/>
        <v>1473318</v>
      </c>
      <c r="E71" s="123">
        <v>10362</v>
      </c>
      <c r="F71" s="28">
        <v>1003426</v>
      </c>
      <c r="G71" s="28">
        <v>14973</v>
      </c>
      <c r="H71" s="122">
        <v>444557</v>
      </c>
      <c r="I71" s="406">
        <f t="shared" si="3"/>
        <v>121756</v>
      </c>
      <c r="J71" s="134">
        <v>13472</v>
      </c>
      <c r="K71" s="28"/>
      <c r="L71" s="134">
        <v>108284</v>
      </c>
      <c r="M71" s="404">
        <f t="shared" si="4"/>
        <v>2299644</v>
      </c>
      <c r="N71" s="123">
        <v>1824004</v>
      </c>
      <c r="O71" s="134">
        <v>475640</v>
      </c>
      <c r="P71" s="406">
        <v>10686</v>
      </c>
      <c r="Q71" s="404">
        <f t="shared" si="5"/>
        <v>134621</v>
      </c>
      <c r="R71" s="123">
        <v>25730</v>
      </c>
      <c r="S71" s="28">
        <v>108364</v>
      </c>
      <c r="T71" s="27">
        <v>437</v>
      </c>
      <c r="U71" s="45">
        <v>90</v>
      </c>
      <c r="V71" s="319"/>
    </row>
    <row r="72" spans="1:22">
      <c r="A72" s="218">
        <v>53</v>
      </c>
      <c r="B72" s="111" t="s">
        <v>139</v>
      </c>
      <c r="C72" s="10"/>
      <c r="D72" s="404">
        <f t="shared" si="6"/>
        <v>51</v>
      </c>
      <c r="E72" s="123"/>
      <c r="F72" s="28"/>
      <c r="G72" s="28"/>
      <c r="H72" s="122">
        <v>51</v>
      </c>
      <c r="I72" s="406">
        <f t="shared" si="3"/>
        <v>0</v>
      </c>
      <c r="J72" s="134"/>
      <c r="K72" s="28"/>
      <c r="L72" s="134"/>
      <c r="M72" s="404">
        <f t="shared" si="4"/>
        <v>0</v>
      </c>
      <c r="N72" s="123"/>
      <c r="O72" s="134"/>
      <c r="P72" s="404"/>
      <c r="Q72" s="404">
        <f t="shared" si="5"/>
        <v>0</v>
      </c>
      <c r="R72" s="123"/>
      <c r="S72" s="28"/>
      <c r="T72" s="27"/>
      <c r="U72" s="45"/>
      <c r="V72" s="319"/>
    </row>
    <row r="73" spans="1:22">
      <c r="A73" s="218">
        <v>54</v>
      </c>
      <c r="B73" s="111" t="s">
        <v>140</v>
      </c>
      <c r="C73" s="10"/>
      <c r="D73" s="404">
        <f t="shared" si="6"/>
        <v>2192</v>
      </c>
      <c r="E73" s="123">
        <v>50</v>
      </c>
      <c r="F73" s="28"/>
      <c r="G73" s="28">
        <v>22</v>
      </c>
      <c r="H73" s="122">
        <v>2120</v>
      </c>
      <c r="I73" s="406">
        <f t="shared" si="3"/>
        <v>0</v>
      </c>
      <c r="J73" s="134"/>
      <c r="K73" s="28"/>
      <c r="L73" s="134"/>
      <c r="M73" s="404">
        <f t="shared" si="4"/>
        <v>0</v>
      </c>
      <c r="N73" s="123"/>
      <c r="O73" s="134"/>
      <c r="P73" s="404"/>
      <c r="Q73" s="404">
        <f t="shared" si="5"/>
        <v>0</v>
      </c>
      <c r="R73" s="123"/>
      <c r="S73" s="28"/>
      <c r="T73" s="21"/>
      <c r="U73" s="45"/>
      <c r="V73" s="319"/>
    </row>
    <row r="74" spans="1:22">
      <c r="A74" s="218">
        <v>55</v>
      </c>
      <c r="B74" s="111" t="s">
        <v>141</v>
      </c>
      <c r="C74" s="10"/>
      <c r="D74" s="404">
        <f t="shared" si="6"/>
        <v>57707</v>
      </c>
      <c r="E74" s="123">
        <v>5221</v>
      </c>
      <c r="F74" s="28">
        <v>38429</v>
      </c>
      <c r="G74" s="134">
        <v>1235</v>
      </c>
      <c r="H74" s="122">
        <v>12822</v>
      </c>
      <c r="I74" s="406">
        <f t="shared" si="3"/>
        <v>4269</v>
      </c>
      <c r="J74" s="123">
        <v>822</v>
      </c>
      <c r="K74" s="28">
        <v>94</v>
      </c>
      <c r="L74" s="45">
        <v>3353</v>
      </c>
      <c r="M74" s="404">
        <f t="shared" si="4"/>
        <v>69581</v>
      </c>
      <c r="N74" s="123">
        <v>55217</v>
      </c>
      <c r="O74" s="45">
        <v>14364</v>
      </c>
      <c r="P74" s="404">
        <v>876</v>
      </c>
      <c r="Q74" s="404">
        <f t="shared" si="5"/>
        <v>11320</v>
      </c>
      <c r="R74" s="123">
        <v>7880</v>
      </c>
      <c r="S74" s="28">
        <v>3440</v>
      </c>
      <c r="T74" s="27"/>
      <c r="U74" s="45"/>
      <c r="V74" s="319"/>
    </row>
    <row r="75" spans="1:22" ht="15">
      <c r="A75" s="218">
        <v>56</v>
      </c>
      <c r="B75" s="111" t="s">
        <v>142</v>
      </c>
      <c r="C75" s="248"/>
      <c r="D75" s="404">
        <f t="shared" si="6"/>
        <v>0</v>
      </c>
      <c r="E75" s="396"/>
      <c r="F75" s="205"/>
      <c r="G75" s="28"/>
      <c r="H75" s="122"/>
      <c r="I75" s="406">
        <f t="shared" si="3"/>
        <v>0</v>
      </c>
      <c r="J75" s="134"/>
      <c r="K75" s="28"/>
      <c r="L75" s="134"/>
      <c r="M75" s="404">
        <f t="shared" si="4"/>
        <v>0</v>
      </c>
      <c r="N75" s="123"/>
      <c r="O75" s="45"/>
      <c r="P75" s="404"/>
      <c r="Q75" s="404">
        <f t="shared" si="5"/>
        <v>0</v>
      </c>
      <c r="R75" s="70"/>
      <c r="S75" s="28"/>
      <c r="T75" s="27"/>
      <c r="U75" s="45"/>
      <c r="V75" s="319"/>
    </row>
    <row r="76" spans="1:22">
      <c r="A76" s="218">
        <v>57</v>
      </c>
      <c r="B76" s="111" t="s">
        <v>143</v>
      </c>
      <c r="C76" s="17"/>
      <c r="D76" s="404">
        <f t="shared" si="6"/>
        <v>200</v>
      </c>
      <c r="E76" s="123">
        <v>80</v>
      </c>
      <c r="F76" s="28"/>
      <c r="G76" s="28">
        <v>40</v>
      </c>
      <c r="H76" s="122">
        <v>80</v>
      </c>
      <c r="I76" s="406">
        <f t="shared" si="3"/>
        <v>33</v>
      </c>
      <c r="J76" s="134"/>
      <c r="K76" s="28"/>
      <c r="L76" s="134">
        <v>33</v>
      </c>
      <c r="M76" s="404">
        <f t="shared" si="4"/>
        <v>0</v>
      </c>
      <c r="N76" s="123"/>
      <c r="O76" s="134"/>
      <c r="P76" s="413"/>
      <c r="Q76" s="404">
        <f t="shared" si="5"/>
        <v>300</v>
      </c>
      <c r="R76" s="123">
        <v>300</v>
      </c>
      <c r="S76" s="28"/>
      <c r="T76" s="27"/>
      <c r="U76" s="45"/>
      <c r="V76" s="319"/>
    </row>
    <row r="77" spans="1:22">
      <c r="A77" s="218">
        <v>58</v>
      </c>
      <c r="B77" s="111" t="s">
        <v>144</v>
      </c>
      <c r="C77" s="10"/>
      <c r="D77" s="404">
        <f t="shared" si="6"/>
        <v>334</v>
      </c>
      <c r="E77" s="123"/>
      <c r="F77" s="28"/>
      <c r="G77" s="28">
        <v>10</v>
      </c>
      <c r="H77" s="122">
        <v>324</v>
      </c>
      <c r="I77" s="406">
        <f t="shared" si="3"/>
        <v>0</v>
      </c>
      <c r="J77" s="134"/>
      <c r="K77" s="28"/>
      <c r="L77" s="134"/>
      <c r="M77" s="404">
        <f t="shared" si="4"/>
        <v>0</v>
      </c>
      <c r="N77" s="123"/>
      <c r="O77" s="134"/>
      <c r="P77" s="406"/>
      <c r="Q77" s="404">
        <f t="shared" si="5"/>
        <v>0</v>
      </c>
      <c r="R77" s="123"/>
      <c r="S77" s="28"/>
      <c r="T77" s="27"/>
      <c r="U77" s="45"/>
      <c r="V77" s="319"/>
    </row>
    <row r="78" spans="1:22">
      <c r="A78" s="218">
        <v>59</v>
      </c>
      <c r="B78" s="111" t="s">
        <v>145</v>
      </c>
      <c r="C78" s="17" t="s">
        <v>404</v>
      </c>
      <c r="D78" s="404">
        <f t="shared" si="6"/>
        <v>23034</v>
      </c>
      <c r="E78" s="123">
        <v>12950</v>
      </c>
      <c r="F78" s="28">
        <v>2379</v>
      </c>
      <c r="G78" s="28">
        <v>5229</v>
      </c>
      <c r="H78" s="126">
        <v>2476</v>
      </c>
      <c r="I78" s="406">
        <f>J78+K78+L78</f>
        <v>3288</v>
      </c>
      <c r="J78" s="134">
        <v>569</v>
      </c>
      <c r="K78" s="28">
        <v>1676</v>
      </c>
      <c r="L78" s="134">
        <v>1043</v>
      </c>
      <c r="M78" s="404">
        <f>N78+O78</f>
        <v>2465</v>
      </c>
      <c r="N78" s="123">
        <v>1643</v>
      </c>
      <c r="O78" s="134">
        <v>822</v>
      </c>
      <c r="P78" s="404">
        <v>444</v>
      </c>
      <c r="Q78" s="404">
        <f>R78+S78+T78+U78</f>
        <v>24030</v>
      </c>
      <c r="R78" s="123">
        <v>2700</v>
      </c>
      <c r="S78" s="28">
        <v>19084</v>
      </c>
      <c r="T78" s="27">
        <v>1396</v>
      </c>
      <c r="U78" s="45">
        <v>850</v>
      </c>
      <c r="V78" s="319"/>
    </row>
    <row r="79" spans="1:22">
      <c r="A79" s="218">
        <v>60</v>
      </c>
      <c r="B79" s="111" t="s">
        <v>146</v>
      </c>
      <c r="C79" s="10"/>
      <c r="D79" s="404">
        <f t="shared" si="6"/>
        <v>150</v>
      </c>
      <c r="E79" s="123"/>
      <c r="F79" s="28"/>
      <c r="G79" s="28"/>
      <c r="H79" s="122">
        <v>150</v>
      </c>
      <c r="I79" s="406">
        <f t="shared" ref="I79:I101" si="7">J79+K79+L79</f>
        <v>0</v>
      </c>
      <c r="J79" s="134"/>
      <c r="K79" s="28"/>
      <c r="L79" s="134"/>
      <c r="M79" s="404">
        <f t="shared" ref="M79:M89" si="8">N79+O79</f>
        <v>0</v>
      </c>
      <c r="N79" s="123"/>
      <c r="O79" s="134"/>
      <c r="P79" s="404"/>
      <c r="Q79" s="404">
        <f t="shared" ref="Q79:Q101" si="9">R79+S79+T79+U79</f>
        <v>0</v>
      </c>
      <c r="R79" s="123"/>
      <c r="S79" s="28"/>
      <c r="T79" s="27"/>
      <c r="U79" s="45"/>
      <c r="V79" s="319"/>
    </row>
    <row r="80" spans="1:22">
      <c r="A80" s="218">
        <v>61</v>
      </c>
      <c r="B80" s="111" t="s">
        <v>147</v>
      </c>
      <c r="C80" s="10"/>
      <c r="D80" s="404">
        <f t="shared" si="6"/>
        <v>303</v>
      </c>
      <c r="E80" s="123"/>
      <c r="F80" s="28"/>
      <c r="G80" s="28">
        <v>38</v>
      </c>
      <c r="H80" s="122">
        <v>265</v>
      </c>
      <c r="I80" s="406">
        <f t="shared" si="7"/>
        <v>0</v>
      </c>
      <c r="J80" s="134"/>
      <c r="K80" s="28"/>
      <c r="L80" s="134"/>
      <c r="M80" s="404">
        <f t="shared" ref="M80:M85" si="10">N80+O80</f>
        <v>0</v>
      </c>
      <c r="N80" s="20"/>
      <c r="P80" s="404"/>
      <c r="Q80" s="404">
        <f t="shared" si="9"/>
        <v>281</v>
      </c>
      <c r="R80" s="123"/>
      <c r="S80" s="28">
        <v>281</v>
      </c>
      <c r="T80" s="27"/>
      <c r="U80" s="45"/>
      <c r="V80" s="319"/>
    </row>
    <row r="81" spans="1:22" ht="15">
      <c r="A81" s="218">
        <v>62</v>
      </c>
      <c r="B81" s="111" t="s">
        <v>148</v>
      </c>
      <c r="C81" s="248"/>
      <c r="D81" s="404">
        <f t="shared" si="6"/>
        <v>20197</v>
      </c>
      <c r="E81" s="123">
        <v>12541</v>
      </c>
      <c r="F81" s="28">
        <v>1110</v>
      </c>
      <c r="G81" s="28">
        <v>1201</v>
      </c>
      <c r="H81" s="122">
        <v>5345</v>
      </c>
      <c r="I81" s="406">
        <f t="shared" si="7"/>
        <v>2972</v>
      </c>
      <c r="J81" s="134">
        <v>1771</v>
      </c>
      <c r="K81" s="28">
        <v>379</v>
      </c>
      <c r="L81" s="32">
        <v>822</v>
      </c>
      <c r="M81" s="404">
        <f t="shared" si="10"/>
        <v>1138</v>
      </c>
      <c r="N81" s="123">
        <v>442</v>
      </c>
      <c r="O81" s="134">
        <v>696</v>
      </c>
      <c r="P81" s="406">
        <v>1676</v>
      </c>
      <c r="Q81" s="404">
        <f t="shared" si="9"/>
        <v>3923</v>
      </c>
      <c r="R81" s="70">
        <v>1550</v>
      </c>
      <c r="S81" s="28">
        <v>2373</v>
      </c>
      <c r="T81" s="27"/>
      <c r="U81" s="45"/>
      <c r="V81" s="319"/>
    </row>
    <row r="82" spans="1:22">
      <c r="A82" s="218">
        <v>63</v>
      </c>
      <c r="B82" s="111" t="s">
        <v>149</v>
      </c>
      <c r="C82" s="17"/>
      <c r="D82" s="404">
        <f t="shared" si="6"/>
        <v>426654</v>
      </c>
      <c r="E82" s="123">
        <v>139251</v>
      </c>
      <c r="F82" s="28">
        <v>241237</v>
      </c>
      <c r="G82" s="28">
        <v>17146</v>
      </c>
      <c r="H82" s="122">
        <v>29020</v>
      </c>
      <c r="I82" s="406">
        <f t="shared" si="7"/>
        <v>50072</v>
      </c>
      <c r="J82" s="134">
        <v>26860</v>
      </c>
      <c r="K82" s="28">
        <v>12270</v>
      </c>
      <c r="L82" s="134">
        <v>10942</v>
      </c>
      <c r="M82" s="404">
        <f t="shared" si="10"/>
        <v>523999</v>
      </c>
      <c r="N82" s="70">
        <v>411794</v>
      </c>
      <c r="O82" s="45">
        <v>112205</v>
      </c>
      <c r="P82" s="404">
        <v>127</v>
      </c>
      <c r="Q82" s="404">
        <f t="shared" si="9"/>
        <v>152153</v>
      </c>
      <c r="R82" s="123">
        <v>1000</v>
      </c>
      <c r="S82" s="28">
        <v>80025</v>
      </c>
      <c r="T82" s="27">
        <v>70362</v>
      </c>
      <c r="U82" s="45">
        <v>766</v>
      </c>
      <c r="V82" s="319"/>
    </row>
    <row r="83" spans="1:22">
      <c r="A83" s="218">
        <v>64</v>
      </c>
      <c r="B83" s="111" t="s">
        <v>150</v>
      </c>
      <c r="C83" s="10"/>
      <c r="D83" s="404">
        <f t="shared" si="6"/>
        <v>0</v>
      </c>
      <c r="E83" s="123"/>
      <c r="F83" s="28"/>
      <c r="G83" s="28"/>
      <c r="H83" s="122"/>
      <c r="I83" s="406">
        <f t="shared" si="7"/>
        <v>0</v>
      </c>
      <c r="J83" s="134"/>
      <c r="K83" s="28"/>
      <c r="L83" s="134"/>
      <c r="M83" s="404">
        <f t="shared" si="10"/>
        <v>0</v>
      </c>
      <c r="N83" s="123"/>
      <c r="O83" s="134"/>
      <c r="P83" s="404"/>
      <c r="Q83" s="404">
        <f t="shared" si="9"/>
        <v>0</v>
      </c>
      <c r="R83" s="123"/>
      <c r="S83" s="28"/>
      <c r="T83" s="27"/>
      <c r="U83" s="45"/>
      <c r="V83" s="319"/>
    </row>
    <row r="84" spans="1:22">
      <c r="A84" s="218">
        <v>65</v>
      </c>
      <c r="B84" s="111" t="s">
        <v>151</v>
      </c>
      <c r="C84" s="10"/>
      <c r="D84" s="404">
        <f t="shared" si="6"/>
        <v>3791</v>
      </c>
      <c r="E84" s="123"/>
      <c r="F84" s="28"/>
      <c r="G84" s="28">
        <v>2</v>
      </c>
      <c r="H84" s="122">
        <v>3789</v>
      </c>
      <c r="I84" s="406">
        <f t="shared" si="7"/>
        <v>42</v>
      </c>
      <c r="J84" s="134">
        <v>42</v>
      </c>
      <c r="K84" s="28"/>
      <c r="L84" s="134"/>
      <c r="M84" s="406">
        <f t="shared" si="10"/>
        <v>0</v>
      </c>
      <c r="N84" s="123"/>
      <c r="O84" s="134"/>
      <c r="P84" s="404">
        <v>20</v>
      </c>
      <c r="Q84" s="404">
        <f t="shared" si="9"/>
        <v>100</v>
      </c>
      <c r="R84" s="123"/>
      <c r="S84" s="28">
        <v>100</v>
      </c>
      <c r="T84" s="27"/>
      <c r="U84" s="45"/>
      <c r="V84" s="319"/>
    </row>
    <row r="85" spans="1:22">
      <c r="A85" s="218">
        <v>66</v>
      </c>
      <c r="B85" s="111" t="s">
        <v>152</v>
      </c>
      <c r="C85" s="10"/>
      <c r="D85" s="404">
        <f t="shared" si="6"/>
        <v>931575</v>
      </c>
      <c r="E85" s="123">
        <v>525</v>
      </c>
      <c r="F85" s="28">
        <v>840744</v>
      </c>
      <c r="G85" s="28">
        <v>343</v>
      </c>
      <c r="H85" s="122">
        <v>89963</v>
      </c>
      <c r="I85" s="406">
        <f t="shared" si="7"/>
        <v>43442</v>
      </c>
      <c r="J85" s="134">
        <v>2520</v>
      </c>
      <c r="K85" s="28">
        <v>63</v>
      </c>
      <c r="L85" s="134">
        <v>40859</v>
      </c>
      <c r="M85" s="404">
        <f t="shared" si="10"/>
        <v>1580480</v>
      </c>
      <c r="N85" s="123">
        <v>944755</v>
      </c>
      <c r="O85" s="134">
        <v>635725</v>
      </c>
      <c r="P85" s="404">
        <v>3158</v>
      </c>
      <c r="Q85" s="404">
        <f t="shared" si="9"/>
        <v>3055</v>
      </c>
      <c r="R85" s="123">
        <v>100</v>
      </c>
      <c r="S85" s="28">
        <v>2620</v>
      </c>
      <c r="T85" s="27">
        <v>300</v>
      </c>
      <c r="U85" s="45">
        <v>35</v>
      </c>
      <c r="V85" s="319"/>
    </row>
    <row r="86" spans="1:22">
      <c r="A86" s="218">
        <v>67</v>
      </c>
      <c r="B86" s="111" t="s">
        <v>153</v>
      </c>
      <c r="C86" s="10"/>
      <c r="D86" s="404">
        <f t="shared" ref="D86:D101" si="11">SUM(E86:H86)</f>
        <v>394</v>
      </c>
      <c r="E86" s="123"/>
      <c r="F86" s="28"/>
      <c r="G86" s="28">
        <v>7</v>
      </c>
      <c r="H86" s="122">
        <v>387</v>
      </c>
      <c r="I86" s="406">
        <f t="shared" si="7"/>
        <v>0</v>
      </c>
      <c r="J86" s="134"/>
      <c r="K86" s="28"/>
      <c r="L86" s="134"/>
      <c r="M86" s="404">
        <f t="shared" si="8"/>
        <v>0</v>
      </c>
      <c r="N86" s="123"/>
      <c r="O86" s="134"/>
      <c r="P86" s="404"/>
      <c r="Q86" s="404">
        <f t="shared" si="9"/>
        <v>310</v>
      </c>
      <c r="R86" s="123">
        <v>10</v>
      </c>
      <c r="S86" s="28">
        <v>300</v>
      </c>
      <c r="T86" s="27"/>
      <c r="U86" s="45"/>
      <c r="V86" s="319"/>
    </row>
    <row r="87" spans="1:22" ht="15">
      <c r="A87" s="218">
        <v>68</v>
      </c>
      <c r="B87" s="111" t="s">
        <v>154</v>
      </c>
      <c r="C87" s="248"/>
      <c r="D87" s="404">
        <f t="shared" si="11"/>
        <v>1254</v>
      </c>
      <c r="E87" s="123">
        <v>100</v>
      </c>
      <c r="F87" s="28"/>
      <c r="G87" s="28"/>
      <c r="H87" s="122">
        <v>1154</v>
      </c>
      <c r="I87" s="406">
        <f t="shared" si="7"/>
        <v>56</v>
      </c>
      <c r="J87" s="134"/>
      <c r="K87" s="28">
        <v>56</v>
      </c>
      <c r="L87" s="32"/>
      <c r="M87" s="404">
        <f t="shared" si="8"/>
        <v>0</v>
      </c>
      <c r="N87" s="70"/>
      <c r="O87" s="45"/>
      <c r="P87" s="406">
        <v>32</v>
      </c>
      <c r="Q87" s="404">
        <f t="shared" si="9"/>
        <v>0</v>
      </c>
      <c r="R87" s="70"/>
      <c r="S87" s="28"/>
      <c r="T87" s="27"/>
      <c r="U87" s="45"/>
      <c r="V87" s="319"/>
    </row>
    <row r="88" spans="1:22">
      <c r="A88" s="218">
        <v>69</v>
      </c>
      <c r="B88" s="111" t="s">
        <v>155</v>
      </c>
      <c r="C88" s="17"/>
      <c r="D88" s="404">
        <f t="shared" si="11"/>
        <v>15</v>
      </c>
      <c r="E88" s="123"/>
      <c r="F88" s="28"/>
      <c r="G88" s="28"/>
      <c r="H88" s="122">
        <v>15</v>
      </c>
      <c r="I88" s="406">
        <f t="shared" si="7"/>
        <v>0</v>
      </c>
      <c r="J88" s="134"/>
      <c r="K88" s="28"/>
      <c r="L88" s="134"/>
      <c r="M88" s="404">
        <f t="shared" si="8"/>
        <v>0</v>
      </c>
      <c r="N88" s="123"/>
      <c r="O88" s="134"/>
      <c r="P88" s="404"/>
      <c r="Q88" s="404">
        <f t="shared" si="9"/>
        <v>0</v>
      </c>
      <c r="R88" s="123"/>
      <c r="S88" s="28"/>
      <c r="T88" s="27"/>
      <c r="U88" s="45"/>
      <c r="V88" s="319"/>
    </row>
    <row r="89" spans="1:22">
      <c r="A89" s="218">
        <v>70</v>
      </c>
      <c r="B89" s="111" t="s">
        <v>156</v>
      </c>
      <c r="C89" s="10"/>
      <c r="D89" s="404">
        <f t="shared" si="11"/>
        <v>6</v>
      </c>
      <c r="E89" s="123"/>
      <c r="F89" s="28"/>
      <c r="G89" s="28"/>
      <c r="H89" s="122">
        <v>6</v>
      </c>
      <c r="I89" s="406">
        <f t="shared" si="7"/>
        <v>0</v>
      </c>
      <c r="J89" s="134"/>
      <c r="K89" s="28"/>
      <c r="L89" s="134"/>
      <c r="M89" s="404">
        <f t="shared" si="8"/>
        <v>0</v>
      </c>
      <c r="N89" s="123"/>
      <c r="O89" s="29"/>
      <c r="P89" s="404"/>
      <c r="Q89" s="404">
        <f t="shared" si="9"/>
        <v>0</v>
      </c>
      <c r="R89" s="123"/>
      <c r="S89" s="28"/>
      <c r="T89" s="27"/>
      <c r="U89" s="45"/>
      <c r="V89" s="319"/>
    </row>
    <row r="90" spans="1:22">
      <c r="A90" s="218">
        <v>71</v>
      </c>
      <c r="B90" s="111" t="s">
        <v>157</v>
      </c>
      <c r="C90" s="10"/>
      <c r="D90" s="404">
        <f t="shared" si="11"/>
        <v>138</v>
      </c>
      <c r="E90" s="123"/>
      <c r="F90" s="28"/>
      <c r="G90" s="28"/>
      <c r="H90" s="122">
        <v>138</v>
      </c>
      <c r="I90" s="406">
        <f t="shared" si="7"/>
        <v>0</v>
      </c>
      <c r="J90" s="134"/>
      <c r="K90" s="28"/>
      <c r="L90" s="134"/>
      <c r="M90" s="404">
        <f t="shared" ref="M90:M99" si="12">N91+O91</f>
        <v>3542</v>
      </c>
      <c r="N90" s="20"/>
      <c r="P90" s="404"/>
      <c r="Q90" s="404">
        <f t="shared" si="9"/>
        <v>0</v>
      </c>
      <c r="R90" s="123"/>
      <c r="S90" s="28"/>
      <c r="T90" s="27"/>
      <c r="U90" s="45"/>
      <c r="V90" s="319"/>
    </row>
    <row r="91" spans="1:22">
      <c r="A91" s="218">
        <v>72</v>
      </c>
      <c r="B91" s="111" t="s">
        <v>158</v>
      </c>
      <c r="C91" s="10"/>
      <c r="D91" s="404">
        <f t="shared" si="11"/>
        <v>100928</v>
      </c>
      <c r="E91" s="123">
        <v>70666</v>
      </c>
      <c r="F91" s="28">
        <v>1976</v>
      </c>
      <c r="G91" s="28">
        <v>123</v>
      </c>
      <c r="H91" s="122">
        <v>28163</v>
      </c>
      <c r="I91" s="406">
        <f t="shared" si="7"/>
        <v>91705</v>
      </c>
      <c r="J91" s="134">
        <v>36932</v>
      </c>
      <c r="K91" s="28">
        <v>948</v>
      </c>
      <c r="L91" s="134">
        <v>53825</v>
      </c>
      <c r="M91" s="404">
        <f t="shared" si="12"/>
        <v>0</v>
      </c>
      <c r="N91" s="123">
        <v>3036</v>
      </c>
      <c r="O91" s="134">
        <v>506</v>
      </c>
      <c r="P91" s="404">
        <v>270</v>
      </c>
      <c r="Q91" s="404">
        <f t="shared" si="9"/>
        <v>2605</v>
      </c>
      <c r="R91" s="123"/>
      <c r="S91" s="28">
        <v>2605</v>
      </c>
      <c r="T91" s="27"/>
      <c r="U91" s="45"/>
      <c r="V91" s="319"/>
    </row>
    <row r="92" spans="1:22">
      <c r="A92" s="218">
        <v>73</v>
      </c>
      <c r="B92" s="111" t="s">
        <v>159</v>
      </c>
      <c r="C92" s="10"/>
      <c r="D92" s="404">
        <f t="shared" si="11"/>
        <v>251</v>
      </c>
      <c r="E92" s="123"/>
      <c r="F92" s="28"/>
      <c r="G92" s="28"/>
      <c r="H92" s="122">
        <v>251</v>
      </c>
      <c r="I92" s="406">
        <f t="shared" si="7"/>
        <v>0</v>
      </c>
      <c r="J92" s="134"/>
      <c r="K92" s="28"/>
      <c r="L92" s="134"/>
      <c r="M92" s="404">
        <f t="shared" si="12"/>
        <v>291321</v>
      </c>
      <c r="N92" s="123"/>
      <c r="O92" s="134"/>
      <c r="P92" s="404"/>
      <c r="Q92" s="404">
        <f t="shared" si="9"/>
        <v>0</v>
      </c>
      <c r="R92" s="123"/>
      <c r="S92" s="28"/>
      <c r="T92" s="27"/>
      <c r="U92" s="45"/>
      <c r="V92" s="319"/>
    </row>
    <row r="93" spans="1:22" ht="15">
      <c r="A93" s="218">
        <v>74</v>
      </c>
      <c r="B93" s="111" t="s">
        <v>160</v>
      </c>
      <c r="C93" s="248"/>
      <c r="D93" s="404">
        <f t="shared" si="11"/>
        <v>140568</v>
      </c>
      <c r="E93" s="123">
        <v>50</v>
      </c>
      <c r="F93" s="28">
        <v>122869</v>
      </c>
      <c r="G93" s="28">
        <v>3131</v>
      </c>
      <c r="H93" s="122">
        <v>14518</v>
      </c>
      <c r="I93" s="406">
        <f t="shared" si="7"/>
        <v>17330</v>
      </c>
      <c r="J93" s="134">
        <v>63</v>
      </c>
      <c r="K93" s="28"/>
      <c r="L93" s="32">
        <v>17267</v>
      </c>
      <c r="M93" s="404">
        <f t="shared" si="12"/>
        <v>842</v>
      </c>
      <c r="N93" s="123">
        <v>250976</v>
      </c>
      <c r="O93" s="29">
        <v>40345</v>
      </c>
      <c r="P93" s="406"/>
      <c r="Q93" s="404">
        <f t="shared" si="9"/>
        <v>36880</v>
      </c>
      <c r="R93" s="70">
        <v>3300</v>
      </c>
      <c r="S93" s="28">
        <v>33430</v>
      </c>
      <c r="T93" s="27">
        <v>150</v>
      </c>
      <c r="U93" s="45"/>
      <c r="V93" s="319"/>
    </row>
    <row r="94" spans="1:22">
      <c r="A94" s="218">
        <v>75</v>
      </c>
      <c r="B94" s="111" t="s">
        <v>161</v>
      </c>
      <c r="C94" s="17"/>
      <c r="D94" s="404">
        <f t="shared" si="11"/>
        <v>380</v>
      </c>
      <c r="E94" s="123"/>
      <c r="F94" s="28"/>
      <c r="G94" s="28"/>
      <c r="H94" s="122">
        <v>380</v>
      </c>
      <c r="I94" s="406">
        <f t="shared" si="7"/>
        <v>24</v>
      </c>
      <c r="J94" s="134"/>
      <c r="K94" s="28"/>
      <c r="L94" s="134">
        <v>24</v>
      </c>
      <c r="M94" s="404">
        <f t="shared" si="12"/>
        <v>4174</v>
      </c>
      <c r="N94" s="70">
        <v>285</v>
      </c>
      <c r="O94" s="134">
        <v>557</v>
      </c>
      <c r="P94" s="404">
        <v>30</v>
      </c>
      <c r="Q94" s="404">
        <f t="shared" si="9"/>
        <v>0</v>
      </c>
      <c r="R94" s="123"/>
      <c r="S94" s="28"/>
      <c r="T94" s="27"/>
      <c r="U94" s="45"/>
      <c r="V94" s="319"/>
    </row>
    <row r="95" spans="1:22">
      <c r="A95" s="218">
        <v>76</v>
      </c>
      <c r="B95" s="111" t="s">
        <v>162</v>
      </c>
      <c r="C95" s="10"/>
      <c r="D95" s="404">
        <f t="shared" si="11"/>
        <v>11740</v>
      </c>
      <c r="E95" s="123">
        <v>7312</v>
      </c>
      <c r="F95" s="28">
        <v>425</v>
      </c>
      <c r="G95" s="28">
        <v>1219</v>
      </c>
      <c r="H95" s="122">
        <v>2784</v>
      </c>
      <c r="I95" s="406">
        <f t="shared" si="7"/>
        <v>2097</v>
      </c>
      <c r="J95" s="134">
        <v>550</v>
      </c>
      <c r="K95" s="28">
        <v>1043</v>
      </c>
      <c r="L95" s="134">
        <v>504</v>
      </c>
      <c r="M95" s="404">
        <f t="shared" si="12"/>
        <v>4545</v>
      </c>
      <c r="N95" s="123">
        <v>4048</v>
      </c>
      <c r="O95" s="134">
        <v>126</v>
      </c>
      <c r="P95" s="404">
        <v>175</v>
      </c>
      <c r="Q95" s="404">
        <f t="shared" si="9"/>
        <v>9390</v>
      </c>
      <c r="R95" s="123">
        <v>470</v>
      </c>
      <c r="S95" s="28">
        <v>8920</v>
      </c>
      <c r="T95" s="27"/>
      <c r="U95" s="45"/>
      <c r="V95" s="319"/>
    </row>
    <row r="96" spans="1:22">
      <c r="A96" s="218">
        <v>77</v>
      </c>
      <c r="B96" s="111" t="s">
        <v>163</v>
      </c>
      <c r="C96" s="10"/>
      <c r="D96" s="404">
        <f t="shared" si="11"/>
        <v>19774</v>
      </c>
      <c r="E96" s="123">
        <v>6461</v>
      </c>
      <c r="F96" s="28">
        <v>6276</v>
      </c>
      <c r="G96" s="28">
        <v>2509</v>
      </c>
      <c r="H96" s="122">
        <v>4528</v>
      </c>
      <c r="I96" s="406">
        <f t="shared" si="7"/>
        <v>1960</v>
      </c>
      <c r="J96" s="134">
        <v>1265</v>
      </c>
      <c r="K96" s="28">
        <v>126</v>
      </c>
      <c r="L96" s="134">
        <v>569</v>
      </c>
      <c r="M96" s="404">
        <f t="shared" si="12"/>
        <v>0</v>
      </c>
      <c r="N96" s="123">
        <v>2900</v>
      </c>
      <c r="O96" s="45">
        <v>1645</v>
      </c>
      <c r="P96" s="404">
        <v>1166</v>
      </c>
      <c r="Q96" s="404">
        <f t="shared" si="9"/>
        <v>15116</v>
      </c>
      <c r="R96" s="123">
        <v>5000</v>
      </c>
      <c r="S96" s="28">
        <v>10116</v>
      </c>
      <c r="T96" s="27"/>
      <c r="U96" s="45"/>
      <c r="V96" s="319"/>
    </row>
    <row r="97" spans="1:22">
      <c r="A97" s="218">
        <v>78</v>
      </c>
      <c r="B97" s="111" t="s">
        <v>164</v>
      </c>
      <c r="C97" s="10"/>
      <c r="D97" s="404">
        <f t="shared" si="11"/>
        <v>6</v>
      </c>
      <c r="E97" s="123"/>
      <c r="F97" s="28"/>
      <c r="G97" s="28"/>
      <c r="H97" s="122">
        <v>6</v>
      </c>
      <c r="I97" s="406">
        <f t="shared" si="7"/>
        <v>0</v>
      </c>
      <c r="J97" s="134"/>
      <c r="K97" s="28"/>
      <c r="L97" s="134"/>
      <c r="M97" s="404">
        <f t="shared" si="12"/>
        <v>0</v>
      </c>
      <c r="N97" s="123"/>
      <c r="O97" s="134"/>
      <c r="P97" s="404"/>
      <c r="Q97" s="404">
        <f t="shared" si="9"/>
        <v>0</v>
      </c>
      <c r="R97" s="123"/>
      <c r="S97" s="28"/>
      <c r="T97" s="27"/>
      <c r="U97" s="45"/>
      <c r="V97" s="319"/>
    </row>
    <row r="98" spans="1:22">
      <c r="A98" s="218">
        <v>79</v>
      </c>
      <c r="B98" s="111" t="s">
        <v>165</v>
      </c>
      <c r="C98" s="10"/>
      <c r="D98" s="404">
        <f t="shared" si="11"/>
        <v>511</v>
      </c>
      <c r="E98" s="123"/>
      <c r="F98" s="28">
        <v>40</v>
      </c>
      <c r="G98" s="28">
        <v>36</v>
      </c>
      <c r="H98" s="122">
        <v>435</v>
      </c>
      <c r="I98" s="406">
        <f t="shared" si="7"/>
        <v>0</v>
      </c>
      <c r="J98" s="134"/>
      <c r="K98" s="28"/>
      <c r="L98" s="134"/>
      <c r="M98" s="404">
        <f t="shared" si="12"/>
        <v>0</v>
      </c>
      <c r="N98" s="123"/>
      <c r="O98" s="134"/>
      <c r="P98" s="404"/>
      <c r="Q98" s="404">
        <f t="shared" si="9"/>
        <v>0</v>
      </c>
      <c r="R98" s="123"/>
      <c r="S98" s="28"/>
      <c r="T98" s="27"/>
      <c r="U98" s="45"/>
      <c r="V98" s="319"/>
    </row>
    <row r="99" spans="1:22" ht="15">
      <c r="A99" s="218">
        <v>80</v>
      </c>
      <c r="B99" s="111" t="s">
        <v>166</v>
      </c>
      <c r="C99" s="248"/>
      <c r="D99" s="404">
        <f t="shared" si="11"/>
        <v>1424</v>
      </c>
      <c r="E99" s="123"/>
      <c r="F99" s="28"/>
      <c r="G99" s="28"/>
      <c r="H99" s="122">
        <v>1424</v>
      </c>
      <c r="I99" s="406">
        <f t="shared" si="7"/>
        <v>0</v>
      </c>
      <c r="J99" s="134"/>
      <c r="K99" s="28"/>
      <c r="L99" s="32"/>
      <c r="M99" s="404">
        <f t="shared" si="12"/>
        <v>0</v>
      </c>
      <c r="N99" s="123"/>
      <c r="O99" s="134"/>
      <c r="P99" s="406"/>
      <c r="Q99" s="404">
        <f t="shared" si="9"/>
        <v>0</v>
      </c>
      <c r="R99" s="70"/>
      <c r="S99" s="28"/>
      <c r="T99" s="27"/>
      <c r="U99" s="45"/>
      <c r="V99" s="319"/>
    </row>
    <row r="100" spans="1:22">
      <c r="A100" s="218">
        <v>81</v>
      </c>
      <c r="B100" s="111" t="s">
        <v>167</v>
      </c>
      <c r="C100" s="17"/>
      <c r="D100" s="404">
        <f t="shared" si="11"/>
        <v>0</v>
      </c>
      <c r="E100" s="123"/>
      <c r="F100" s="28"/>
      <c r="G100" s="28"/>
      <c r="H100" s="122"/>
      <c r="I100" s="406">
        <f t="shared" si="7"/>
        <v>0</v>
      </c>
      <c r="J100" s="134"/>
      <c r="K100" s="28"/>
      <c r="L100" s="134"/>
      <c r="M100" s="404">
        <f>N100+O100</f>
        <v>0</v>
      </c>
      <c r="N100" s="70"/>
      <c r="O100" s="134"/>
      <c r="P100" s="404"/>
      <c r="Q100" s="404">
        <f t="shared" si="9"/>
        <v>0</v>
      </c>
      <c r="R100" s="123"/>
      <c r="S100" s="28"/>
      <c r="T100" s="27"/>
      <c r="U100" s="45"/>
      <c r="V100" s="319"/>
    </row>
    <row r="101" spans="1:22">
      <c r="A101" s="218">
        <v>82</v>
      </c>
      <c r="B101" s="111" t="s">
        <v>168</v>
      </c>
      <c r="C101" s="10"/>
      <c r="D101" s="404">
        <f t="shared" si="11"/>
        <v>1154823</v>
      </c>
      <c r="E101" s="123">
        <v>75272</v>
      </c>
      <c r="F101" s="28">
        <v>572356</v>
      </c>
      <c r="G101" s="28">
        <v>208605</v>
      </c>
      <c r="H101" s="122">
        <v>298590</v>
      </c>
      <c r="I101" s="406">
        <f t="shared" si="7"/>
        <v>102967</v>
      </c>
      <c r="J101" s="134">
        <v>26690</v>
      </c>
      <c r="K101" s="28">
        <v>17162</v>
      </c>
      <c r="L101" s="134">
        <v>59115</v>
      </c>
      <c r="M101" s="404">
        <f>N101+O101</f>
        <v>1295559</v>
      </c>
      <c r="N101" s="123">
        <v>1065256</v>
      </c>
      <c r="O101" s="134">
        <v>230303</v>
      </c>
      <c r="P101" s="404"/>
      <c r="Q101" s="404">
        <f t="shared" si="9"/>
        <v>1685554</v>
      </c>
      <c r="R101" s="123">
        <v>14050</v>
      </c>
      <c r="S101" s="28">
        <v>1587730</v>
      </c>
      <c r="T101" s="169">
        <v>80094</v>
      </c>
      <c r="U101" s="315">
        <v>3680</v>
      </c>
      <c r="V101" s="319"/>
    </row>
    <row r="102" spans="1:22">
      <c r="A102" s="219"/>
      <c r="B102" s="240"/>
      <c r="C102" s="12"/>
      <c r="D102" s="312"/>
      <c r="E102" s="210"/>
      <c r="F102" s="206"/>
      <c r="G102" s="206"/>
      <c r="H102" s="298"/>
      <c r="I102" s="410"/>
      <c r="J102" s="256"/>
      <c r="K102" s="206"/>
      <c r="L102" s="256"/>
      <c r="M102" s="410"/>
      <c r="N102" s="210"/>
      <c r="O102" s="256"/>
      <c r="P102" s="410"/>
      <c r="Q102" s="410"/>
      <c r="R102" s="210"/>
      <c r="S102" s="206"/>
      <c r="T102" s="27"/>
      <c r="U102" s="317"/>
      <c r="V102" s="319"/>
    </row>
    <row r="103" spans="1:22" ht="15">
      <c r="A103" s="220" t="s">
        <v>86</v>
      </c>
      <c r="B103" s="232"/>
      <c r="C103" s="10"/>
      <c r="D103" s="404">
        <f>SUM(D20:D102)</f>
        <v>5658955</v>
      </c>
      <c r="E103" s="133">
        <f t="shared" ref="E103:U103" si="13">SUM(E20:E102)</f>
        <v>478702</v>
      </c>
      <c r="F103" s="28">
        <f t="shared" si="13"/>
        <v>3559219</v>
      </c>
      <c r="G103" s="28">
        <f t="shared" si="13"/>
        <v>329489</v>
      </c>
      <c r="H103" s="125">
        <f t="shared" si="13"/>
        <v>1291545</v>
      </c>
      <c r="I103" s="404">
        <f t="shared" si="13"/>
        <v>615775</v>
      </c>
      <c r="J103" s="133">
        <f t="shared" si="13"/>
        <v>150983</v>
      </c>
      <c r="K103" s="28">
        <f t="shared" si="13"/>
        <v>76041</v>
      </c>
      <c r="L103" s="125">
        <f t="shared" si="13"/>
        <v>388751</v>
      </c>
      <c r="M103" s="404">
        <f t="shared" si="13"/>
        <v>7488128</v>
      </c>
      <c r="N103" s="133">
        <f t="shared" si="13"/>
        <v>5463098</v>
      </c>
      <c r="O103" s="122">
        <f t="shared" si="13"/>
        <v>2025030</v>
      </c>
      <c r="P103" s="404">
        <f t="shared" si="13"/>
        <v>31726</v>
      </c>
      <c r="Q103" s="404">
        <f t="shared" si="13"/>
        <v>2444404</v>
      </c>
      <c r="R103" s="133">
        <f t="shared" si="13"/>
        <v>123560</v>
      </c>
      <c r="S103" s="28">
        <f t="shared" si="13"/>
        <v>2152140</v>
      </c>
      <c r="T103" s="28">
        <f t="shared" si="13"/>
        <v>157547</v>
      </c>
      <c r="U103" s="125">
        <f t="shared" si="13"/>
        <v>11157</v>
      </c>
      <c r="V103" s="319"/>
    </row>
    <row r="104" spans="1:22" ht="16" thickBot="1">
      <c r="A104" s="221"/>
      <c r="B104" s="233"/>
      <c r="C104" s="251"/>
      <c r="D104" s="119"/>
      <c r="E104" s="209"/>
      <c r="F104" s="208"/>
      <c r="G104" s="208"/>
      <c r="H104" s="299"/>
      <c r="I104" s="411"/>
      <c r="J104" s="253"/>
      <c r="K104" s="208"/>
      <c r="L104" s="253"/>
      <c r="M104" s="411"/>
      <c r="N104" s="209"/>
      <c r="O104" s="253"/>
      <c r="P104" s="411"/>
      <c r="Q104" s="411"/>
      <c r="R104" s="209"/>
      <c r="S104" s="186"/>
      <c r="T104" s="186"/>
      <c r="U104" s="276"/>
      <c r="V104" s="319"/>
    </row>
    <row r="105" spans="1:22" ht="15" thickTop="1">
      <c r="A105" s="222" t="s">
        <v>21</v>
      </c>
      <c r="B105" s="97"/>
      <c r="C105" s="10"/>
      <c r="D105" s="406"/>
      <c r="E105" s="32"/>
      <c r="F105" s="320"/>
      <c r="G105" s="32"/>
      <c r="H105" s="49"/>
      <c r="I105" s="406"/>
      <c r="J105" s="70"/>
      <c r="K105" s="32"/>
      <c r="L105" s="23"/>
      <c r="M105" s="406"/>
      <c r="N105" s="32"/>
      <c r="O105" s="23"/>
      <c r="P105" s="406"/>
      <c r="Q105" s="406"/>
      <c r="R105" s="70"/>
      <c r="S105" s="22"/>
      <c r="T105" s="22"/>
      <c r="U105" s="23"/>
      <c r="V105" s="319"/>
    </row>
    <row r="106" spans="1:22" ht="15">
      <c r="A106" s="145">
        <v>83</v>
      </c>
      <c r="B106" s="4" t="s">
        <v>169</v>
      </c>
      <c r="C106" s="248"/>
      <c r="D106" s="406">
        <f>E106+F106+G106+H106</f>
        <v>34721</v>
      </c>
      <c r="E106" s="70">
        <v>13330</v>
      </c>
      <c r="F106" s="22">
        <v>1094</v>
      </c>
      <c r="G106" s="22">
        <v>10809</v>
      </c>
      <c r="H106" s="49">
        <v>9488</v>
      </c>
      <c r="I106" s="406">
        <f>J106+K106+L106</f>
        <v>1265</v>
      </c>
      <c r="J106" s="32">
        <v>538</v>
      </c>
      <c r="K106" s="22">
        <v>32</v>
      </c>
      <c r="L106" s="32">
        <v>695</v>
      </c>
      <c r="M106" s="406">
        <f>N106+O106</f>
        <v>474</v>
      </c>
      <c r="N106" s="70">
        <v>174</v>
      </c>
      <c r="O106" s="23">
        <v>300</v>
      </c>
      <c r="P106" s="406">
        <v>60</v>
      </c>
      <c r="Q106" s="406">
        <f>R106+S106+T106+U106</f>
        <v>78335</v>
      </c>
      <c r="R106" s="70">
        <v>1420</v>
      </c>
      <c r="S106" s="28">
        <v>76915</v>
      </c>
      <c r="T106" s="28"/>
      <c r="U106" s="45"/>
      <c r="V106" s="319"/>
    </row>
    <row r="107" spans="1:22">
      <c r="A107" s="145">
        <v>84</v>
      </c>
      <c r="B107" s="4" t="s">
        <v>170</v>
      </c>
      <c r="C107" s="17"/>
      <c r="D107" s="406">
        <f t="shared" ref="D107:D110" si="14">E107+F107+G107+H107</f>
        <v>763</v>
      </c>
      <c r="E107" s="123"/>
      <c r="F107" s="28"/>
      <c r="G107" s="28">
        <v>16</v>
      </c>
      <c r="H107" s="122">
        <v>747</v>
      </c>
      <c r="I107" s="406">
        <f t="shared" ref="I107:I110" si="15">J107+K107+L107</f>
        <v>0</v>
      </c>
      <c r="J107" s="134"/>
      <c r="K107" s="28"/>
      <c r="L107" s="134"/>
      <c r="M107" s="406">
        <f t="shared" ref="M107:M110" si="16">N107+O107</f>
        <v>0</v>
      </c>
      <c r="N107" s="123"/>
      <c r="O107" s="134"/>
      <c r="P107" s="404"/>
      <c r="Q107" s="406">
        <f t="shared" ref="Q107:Q110" si="17">R107+S107+T107+U107</f>
        <v>0</v>
      </c>
      <c r="R107" s="123"/>
      <c r="S107" s="28"/>
      <c r="T107" s="28"/>
      <c r="U107" s="45"/>
      <c r="V107" s="319"/>
    </row>
    <row r="108" spans="1:22">
      <c r="A108" s="145">
        <v>85</v>
      </c>
      <c r="B108" s="4" t="s">
        <v>171</v>
      </c>
      <c r="C108" s="10"/>
      <c r="D108" s="406">
        <f t="shared" si="14"/>
        <v>20</v>
      </c>
      <c r="E108" s="123"/>
      <c r="F108" s="28"/>
      <c r="G108" s="28"/>
      <c r="H108" s="122">
        <v>20</v>
      </c>
      <c r="I108" s="406">
        <f t="shared" si="15"/>
        <v>0</v>
      </c>
      <c r="J108" s="134"/>
      <c r="K108" s="28"/>
      <c r="L108" s="134"/>
      <c r="M108" s="406">
        <f t="shared" si="16"/>
        <v>0</v>
      </c>
      <c r="N108" s="123"/>
      <c r="O108" s="134"/>
      <c r="P108" s="404"/>
      <c r="Q108" s="406">
        <f t="shared" si="17"/>
        <v>0</v>
      </c>
      <c r="R108" s="123"/>
      <c r="S108" s="28"/>
      <c r="T108" s="28"/>
      <c r="U108" s="45"/>
      <c r="V108" s="319"/>
    </row>
    <row r="109" spans="1:22">
      <c r="A109" s="145">
        <v>86</v>
      </c>
      <c r="B109" s="4" t="s">
        <v>172</v>
      </c>
      <c r="C109" s="10"/>
      <c r="D109" s="406">
        <f t="shared" si="14"/>
        <v>16</v>
      </c>
      <c r="E109" s="123"/>
      <c r="F109" s="28"/>
      <c r="G109" s="28"/>
      <c r="H109" s="122">
        <v>16</v>
      </c>
      <c r="I109" s="406">
        <f t="shared" si="15"/>
        <v>0</v>
      </c>
      <c r="J109" s="134"/>
      <c r="K109" s="28"/>
      <c r="L109" s="134"/>
      <c r="M109" s="406">
        <f t="shared" si="16"/>
        <v>0</v>
      </c>
      <c r="N109" s="123"/>
      <c r="O109" s="92"/>
      <c r="P109" s="404"/>
      <c r="Q109" s="406">
        <f t="shared" si="17"/>
        <v>0</v>
      </c>
      <c r="R109" s="123"/>
      <c r="S109" s="28"/>
      <c r="T109" s="28"/>
      <c r="U109" s="45"/>
      <c r="V109" s="319"/>
    </row>
    <row r="110" spans="1:22">
      <c r="A110" s="145">
        <v>87</v>
      </c>
      <c r="B110" s="4" t="s">
        <v>173</v>
      </c>
      <c r="C110" s="10"/>
      <c r="D110" s="406">
        <f t="shared" si="14"/>
        <v>365</v>
      </c>
      <c r="E110" s="123"/>
      <c r="F110" s="28"/>
      <c r="G110" s="28">
        <v>56</v>
      </c>
      <c r="H110" s="122">
        <v>309</v>
      </c>
      <c r="I110" s="406">
        <f t="shared" si="15"/>
        <v>0</v>
      </c>
      <c r="J110" s="134"/>
      <c r="K110" s="28"/>
      <c r="L110" s="134"/>
      <c r="M110" s="406">
        <f t="shared" si="16"/>
        <v>0</v>
      </c>
      <c r="N110" s="123"/>
      <c r="O110" s="134"/>
      <c r="P110" s="404"/>
      <c r="Q110" s="406">
        <f t="shared" si="17"/>
        <v>0</v>
      </c>
      <c r="R110" s="123"/>
      <c r="S110" s="28"/>
      <c r="T110" s="28"/>
      <c r="U110" s="45"/>
      <c r="V110" s="319"/>
    </row>
    <row r="111" spans="1:22">
      <c r="A111" s="215"/>
      <c r="B111" s="203"/>
      <c r="C111" s="12"/>
      <c r="D111" s="312"/>
      <c r="E111" s="210"/>
      <c r="F111" s="206"/>
      <c r="G111" s="206"/>
      <c r="H111" s="298"/>
      <c r="I111" s="410"/>
      <c r="J111" s="256"/>
      <c r="K111" s="206"/>
      <c r="L111" s="256"/>
      <c r="M111" s="410"/>
      <c r="N111" s="210"/>
      <c r="O111" s="316"/>
      <c r="P111" s="410"/>
      <c r="Q111" s="410"/>
      <c r="R111" s="210"/>
      <c r="S111" s="206"/>
      <c r="T111" s="206"/>
      <c r="U111" s="317"/>
      <c r="V111" s="319"/>
    </row>
    <row r="112" spans="1:22" ht="15">
      <c r="A112" s="145" t="s">
        <v>293</v>
      </c>
      <c r="B112" s="4"/>
      <c r="C112" s="248"/>
      <c r="D112" s="408">
        <f>SUM(D106:D111)</f>
        <v>35885</v>
      </c>
      <c r="E112" s="272">
        <f>SUM(E106:E111)</f>
        <v>13330</v>
      </c>
      <c r="F112" s="51">
        <f>SUM(F106:F111)</f>
        <v>1094</v>
      </c>
      <c r="G112" s="51">
        <f t="shared" ref="G112:U112" si="18">SUM(G106:G111)</f>
        <v>10881</v>
      </c>
      <c r="H112" s="422">
        <f t="shared" si="18"/>
        <v>10580</v>
      </c>
      <c r="I112" s="408">
        <f t="shared" si="18"/>
        <v>1265</v>
      </c>
      <c r="J112" s="423">
        <f t="shared" si="18"/>
        <v>538</v>
      </c>
      <c r="K112" s="51">
        <f t="shared" si="18"/>
        <v>32</v>
      </c>
      <c r="L112" s="422">
        <f t="shared" si="18"/>
        <v>695</v>
      </c>
      <c r="M112" s="408">
        <f t="shared" si="18"/>
        <v>474</v>
      </c>
      <c r="N112" s="423">
        <f t="shared" si="18"/>
        <v>174</v>
      </c>
      <c r="O112" s="422">
        <f t="shared" si="18"/>
        <v>300</v>
      </c>
      <c r="P112" s="408">
        <f t="shared" si="18"/>
        <v>60</v>
      </c>
      <c r="Q112" s="408">
        <f t="shared" si="18"/>
        <v>78335</v>
      </c>
      <c r="R112" s="423">
        <f t="shared" si="18"/>
        <v>1420</v>
      </c>
      <c r="S112" s="51">
        <f t="shared" si="18"/>
        <v>76915</v>
      </c>
      <c r="T112" s="51">
        <f t="shared" si="18"/>
        <v>0</v>
      </c>
      <c r="U112" s="51">
        <f t="shared" si="18"/>
        <v>0</v>
      </c>
      <c r="V112" s="319"/>
    </row>
    <row r="113" spans="1:22" ht="15" thickBot="1">
      <c r="A113" s="217"/>
      <c r="B113" s="104"/>
      <c r="C113" s="257"/>
      <c r="D113" s="119"/>
      <c r="E113" s="209"/>
      <c r="F113" s="208"/>
      <c r="G113" s="208"/>
      <c r="H113" s="299"/>
      <c r="I113" s="411"/>
      <c r="J113" s="253"/>
      <c r="K113" s="208"/>
      <c r="L113" s="253"/>
      <c r="M113" s="411"/>
      <c r="N113" s="209"/>
      <c r="O113" s="253"/>
      <c r="P113" s="411"/>
      <c r="Q113" s="411"/>
      <c r="R113" s="209"/>
      <c r="S113" s="208"/>
      <c r="T113" s="208"/>
      <c r="U113" s="321"/>
      <c r="V113" s="319"/>
    </row>
    <row r="114" spans="1:22" ht="15" thickTop="1">
      <c r="A114" s="223" t="s">
        <v>22</v>
      </c>
      <c r="B114" s="112"/>
      <c r="C114" s="10"/>
      <c r="D114" s="406"/>
      <c r="E114" s="123"/>
      <c r="F114" s="28"/>
      <c r="G114" s="28"/>
      <c r="H114" s="122"/>
      <c r="I114" s="404"/>
      <c r="J114" s="134"/>
      <c r="K114" s="28"/>
      <c r="L114" s="134"/>
      <c r="M114" s="404"/>
      <c r="N114" s="123"/>
      <c r="O114" s="134"/>
      <c r="P114" s="404"/>
      <c r="Q114" s="404"/>
      <c r="R114" s="123"/>
      <c r="S114" s="22"/>
      <c r="T114" s="22"/>
      <c r="U114" s="23"/>
      <c r="V114" s="319"/>
    </row>
    <row r="115" spans="1:22">
      <c r="A115" s="222" t="s">
        <v>23</v>
      </c>
      <c r="B115" s="97"/>
      <c r="C115" s="10"/>
      <c r="D115" s="406"/>
      <c r="E115" s="123"/>
      <c r="F115" s="28"/>
      <c r="G115" s="28"/>
      <c r="H115" s="122"/>
      <c r="I115" s="404"/>
      <c r="J115" s="134"/>
      <c r="K115" s="28"/>
      <c r="L115" s="134"/>
      <c r="M115" s="404"/>
      <c r="N115" s="123"/>
      <c r="O115" s="134"/>
      <c r="P115" s="404"/>
      <c r="Q115" s="404"/>
      <c r="R115" s="123"/>
      <c r="S115" s="22"/>
      <c r="T115" s="21"/>
      <c r="U115" s="23"/>
      <c r="V115" s="319"/>
    </row>
    <row r="116" spans="1:22">
      <c r="A116" s="145">
        <v>88</v>
      </c>
      <c r="B116" s="4" t="s">
        <v>174</v>
      </c>
      <c r="C116" s="10"/>
      <c r="D116" s="408">
        <f>E116+F116+G116+H116</f>
        <v>0</v>
      </c>
      <c r="E116" s="123"/>
      <c r="F116" s="28"/>
      <c r="G116" s="51"/>
      <c r="H116" s="122"/>
      <c r="I116" s="404">
        <f>J116+K116+L116</f>
        <v>0</v>
      </c>
      <c r="J116" s="134"/>
      <c r="K116" s="28"/>
      <c r="L116" s="134"/>
      <c r="M116" s="404">
        <f>N116+O116</f>
        <v>0</v>
      </c>
      <c r="N116" s="123"/>
      <c r="O116" s="134"/>
      <c r="P116" s="404"/>
      <c r="Q116" s="404">
        <f>R116+S116+T116+U116</f>
        <v>0</v>
      </c>
      <c r="R116" s="123"/>
      <c r="S116" s="28"/>
      <c r="T116" s="28"/>
      <c r="U116" s="45"/>
      <c r="V116" s="319"/>
    </row>
    <row r="117" spans="1:22">
      <c r="A117" s="145">
        <v>89</v>
      </c>
      <c r="B117" s="4" t="s">
        <v>175</v>
      </c>
      <c r="C117" s="10"/>
      <c r="D117" s="408">
        <f t="shared" ref="D117:D147" si="19">E117+F117+G117+H117</f>
        <v>75</v>
      </c>
      <c r="E117" s="123"/>
      <c r="F117" s="28">
        <v>35</v>
      </c>
      <c r="G117" s="51"/>
      <c r="H117" s="122">
        <v>40</v>
      </c>
      <c r="I117" s="404">
        <f t="shared" ref="I117:I147" si="20">J117+K117+L117</f>
        <v>0</v>
      </c>
      <c r="J117" s="134"/>
      <c r="K117" s="28"/>
      <c r="L117" s="134"/>
      <c r="M117" s="404">
        <f t="shared" ref="M117:M147" si="21">N117+O117</f>
        <v>250</v>
      </c>
      <c r="N117" s="123"/>
      <c r="O117" s="134">
        <v>250</v>
      </c>
      <c r="P117" s="404"/>
      <c r="Q117" s="404">
        <f t="shared" ref="Q117:Q147" si="22">R117+S117+T117+U117</f>
        <v>0</v>
      </c>
      <c r="R117" s="123"/>
      <c r="S117" s="28"/>
      <c r="T117" s="28"/>
      <c r="U117" s="45"/>
      <c r="V117" s="319"/>
    </row>
    <row r="118" spans="1:22" ht="15">
      <c r="A118" s="145">
        <v>90</v>
      </c>
      <c r="B118" s="4" t="s">
        <v>176</v>
      </c>
      <c r="C118" s="248"/>
      <c r="D118" s="408">
        <f t="shared" si="19"/>
        <v>620</v>
      </c>
      <c r="E118" s="70"/>
      <c r="F118" s="22"/>
      <c r="G118" s="51"/>
      <c r="H118" s="49">
        <v>620</v>
      </c>
      <c r="I118" s="404">
        <f t="shared" si="20"/>
        <v>0</v>
      </c>
      <c r="J118" s="32"/>
      <c r="K118" s="22"/>
      <c r="L118" s="32"/>
      <c r="M118" s="404">
        <f t="shared" si="21"/>
        <v>0</v>
      </c>
      <c r="N118" s="70"/>
      <c r="O118" s="23"/>
      <c r="P118" s="404"/>
      <c r="Q118" s="404">
        <f t="shared" si="22"/>
        <v>0</v>
      </c>
      <c r="R118" s="70"/>
      <c r="S118" s="28"/>
      <c r="T118" s="28"/>
      <c r="U118" s="45"/>
      <c r="V118" s="319"/>
    </row>
    <row r="119" spans="1:22">
      <c r="A119" s="145">
        <v>91</v>
      </c>
      <c r="B119" s="4" t="s">
        <v>177</v>
      </c>
      <c r="C119" s="17"/>
      <c r="D119" s="408">
        <f t="shared" si="19"/>
        <v>0</v>
      </c>
      <c r="E119" s="123"/>
      <c r="F119" s="28"/>
      <c r="G119" s="51"/>
      <c r="H119" s="122"/>
      <c r="I119" s="404">
        <f t="shared" si="20"/>
        <v>0</v>
      </c>
      <c r="J119" s="134"/>
      <c r="K119" s="28"/>
      <c r="L119" s="134"/>
      <c r="M119" s="404">
        <f t="shared" si="21"/>
        <v>0</v>
      </c>
      <c r="N119" s="123"/>
      <c r="O119" s="134"/>
      <c r="P119" s="404"/>
      <c r="Q119" s="404">
        <f t="shared" si="22"/>
        <v>0</v>
      </c>
      <c r="R119" s="123"/>
      <c r="S119" s="28"/>
      <c r="T119" s="28"/>
      <c r="U119" s="45"/>
      <c r="V119" s="319"/>
    </row>
    <row r="120" spans="1:22">
      <c r="A120" s="145">
        <v>92</v>
      </c>
      <c r="B120" s="4" t="s">
        <v>178</v>
      </c>
      <c r="C120" s="10"/>
      <c r="D120" s="408">
        <f t="shared" si="19"/>
        <v>0</v>
      </c>
      <c r="E120" s="123"/>
      <c r="F120" s="28"/>
      <c r="G120" s="51"/>
      <c r="H120" s="122"/>
      <c r="I120" s="404">
        <f t="shared" si="20"/>
        <v>0</v>
      </c>
      <c r="J120" s="134"/>
      <c r="K120" s="28"/>
      <c r="L120" s="134"/>
      <c r="M120" s="404">
        <f t="shared" si="21"/>
        <v>0</v>
      </c>
      <c r="N120" s="123"/>
      <c r="O120" s="134"/>
      <c r="P120" s="404"/>
      <c r="Q120" s="404">
        <f t="shared" si="22"/>
        <v>0</v>
      </c>
      <c r="R120" s="123"/>
      <c r="S120" s="28"/>
      <c r="T120" s="28"/>
      <c r="U120" s="45"/>
      <c r="V120" s="319"/>
    </row>
    <row r="121" spans="1:22">
      <c r="A121" s="145">
        <v>93</v>
      </c>
      <c r="B121" s="4" t="s">
        <v>179</v>
      </c>
      <c r="C121" s="10"/>
      <c r="D121" s="408">
        <f t="shared" si="19"/>
        <v>0</v>
      </c>
      <c r="E121" s="123"/>
      <c r="F121" s="28"/>
      <c r="G121" s="51"/>
      <c r="H121" s="122"/>
      <c r="I121" s="404">
        <f t="shared" si="20"/>
        <v>0</v>
      </c>
      <c r="J121" s="134"/>
      <c r="K121" s="28"/>
      <c r="L121" s="134"/>
      <c r="M121" s="404">
        <f t="shared" si="21"/>
        <v>0</v>
      </c>
      <c r="N121" s="123"/>
      <c r="O121" s="134"/>
      <c r="P121" s="404"/>
      <c r="Q121" s="404">
        <f t="shared" si="22"/>
        <v>0</v>
      </c>
      <c r="R121" s="123"/>
      <c r="S121" s="28"/>
      <c r="T121" s="28"/>
      <c r="U121" s="45"/>
      <c r="V121" s="319"/>
    </row>
    <row r="122" spans="1:22">
      <c r="A122" s="145">
        <v>94</v>
      </c>
      <c r="B122" s="4" t="s">
        <v>180</v>
      </c>
      <c r="C122" s="10"/>
      <c r="D122" s="408">
        <f t="shared" si="19"/>
        <v>0</v>
      </c>
      <c r="E122" s="123"/>
      <c r="F122" s="28"/>
      <c r="G122" s="51"/>
      <c r="H122" s="122"/>
      <c r="I122" s="404">
        <f t="shared" si="20"/>
        <v>0</v>
      </c>
      <c r="J122" s="134"/>
      <c r="K122" s="28"/>
      <c r="L122" s="134"/>
      <c r="M122" s="404">
        <f t="shared" si="21"/>
        <v>0</v>
      </c>
      <c r="N122" s="123"/>
      <c r="O122" s="134"/>
      <c r="P122" s="404"/>
      <c r="Q122" s="404">
        <f t="shared" si="22"/>
        <v>0</v>
      </c>
      <c r="R122" s="123"/>
      <c r="S122" s="28"/>
      <c r="T122" s="28"/>
      <c r="U122" s="45"/>
      <c r="V122" s="319"/>
    </row>
    <row r="123" spans="1:22">
      <c r="A123" s="145">
        <v>95</v>
      </c>
      <c r="B123" s="4" t="s">
        <v>181</v>
      </c>
      <c r="C123" s="10"/>
      <c r="D123" s="408">
        <f t="shared" si="19"/>
        <v>0</v>
      </c>
      <c r="E123" s="123"/>
      <c r="F123" s="28"/>
      <c r="G123" s="51"/>
      <c r="H123" s="49"/>
      <c r="I123" s="404">
        <f t="shared" si="20"/>
        <v>0</v>
      </c>
      <c r="J123" s="134"/>
      <c r="K123" s="28"/>
      <c r="L123" s="134"/>
      <c r="M123" s="404">
        <f t="shared" si="21"/>
        <v>0</v>
      </c>
      <c r="N123" s="123"/>
      <c r="O123" s="134"/>
      <c r="P123" s="404"/>
      <c r="Q123" s="404">
        <f t="shared" si="22"/>
        <v>0</v>
      </c>
      <c r="R123" s="123"/>
      <c r="S123" s="28"/>
      <c r="T123" s="28"/>
      <c r="U123" s="45"/>
      <c r="V123" s="319"/>
    </row>
    <row r="124" spans="1:22" ht="15">
      <c r="A124" s="145">
        <v>96</v>
      </c>
      <c r="B124" s="4" t="s">
        <v>182</v>
      </c>
      <c r="C124" s="248"/>
      <c r="D124" s="408">
        <f t="shared" si="19"/>
        <v>20</v>
      </c>
      <c r="E124" s="70"/>
      <c r="F124" s="22">
        <v>20</v>
      </c>
      <c r="G124" s="51"/>
      <c r="H124" s="126"/>
      <c r="I124" s="404">
        <f t="shared" si="20"/>
        <v>0</v>
      </c>
      <c r="J124" s="32"/>
      <c r="K124" s="22"/>
      <c r="L124" s="32"/>
      <c r="M124" s="404">
        <f t="shared" si="21"/>
        <v>45</v>
      </c>
      <c r="N124" s="70"/>
      <c r="O124" s="23">
        <v>45</v>
      </c>
      <c r="P124" s="404"/>
      <c r="Q124" s="404">
        <f t="shared" si="22"/>
        <v>0</v>
      </c>
      <c r="R124" s="70"/>
      <c r="S124" s="28"/>
      <c r="T124" s="28"/>
      <c r="U124" s="45"/>
      <c r="V124" s="319"/>
    </row>
    <row r="125" spans="1:22">
      <c r="A125" s="222" t="s">
        <v>24</v>
      </c>
      <c r="B125" s="97"/>
      <c r="C125" s="17"/>
      <c r="D125" s="408"/>
      <c r="E125" s="123"/>
      <c r="F125" s="28"/>
      <c r="G125" s="51"/>
      <c r="H125" s="122"/>
      <c r="I125" s="404"/>
      <c r="J125" s="134"/>
      <c r="K125" s="28"/>
      <c r="L125" s="134"/>
      <c r="M125" s="404"/>
      <c r="N125" s="123"/>
      <c r="O125" s="134"/>
      <c r="P125" s="404"/>
      <c r="Q125" s="404"/>
      <c r="R125" s="123"/>
      <c r="S125" s="28"/>
      <c r="T125" s="28"/>
      <c r="U125" s="45"/>
      <c r="V125" s="319"/>
    </row>
    <row r="126" spans="1:22">
      <c r="A126" s="224">
        <v>97</v>
      </c>
      <c r="B126" s="113" t="s">
        <v>183</v>
      </c>
      <c r="C126" s="10"/>
      <c r="D126" s="408">
        <f t="shared" si="19"/>
        <v>7</v>
      </c>
      <c r="E126" s="123"/>
      <c r="F126" s="28"/>
      <c r="G126" s="51"/>
      <c r="H126" s="122">
        <v>7</v>
      </c>
      <c r="I126" s="404">
        <f t="shared" si="20"/>
        <v>0</v>
      </c>
      <c r="J126" s="134"/>
      <c r="K126" s="28"/>
      <c r="L126" s="134"/>
      <c r="M126" s="404">
        <f t="shared" si="21"/>
        <v>0</v>
      </c>
      <c r="N126" s="123"/>
      <c r="O126" s="134"/>
      <c r="P126" s="404"/>
      <c r="Q126" s="404">
        <f t="shared" si="22"/>
        <v>0</v>
      </c>
      <c r="R126" s="123"/>
      <c r="S126" s="28"/>
      <c r="T126" s="28"/>
      <c r="U126" s="45"/>
      <c r="V126" s="319"/>
    </row>
    <row r="127" spans="1:22">
      <c r="A127" s="145">
        <v>98</v>
      </c>
      <c r="B127" s="4" t="s">
        <v>184</v>
      </c>
      <c r="C127" s="10"/>
      <c r="D127" s="408">
        <f t="shared" si="19"/>
        <v>1</v>
      </c>
      <c r="E127" s="123"/>
      <c r="F127" s="28"/>
      <c r="G127" s="51"/>
      <c r="H127" s="122">
        <v>1</v>
      </c>
      <c r="I127" s="404">
        <f t="shared" si="20"/>
        <v>0</v>
      </c>
      <c r="J127" s="134"/>
      <c r="K127" s="28"/>
      <c r="L127" s="134"/>
      <c r="M127" s="404">
        <f t="shared" si="21"/>
        <v>0</v>
      </c>
      <c r="N127" s="123"/>
      <c r="O127" s="134"/>
      <c r="P127" s="404"/>
      <c r="Q127" s="404">
        <f t="shared" si="22"/>
        <v>0</v>
      </c>
      <c r="R127" s="123"/>
      <c r="S127" s="28"/>
      <c r="T127" s="28"/>
      <c r="U127" s="45"/>
      <c r="V127" s="319"/>
    </row>
    <row r="128" spans="1:22">
      <c r="A128" s="145">
        <v>99</v>
      </c>
      <c r="B128" s="4" t="s">
        <v>185</v>
      </c>
      <c r="C128" s="10"/>
      <c r="D128" s="408">
        <f t="shared" si="19"/>
        <v>0</v>
      </c>
      <c r="E128" s="123"/>
      <c r="F128" s="28"/>
      <c r="G128" s="51"/>
      <c r="H128" s="122"/>
      <c r="I128" s="404">
        <f t="shared" si="20"/>
        <v>0</v>
      </c>
      <c r="J128" s="134"/>
      <c r="K128" s="28"/>
      <c r="L128" s="134"/>
      <c r="M128" s="404">
        <f t="shared" si="21"/>
        <v>0</v>
      </c>
      <c r="N128" s="123"/>
      <c r="O128" s="134"/>
      <c r="P128" s="404"/>
      <c r="Q128" s="404">
        <f t="shared" si="22"/>
        <v>0</v>
      </c>
      <c r="R128" s="123"/>
      <c r="S128" s="28"/>
      <c r="T128" s="28"/>
      <c r="U128" s="45"/>
      <c r="V128" s="319"/>
    </row>
    <row r="129" spans="1:22">
      <c r="A129" s="145">
        <v>100</v>
      </c>
      <c r="B129" s="4" t="s">
        <v>186</v>
      </c>
      <c r="C129" s="10"/>
      <c r="D129" s="408">
        <f t="shared" si="19"/>
        <v>0</v>
      </c>
      <c r="E129" s="123"/>
      <c r="F129" s="28"/>
      <c r="G129" s="51"/>
      <c r="H129" s="122"/>
      <c r="I129" s="404">
        <f t="shared" si="20"/>
        <v>0</v>
      </c>
      <c r="J129" s="134"/>
      <c r="K129" s="28"/>
      <c r="L129" s="134"/>
      <c r="M129" s="404">
        <f t="shared" si="21"/>
        <v>0</v>
      </c>
      <c r="N129" s="123"/>
      <c r="O129" s="134"/>
      <c r="P129" s="404"/>
      <c r="Q129" s="404">
        <f t="shared" si="22"/>
        <v>0</v>
      </c>
      <c r="R129" s="70"/>
      <c r="S129" s="28"/>
      <c r="T129" s="28"/>
      <c r="U129" s="45"/>
      <c r="V129" s="319"/>
    </row>
    <row r="130" spans="1:22" ht="15">
      <c r="A130" s="145">
        <v>101</v>
      </c>
      <c r="B130" s="4" t="s">
        <v>304</v>
      </c>
      <c r="C130" s="248"/>
      <c r="D130" s="408">
        <f t="shared" si="19"/>
        <v>0</v>
      </c>
      <c r="E130" s="70"/>
      <c r="F130" s="22"/>
      <c r="G130" s="51"/>
      <c r="H130" s="49"/>
      <c r="I130" s="404">
        <f t="shared" si="20"/>
        <v>0</v>
      </c>
      <c r="J130" s="32"/>
      <c r="K130" s="22"/>
      <c r="L130" s="32"/>
      <c r="M130" s="404">
        <f t="shared" si="21"/>
        <v>0</v>
      </c>
      <c r="N130" s="70"/>
      <c r="O130" s="23"/>
      <c r="P130" s="404"/>
      <c r="Q130" s="404">
        <f t="shared" si="22"/>
        <v>0</v>
      </c>
      <c r="R130" s="123"/>
      <c r="S130" s="28"/>
      <c r="T130" s="28"/>
      <c r="U130" s="45"/>
      <c r="V130" s="319"/>
    </row>
    <row r="131" spans="1:22">
      <c r="A131" s="145">
        <v>102</v>
      </c>
      <c r="B131" s="4" t="s">
        <v>187</v>
      </c>
      <c r="C131" s="17"/>
      <c r="D131" s="408">
        <f t="shared" si="19"/>
        <v>300</v>
      </c>
      <c r="E131" s="123"/>
      <c r="F131" s="28"/>
      <c r="G131" s="51"/>
      <c r="H131" s="122">
        <v>300</v>
      </c>
      <c r="I131" s="404">
        <f t="shared" si="20"/>
        <v>0</v>
      </c>
      <c r="J131" s="134"/>
      <c r="K131" s="28"/>
      <c r="L131" s="134"/>
      <c r="M131" s="404">
        <f t="shared" si="21"/>
        <v>0</v>
      </c>
      <c r="N131" s="123"/>
      <c r="O131" s="134"/>
      <c r="P131" s="404"/>
      <c r="Q131" s="404">
        <f t="shared" si="22"/>
        <v>0</v>
      </c>
      <c r="R131" s="123"/>
      <c r="S131" s="28"/>
      <c r="T131" s="28"/>
      <c r="U131" s="45"/>
      <c r="V131" s="319"/>
    </row>
    <row r="132" spans="1:22">
      <c r="A132" s="145">
        <v>103</v>
      </c>
      <c r="B132" s="4" t="s">
        <v>188</v>
      </c>
      <c r="C132" s="10"/>
      <c r="D132" s="408">
        <f t="shared" si="19"/>
        <v>78</v>
      </c>
      <c r="E132" s="123"/>
      <c r="F132" s="28"/>
      <c r="G132" s="51"/>
      <c r="H132" s="122">
        <v>78</v>
      </c>
      <c r="I132" s="404">
        <f t="shared" si="20"/>
        <v>0</v>
      </c>
      <c r="J132" s="134"/>
      <c r="K132" s="28"/>
      <c r="L132" s="134"/>
      <c r="M132" s="404">
        <f t="shared" si="21"/>
        <v>0</v>
      </c>
      <c r="N132" s="123"/>
      <c r="O132" s="134"/>
      <c r="P132" s="404"/>
      <c r="Q132" s="404">
        <f t="shared" si="22"/>
        <v>0</v>
      </c>
      <c r="R132" s="123"/>
      <c r="S132" s="28"/>
      <c r="T132" s="28"/>
      <c r="U132" s="45"/>
      <c r="V132" s="319"/>
    </row>
    <row r="133" spans="1:22">
      <c r="A133" s="222" t="s">
        <v>25</v>
      </c>
      <c r="B133" s="97"/>
      <c r="C133" s="10"/>
      <c r="D133" s="408"/>
      <c r="E133" s="123"/>
      <c r="F133" s="28"/>
      <c r="G133" s="270"/>
      <c r="H133" s="122"/>
      <c r="I133" s="404"/>
      <c r="J133" s="134"/>
      <c r="K133" s="28"/>
      <c r="L133" s="134"/>
      <c r="M133" s="404"/>
      <c r="N133" s="123"/>
      <c r="O133" s="134"/>
      <c r="P133" s="404"/>
      <c r="Q133" s="404"/>
      <c r="R133" s="70"/>
      <c r="S133" s="28"/>
      <c r="T133" s="28"/>
      <c r="U133" s="45"/>
      <c r="V133" s="319"/>
    </row>
    <row r="134" spans="1:22">
      <c r="A134" s="145">
        <v>104</v>
      </c>
      <c r="B134" s="4" t="s">
        <v>189</v>
      </c>
      <c r="C134" s="10"/>
      <c r="D134" s="408">
        <f t="shared" si="19"/>
        <v>0</v>
      </c>
      <c r="E134" s="123"/>
      <c r="F134" s="28"/>
      <c r="G134" s="51"/>
      <c r="H134" s="122"/>
      <c r="I134" s="404">
        <f t="shared" si="20"/>
        <v>0</v>
      </c>
      <c r="J134" s="134"/>
      <c r="K134" s="28"/>
      <c r="L134" s="134"/>
      <c r="M134" s="404">
        <f t="shared" si="21"/>
        <v>0</v>
      </c>
      <c r="N134" s="123"/>
      <c r="O134" s="134"/>
      <c r="P134" s="404"/>
      <c r="Q134" s="404">
        <f t="shared" si="22"/>
        <v>0</v>
      </c>
      <c r="R134" s="123"/>
      <c r="S134" s="28"/>
      <c r="T134" s="28"/>
      <c r="U134" s="45"/>
      <c r="V134" s="319"/>
    </row>
    <row r="135" spans="1:22">
      <c r="A135" s="145">
        <v>105</v>
      </c>
      <c r="B135" s="4" t="s">
        <v>190</v>
      </c>
      <c r="C135" s="10"/>
      <c r="D135" s="408">
        <f t="shared" si="19"/>
        <v>4</v>
      </c>
      <c r="E135" s="123"/>
      <c r="F135" s="28"/>
      <c r="G135" s="51"/>
      <c r="H135" s="122">
        <v>4</v>
      </c>
      <c r="I135" s="404">
        <f t="shared" si="20"/>
        <v>0</v>
      </c>
      <c r="J135" s="134"/>
      <c r="K135" s="28"/>
      <c r="L135" s="134"/>
      <c r="M135" s="404">
        <f t="shared" si="21"/>
        <v>0</v>
      </c>
      <c r="N135" s="123"/>
      <c r="O135" s="134"/>
      <c r="P135" s="404"/>
      <c r="Q135" s="404">
        <f t="shared" si="22"/>
        <v>0</v>
      </c>
      <c r="R135" s="123"/>
      <c r="S135" s="28"/>
      <c r="T135" s="28"/>
      <c r="U135" s="45"/>
      <c r="V135" s="319"/>
    </row>
    <row r="136" spans="1:22">
      <c r="A136" s="145">
        <v>106</v>
      </c>
      <c r="B136" s="4" t="s">
        <v>191</v>
      </c>
      <c r="C136" s="10"/>
      <c r="D136" s="408">
        <f t="shared" si="19"/>
        <v>0</v>
      </c>
      <c r="E136" s="32"/>
      <c r="F136" s="22"/>
      <c r="G136" s="274"/>
      <c r="H136" s="49"/>
      <c r="I136" s="404">
        <f t="shared" si="20"/>
        <v>0</v>
      </c>
      <c r="J136" s="70"/>
      <c r="K136" s="32"/>
      <c r="L136" s="23"/>
      <c r="M136" s="404">
        <f t="shared" si="21"/>
        <v>0</v>
      </c>
      <c r="N136" s="32"/>
      <c r="O136" s="23"/>
      <c r="P136" s="406"/>
      <c r="Q136" s="404">
        <f t="shared" si="22"/>
        <v>0</v>
      </c>
      <c r="R136" s="70"/>
      <c r="S136" s="28"/>
      <c r="T136" s="28"/>
      <c r="U136" s="45"/>
      <c r="V136" s="319"/>
    </row>
    <row r="137" spans="1:22" ht="15">
      <c r="A137" s="145">
        <v>107</v>
      </c>
      <c r="B137" s="4" t="s">
        <v>192</v>
      </c>
      <c r="C137" s="248"/>
      <c r="D137" s="408">
        <f t="shared" si="19"/>
        <v>0</v>
      </c>
      <c r="E137" s="70"/>
      <c r="F137" s="22"/>
      <c r="G137" s="51"/>
      <c r="H137" s="49"/>
      <c r="I137" s="404">
        <f t="shared" si="20"/>
        <v>0</v>
      </c>
      <c r="J137" s="32"/>
      <c r="K137" s="22"/>
      <c r="L137" s="32"/>
      <c r="M137" s="404">
        <f t="shared" si="21"/>
        <v>0</v>
      </c>
      <c r="N137" s="70"/>
      <c r="O137" s="23"/>
      <c r="P137" s="406"/>
      <c r="Q137" s="404">
        <f t="shared" si="22"/>
        <v>0</v>
      </c>
      <c r="R137" s="70"/>
      <c r="S137" s="28"/>
      <c r="T137" s="28"/>
      <c r="U137" s="45"/>
      <c r="V137" s="319"/>
    </row>
    <row r="138" spans="1:22">
      <c r="A138" s="145">
        <v>108</v>
      </c>
      <c r="B138" s="4" t="s">
        <v>193</v>
      </c>
      <c r="C138" s="17"/>
      <c r="D138" s="408">
        <f t="shared" si="19"/>
        <v>0</v>
      </c>
      <c r="E138" s="123"/>
      <c r="F138" s="28"/>
      <c r="G138" s="51"/>
      <c r="H138" s="122"/>
      <c r="I138" s="404">
        <f t="shared" si="20"/>
        <v>0</v>
      </c>
      <c r="J138" s="134"/>
      <c r="K138" s="28"/>
      <c r="L138" s="134"/>
      <c r="M138" s="404">
        <f t="shared" si="21"/>
        <v>0</v>
      </c>
      <c r="N138" s="123"/>
      <c r="O138" s="134"/>
      <c r="P138" s="404"/>
      <c r="Q138" s="404">
        <f t="shared" si="22"/>
        <v>0</v>
      </c>
      <c r="R138" s="123"/>
      <c r="S138" s="28"/>
      <c r="T138" s="28"/>
      <c r="U138" s="45"/>
      <c r="V138" s="319"/>
    </row>
    <row r="139" spans="1:22">
      <c r="A139" s="145">
        <v>109</v>
      </c>
      <c r="B139" s="4" t="s">
        <v>194</v>
      </c>
      <c r="C139" s="10"/>
      <c r="D139" s="408">
        <f t="shared" si="19"/>
        <v>16</v>
      </c>
      <c r="E139" s="123"/>
      <c r="F139" s="28"/>
      <c r="G139" s="51"/>
      <c r="H139" s="122">
        <v>16</v>
      </c>
      <c r="I139" s="404">
        <f t="shared" si="20"/>
        <v>0</v>
      </c>
      <c r="J139" s="134"/>
      <c r="K139" s="28"/>
      <c r="L139" s="134"/>
      <c r="M139" s="404">
        <f t="shared" si="21"/>
        <v>0</v>
      </c>
      <c r="N139" s="123"/>
      <c r="O139" s="134"/>
      <c r="P139" s="404"/>
      <c r="Q139" s="404">
        <f t="shared" si="22"/>
        <v>0</v>
      </c>
      <c r="R139" s="123"/>
      <c r="S139" s="28"/>
      <c r="T139" s="28"/>
      <c r="U139" s="45"/>
      <c r="V139" s="319"/>
    </row>
    <row r="140" spans="1:22">
      <c r="A140" s="222" t="s">
        <v>26</v>
      </c>
      <c r="B140" s="97"/>
      <c r="C140" s="10"/>
      <c r="D140" s="408"/>
      <c r="E140" s="123"/>
      <c r="F140" s="28"/>
      <c r="G140" s="28"/>
      <c r="H140" s="122"/>
      <c r="I140" s="404"/>
      <c r="J140" s="134"/>
      <c r="K140" s="28"/>
      <c r="L140" s="134"/>
      <c r="M140" s="404"/>
      <c r="N140" s="123"/>
      <c r="O140" s="134"/>
      <c r="P140" s="404"/>
      <c r="Q140" s="404"/>
      <c r="R140" s="123"/>
      <c r="S140" s="28"/>
      <c r="T140" s="28"/>
      <c r="U140" s="45"/>
      <c r="V140" s="319"/>
    </row>
    <row r="141" spans="1:22">
      <c r="A141" s="145">
        <v>110</v>
      </c>
      <c r="B141" s="4" t="s">
        <v>195</v>
      </c>
      <c r="C141" s="17" t="s">
        <v>405</v>
      </c>
      <c r="D141" s="408">
        <f t="shared" si="19"/>
        <v>0</v>
      </c>
      <c r="E141" s="123"/>
      <c r="F141" s="28"/>
      <c r="G141" s="28"/>
      <c r="H141" s="122"/>
      <c r="I141" s="404">
        <f t="shared" si="20"/>
        <v>0</v>
      </c>
      <c r="J141" s="134"/>
      <c r="K141" s="28"/>
      <c r="L141" s="134"/>
      <c r="M141" s="404">
        <f t="shared" si="21"/>
        <v>0</v>
      </c>
      <c r="N141" s="123"/>
      <c r="O141" s="134"/>
      <c r="P141" s="404"/>
      <c r="Q141" s="404">
        <f t="shared" si="22"/>
        <v>0</v>
      </c>
      <c r="R141" s="123"/>
      <c r="S141" s="28"/>
      <c r="T141" s="28"/>
      <c r="U141" s="45"/>
      <c r="V141" s="319"/>
    </row>
    <row r="142" spans="1:22">
      <c r="A142" s="145">
        <v>111</v>
      </c>
      <c r="B142" s="4" t="s">
        <v>196</v>
      </c>
      <c r="C142" s="10"/>
      <c r="D142" s="408">
        <f t="shared" si="19"/>
        <v>0</v>
      </c>
      <c r="E142" s="123"/>
      <c r="F142" s="28"/>
      <c r="G142" s="28"/>
      <c r="H142" s="122"/>
      <c r="I142" s="404">
        <f t="shared" si="20"/>
        <v>0</v>
      </c>
      <c r="J142" s="134"/>
      <c r="K142" s="28"/>
      <c r="L142" s="134"/>
      <c r="M142" s="404">
        <f t="shared" si="21"/>
        <v>0</v>
      </c>
      <c r="N142" s="123"/>
      <c r="O142" s="134"/>
      <c r="P142" s="404"/>
      <c r="Q142" s="404">
        <f t="shared" si="22"/>
        <v>0</v>
      </c>
      <c r="R142" s="123"/>
      <c r="S142" s="28"/>
      <c r="T142" s="28"/>
      <c r="U142" s="45"/>
      <c r="V142" s="319"/>
    </row>
    <row r="143" spans="1:22" ht="15">
      <c r="A143" s="145">
        <v>112</v>
      </c>
      <c r="B143" s="4" t="s">
        <v>197</v>
      </c>
      <c r="C143" s="248"/>
      <c r="D143" s="408">
        <f t="shared" si="19"/>
        <v>0</v>
      </c>
      <c r="E143" s="70"/>
      <c r="F143" s="22"/>
      <c r="G143" s="22"/>
      <c r="H143" s="49"/>
      <c r="I143" s="404">
        <f t="shared" si="20"/>
        <v>0</v>
      </c>
      <c r="J143" s="32"/>
      <c r="K143" s="22"/>
      <c r="L143" s="32"/>
      <c r="M143" s="404">
        <f t="shared" si="21"/>
        <v>0</v>
      </c>
      <c r="N143" s="70"/>
      <c r="O143" s="23"/>
      <c r="P143" s="406"/>
      <c r="Q143" s="404">
        <f t="shared" si="22"/>
        <v>0</v>
      </c>
      <c r="R143" s="70"/>
      <c r="S143" s="28"/>
      <c r="T143" s="28"/>
      <c r="U143" s="45"/>
      <c r="V143" s="319"/>
    </row>
    <row r="144" spans="1:22">
      <c r="A144" s="145">
        <v>113</v>
      </c>
      <c r="B144" s="4" t="s">
        <v>198</v>
      </c>
      <c r="C144" s="17"/>
      <c r="D144" s="408">
        <f t="shared" si="19"/>
        <v>0</v>
      </c>
      <c r="E144" s="123"/>
      <c r="F144" s="28"/>
      <c r="G144" s="28"/>
      <c r="H144" s="122"/>
      <c r="I144" s="404">
        <f t="shared" si="20"/>
        <v>0</v>
      </c>
      <c r="J144" s="134"/>
      <c r="K144" s="28"/>
      <c r="L144" s="134"/>
      <c r="M144" s="404">
        <f t="shared" si="21"/>
        <v>0</v>
      </c>
      <c r="N144" s="123"/>
      <c r="O144" s="134"/>
      <c r="P144" s="404"/>
      <c r="Q144" s="404">
        <f t="shared" si="22"/>
        <v>0</v>
      </c>
      <c r="R144" s="123"/>
      <c r="S144" s="28"/>
      <c r="T144" s="28"/>
      <c r="U144" s="45"/>
      <c r="V144" s="319"/>
    </row>
    <row r="145" spans="1:22">
      <c r="A145" s="145">
        <v>114</v>
      </c>
      <c r="B145" s="4" t="s">
        <v>199</v>
      </c>
      <c r="C145" s="10"/>
      <c r="D145" s="408">
        <f t="shared" si="19"/>
        <v>0</v>
      </c>
      <c r="E145" s="123"/>
      <c r="F145" s="28"/>
      <c r="G145" s="28"/>
      <c r="H145" s="122"/>
      <c r="I145" s="404">
        <f t="shared" si="20"/>
        <v>0</v>
      </c>
      <c r="J145" s="134"/>
      <c r="K145" s="28"/>
      <c r="L145" s="134"/>
      <c r="M145" s="404">
        <f t="shared" si="21"/>
        <v>0</v>
      </c>
      <c r="N145" s="123"/>
      <c r="O145" s="134"/>
      <c r="P145" s="404"/>
      <c r="Q145" s="404">
        <f t="shared" si="22"/>
        <v>0</v>
      </c>
      <c r="R145" s="123"/>
      <c r="S145" s="28"/>
      <c r="T145" s="28"/>
      <c r="U145" s="45"/>
      <c r="V145" s="319"/>
    </row>
    <row r="146" spans="1:22">
      <c r="A146" s="145">
        <v>115</v>
      </c>
      <c r="B146" s="4" t="s">
        <v>305</v>
      </c>
      <c r="C146" s="10"/>
      <c r="D146" s="408">
        <f t="shared" si="19"/>
        <v>0</v>
      </c>
      <c r="E146" s="123"/>
      <c r="F146" s="28"/>
      <c r="G146" s="28"/>
      <c r="H146" s="122"/>
      <c r="I146" s="404">
        <f t="shared" si="20"/>
        <v>0</v>
      </c>
      <c r="J146" s="134"/>
      <c r="K146" s="28"/>
      <c r="L146" s="134"/>
      <c r="M146" s="404">
        <f t="shared" si="21"/>
        <v>0</v>
      </c>
      <c r="N146" s="123"/>
      <c r="O146" s="134"/>
      <c r="P146" s="404"/>
      <c r="Q146" s="404">
        <f t="shared" si="22"/>
        <v>0</v>
      </c>
      <c r="R146" s="123"/>
      <c r="S146" s="28"/>
      <c r="T146" s="28"/>
      <c r="U146" s="45"/>
      <c r="V146" s="319"/>
    </row>
    <row r="147" spans="1:22">
      <c r="A147" s="145">
        <v>116</v>
      </c>
      <c r="B147" s="4" t="s">
        <v>200</v>
      </c>
      <c r="C147" s="10"/>
      <c r="D147" s="408">
        <f t="shared" si="19"/>
        <v>9</v>
      </c>
      <c r="E147" s="123"/>
      <c r="F147" s="28"/>
      <c r="G147" s="28"/>
      <c r="H147" s="122">
        <v>9</v>
      </c>
      <c r="I147" s="404">
        <f t="shared" si="20"/>
        <v>0</v>
      </c>
      <c r="J147" s="134"/>
      <c r="K147" s="28"/>
      <c r="L147" s="134"/>
      <c r="M147" s="404">
        <f t="shared" si="21"/>
        <v>0</v>
      </c>
      <c r="N147" s="123"/>
      <c r="O147" s="134"/>
      <c r="P147" s="404"/>
      <c r="Q147" s="404">
        <f t="shared" si="22"/>
        <v>0</v>
      </c>
      <c r="R147" s="123"/>
      <c r="S147" s="28"/>
      <c r="T147" s="28"/>
      <c r="U147" s="45"/>
      <c r="V147" s="319"/>
    </row>
    <row r="148" spans="1:22">
      <c r="A148" s="215"/>
      <c r="B148" s="203"/>
      <c r="C148" s="12"/>
      <c r="D148" s="312"/>
      <c r="E148" s="210"/>
      <c r="F148" s="206"/>
      <c r="G148" s="206"/>
      <c r="H148" s="298"/>
      <c r="I148" s="410"/>
      <c r="J148" s="256"/>
      <c r="K148" s="206"/>
      <c r="L148" s="256"/>
      <c r="M148" s="410"/>
      <c r="N148" s="210"/>
      <c r="O148" s="317"/>
      <c r="P148" s="312"/>
      <c r="Q148" s="410"/>
      <c r="R148" s="210"/>
      <c r="S148" s="24"/>
      <c r="T148" s="24"/>
      <c r="U148" s="316"/>
      <c r="V148" s="319"/>
    </row>
    <row r="149" spans="1:22" ht="15">
      <c r="A149" s="145" t="s">
        <v>294</v>
      </c>
      <c r="B149" s="4"/>
      <c r="C149" s="248"/>
      <c r="D149" s="408">
        <f>SUM(D116:D148)</f>
        <v>1130</v>
      </c>
      <c r="E149" s="272">
        <f>SUM(E116:E148)</f>
        <v>0</v>
      </c>
      <c r="F149" s="51">
        <f>SUM(F116:F148)</f>
        <v>55</v>
      </c>
      <c r="G149" s="51">
        <f t="shared" ref="G149:U149" si="23">SUM(G116:G148)</f>
        <v>0</v>
      </c>
      <c r="H149" s="422">
        <f t="shared" si="23"/>
        <v>1075</v>
      </c>
      <c r="I149" s="408">
        <f t="shared" si="23"/>
        <v>0</v>
      </c>
      <c r="J149" s="423">
        <f t="shared" si="23"/>
        <v>0</v>
      </c>
      <c r="K149" s="51">
        <f t="shared" si="23"/>
        <v>0</v>
      </c>
      <c r="L149" s="422">
        <f t="shared" si="23"/>
        <v>0</v>
      </c>
      <c r="M149" s="408">
        <f t="shared" si="23"/>
        <v>295</v>
      </c>
      <c r="N149" s="423">
        <f t="shared" si="23"/>
        <v>0</v>
      </c>
      <c r="O149" s="422">
        <f t="shared" si="23"/>
        <v>295</v>
      </c>
      <c r="P149" s="408">
        <f t="shared" si="23"/>
        <v>0</v>
      </c>
      <c r="Q149" s="408">
        <f t="shared" si="23"/>
        <v>0</v>
      </c>
      <c r="R149" s="423">
        <f t="shared" si="23"/>
        <v>0</v>
      </c>
      <c r="S149" s="51">
        <f t="shared" si="23"/>
        <v>0</v>
      </c>
      <c r="T149" s="51">
        <f t="shared" si="23"/>
        <v>0</v>
      </c>
      <c r="U149" s="51">
        <f t="shared" si="23"/>
        <v>0</v>
      </c>
      <c r="V149" s="319"/>
    </row>
    <row r="150" spans="1:22" ht="15" thickBot="1">
      <c r="A150" s="217"/>
      <c r="B150" s="104"/>
      <c r="C150" s="257"/>
      <c r="D150" s="119"/>
      <c r="E150" s="209"/>
      <c r="F150" s="208"/>
      <c r="G150" s="208"/>
      <c r="H150" s="299"/>
      <c r="I150" s="411"/>
      <c r="J150" s="253"/>
      <c r="K150" s="208"/>
      <c r="L150" s="253"/>
      <c r="M150" s="411"/>
      <c r="N150" s="209"/>
      <c r="O150" s="253"/>
      <c r="P150" s="411"/>
      <c r="Q150" s="411"/>
      <c r="R150" s="209"/>
      <c r="S150" s="186"/>
      <c r="T150" s="186"/>
      <c r="U150" s="276"/>
      <c r="V150" s="319"/>
    </row>
    <row r="151" spans="1:22" ht="15" thickTop="1">
      <c r="A151" s="145"/>
      <c r="B151" s="4"/>
      <c r="C151" s="10"/>
      <c r="D151" s="406"/>
      <c r="E151" s="123"/>
      <c r="F151" s="28"/>
      <c r="G151" s="28"/>
      <c r="H151" s="122"/>
      <c r="I151" s="404"/>
      <c r="J151" s="134"/>
      <c r="K151" s="28"/>
      <c r="L151" s="134"/>
      <c r="M151" s="404"/>
      <c r="N151" s="123"/>
      <c r="O151" s="134"/>
      <c r="P151" s="404"/>
      <c r="Q151" s="404"/>
      <c r="R151" s="123"/>
      <c r="S151" s="22"/>
      <c r="T151" s="22"/>
      <c r="U151" s="23"/>
      <c r="V151" s="319"/>
    </row>
    <row r="152" spans="1:22">
      <c r="A152" s="218">
        <v>117</v>
      </c>
      <c r="B152" s="111" t="s">
        <v>201</v>
      </c>
      <c r="C152" s="10"/>
      <c r="D152" s="406"/>
      <c r="E152" s="123"/>
      <c r="F152" s="28"/>
      <c r="G152" s="28"/>
      <c r="H152" s="122"/>
      <c r="I152" s="404"/>
      <c r="J152" s="134"/>
      <c r="K152" s="28"/>
      <c r="L152" s="134"/>
      <c r="M152" s="404"/>
      <c r="N152" s="123"/>
      <c r="O152" s="134"/>
      <c r="P152" s="404"/>
      <c r="Q152" s="404"/>
      <c r="R152" s="123"/>
      <c r="S152" s="22"/>
      <c r="T152" s="22"/>
      <c r="U152" s="23"/>
      <c r="V152" s="319"/>
    </row>
    <row r="153" spans="1:22" ht="15" thickBot="1">
      <c r="A153" s="225"/>
      <c r="B153" s="234"/>
      <c r="C153" s="10"/>
      <c r="D153" s="406"/>
      <c r="E153" s="123"/>
      <c r="F153" s="28"/>
      <c r="G153" s="28"/>
      <c r="H153" s="122"/>
      <c r="I153" s="404"/>
      <c r="J153" s="134"/>
      <c r="K153" s="28"/>
      <c r="L153" s="134"/>
      <c r="M153" s="404"/>
      <c r="N153" s="123"/>
      <c r="O153" s="134"/>
      <c r="P153" s="404"/>
      <c r="Q153" s="404"/>
      <c r="R153" s="209"/>
      <c r="S153" s="186"/>
      <c r="T153" s="186"/>
      <c r="U153" s="276"/>
      <c r="V153" s="319"/>
    </row>
    <row r="154" spans="1:22" ht="15" thickTop="1">
      <c r="A154" s="218"/>
      <c r="B154" s="111"/>
      <c r="C154" s="9"/>
      <c r="D154" s="409"/>
      <c r="E154" s="395"/>
      <c r="F154" s="259"/>
      <c r="G154" s="259"/>
      <c r="H154" s="304"/>
      <c r="I154" s="412"/>
      <c r="J154" s="260"/>
      <c r="K154" s="259"/>
      <c r="L154" s="260"/>
      <c r="M154" s="412"/>
      <c r="N154" s="395"/>
      <c r="O154" s="260"/>
      <c r="P154" s="412"/>
      <c r="Q154" s="412"/>
      <c r="R154" s="123"/>
      <c r="S154" s="22"/>
      <c r="T154" s="22"/>
      <c r="U154" s="23"/>
      <c r="V154" s="319"/>
    </row>
    <row r="155" spans="1:22" ht="15">
      <c r="A155" s="218" t="s">
        <v>86</v>
      </c>
      <c r="B155" s="111"/>
      <c r="C155" s="248"/>
      <c r="D155" s="404">
        <f>D152+D149+D112+D103</f>
        <v>5695970</v>
      </c>
      <c r="E155" s="133">
        <f t="shared" ref="E155:U155" si="24">E152+E149+E112+E103</f>
        <v>492032</v>
      </c>
      <c r="F155" s="28">
        <f t="shared" si="24"/>
        <v>3560368</v>
      </c>
      <c r="G155" s="28">
        <f t="shared" si="24"/>
        <v>340370</v>
      </c>
      <c r="H155" s="45">
        <f t="shared" si="24"/>
        <v>1303200</v>
      </c>
      <c r="I155" s="404">
        <f t="shared" si="24"/>
        <v>617040</v>
      </c>
      <c r="J155" s="123">
        <f t="shared" si="24"/>
        <v>151521</v>
      </c>
      <c r="K155" s="28">
        <f t="shared" si="24"/>
        <v>76073</v>
      </c>
      <c r="L155" s="45">
        <f t="shared" si="24"/>
        <v>389446</v>
      </c>
      <c r="M155" s="404">
        <f t="shared" si="24"/>
        <v>7488897</v>
      </c>
      <c r="N155" s="123">
        <f t="shared" si="24"/>
        <v>5463272</v>
      </c>
      <c r="O155" s="45">
        <f t="shared" si="24"/>
        <v>2025625</v>
      </c>
      <c r="P155" s="404">
        <f t="shared" si="24"/>
        <v>31786</v>
      </c>
      <c r="Q155" s="404">
        <f t="shared" si="24"/>
        <v>2522739</v>
      </c>
      <c r="R155" s="123">
        <f t="shared" si="24"/>
        <v>124980</v>
      </c>
      <c r="S155" s="28">
        <f t="shared" si="24"/>
        <v>2229055</v>
      </c>
      <c r="T155" s="28">
        <f t="shared" si="24"/>
        <v>157547</v>
      </c>
      <c r="U155" s="28">
        <f t="shared" si="24"/>
        <v>11157</v>
      </c>
      <c r="V155" s="319"/>
    </row>
    <row r="156" spans="1:22" ht="15" thickBot="1">
      <c r="A156" s="225"/>
      <c r="B156" s="234"/>
      <c r="C156" s="257"/>
      <c r="D156" s="119"/>
      <c r="E156" s="209"/>
      <c r="F156" s="208"/>
      <c r="G156" s="208"/>
      <c r="H156" s="299"/>
      <c r="I156" s="411"/>
      <c r="J156" s="253"/>
      <c r="K156" s="208"/>
      <c r="L156" s="253"/>
      <c r="M156" s="411"/>
      <c r="N156" s="209"/>
      <c r="O156" s="253"/>
      <c r="P156" s="411"/>
      <c r="Q156" s="411"/>
      <c r="R156" s="209"/>
      <c r="S156" s="186"/>
      <c r="T156" s="186"/>
      <c r="U156" s="276"/>
      <c r="V156" s="319"/>
    </row>
    <row r="157" spans="1:22" ht="17" thickTop="1" thickBot="1">
      <c r="A157" s="226" t="s">
        <v>27</v>
      </c>
      <c r="B157" s="94"/>
      <c r="C157" s="10"/>
      <c r="D157" s="406"/>
      <c r="E157" s="123"/>
      <c r="F157" s="28"/>
      <c r="G157" s="28"/>
      <c r="H157" s="122"/>
      <c r="I157" s="404"/>
      <c r="J157" s="134"/>
      <c r="K157" s="28"/>
      <c r="L157" s="134"/>
      <c r="M157" s="404"/>
      <c r="N157" s="123"/>
      <c r="O157" s="134"/>
      <c r="P157" s="404"/>
      <c r="Q157" s="404"/>
      <c r="R157" s="123"/>
      <c r="S157" s="22"/>
      <c r="T157" s="22"/>
      <c r="U157" s="23"/>
      <c r="V157" s="319"/>
    </row>
    <row r="158" spans="1:22">
      <c r="A158" s="227">
        <v>1</v>
      </c>
      <c r="B158" s="4" t="s">
        <v>203</v>
      </c>
      <c r="C158" s="309"/>
      <c r="D158" s="406">
        <f>E158+F158+G158+H158</f>
        <v>100</v>
      </c>
      <c r="E158" s="123"/>
      <c r="F158" s="28"/>
      <c r="G158" s="28"/>
      <c r="H158" s="122">
        <v>100</v>
      </c>
      <c r="I158" s="404">
        <f>J158+J158+K158+L158</f>
        <v>0</v>
      </c>
      <c r="J158" s="134"/>
      <c r="K158" s="28"/>
      <c r="L158" s="134"/>
      <c r="M158" s="404">
        <f>N158+O158</f>
        <v>0</v>
      </c>
      <c r="N158" s="123"/>
      <c r="O158" s="134"/>
      <c r="P158" s="404"/>
      <c r="Q158" s="404">
        <f>R158+S158+T158+U158</f>
        <v>0</v>
      </c>
      <c r="R158" s="123"/>
      <c r="S158" s="28"/>
      <c r="T158" s="28"/>
      <c r="U158" s="45"/>
      <c r="V158" s="319"/>
    </row>
    <row r="159" spans="1:22">
      <c r="A159" s="145">
        <v>2</v>
      </c>
      <c r="B159" s="4" t="s">
        <v>204</v>
      </c>
      <c r="C159" s="309"/>
      <c r="D159" s="406">
        <f t="shared" ref="D159:D188" si="25">E159+F159+G159+H159</f>
        <v>69</v>
      </c>
      <c r="E159" s="123"/>
      <c r="F159" s="28"/>
      <c r="G159" s="28"/>
      <c r="H159" s="122">
        <v>69</v>
      </c>
      <c r="I159" s="404">
        <f t="shared" ref="I159:I188" si="26">J159+J159+K159+L159</f>
        <v>0</v>
      </c>
      <c r="J159" s="134"/>
      <c r="K159" s="28"/>
      <c r="L159" s="134"/>
      <c r="M159" s="404">
        <f t="shared" ref="M159:M188" si="27">N159+O159</f>
        <v>0</v>
      </c>
      <c r="N159" s="123"/>
      <c r="O159" s="134"/>
      <c r="P159" s="404"/>
      <c r="Q159" s="404">
        <f t="shared" ref="Q159:Q188" si="28">R159+S159+T159+U159</f>
        <v>0</v>
      </c>
      <c r="R159" s="123"/>
      <c r="S159" s="28"/>
      <c r="T159" s="28"/>
      <c r="U159" s="45"/>
      <c r="V159" s="319"/>
    </row>
    <row r="160" spans="1:22">
      <c r="A160" s="145">
        <v>3</v>
      </c>
      <c r="B160" s="4" t="s">
        <v>205</v>
      </c>
      <c r="C160" s="309"/>
      <c r="D160" s="406">
        <f t="shared" si="25"/>
        <v>12</v>
      </c>
      <c r="E160" s="123"/>
      <c r="F160" s="28"/>
      <c r="G160" s="28"/>
      <c r="H160" s="122">
        <v>12</v>
      </c>
      <c r="I160" s="404">
        <f t="shared" si="26"/>
        <v>0</v>
      </c>
      <c r="J160" s="134"/>
      <c r="K160" s="28"/>
      <c r="L160" s="134"/>
      <c r="M160" s="404">
        <f t="shared" si="27"/>
        <v>0</v>
      </c>
      <c r="N160" s="123"/>
      <c r="O160" s="134"/>
      <c r="P160" s="404"/>
      <c r="Q160" s="404">
        <f t="shared" si="28"/>
        <v>0</v>
      </c>
      <c r="R160" s="123"/>
      <c r="S160" s="28"/>
      <c r="T160" s="28"/>
      <c r="U160" s="45"/>
      <c r="V160" s="319"/>
    </row>
    <row r="161" spans="1:22" ht="15">
      <c r="A161" s="145">
        <v>4</v>
      </c>
      <c r="B161" s="4" t="s">
        <v>206</v>
      </c>
      <c r="C161" s="310"/>
      <c r="D161" s="406">
        <f t="shared" si="25"/>
        <v>4</v>
      </c>
      <c r="E161" s="70"/>
      <c r="F161" s="22"/>
      <c r="G161" s="22"/>
      <c r="H161" s="49">
        <v>4</v>
      </c>
      <c r="I161" s="404">
        <f t="shared" si="26"/>
        <v>0</v>
      </c>
      <c r="J161" s="32"/>
      <c r="K161" s="22"/>
      <c r="L161" s="32"/>
      <c r="M161" s="404">
        <f t="shared" si="27"/>
        <v>0</v>
      </c>
      <c r="N161" s="70"/>
      <c r="O161" s="23"/>
      <c r="P161" s="406"/>
      <c r="Q161" s="404">
        <f t="shared" si="28"/>
        <v>0</v>
      </c>
      <c r="R161" s="70"/>
      <c r="S161" s="28"/>
      <c r="T161" s="28"/>
      <c r="U161" s="45"/>
      <c r="V161" s="319"/>
    </row>
    <row r="162" spans="1:22">
      <c r="A162" s="145">
        <v>5</v>
      </c>
      <c r="B162" s="4" t="s">
        <v>207</v>
      </c>
      <c r="C162" s="309"/>
      <c r="D162" s="406">
        <f t="shared" si="25"/>
        <v>155</v>
      </c>
      <c r="E162" s="123"/>
      <c r="F162" s="28">
        <v>50</v>
      </c>
      <c r="G162" s="28"/>
      <c r="H162" s="122">
        <v>105</v>
      </c>
      <c r="I162" s="404">
        <f t="shared" si="26"/>
        <v>0</v>
      </c>
      <c r="J162" s="134"/>
      <c r="K162" s="28"/>
      <c r="L162" s="134"/>
      <c r="M162" s="404">
        <f t="shared" si="27"/>
        <v>126</v>
      </c>
      <c r="N162" s="123"/>
      <c r="O162" s="134">
        <v>126</v>
      </c>
      <c r="P162" s="404"/>
      <c r="Q162" s="404">
        <f t="shared" si="28"/>
        <v>0</v>
      </c>
      <c r="R162" s="123"/>
      <c r="S162" s="28"/>
      <c r="T162" s="28"/>
      <c r="U162" s="45"/>
      <c r="V162" s="319"/>
    </row>
    <row r="163" spans="1:22">
      <c r="A163" s="145">
        <v>6</v>
      </c>
      <c r="B163" s="4" t="s">
        <v>208</v>
      </c>
      <c r="C163" s="309"/>
      <c r="D163" s="406">
        <f t="shared" si="25"/>
        <v>163</v>
      </c>
      <c r="E163" s="123"/>
      <c r="F163" s="28">
        <v>138</v>
      </c>
      <c r="G163" s="28">
        <v>7</v>
      </c>
      <c r="H163" s="122">
        <v>18</v>
      </c>
      <c r="I163" s="404">
        <f t="shared" si="26"/>
        <v>0</v>
      </c>
      <c r="J163" s="134"/>
      <c r="K163" s="28"/>
      <c r="L163" s="134"/>
      <c r="M163" s="404">
        <f t="shared" si="27"/>
        <v>600</v>
      </c>
      <c r="N163" s="123">
        <v>100</v>
      </c>
      <c r="O163" s="134">
        <v>500</v>
      </c>
      <c r="P163" s="404"/>
      <c r="Q163" s="404">
        <f t="shared" si="28"/>
        <v>40</v>
      </c>
      <c r="R163" s="123"/>
      <c r="S163" s="28">
        <v>40</v>
      </c>
      <c r="T163" s="28"/>
      <c r="U163" s="45"/>
      <c r="V163" s="319"/>
    </row>
    <row r="164" spans="1:22">
      <c r="A164" s="145">
        <v>7</v>
      </c>
      <c r="B164" s="4" t="s">
        <v>209</v>
      </c>
      <c r="C164" s="309"/>
      <c r="D164" s="406">
        <f t="shared" si="25"/>
        <v>0</v>
      </c>
      <c r="E164" s="123"/>
      <c r="F164" s="28"/>
      <c r="G164" s="28"/>
      <c r="H164" s="122"/>
      <c r="I164" s="404">
        <f t="shared" si="26"/>
        <v>0</v>
      </c>
      <c r="J164" s="134"/>
      <c r="K164" s="28"/>
      <c r="L164" s="134"/>
      <c r="M164" s="404">
        <f t="shared" si="27"/>
        <v>0</v>
      </c>
      <c r="N164" s="123"/>
      <c r="O164" s="134"/>
      <c r="P164" s="404"/>
      <c r="Q164" s="404">
        <f t="shared" si="28"/>
        <v>0</v>
      </c>
      <c r="R164" s="123"/>
      <c r="S164" s="28"/>
      <c r="T164" s="28"/>
      <c r="U164" s="45"/>
      <c r="V164" s="319"/>
    </row>
    <row r="165" spans="1:22">
      <c r="A165" s="145">
        <v>8</v>
      </c>
      <c r="B165" s="4" t="s">
        <v>210</v>
      </c>
      <c r="C165" s="309"/>
      <c r="D165" s="406">
        <f t="shared" si="25"/>
        <v>822</v>
      </c>
      <c r="E165" s="123"/>
      <c r="F165" s="28"/>
      <c r="G165" s="28"/>
      <c r="H165" s="122">
        <v>822</v>
      </c>
      <c r="I165" s="404">
        <f t="shared" si="26"/>
        <v>0</v>
      </c>
      <c r="J165" s="134"/>
      <c r="K165" s="28"/>
      <c r="L165" s="134"/>
      <c r="M165" s="404">
        <f t="shared" si="27"/>
        <v>0</v>
      </c>
      <c r="N165" s="123"/>
      <c r="O165" s="134"/>
      <c r="P165" s="404"/>
      <c r="Q165" s="404">
        <f t="shared" si="28"/>
        <v>0</v>
      </c>
      <c r="R165" s="123"/>
      <c r="S165" s="28"/>
      <c r="T165" s="28"/>
      <c r="U165" s="45"/>
      <c r="V165" s="319"/>
    </row>
    <row r="166" spans="1:22">
      <c r="A166" s="145">
        <v>9</v>
      </c>
      <c r="B166" s="4" t="s">
        <v>211</v>
      </c>
      <c r="C166" s="309"/>
      <c r="D166" s="406">
        <f t="shared" si="25"/>
        <v>0</v>
      </c>
      <c r="E166" s="123"/>
      <c r="F166" s="28"/>
      <c r="G166" s="28"/>
      <c r="H166" s="122"/>
      <c r="I166" s="404">
        <f t="shared" si="26"/>
        <v>0</v>
      </c>
      <c r="J166" s="134"/>
      <c r="K166" s="28"/>
      <c r="L166" s="134"/>
      <c r="M166" s="404">
        <f t="shared" si="27"/>
        <v>0</v>
      </c>
      <c r="N166" s="123"/>
      <c r="O166" s="134"/>
      <c r="P166" s="404"/>
      <c r="Q166" s="404">
        <f t="shared" si="28"/>
        <v>0</v>
      </c>
      <c r="R166" s="123"/>
      <c r="S166" s="28"/>
      <c r="T166" s="28"/>
      <c r="U166" s="45"/>
      <c r="V166" s="319"/>
    </row>
    <row r="167" spans="1:22">
      <c r="A167" s="145">
        <v>10</v>
      </c>
      <c r="B167" s="4" t="s">
        <v>212</v>
      </c>
      <c r="C167" s="309"/>
      <c r="D167" s="406">
        <f t="shared" si="25"/>
        <v>34</v>
      </c>
      <c r="E167" s="32"/>
      <c r="F167" s="22">
        <v>34</v>
      </c>
      <c r="G167" s="32"/>
      <c r="H167" s="49"/>
      <c r="I167" s="404">
        <f t="shared" si="26"/>
        <v>0</v>
      </c>
      <c r="J167" s="70"/>
      <c r="K167" s="32"/>
      <c r="L167" s="23"/>
      <c r="M167" s="404">
        <f t="shared" si="27"/>
        <v>0</v>
      </c>
      <c r="N167" s="32"/>
      <c r="O167" s="23"/>
      <c r="P167" s="406"/>
      <c r="Q167" s="404">
        <f t="shared" si="28"/>
        <v>0</v>
      </c>
      <c r="R167" s="70"/>
      <c r="S167" s="28"/>
      <c r="T167" s="28"/>
      <c r="U167" s="45"/>
      <c r="V167" s="319"/>
    </row>
    <row r="168" spans="1:22" ht="15">
      <c r="A168" s="145">
        <v>11</v>
      </c>
      <c r="B168" s="4" t="s">
        <v>213</v>
      </c>
      <c r="C168" s="310"/>
      <c r="D168" s="406">
        <f t="shared" si="25"/>
        <v>28</v>
      </c>
      <c r="E168" s="70"/>
      <c r="F168" s="22"/>
      <c r="G168" s="22"/>
      <c r="H168" s="49">
        <v>28</v>
      </c>
      <c r="I168" s="404">
        <f t="shared" si="26"/>
        <v>0</v>
      </c>
      <c r="J168" s="32"/>
      <c r="K168" s="22"/>
      <c r="L168" s="32"/>
      <c r="M168" s="404">
        <f t="shared" si="27"/>
        <v>0</v>
      </c>
      <c r="N168" s="70"/>
      <c r="O168" s="23"/>
      <c r="P168" s="406"/>
      <c r="Q168" s="404">
        <f t="shared" si="28"/>
        <v>0</v>
      </c>
      <c r="R168" s="70"/>
      <c r="S168" s="28"/>
      <c r="T168" s="28"/>
      <c r="U168" s="45"/>
      <c r="V168" s="319"/>
    </row>
    <row r="169" spans="1:22">
      <c r="A169" s="145">
        <v>12</v>
      </c>
      <c r="B169" s="4" t="s">
        <v>214</v>
      </c>
      <c r="C169" s="309"/>
      <c r="D169" s="406">
        <f t="shared" si="25"/>
        <v>25</v>
      </c>
      <c r="E169" s="123"/>
      <c r="F169" s="28"/>
      <c r="G169" s="28"/>
      <c r="H169" s="122">
        <v>25</v>
      </c>
      <c r="I169" s="404">
        <f t="shared" si="26"/>
        <v>0</v>
      </c>
      <c r="J169" s="134"/>
      <c r="K169" s="28"/>
      <c r="L169" s="134"/>
      <c r="M169" s="404">
        <f t="shared" si="27"/>
        <v>0</v>
      </c>
      <c r="N169" s="123"/>
      <c r="O169" s="134"/>
      <c r="P169" s="404"/>
      <c r="Q169" s="404">
        <f t="shared" si="28"/>
        <v>0</v>
      </c>
      <c r="R169" s="123"/>
      <c r="S169" s="28"/>
      <c r="T169" s="28"/>
      <c r="U169" s="45"/>
      <c r="V169" s="319"/>
    </row>
    <row r="170" spans="1:22">
      <c r="A170" s="145">
        <v>13</v>
      </c>
      <c r="B170" s="4" t="s">
        <v>215</v>
      </c>
      <c r="C170" s="309"/>
      <c r="D170" s="406">
        <f t="shared" si="25"/>
        <v>242</v>
      </c>
      <c r="E170" s="123"/>
      <c r="F170" s="28">
        <v>200</v>
      </c>
      <c r="G170" s="28"/>
      <c r="H170" s="122">
        <v>42</v>
      </c>
      <c r="I170" s="404">
        <f t="shared" si="26"/>
        <v>0</v>
      </c>
      <c r="J170" s="134"/>
      <c r="K170" s="28"/>
      <c r="L170" s="134"/>
      <c r="M170" s="404">
        <f t="shared" si="27"/>
        <v>882</v>
      </c>
      <c r="N170" s="123"/>
      <c r="O170" s="134">
        <v>882</v>
      </c>
      <c r="P170" s="404"/>
      <c r="Q170" s="404">
        <f t="shared" si="28"/>
        <v>0</v>
      </c>
      <c r="R170" s="123"/>
      <c r="S170" s="28"/>
      <c r="T170" s="28"/>
      <c r="U170" s="45"/>
      <c r="V170" s="319"/>
    </row>
    <row r="171" spans="1:22">
      <c r="A171" s="145">
        <v>14</v>
      </c>
      <c r="B171" s="4" t="s">
        <v>216</v>
      </c>
      <c r="C171" s="309"/>
      <c r="D171" s="406">
        <f t="shared" si="25"/>
        <v>130</v>
      </c>
      <c r="E171" s="123"/>
      <c r="F171" s="28">
        <v>125</v>
      </c>
      <c r="G171" s="28"/>
      <c r="H171" s="122">
        <v>5</v>
      </c>
      <c r="I171" s="404">
        <f t="shared" si="26"/>
        <v>0</v>
      </c>
      <c r="J171" s="134"/>
      <c r="K171" s="28"/>
      <c r="L171" s="134"/>
      <c r="M171" s="404">
        <f t="shared" si="27"/>
        <v>0</v>
      </c>
      <c r="N171" s="123"/>
      <c r="O171" s="134"/>
      <c r="P171" s="404"/>
      <c r="Q171" s="404">
        <f t="shared" si="28"/>
        <v>0</v>
      </c>
      <c r="R171" s="123"/>
      <c r="S171" s="28"/>
      <c r="T171" s="205"/>
      <c r="U171" s="45"/>
      <c r="V171" s="319"/>
    </row>
    <row r="172" spans="1:22">
      <c r="A172" s="145">
        <v>15</v>
      </c>
      <c r="B172" s="4" t="s">
        <v>217</v>
      </c>
      <c r="C172" s="309"/>
      <c r="D172" s="406">
        <f t="shared" si="25"/>
        <v>70</v>
      </c>
      <c r="E172" s="123"/>
      <c r="F172" s="28"/>
      <c r="G172" s="28"/>
      <c r="H172" s="122">
        <v>70</v>
      </c>
      <c r="I172" s="404">
        <f t="shared" si="26"/>
        <v>0</v>
      </c>
      <c r="J172" s="134"/>
      <c r="K172" s="28"/>
      <c r="L172" s="134"/>
      <c r="M172" s="404">
        <f t="shared" si="27"/>
        <v>0</v>
      </c>
      <c r="N172" s="123"/>
      <c r="O172" s="134"/>
      <c r="P172" s="404"/>
      <c r="Q172" s="404">
        <f t="shared" si="28"/>
        <v>0</v>
      </c>
      <c r="R172" s="123"/>
      <c r="S172" s="28"/>
      <c r="T172" s="28"/>
      <c r="U172" s="45"/>
      <c r="V172" s="319"/>
    </row>
    <row r="173" spans="1:22">
      <c r="A173" s="145">
        <v>16</v>
      </c>
      <c r="B173" s="4" t="s">
        <v>218</v>
      </c>
      <c r="C173" s="309"/>
      <c r="D173" s="406">
        <f t="shared" si="25"/>
        <v>0</v>
      </c>
      <c r="E173" s="123"/>
      <c r="F173" s="28"/>
      <c r="G173" s="28"/>
      <c r="H173" s="122"/>
      <c r="I173" s="404">
        <f t="shared" si="26"/>
        <v>0</v>
      </c>
      <c r="J173" s="134"/>
      <c r="K173" s="28"/>
      <c r="L173" s="134"/>
      <c r="M173" s="404">
        <f t="shared" si="27"/>
        <v>0</v>
      </c>
      <c r="N173" s="123"/>
      <c r="O173" s="134"/>
      <c r="P173" s="404"/>
      <c r="Q173" s="404">
        <f t="shared" si="28"/>
        <v>0</v>
      </c>
      <c r="R173" s="123"/>
      <c r="S173" s="28"/>
      <c r="T173" s="28"/>
      <c r="U173" s="45"/>
      <c r="V173" s="319"/>
    </row>
    <row r="174" spans="1:22" ht="15">
      <c r="A174" s="145">
        <v>17</v>
      </c>
      <c r="B174" s="4" t="s">
        <v>219</v>
      </c>
      <c r="C174" s="310"/>
      <c r="D174" s="406">
        <f t="shared" si="25"/>
        <v>0</v>
      </c>
      <c r="E174" s="70"/>
      <c r="F174" s="22"/>
      <c r="G174" s="22"/>
      <c r="H174" s="49"/>
      <c r="I174" s="404">
        <f t="shared" si="26"/>
        <v>0</v>
      </c>
      <c r="J174" s="32"/>
      <c r="K174" s="22"/>
      <c r="L174" s="32"/>
      <c r="M174" s="404">
        <f t="shared" si="27"/>
        <v>0</v>
      </c>
      <c r="N174" s="70"/>
      <c r="O174" s="23"/>
      <c r="P174" s="406"/>
      <c r="Q174" s="404">
        <f t="shared" si="28"/>
        <v>0</v>
      </c>
      <c r="R174" s="70"/>
      <c r="S174" s="28"/>
      <c r="T174" s="28"/>
      <c r="U174" s="45"/>
      <c r="V174" s="319"/>
    </row>
    <row r="175" spans="1:22">
      <c r="A175" s="145">
        <v>18</v>
      </c>
      <c r="B175" s="4" t="s">
        <v>220</v>
      </c>
      <c r="C175" s="309"/>
      <c r="D175" s="406">
        <f t="shared" si="25"/>
        <v>0</v>
      </c>
      <c r="E175" s="123"/>
      <c r="F175" s="28"/>
      <c r="G175" s="28"/>
      <c r="H175" s="122"/>
      <c r="I175" s="404">
        <f t="shared" si="26"/>
        <v>0</v>
      </c>
      <c r="J175" s="134"/>
      <c r="K175" s="28"/>
      <c r="L175" s="134"/>
      <c r="M175" s="404">
        <f t="shared" si="27"/>
        <v>0</v>
      </c>
      <c r="N175" s="123"/>
      <c r="O175" s="134"/>
      <c r="P175" s="404"/>
      <c r="Q175" s="404">
        <f t="shared" si="28"/>
        <v>0</v>
      </c>
      <c r="R175" s="123"/>
      <c r="S175" s="28"/>
      <c r="T175" s="28"/>
      <c r="U175" s="45"/>
      <c r="V175" s="319"/>
    </row>
    <row r="176" spans="1:22">
      <c r="A176" s="145">
        <v>19</v>
      </c>
      <c r="B176" s="4" t="s">
        <v>221</v>
      </c>
      <c r="C176" s="309"/>
      <c r="D176" s="406">
        <f t="shared" si="25"/>
        <v>0</v>
      </c>
      <c r="E176" s="123"/>
      <c r="F176" s="28"/>
      <c r="G176" s="28"/>
      <c r="H176" s="122"/>
      <c r="I176" s="404">
        <f t="shared" si="26"/>
        <v>0</v>
      </c>
      <c r="J176" s="134"/>
      <c r="K176" s="28"/>
      <c r="L176" s="134"/>
      <c r="M176" s="404">
        <f t="shared" si="27"/>
        <v>0</v>
      </c>
      <c r="N176" s="123"/>
      <c r="O176" s="134"/>
      <c r="P176" s="404"/>
      <c r="Q176" s="404">
        <f t="shared" si="28"/>
        <v>0</v>
      </c>
      <c r="R176" s="123"/>
      <c r="S176" s="28"/>
      <c r="T176" s="28"/>
      <c r="U176" s="45"/>
      <c r="V176" s="319"/>
    </row>
    <row r="177" spans="1:22">
      <c r="A177" s="145">
        <v>20</v>
      </c>
      <c r="B177" s="4" t="s">
        <v>222</v>
      </c>
      <c r="C177" s="309"/>
      <c r="D177" s="406">
        <f t="shared" si="25"/>
        <v>0</v>
      </c>
      <c r="E177" s="123"/>
      <c r="F177" s="28"/>
      <c r="G177" s="28"/>
      <c r="H177" s="122"/>
      <c r="I177" s="404">
        <f t="shared" si="26"/>
        <v>0</v>
      </c>
      <c r="J177" s="134"/>
      <c r="K177" s="28"/>
      <c r="L177" s="134"/>
      <c r="M177" s="404">
        <f t="shared" si="27"/>
        <v>0</v>
      </c>
      <c r="N177" s="123"/>
      <c r="O177" s="134"/>
      <c r="P177" s="404"/>
      <c r="Q177" s="404">
        <f t="shared" si="28"/>
        <v>0</v>
      </c>
      <c r="R177" s="123"/>
      <c r="S177" s="28"/>
      <c r="T177" s="28"/>
      <c r="U177" s="45"/>
      <c r="V177" s="319"/>
    </row>
    <row r="178" spans="1:22">
      <c r="A178" s="145">
        <v>21</v>
      </c>
      <c r="B178" s="4" t="s">
        <v>223</v>
      </c>
      <c r="C178" s="309"/>
      <c r="D178" s="406">
        <f t="shared" si="25"/>
        <v>125</v>
      </c>
      <c r="E178" s="123"/>
      <c r="F178" s="28">
        <v>26</v>
      </c>
      <c r="G178" s="28"/>
      <c r="H178" s="122">
        <v>99</v>
      </c>
      <c r="I178" s="404">
        <f t="shared" si="26"/>
        <v>0</v>
      </c>
      <c r="J178" s="134"/>
      <c r="K178" s="28"/>
      <c r="L178" s="134"/>
      <c r="M178" s="404">
        <f t="shared" si="27"/>
        <v>25</v>
      </c>
      <c r="N178" s="123"/>
      <c r="O178" s="134">
        <v>25</v>
      </c>
      <c r="P178" s="404"/>
      <c r="Q178" s="404">
        <f t="shared" si="28"/>
        <v>0</v>
      </c>
      <c r="R178" s="123"/>
      <c r="S178" s="205"/>
      <c r="T178" s="28"/>
      <c r="U178" s="45"/>
      <c r="V178" s="319"/>
    </row>
    <row r="179" spans="1:22">
      <c r="A179" s="145">
        <v>22</v>
      </c>
      <c r="B179" s="4" t="s">
        <v>224</v>
      </c>
      <c r="C179" s="309"/>
      <c r="D179" s="406">
        <f t="shared" si="25"/>
        <v>52</v>
      </c>
      <c r="E179" s="123"/>
      <c r="F179" s="28">
        <v>2</v>
      </c>
      <c r="G179" s="28"/>
      <c r="H179" s="122">
        <v>50</v>
      </c>
      <c r="I179" s="404">
        <f t="shared" si="26"/>
        <v>0</v>
      </c>
      <c r="J179" s="134"/>
      <c r="K179" s="28"/>
      <c r="L179" s="134"/>
      <c r="M179" s="404">
        <f t="shared" si="27"/>
        <v>0</v>
      </c>
      <c r="N179" s="123"/>
      <c r="O179" s="134"/>
      <c r="P179" s="404"/>
      <c r="Q179" s="404">
        <f t="shared" si="28"/>
        <v>0</v>
      </c>
      <c r="R179" s="134"/>
      <c r="S179" s="28"/>
      <c r="T179" s="28"/>
      <c r="U179" s="45"/>
      <c r="V179" s="319"/>
    </row>
    <row r="180" spans="1:22">
      <c r="A180" s="145">
        <v>23</v>
      </c>
      <c r="B180" s="4" t="s">
        <v>225</v>
      </c>
      <c r="C180" s="311"/>
      <c r="D180" s="406">
        <f t="shared" si="25"/>
        <v>1</v>
      </c>
      <c r="E180" s="70"/>
      <c r="F180" s="22"/>
      <c r="G180" s="22"/>
      <c r="H180" s="49">
        <v>1</v>
      </c>
      <c r="I180" s="404">
        <f t="shared" si="26"/>
        <v>0</v>
      </c>
      <c r="J180" s="32"/>
      <c r="K180" s="22"/>
      <c r="L180" s="32"/>
      <c r="M180" s="404">
        <f t="shared" si="27"/>
        <v>0</v>
      </c>
      <c r="N180" s="70"/>
      <c r="O180" s="23"/>
      <c r="P180" s="406"/>
      <c r="Q180" s="404">
        <f t="shared" si="28"/>
        <v>0</v>
      </c>
      <c r="R180" s="70"/>
      <c r="S180" s="28"/>
      <c r="T180" s="28"/>
      <c r="U180" s="45"/>
      <c r="V180" s="319"/>
    </row>
    <row r="181" spans="1:22" ht="15">
      <c r="A181" s="145">
        <v>24</v>
      </c>
      <c r="B181" s="4" t="s">
        <v>226</v>
      </c>
      <c r="C181" s="310"/>
      <c r="D181" s="406">
        <f t="shared" si="25"/>
        <v>0</v>
      </c>
      <c r="E181" s="123"/>
      <c r="F181" s="28"/>
      <c r="G181" s="28"/>
      <c r="H181" s="122"/>
      <c r="I181" s="404">
        <f t="shared" si="26"/>
        <v>0</v>
      </c>
      <c r="J181" s="134"/>
      <c r="K181" s="28"/>
      <c r="L181" s="134"/>
      <c r="M181" s="404">
        <f t="shared" si="27"/>
        <v>0</v>
      </c>
      <c r="N181" s="123"/>
      <c r="O181" s="134"/>
      <c r="P181" s="404"/>
      <c r="Q181" s="404">
        <f t="shared" si="28"/>
        <v>0</v>
      </c>
      <c r="R181" s="123"/>
      <c r="S181" s="28"/>
      <c r="T181" s="28"/>
      <c r="U181" s="45"/>
      <c r="V181" s="319"/>
    </row>
    <row r="182" spans="1:22">
      <c r="A182" s="145">
        <v>25</v>
      </c>
      <c r="B182" s="4" t="s">
        <v>147</v>
      </c>
      <c r="C182" s="309"/>
      <c r="D182" s="406">
        <f t="shared" si="25"/>
        <v>282</v>
      </c>
      <c r="E182" s="123"/>
      <c r="F182" s="28">
        <v>238</v>
      </c>
      <c r="G182" s="28"/>
      <c r="H182" s="122">
        <v>44</v>
      </c>
      <c r="I182" s="404">
        <f t="shared" si="26"/>
        <v>0</v>
      </c>
      <c r="J182" s="134"/>
      <c r="K182" s="28"/>
      <c r="L182" s="134"/>
      <c r="M182" s="404">
        <f t="shared" si="27"/>
        <v>0</v>
      </c>
      <c r="N182" s="123"/>
      <c r="O182" s="134"/>
      <c r="P182" s="404"/>
      <c r="Q182" s="404">
        <f t="shared" si="28"/>
        <v>0</v>
      </c>
      <c r="R182" s="123"/>
      <c r="S182" s="28"/>
      <c r="T182" s="28"/>
      <c r="U182" s="45"/>
      <c r="V182" s="319"/>
    </row>
    <row r="183" spans="1:22">
      <c r="A183" s="145">
        <v>26</v>
      </c>
      <c r="B183" s="4" t="s">
        <v>227</v>
      </c>
      <c r="C183" s="309"/>
      <c r="D183" s="406">
        <f t="shared" si="25"/>
        <v>71</v>
      </c>
      <c r="E183" s="123"/>
      <c r="F183" s="28"/>
      <c r="G183" s="28">
        <v>1</v>
      </c>
      <c r="H183" s="122">
        <v>70</v>
      </c>
      <c r="I183" s="404">
        <f t="shared" si="26"/>
        <v>0</v>
      </c>
      <c r="J183" s="134"/>
      <c r="K183" s="28"/>
      <c r="L183" s="134"/>
      <c r="M183" s="404">
        <f t="shared" si="27"/>
        <v>0</v>
      </c>
      <c r="N183" s="123"/>
      <c r="O183" s="134"/>
      <c r="P183" s="404"/>
      <c r="Q183" s="404">
        <f t="shared" si="28"/>
        <v>0</v>
      </c>
      <c r="R183" s="123"/>
      <c r="S183" s="28"/>
      <c r="T183" s="28"/>
      <c r="U183" s="45"/>
      <c r="V183" s="319"/>
    </row>
    <row r="184" spans="1:22">
      <c r="A184" s="145">
        <v>27</v>
      </c>
      <c r="B184" s="4" t="s">
        <v>228</v>
      </c>
      <c r="C184" s="309"/>
      <c r="D184" s="406">
        <f t="shared" si="25"/>
        <v>360</v>
      </c>
      <c r="E184" s="123"/>
      <c r="F184" s="28">
        <v>5</v>
      </c>
      <c r="G184" s="28"/>
      <c r="H184" s="122">
        <v>355</v>
      </c>
      <c r="I184" s="404">
        <f t="shared" si="26"/>
        <v>0</v>
      </c>
      <c r="J184" s="134"/>
      <c r="K184" s="28"/>
      <c r="L184" s="134"/>
      <c r="M184" s="404">
        <f t="shared" si="27"/>
        <v>0</v>
      </c>
      <c r="N184" s="123"/>
      <c r="O184" s="134"/>
      <c r="P184" s="404"/>
      <c r="Q184" s="404">
        <f t="shared" si="28"/>
        <v>0</v>
      </c>
      <c r="R184" s="123"/>
      <c r="S184" s="28"/>
      <c r="T184" s="28"/>
      <c r="U184" s="45"/>
      <c r="V184" s="319"/>
    </row>
    <row r="185" spans="1:22">
      <c r="A185" s="145">
        <v>28</v>
      </c>
      <c r="B185" s="4" t="s">
        <v>229</v>
      </c>
      <c r="C185" s="309"/>
      <c r="D185" s="406">
        <f t="shared" si="25"/>
        <v>39</v>
      </c>
      <c r="E185" s="123"/>
      <c r="F185" s="28"/>
      <c r="G185" s="28"/>
      <c r="H185" s="122">
        <v>39</v>
      </c>
      <c r="I185" s="404">
        <f t="shared" si="26"/>
        <v>0</v>
      </c>
      <c r="J185" s="134"/>
      <c r="K185" s="28"/>
      <c r="L185" s="134"/>
      <c r="M185" s="404">
        <f t="shared" si="27"/>
        <v>0</v>
      </c>
      <c r="N185" s="123"/>
      <c r="O185" s="134"/>
      <c r="P185" s="404"/>
      <c r="Q185" s="404">
        <f t="shared" si="28"/>
        <v>0</v>
      </c>
      <c r="R185" s="123"/>
      <c r="S185" s="28"/>
      <c r="T185" s="28"/>
      <c r="U185" s="45"/>
      <c r="V185" s="319"/>
    </row>
    <row r="186" spans="1:22">
      <c r="A186" s="145">
        <v>29</v>
      </c>
      <c r="B186" s="4" t="s">
        <v>230</v>
      </c>
      <c r="C186" s="309"/>
      <c r="D186" s="406">
        <f t="shared" si="25"/>
        <v>59</v>
      </c>
      <c r="E186" s="70"/>
      <c r="F186" s="22"/>
      <c r="G186" s="22"/>
      <c r="H186" s="49">
        <v>59</v>
      </c>
      <c r="I186" s="404">
        <f t="shared" si="26"/>
        <v>0</v>
      </c>
      <c r="J186" s="32"/>
      <c r="K186" s="22"/>
      <c r="L186" s="32"/>
      <c r="M186" s="404">
        <f t="shared" si="27"/>
        <v>0</v>
      </c>
      <c r="N186" s="70"/>
      <c r="O186" s="23"/>
      <c r="P186" s="406"/>
      <c r="Q186" s="404">
        <f t="shared" si="28"/>
        <v>10</v>
      </c>
      <c r="R186" s="70"/>
      <c r="S186" s="28">
        <v>10</v>
      </c>
      <c r="T186" s="28"/>
      <c r="U186" s="45"/>
      <c r="V186" s="319"/>
    </row>
    <row r="187" spans="1:22" ht="15">
      <c r="A187" s="145">
        <v>30</v>
      </c>
      <c r="B187" s="4" t="s">
        <v>231</v>
      </c>
      <c r="C187" s="310"/>
      <c r="D187" s="406">
        <f t="shared" si="25"/>
        <v>96</v>
      </c>
      <c r="E187" s="123"/>
      <c r="F187" s="28">
        <v>5</v>
      </c>
      <c r="G187" s="28"/>
      <c r="H187" s="122">
        <v>91</v>
      </c>
      <c r="I187" s="404">
        <f t="shared" si="26"/>
        <v>0</v>
      </c>
      <c r="J187" s="134"/>
      <c r="K187" s="28"/>
      <c r="L187" s="21"/>
      <c r="M187" s="404">
        <f t="shared" si="27"/>
        <v>5</v>
      </c>
      <c r="N187" s="123"/>
      <c r="O187" s="134">
        <v>5</v>
      </c>
      <c r="P187" s="404"/>
      <c r="Q187" s="404">
        <f t="shared" si="28"/>
        <v>0</v>
      </c>
      <c r="R187" s="123"/>
      <c r="S187" s="28"/>
      <c r="T187" s="28"/>
      <c r="U187" s="45"/>
      <c r="V187" s="319"/>
    </row>
    <row r="188" spans="1:22">
      <c r="A188" s="145">
        <v>31</v>
      </c>
      <c r="B188" s="4" t="s">
        <v>232</v>
      </c>
      <c r="C188" s="309"/>
      <c r="D188" s="406">
        <f t="shared" si="25"/>
        <v>160</v>
      </c>
      <c r="E188" s="123"/>
      <c r="F188" s="28">
        <v>40</v>
      </c>
      <c r="G188" s="28"/>
      <c r="H188" s="122">
        <v>120</v>
      </c>
      <c r="I188" s="404">
        <f t="shared" si="26"/>
        <v>0</v>
      </c>
      <c r="J188" s="134"/>
      <c r="K188" s="28"/>
      <c r="L188" s="134"/>
      <c r="M188" s="404">
        <f t="shared" si="27"/>
        <v>210</v>
      </c>
      <c r="N188" s="123">
        <v>210</v>
      </c>
      <c r="O188" s="134"/>
      <c r="P188" s="404"/>
      <c r="Q188" s="404">
        <f t="shared" si="28"/>
        <v>0</v>
      </c>
      <c r="R188" s="123"/>
      <c r="S188" s="28"/>
      <c r="T188" s="28"/>
      <c r="U188" s="45"/>
      <c r="V188" s="319"/>
    </row>
    <row r="189" spans="1:22">
      <c r="A189" s="215"/>
      <c r="B189" s="203"/>
      <c r="C189" s="312"/>
      <c r="D189" s="312"/>
      <c r="E189" s="210"/>
      <c r="F189" s="206"/>
      <c r="G189" s="206"/>
      <c r="H189" s="298"/>
      <c r="I189" s="410"/>
      <c r="J189" s="256"/>
      <c r="K189" s="206"/>
      <c r="L189" s="256"/>
      <c r="M189" s="410"/>
      <c r="N189" s="210"/>
      <c r="O189" s="256"/>
      <c r="P189" s="410"/>
      <c r="Q189" s="410"/>
      <c r="R189" s="210"/>
      <c r="S189" s="206"/>
      <c r="T189" s="206"/>
      <c r="U189" s="317"/>
      <c r="V189" s="319"/>
    </row>
    <row r="190" spans="1:22">
      <c r="A190" s="145" t="s">
        <v>297</v>
      </c>
      <c r="B190" s="4"/>
      <c r="C190" s="162"/>
      <c r="D190" s="408">
        <f>SUM(D158:D189)</f>
        <v>3099</v>
      </c>
      <c r="E190" s="272">
        <f t="shared" ref="E190:F190" si="29">SUM(E158:E189)</f>
        <v>0</v>
      </c>
      <c r="F190" s="51">
        <f t="shared" si="29"/>
        <v>863</v>
      </c>
      <c r="G190" s="51">
        <f t="shared" ref="G190" si="30">SUM(G158:G189)</f>
        <v>8</v>
      </c>
      <c r="H190" s="422">
        <f t="shared" ref="H190" si="31">SUM(H158:H189)</f>
        <v>2228</v>
      </c>
      <c r="I190" s="408">
        <f t="shared" ref="I190" si="32">SUM(I158:I189)</f>
        <v>0</v>
      </c>
      <c r="J190" s="423">
        <f t="shared" ref="J190" si="33">SUM(J158:J189)</f>
        <v>0</v>
      </c>
      <c r="K190" s="51">
        <f t="shared" ref="K190" si="34">SUM(K158:K189)</f>
        <v>0</v>
      </c>
      <c r="L190" s="422">
        <f t="shared" ref="L190" si="35">SUM(L158:L189)</f>
        <v>0</v>
      </c>
      <c r="M190" s="408">
        <f t="shared" ref="M190" si="36">SUM(M158:M189)</f>
        <v>1848</v>
      </c>
      <c r="N190" s="423">
        <f t="shared" ref="N190" si="37">SUM(N158:N189)</f>
        <v>310</v>
      </c>
      <c r="O190" s="422">
        <f t="shared" ref="O190" si="38">SUM(O158:O189)</f>
        <v>1538</v>
      </c>
      <c r="P190" s="408">
        <f t="shared" ref="P190" si="39">SUM(P158:P189)</f>
        <v>0</v>
      </c>
      <c r="Q190" s="408">
        <f t="shared" ref="Q190" si="40">SUM(Q158:Q189)</f>
        <v>50</v>
      </c>
      <c r="R190" s="423">
        <f t="shared" ref="R190" si="41">SUM(R158:R189)</f>
        <v>0</v>
      </c>
      <c r="S190" s="51">
        <f t="shared" ref="S190" si="42">SUM(S158:S189)</f>
        <v>50</v>
      </c>
      <c r="T190" s="51">
        <f t="shared" ref="T190" si="43">SUM(T158:T189)</f>
        <v>0</v>
      </c>
      <c r="U190" s="51">
        <f t="shared" ref="U190" si="44">SUM(U158:U189)</f>
        <v>0</v>
      </c>
      <c r="V190" s="319"/>
    </row>
    <row r="191" spans="1:22" ht="15" thickBot="1">
      <c r="A191" s="217"/>
      <c r="B191" s="104"/>
      <c r="C191" s="252"/>
      <c r="D191" s="119"/>
      <c r="E191" s="209"/>
      <c r="F191" s="208"/>
      <c r="G191" s="208"/>
      <c r="H191" s="299"/>
      <c r="I191" s="411"/>
      <c r="J191" s="253"/>
      <c r="K191" s="208"/>
      <c r="L191" s="253"/>
      <c r="M191" s="411"/>
      <c r="N191" s="209"/>
      <c r="O191" s="253"/>
      <c r="P191" s="411"/>
      <c r="Q191" s="411"/>
      <c r="R191" s="209"/>
      <c r="S191" s="186"/>
      <c r="T191" s="186"/>
      <c r="U191" s="276"/>
      <c r="V191" s="319"/>
    </row>
    <row r="192" spans="1:22" ht="16" thickTop="1">
      <c r="A192" s="222" t="s">
        <v>28</v>
      </c>
      <c r="B192" s="97"/>
      <c r="C192" s="248"/>
      <c r="D192" s="406"/>
      <c r="E192" s="70"/>
      <c r="F192" s="22"/>
      <c r="G192" s="22"/>
      <c r="H192" s="49"/>
      <c r="I192" s="406"/>
      <c r="J192" s="32"/>
      <c r="K192" s="22"/>
      <c r="L192" s="32"/>
      <c r="M192" s="406"/>
      <c r="N192" s="70"/>
      <c r="O192" s="23"/>
      <c r="P192" s="406"/>
      <c r="Q192" s="406"/>
      <c r="R192" s="70"/>
      <c r="S192" s="22"/>
      <c r="T192" s="22"/>
      <c r="U192" s="23"/>
      <c r="V192" s="319"/>
    </row>
    <row r="193" spans="1:22">
      <c r="A193" s="145">
        <v>32</v>
      </c>
      <c r="B193" s="235" t="s">
        <v>233</v>
      </c>
      <c r="C193" s="17"/>
      <c r="D193" s="406">
        <f>E193+F193+G193+H193</f>
        <v>0</v>
      </c>
      <c r="E193" s="123"/>
      <c r="F193" s="28"/>
      <c r="G193" s="28"/>
      <c r="H193" s="122"/>
      <c r="I193" s="404">
        <f>J193+K193+L193</f>
        <v>0</v>
      </c>
      <c r="J193" s="134"/>
      <c r="K193" s="28"/>
      <c r="L193" s="134"/>
      <c r="M193" s="404"/>
      <c r="N193" s="123"/>
      <c r="O193" s="134"/>
      <c r="P193" s="404"/>
      <c r="Q193" s="404"/>
      <c r="R193" s="123"/>
      <c r="S193" s="28"/>
      <c r="T193" s="28"/>
      <c r="U193" s="45"/>
      <c r="V193" s="319"/>
    </row>
    <row r="194" spans="1:22">
      <c r="A194" s="145">
        <v>33</v>
      </c>
      <c r="B194" s="4" t="s">
        <v>234</v>
      </c>
      <c r="C194" s="10"/>
      <c r="D194" s="406">
        <f t="shared" ref="D194:D203" si="45">E194+F194+G194+H194</f>
        <v>7</v>
      </c>
      <c r="E194" s="123"/>
      <c r="F194" s="28"/>
      <c r="G194" s="28"/>
      <c r="H194" s="122">
        <v>7</v>
      </c>
      <c r="I194" s="404">
        <f t="shared" ref="I194:I203" si="46">J194+K194+L194</f>
        <v>0</v>
      </c>
      <c r="J194" s="134"/>
      <c r="K194" s="28"/>
      <c r="L194" s="134"/>
      <c r="M194" s="404"/>
      <c r="N194" s="123"/>
      <c r="O194" s="134"/>
      <c r="P194" s="404"/>
      <c r="Q194" s="404"/>
      <c r="R194" s="123"/>
      <c r="S194" s="28"/>
      <c r="T194" s="28"/>
      <c r="U194" s="45"/>
      <c r="V194" s="319"/>
    </row>
    <row r="195" spans="1:22">
      <c r="A195" s="145">
        <v>34</v>
      </c>
      <c r="B195" s="4" t="s">
        <v>235</v>
      </c>
      <c r="C195" s="10"/>
      <c r="D195" s="406">
        <f t="shared" si="45"/>
        <v>0</v>
      </c>
      <c r="E195" s="123"/>
      <c r="F195" s="28"/>
      <c r="G195" s="28"/>
      <c r="H195" s="122"/>
      <c r="I195" s="404">
        <f t="shared" si="46"/>
        <v>0</v>
      </c>
      <c r="J195" s="134"/>
      <c r="K195" s="28"/>
      <c r="L195" s="134"/>
      <c r="M195" s="404"/>
      <c r="N195" s="123"/>
      <c r="O195" s="134"/>
      <c r="P195" s="404"/>
      <c r="Q195" s="404"/>
      <c r="R195" s="123"/>
      <c r="S195" s="28"/>
      <c r="T195" s="28"/>
      <c r="U195" s="45"/>
      <c r="V195" s="319"/>
    </row>
    <row r="196" spans="1:22">
      <c r="A196" s="145">
        <v>35</v>
      </c>
      <c r="B196" s="4" t="s">
        <v>236</v>
      </c>
      <c r="C196" s="10"/>
      <c r="D196" s="406">
        <f t="shared" si="45"/>
        <v>0</v>
      </c>
      <c r="E196" s="123"/>
      <c r="F196" s="28"/>
      <c r="G196" s="28"/>
      <c r="H196" s="122"/>
      <c r="I196" s="404">
        <f t="shared" si="46"/>
        <v>0</v>
      </c>
      <c r="J196" s="134"/>
      <c r="K196" s="28"/>
      <c r="L196" s="134"/>
      <c r="M196" s="404"/>
      <c r="N196" s="123"/>
      <c r="O196" s="134"/>
      <c r="P196" s="404"/>
      <c r="Q196" s="404"/>
      <c r="R196" s="123"/>
      <c r="S196" s="28"/>
      <c r="T196" s="28"/>
      <c r="U196" s="45"/>
      <c r="V196" s="319"/>
    </row>
    <row r="197" spans="1:22">
      <c r="A197" s="145">
        <v>36</v>
      </c>
      <c r="B197" s="4" t="s">
        <v>237</v>
      </c>
      <c r="C197" s="10"/>
      <c r="D197" s="406">
        <f t="shared" si="45"/>
        <v>0</v>
      </c>
      <c r="E197" s="123"/>
      <c r="F197" s="28"/>
      <c r="G197" s="28"/>
      <c r="H197" s="122"/>
      <c r="I197" s="404">
        <f t="shared" si="46"/>
        <v>0</v>
      </c>
      <c r="J197" s="134"/>
      <c r="K197" s="28"/>
      <c r="L197" s="134"/>
      <c r="M197" s="404"/>
      <c r="N197" s="123"/>
      <c r="O197" s="134"/>
      <c r="P197" s="404"/>
      <c r="Q197" s="404"/>
      <c r="R197" s="123"/>
      <c r="S197" s="28"/>
      <c r="T197" s="28"/>
      <c r="U197" s="45"/>
      <c r="V197" s="319"/>
    </row>
    <row r="198" spans="1:22">
      <c r="A198" s="145">
        <v>37</v>
      </c>
      <c r="B198" s="4" t="s">
        <v>238</v>
      </c>
      <c r="C198" s="10"/>
      <c r="D198" s="406">
        <f t="shared" si="45"/>
        <v>0</v>
      </c>
      <c r="E198" s="32"/>
      <c r="F198" s="22"/>
      <c r="G198" s="32"/>
      <c r="H198" s="49"/>
      <c r="I198" s="404">
        <f t="shared" si="46"/>
        <v>0</v>
      </c>
      <c r="J198" s="70"/>
      <c r="K198" s="32"/>
      <c r="L198" s="23"/>
      <c r="M198" s="406"/>
      <c r="N198" s="32"/>
      <c r="O198" s="23"/>
      <c r="P198" s="406"/>
      <c r="Q198" s="406"/>
      <c r="R198" s="70"/>
      <c r="S198" s="28"/>
      <c r="T198" s="28"/>
      <c r="U198" s="45"/>
      <c r="V198" s="319"/>
    </row>
    <row r="199" spans="1:22" ht="15">
      <c r="A199" s="145">
        <v>38</v>
      </c>
      <c r="B199" s="4" t="s">
        <v>239</v>
      </c>
      <c r="C199" s="248"/>
      <c r="D199" s="406">
        <f t="shared" si="45"/>
        <v>0</v>
      </c>
      <c r="E199" s="70"/>
      <c r="F199" s="22"/>
      <c r="G199" s="22"/>
      <c r="H199" s="49"/>
      <c r="I199" s="404">
        <f t="shared" si="46"/>
        <v>0</v>
      </c>
      <c r="J199" s="32"/>
      <c r="K199" s="22"/>
      <c r="L199" s="32"/>
      <c r="M199" s="406"/>
      <c r="N199" s="70"/>
      <c r="O199" s="23"/>
      <c r="P199" s="406"/>
      <c r="Q199" s="406"/>
      <c r="R199" s="70"/>
      <c r="S199" s="28"/>
      <c r="T199" s="28"/>
      <c r="U199" s="45"/>
      <c r="V199" s="319"/>
    </row>
    <row r="200" spans="1:22">
      <c r="A200" s="145">
        <v>39</v>
      </c>
      <c r="B200" s="4" t="s">
        <v>240</v>
      </c>
      <c r="C200" s="17"/>
      <c r="D200" s="406">
        <f t="shared" si="45"/>
        <v>0</v>
      </c>
      <c r="E200" s="123"/>
      <c r="F200" s="28"/>
      <c r="G200" s="28"/>
      <c r="H200" s="122"/>
      <c r="I200" s="404">
        <f t="shared" si="46"/>
        <v>0</v>
      </c>
      <c r="J200" s="134"/>
      <c r="K200" s="28"/>
      <c r="L200" s="134"/>
      <c r="M200" s="404"/>
      <c r="N200" s="123"/>
      <c r="O200" s="134"/>
      <c r="P200" s="404"/>
      <c r="Q200" s="404"/>
      <c r="R200" s="123"/>
      <c r="S200" s="28"/>
      <c r="T200" s="28"/>
      <c r="U200" s="45"/>
      <c r="V200" s="319"/>
    </row>
    <row r="201" spans="1:22">
      <c r="A201" s="145">
        <v>40</v>
      </c>
      <c r="B201" s="4" t="s">
        <v>241</v>
      </c>
      <c r="C201" s="10"/>
      <c r="D201" s="406">
        <f t="shared" si="45"/>
        <v>0</v>
      </c>
      <c r="E201" s="123"/>
      <c r="F201" s="28"/>
      <c r="G201" s="28"/>
      <c r="H201" s="122"/>
      <c r="I201" s="404">
        <f t="shared" si="46"/>
        <v>0</v>
      </c>
      <c r="J201" s="134"/>
      <c r="K201" s="28"/>
      <c r="L201" s="134"/>
      <c r="M201" s="404"/>
      <c r="N201" s="123"/>
      <c r="O201" s="134"/>
      <c r="P201" s="404"/>
      <c r="Q201" s="404"/>
      <c r="R201" s="123"/>
      <c r="S201" s="28"/>
      <c r="T201" s="28"/>
      <c r="U201" s="45"/>
      <c r="V201" s="319"/>
    </row>
    <row r="202" spans="1:22">
      <c r="A202" s="145">
        <v>41</v>
      </c>
      <c r="B202" s="4" t="s">
        <v>242</v>
      </c>
      <c r="C202" s="10"/>
      <c r="D202" s="406">
        <f t="shared" si="45"/>
        <v>0</v>
      </c>
      <c r="E202" s="123"/>
      <c r="F202" s="28"/>
      <c r="G202" s="28"/>
      <c r="H202" s="122"/>
      <c r="I202" s="404">
        <f t="shared" si="46"/>
        <v>0</v>
      </c>
      <c r="J202" s="134"/>
      <c r="K202" s="28"/>
      <c r="L202" s="134"/>
      <c r="M202" s="404"/>
      <c r="N202" s="123"/>
      <c r="O202" s="134"/>
      <c r="P202" s="404"/>
      <c r="Q202" s="404"/>
      <c r="R202" s="123"/>
      <c r="S202" s="28"/>
      <c r="T202" s="28"/>
      <c r="U202" s="45"/>
      <c r="V202" s="319"/>
    </row>
    <row r="203" spans="1:22">
      <c r="A203" s="145">
        <v>42</v>
      </c>
      <c r="B203" s="4" t="s">
        <v>243</v>
      </c>
      <c r="C203" s="10"/>
      <c r="D203" s="406">
        <f t="shared" si="45"/>
        <v>0</v>
      </c>
      <c r="E203" s="123"/>
      <c r="F203" s="28"/>
      <c r="G203" s="28"/>
      <c r="H203" s="122"/>
      <c r="I203" s="404">
        <f t="shared" si="46"/>
        <v>0</v>
      </c>
      <c r="J203" s="134"/>
      <c r="K203" s="28"/>
      <c r="L203" s="134"/>
      <c r="M203" s="404"/>
      <c r="N203" s="123"/>
      <c r="O203" s="134"/>
      <c r="P203" s="404"/>
      <c r="Q203" s="404"/>
      <c r="R203" s="123"/>
      <c r="S203" s="28"/>
      <c r="T203" s="28"/>
      <c r="U203" s="45"/>
      <c r="V203" s="319"/>
    </row>
    <row r="204" spans="1:22">
      <c r="A204" s="215"/>
      <c r="B204" s="203"/>
      <c r="C204" s="12"/>
      <c r="D204" s="312"/>
      <c r="E204" s="210"/>
      <c r="F204" s="206"/>
      <c r="G204" s="206"/>
      <c r="H204" s="298"/>
      <c r="I204" s="410"/>
      <c r="J204" s="256"/>
      <c r="K204" s="206"/>
      <c r="L204" s="256"/>
      <c r="M204" s="410"/>
      <c r="N204" s="210"/>
      <c r="O204" s="256"/>
      <c r="P204" s="410"/>
      <c r="Q204" s="410"/>
      <c r="R204" s="210"/>
      <c r="S204" s="206"/>
      <c r="T204" s="206"/>
      <c r="U204" s="317"/>
      <c r="V204" s="319"/>
    </row>
    <row r="205" spans="1:22" ht="15">
      <c r="A205" s="145" t="s">
        <v>298</v>
      </c>
      <c r="B205" s="4"/>
      <c r="C205" s="248"/>
      <c r="D205" s="408">
        <f>SUM(D193:D204)</f>
        <v>7</v>
      </c>
      <c r="E205" s="272">
        <f t="shared" ref="E205:F205" si="47">SUM(E193:E204)</f>
        <v>0</v>
      </c>
      <c r="F205" s="51">
        <f t="shared" si="47"/>
        <v>0</v>
      </c>
      <c r="G205" s="51">
        <f t="shared" ref="G205" si="48">SUM(G193:G204)</f>
        <v>0</v>
      </c>
      <c r="H205" s="422">
        <f t="shared" ref="H205" si="49">SUM(H193:H204)</f>
        <v>7</v>
      </c>
      <c r="I205" s="408">
        <f t="shared" ref="I205" si="50">SUM(I193:I204)</f>
        <v>0</v>
      </c>
      <c r="J205" s="423">
        <f t="shared" ref="J205" si="51">SUM(J193:J204)</f>
        <v>0</v>
      </c>
      <c r="K205" s="51">
        <f t="shared" ref="K205" si="52">SUM(K193:K204)</f>
        <v>0</v>
      </c>
      <c r="L205" s="422">
        <f t="shared" ref="L205" si="53">SUM(L193:L204)</f>
        <v>0</v>
      </c>
      <c r="M205" s="408">
        <f t="shared" ref="M205" si="54">SUM(M193:M204)</f>
        <v>0</v>
      </c>
      <c r="N205" s="423">
        <f t="shared" ref="N205" si="55">SUM(N193:N204)</f>
        <v>0</v>
      </c>
      <c r="O205" s="422">
        <f t="shared" ref="O205" si="56">SUM(O193:O204)</f>
        <v>0</v>
      </c>
      <c r="P205" s="408">
        <f t="shared" ref="P205" si="57">SUM(P193:P204)</f>
        <v>0</v>
      </c>
      <c r="Q205" s="408">
        <f t="shared" ref="Q205" si="58">SUM(Q193:Q204)</f>
        <v>0</v>
      </c>
      <c r="R205" s="423">
        <f t="shared" ref="R205" si="59">SUM(R193:R204)</f>
        <v>0</v>
      </c>
      <c r="S205" s="51">
        <f t="shared" ref="S205" si="60">SUM(S193:S204)</f>
        <v>0</v>
      </c>
      <c r="T205" s="51">
        <f t="shared" ref="T205" si="61">SUM(T193:T204)</f>
        <v>0</v>
      </c>
      <c r="U205" s="51">
        <f t="shared" ref="U205" si="62">SUM(U193:U204)</f>
        <v>0</v>
      </c>
      <c r="V205" s="319"/>
    </row>
    <row r="206" spans="1:22" ht="15" thickBot="1">
      <c r="A206" s="217"/>
      <c r="B206" s="104"/>
      <c r="C206" s="257"/>
      <c r="D206" s="119"/>
      <c r="E206" s="209"/>
      <c r="F206" s="208"/>
      <c r="G206" s="208"/>
      <c r="H206" s="299"/>
      <c r="I206" s="411"/>
      <c r="J206" s="253"/>
      <c r="K206" s="208"/>
      <c r="L206" s="253"/>
      <c r="M206" s="411"/>
      <c r="N206" s="209"/>
      <c r="O206" s="253"/>
      <c r="P206" s="411"/>
      <c r="Q206" s="411"/>
      <c r="R206" s="209"/>
      <c r="S206" s="208"/>
      <c r="T206" s="208"/>
      <c r="U206" s="321"/>
      <c r="V206" s="319"/>
    </row>
    <row r="207" spans="1:22" ht="15" thickTop="1">
      <c r="A207" s="145"/>
      <c r="B207" s="4"/>
      <c r="C207" s="9"/>
      <c r="D207" s="409"/>
      <c r="E207" s="395"/>
      <c r="F207" s="259"/>
      <c r="G207" s="259"/>
      <c r="H207" s="304"/>
      <c r="I207" s="412"/>
      <c r="J207" s="260"/>
      <c r="K207" s="259"/>
      <c r="L207" s="260"/>
      <c r="M207" s="412"/>
      <c r="N207" s="395"/>
      <c r="O207" s="260"/>
      <c r="P207" s="412"/>
      <c r="Q207" s="412"/>
      <c r="R207" s="123"/>
      <c r="S207" s="28"/>
      <c r="T207" s="28"/>
      <c r="U207" s="45"/>
      <c r="V207" s="319"/>
    </row>
    <row r="208" spans="1:22">
      <c r="A208" s="145" t="s">
        <v>299</v>
      </c>
      <c r="B208" s="4"/>
      <c r="C208" s="10"/>
      <c r="D208" s="408">
        <f>D205+D190</f>
        <v>3106</v>
      </c>
      <c r="E208" s="272">
        <f t="shared" ref="E208:U208" si="63">E205+E190</f>
        <v>0</v>
      </c>
      <c r="F208" s="51">
        <f t="shared" si="63"/>
        <v>863</v>
      </c>
      <c r="G208" s="51">
        <f t="shared" si="63"/>
        <v>8</v>
      </c>
      <c r="H208" s="422">
        <f t="shared" si="63"/>
        <v>2235</v>
      </c>
      <c r="I208" s="408">
        <f t="shared" si="63"/>
        <v>0</v>
      </c>
      <c r="J208" s="423">
        <f t="shared" si="63"/>
        <v>0</v>
      </c>
      <c r="K208" s="51">
        <f t="shared" si="63"/>
        <v>0</v>
      </c>
      <c r="L208" s="422">
        <f t="shared" si="63"/>
        <v>0</v>
      </c>
      <c r="M208" s="408">
        <f t="shared" si="63"/>
        <v>1848</v>
      </c>
      <c r="N208" s="423">
        <f t="shared" si="63"/>
        <v>310</v>
      </c>
      <c r="O208" s="422">
        <f t="shared" si="63"/>
        <v>1538</v>
      </c>
      <c r="P208" s="408">
        <f t="shared" si="63"/>
        <v>0</v>
      </c>
      <c r="Q208" s="408">
        <f t="shared" si="63"/>
        <v>50</v>
      </c>
      <c r="R208" s="423">
        <f t="shared" si="63"/>
        <v>0</v>
      </c>
      <c r="S208" s="51">
        <f t="shared" si="63"/>
        <v>50</v>
      </c>
      <c r="T208" s="51">
        <f t="shared" si="63"/>
        <v>0</v>
      </c>
      <c r="U208" s="51">
        <f t="shared" si="63"/>
        <v>0</v>
      </c>
      <c r="V208" s="319"/>
    </row>
    <row r="209" spans="1:22" ht="15" thickBot="1">
      <c r="A209" s="217"/>
      <c r="B209" s="104"/>
      <c r="C209" s="251"/>
      <c r="D209" s="119"/>
      <c r="E209" s="209"/>
      <c r="F209" s="208"/>
      <c r="G209" s="208"/>
      <c r="H209" s="299"/>
      <c r="I209" s="411"/>
      <c r="J209" s="253"/>
      <c r="K209" s="208"/>
      <c r="L209" s="253"/>
      <c r="M209" s="411"/>
      <c r="N209" s="209"/>
      <c r="O209" s="253"/>
      <c r="P209" s="411"/>
      <c r="Q209" s="411"/>
      <c r="R209" s="209"/>
      <c r="S209" s="186"/>
      <c r="T209" s="186"/>
      <c r="U209" s="276"/>
      <c r="V209" s="319"/>
    </row>
    <row r="210" spans="1:22" ht="17" thickTop="1" thickBot="1">
      <c r="A210" s="226" t="s">
        <v>38</v>
      </c>
      <c r="B210" s="94"/>
      <c r="C210" s="10"/>
      <c r="D210" s="406"/>
      <c r="E210" s="123"/>
      <c r="F210" s="28"/>
      <c r="G210" s="28"/>
      <c r="H210" s="122"/>
      <c r="I210" s="404"/>
      <c r="J210" s="134"/>
      <c r="K210" s="28"/>
      <c r="L210" s="134"/>
      <c r="M210" s="404"/>
      <c r="N210" s="123"/>
      <c r="O210" s="134"/>
      <c r="P210" s="404"/>
      <c r="Q210" s="404"/>
      <c r="R210" s="123"/>
      <c r="S210" s="22"/>
      <c r="T210" s="22"/>
      <c r="U210" s="23"/>
      <c r="V210" s="319"/>
    </row>
    <row r="211" spans="1:22">
      <c r="A211" s="145">
        <v>1</v>
      </c>
      <c r="B211" s="4" t="s">
        <v>244</v>
      </c>
      <c r="C211" s="277" t="s">
        <v>406</v>
      </c>
      <c r="D211" s="406">
        <f>E211+F211+G211+H211</f>
        <v>81</v>
      </c>
      <c r="E211" s="70"/>
      <c r="F211" s="22"/>
      <c r="G211" s="22"/>
      <c r="H211" s="49">
        <v>81</v>
      </c>
      <c r="I211" s="406">
        <f>J211+K211+L211</f>
        <v>0</v>
      </c>
      <c r="J211" s="32"/>
      <c r="K211" s="22"/>
      <c r="L211" s="32"/>
      <c r="M211" s="406">
        <f>N211+O211</f>
        <v>0</v>
      </c>
      <c r="N211" s="70"/>
      <c r="O211" s="23"/>
      <c r="P211" s="406"/>
      <c r="Q211" s="406">
        <f>R211+S211+T211+U211</f>
        <v>0</v>
      </c>
      <c r="R211" s="70"/>
      <c r="S211" s="28"/>
      <c r="T211" s="28"/>
      <c r="U211" s="45"/>
      <c r="V211" s="319"/>
    </row>
    <row r="212" spans="1:22">
      <c r="A212" s="145">
        <v>2</v>
      </c>
      <c r="B212" s="4" t="s">
        <v>245</v>
      </c>
      <c r="C212" s="17"/>
      <c r="D212" s="406">
        <f t="shared" ref="D212:D233" si="64">E212+F212+G212+H212</f>
        <v>2</v>
      </c>
      <c r="E212" s="123"/>
      <c r="F212" s="28"/>
      <c r="G212" s="28"/>
      <c r="H212" s="122">
        <v>2</v>
      </c>
      <c r="I212" s="406">
        <f t="shared" ref="I212:I233" si="65">J212+K212+L212</f>
        <v>0</v>
      </c>
      <c r="J212" s="134"/>
      <c r="K212" s="28"/>
      <c r="L212" s="134"/>
      <c r="M212" s="406">
        <f t="shared" ref="M212:M233" si="66">N212+O212</f>
        <v>0</v>
      </c>
      <c r="N212" s="123"/>
      <c r="O212" s="134"/>
      <c r="P212" s="404"/>
      <c r="Q212" s="406">
        <f t="shared" ref="Q212:Q233" si="67">R212+S212+T212+U212</f>
        <v>0</v>
      </c>
      <c r="R212" s="123"/>
      <c r="S212" s="28"/>
      <c r="T212" s="28"/>
      <c r="U212" s="45"/>
      <c r="V212" s="319"/>
    </row>
    <row r="213" spans="1:22">
      <c r="A213" s="145">
        <v>3</v>
      </c>
      <c r="B213" s="4" t="s">
        <v>246</v>
      </c>
      <c r="C213" s="10"/>
      <c r="D213" s="406">
        <f t="shared" si="64"/>
        <v>286</v>
      </c>
      <c r="E213" s="123"/>
      <c r="F213" s="28"/>
      <c r="G213" s="28"/>
      <c r="H213" s="122">
        <v>286</v>
      </c>
      <c r="I213" s="406">
        <f t="shared" si="65"/>
        <v>0</v>
      </c>
      <c r="J213" s="134"/>
      <c r="K213" s="28"/>
      <c r="L213" s="134"/>
      <c r="M213" s="406">
        <f t="shared" si="66"/>
        <v>0</v>
      </c>
      <c r="N213" s="123"/>
      <c r="O213" s="134"/>
      <c r="P213" s="404"/>
      <c r="Q213" s="406">
        <f t="shared" si="67"/>
        <v>0</v>
      </c>
      <c r="R213" s="123"/>
      <c r="S213" s="28"/>
      <c r="T213" s="28"/>
      <c r="U213" s="45"/>
      <c r="V213" s="319"/>
    </row>
    <row r="214" spans="1:22">
      <c r="A214" s="145">
        <v>4</v>
      </c>
      <c r="B214" s="4" t="s">
        <v>247</v>
      </c>
      <c r="C214" s="10"/>
      <c r="D214" s="406">
        <f t="shared" si="64"/>
        <v>0</v>
      </c>
      <c r="E214" s="123"/>
      <c r="F214" s="28"/>
      <c r="G214" s="28"/>
      <c r="H214" s="122"/>
      <c r="I214" s="406">
        <f t="shared" si="65"/>
        <v>0</v>
      </c>
      <c r="J214" s="29"/>
      <c r="K214" s="28"/>
      <c r="L214" s="134"/>
      <c r="M214" s="406">
        <f t="shared" si="66"/>
        <v>0</v>
      </c>
      <c r="N214" s="123"/>
      <c r="O214" s="134"/>
      <c r="P214" s="404"/>
      <c r="Q214" s="406">
        <f t="shared" si="67"/>
        <v>0</v>
      </c>
      <c r="R214" s="123"/>
      <c r="S214" s="28"/>
      <c r="T214" s="28"/>
      <c r="U214" s="45"/>
      <c r="V214" s="319"/>
    </row>
    <row r="215" spans="1:22">
      <c r="A215" s="145">
        <v>5</v>
      </c>
      <c r="B215" s="4" t="s">
        <v>248</v>
      </c>
      <c r="C215" s="10"/>
      <c r="D215" s="406">
        <f t="shared" si="64"/>
        <v>12</v>
      </c>
      <c r="E215" s="123"/>
      <c r="F215" s="28"/>
      <c r="G215" s="28"/>
      <c r="H215" s="122">
        <v>12</v>
      </c>
      <c r="I215" s="406">
        <f t="shared" si="65"/>
        <v>0</v>
      </c>
      <c r="J215" s="134"/>
      <c r="K215" s="28"/>
      <c r="L215" s="134"/>
      <c r="M215" s="406">
        <f t="shared" si="66"/>
        <v>0</v>
      </c>
      <c r="N215" s="123"/>
      <c r="O215" s="134"/>
      <c r="P215" s="404"/>
      <c r="Q215" s="406">
        <f t="shared" si="67"/>
        <v>0</v>
      </c>
      <c r="R215" s="123"/>
      <c r="S215" s="28"/>
      <c r="T215" s="28"/>
      <c r="U215" s="45"/>
      <c r="V215" s="319"/>
    </row>
    <row r="216" spans="1:22">
      <c r="A216" s="145">
        <v>6</v>
      </c>
      <c r="B216" s="4" t="s">
        <v>249</v>
      </c>
      <c r="C216" s="10"/>
      <c r="D216" s="406">
        <f t="shared" si="64"/>
        <v>16</v>
      </c>
      <c r="E216" s="123"/>
      <c r="F216" s="28"/>
      <c r="G216" s="28"/>
      <c r="H216" s="122">
        <v>16</v>
      </c>
      <c r="I216" s="406">
        <f t="shared" si="65"/>
        <v>0</v>
      </c>
      <c r="J216" s="134"/>
      <c r="K216" s="28"/>
      <c r="L216" s="134"/>
      <c r="M216" s="406">
        <f t="shared" si="66"/>
        <v>0</v>
      </c>
      <c r="N216" s="123"/>
      <c r="O216" s="134"/>
      <c r="P216" s="404"/>
      <c r="Q216" s="406">
        <f t="shared" si="67"/>
        <v>0</v>
      </c>
      <c r="R216" s="123"/>
      <c r="S216" s="28"/>
      <c r="T216" s="28"/>
      <c r="U216" s="45"/>
      <c r="V216" s="319"/>
    </row>
    <row r="217" spans="1:22" ht="15">
      <c r="A217" s="145">
        <v>7</v>
      </c>
      <c r="B217" s="4" t="s">
        <v>250</v>
      </c>
      <c r="C217" s="248"/>
      <c r="D217" s="406">
        <f t="shared" si="64"/>
        <v>4118</v>
      </c>
      <c r="E217" s="70">
        <v>1000</v>
      </c>
      <c r="F217" s="22">
        <v>3000</v>
      </c>
      <c r="G217" s="22"/>
      <c r="H217" s="49">
        <v>118</v>
      </c>
      <c r="I217" s="406">
        <f t="shared" si="65"/>
        <v>255</v>
      </c>
      <c r="J217" s="134">
        <v>255</v>
      </c>
      <c r="K217" s="22"/>
      <c r="L217" s="32"/>
      <c r="M217" s="406">
        <f t="shared" si="66"/>
        <v>7589</v>
      </c>
      <c r="N217" s="70">
        <v>1897</v>
      </c>
      <c r="O217" s="23">
        <v>5692</v>
      </c>
      <c r="P217" s="406"/>
      <c r="Q217" s="406">
        <f t="shared" si="67"/>
        <v>0</v>
      </c>
      <c r="R217" s="70"/>
      <c r="S217" s="28"/>
      <c r="T217" s="28"/>
      <c r="U217" s="45"/>
      <c r="V217" s="319"/>
    </row>
    <row r="218" spans="1:22">
      <c r="A218" s="224">
        <v>8</v>
      </c>
      <c r="B218" s="113" t="s">
        <v>251</v>
      </c>
      <c r="C218" s="17"/>
      <c r="D218" s="406">
        <f t="shared" si="64"/>
        <v>338</v>
      </c>
      <c r="E218" s="123"/>
      <c r="F218" s="28"/>
      <c r="G218" s="28"/>
      <c r="H218" s="122">
        <v>338</v>
      </c>
      <c r="I218" s="406">
        <f t="shared" si="65"/>
        <v>0</v>
      </c>
      <c r="J218" s="32"/>
      <c r="K218" s="28"/>
      <c r="L218" s="134"/>
      <c r="M218" s="406">
        <f t="shared" si="66"/>
        <v>0</v>
      </c>
      <c r="N218" s="123"/>
      <c r="O218" s="134"/>
      <c r="P218" s="404"/>
      <c r="Q218" s="406">
        <f t="shared" si="67"/>
        <v>0</v>
      </c>
      <c r="R218" s="123"/>
      <c r="S218" s="28"/>
      <c r="T218" s="28"/>
      <c r="U218" s="45"/>
      <c r="V218" s="319"/>
    </row>
    <row r="219" spans="1:22">
      <c r="A219" s="224">
        <v>9</v>
      </c>
      <c r="B219" s="113" t="s">
        <v>252</v>
      </c>
      <c r="C219" s="10"/>
      <c r="D219" s="406">
        <f t="shared" si="64"/>
        <v>104</v>
      </c>
      <c r="E219" s="123"/>
      <c r="F219" s="28"/>
      <c r="G219" s="28"/>
      <c r="H219" s="122">
        <v>104</v>
      </c>
      <c r="I219" s="406">
        <f t="shared" si="65"/>
        <v>0</v>
      </c>
      <c r="J219" s="134"/>
      <c r="K219" s="28"/>
      <c r="L219" s="134"/>
      <c r="M219" s="406">
        <f t="shared" si="66"/>
        <v>0</v>
      </c>
      <c r="N219" s="123"/>
      <c r="O219" s="134"/>
      <c r="P219" s="404">
        <v>15</v>
      </c>
      <c r="Q219" s="406">
        <f t="shared" si="67"/>
        <v>0</v>
      </c>
      <c r="R219" s="123"/>
      <c r="S219" s="28"/>
      <c r="T219" s="28"/>
      <c r="U219" s="45"/>
      <c r="V219" s="319"/>
    </row>
    <row r="220" spans="1:22">
      <c r="A220" s="224">
        <v>10</v>
      </c>
      <c r="B220" s="113" t="s">
        <v>253</v>
      </c>
      <c r="C220" s="10"/>
      <c r="D220" s="406">
        <f t="shared" si="64"/>
        <v>620</v>
      </c>
      <c r="E220" s="123"/>
      <c r="F220" s="28"/>
      <c r="G220" s="28">
        <v>1</v>
      </c>
      <c r="H220" s="122">
        <v>619</v>
      </c>
      <c r="I220" s="406">
        <f t="shared" si="65"/>
        <v>0</v>
      </c>
      <c r="J220" s="134"/>
      <c r="K220" s="28"/>
      <c r="L220" s="134"/>
      <c r="M220" s="406">
        <f t="shared" si="66"/>
        <v>0</v>
      </c>
      <c r="N220" s="123"/>
      <c r="O220" s="134"/>
      <c r="P220" s="404"/>
      <c r="Q220" s="406">
        <f t="shared" si="67"/>
        <v>25</v>
      </c>
      <c r="R220" s="123">
        <v>25</v>
      </c>
      <c r="S220" s="28"/>
      <c r="T220" s="28"/>
      <c r="U220" s="45"/>
      <c r="V220" s="319"/>
    </row>
    <row r="221" spans="1:22">
      <c r="A221" s="228">
        <v>11</v>
      </c>
      <c r="B221" s="236" t="s">
        <v>254</v>
      </c>
      <c r="C221" s="10"/>
      <c r="D221" s="406">
        <f t="shared" si="64"/>
        <v>180</v>
      </c>
      <c r="E221" s="123"/>
      <c r="F221" s="28"/>
      <c r="G221" s="28"/>
      <c r="H221" s="122">
        <v>180</v>
      </c>
      <c r="I221" s="406">
        <f t="shared" si="65"/>
        <v>0</v>
      </c>
      <c r="J221" s="134"/>
      <c r="K221" s="28"/>
      <c r="L221" s="134"/>
      <c r="M221" s="406">
        <f t="shared" si="66"/>
        <v>0</v>
      </c>
      <c r="N221" s="123"/>
      <c r="O221" s="134"/>
      <c r="P221" s="404"/>
      <c r="Q221" s="406">
        <f t="shared" si="67"/>
        <v>0</v>
      </c>
      <c r="R221" s="123"/>
      <c r="S221" s="28"/>
      <c r="T221" s="28"/>
      <c r="U221" s="45"/>
      <c r="V221" s="319"/>
    </row>
    <row r="222" spans="1:22">
      <c r="A222" s="228">
        <v>12</v>
      </c>
      <c r="B222" s="236" t="s">
        <v>255</v>
      </c>
      <c r="C222" s="10"/>
      <c r="D222" s="406">
        <f t="shared" si="64"/>
        <v>604</v>
      </c>
      <c r="E222" s="123"/>
      <c r="F222" s="28"/>
      <c r="G222" s="28"/>
      <c r="H222" s="122">
        <v>604</v>
      </c>
      <c r="I222" s="406">
        <f t="shared" si="65"/>
        <v>0</v>
      </c>
      <c r="J222" s="134"/>
      <c r="K222" s="28"/>
      <c r="L222" s="134"/>
      <c r="M222" s="406">
        <f t="shared" si="66"/>
        <v>0</v>
      </c>
      <c r="N222" s="123"/>
      <c r="O222" s="134"/>
      <c r="P222" s="404"/>
      <c r="Q222" s="406">
        <f t="shared" si="67"/>
        <v>0</v>
      </c>
      <c r="R222" s="123"/>
      <c r="S222" s="28"/>
      <c r="T222" s="28"/>
      <c r="U222" s="45"/>
      <c r="V222" s="319"/>
    </row>
    <row r="223" spans="1:22" ht="15">
      <c r="A223" s="228">
        <v>13</v>
      </c>
      <c r="B223" s="236" t="s">
        <v>256</v>
      </c>
      <c r="C223" s="248"/>
      <c r="D223" s="406">
        <f t="shared" si="64"/>
        <v>682</v>
      </c>
      <c r="E223" s="70">
        <v>150</v>
      </c>
      <c r="F223" s="22">
        <v>96</v>
      </c>
      <c r="G223" s="22">
        <v>10</v>
      </c>
      <c r="H223" s="49">
        <v>426</v>
      </c>
      <c r="I223" s="406">
        <f t="shared" si="65"/>
        <v>0</v>
      </c>
      <c r="J223" s="134"/>
      <c r="K223" s="22"/>
      <c r="L223" s="32"/>
      <c r="M223" s="406">
        <f t="shared" si="66"/>
        <v>0</v>
      </c>
      <c r="N223" s="70"/>
      <c r="O223" s="23"/>
      <c r="P223" s="406">
        <v>80</v>
      </c>
      <c r="Q223" s="406">
        <f t="shared" si="67"/>
        <v>0</v>
      </c>
      <c r="R223" s="70"/>
      <c r="S223" s="28"/>
      <c r="T223" s="28"/>
      <c r="U223" s="45"/>
      <c r="V223" s="319"/>
    </row>
    <row r="224" spans="1:22">
      <c r="A224" s="228">
        <v>14</v>
      </c>
      <c r="B224" s="236" t="s">
        <v>257</v>
      </c>
      <c r="C224" s="17"/>
      <c r="D224" s="406">
        <f t="shared" si="64"/>
        <v>472</v>
      </c>
      <c r="E224" s="123">
        <v>46</v>
      </c>
      <c r="F224" s="28"/>
      <c r="G224" s="28"/>
      <c r="H224" s="122">
        <v>426</v>
      </c>
      <c r="I224" s="406">
        <f t="shared" si="65"/>
        <v>0</v>
      </c>
      <c r="J224" s="32"/>
      <c r="K224" s="28"/>
      <c r="L224" s="134"/>
      <c r="M224" s="406">
        <f t="shared" si="66"/>
        <v>0</v>
      </c>
      <c r="N224" s="123"/>
      <c r="O224" s="134"/>
      <c r="P224" s="404">
        <v>108</v>
      </c>
      <c r="Q224" s="406">
        <f t="shared" si="67"/>
        <v>8</v>
      </c>
      <c r="R224" s="123"/>
      <c r="S224" s="28">
        <v>8</v>
      </c>
      <c r="T224" s="28"/>
      <c r="U224" s="45"/>
      <c r="V224" s="319"/>
    </row>
    <row r="225" spans="1:22">
      <c r="A225" s="228">
        <v>15</v>
      </c>
      <c r="B225" s="236" t="s">
        <v>258</v>
      </c>
      <c r="C225" s="10"/>
      <c r="D225" s="406">
        <f t="shared" si="64"/>
        <v>927</v>
      </c>
      <c r="E225" s="123"/>
      <c r="F225" s="28"/>
      <c r="G225" s="28"/>
      <c r="H225" s="122">
        <v>927</v>
      </c>
      <c r="I225" s="406">
        <f t="shared" si="65"/>
        <v>0</v>
      </c>
      <c r="J225" s="134"/>
      <c r="K225" s="28"/>
      <c r="L225" s="134"/>
      <c r="M225" s="406">
        <f t="shared" si="66"/>
        <v>0</v>
      </c>
      <c r="N225" s="123"/>
      <c r="O225" s="134"/>
      <c r="P225" s="404"/>
      <c r="Q225" s="406">
        <f t="shared" si="67"/>
        <v>0</v>
      </c>
      <c r="R225" s="123"/>
      <c r="S225" s="28"/>
      <c r="T225" s="28"/>
      <c r="U225" s="45"/>
      <c r="V225" s="319"/>
    </row>
    <row r="226" spans="1:22">
      <c r="A226" s="228">
        <v>16</v>
      </c>
      <c r="B226" s="236" t="s">
        <v>259</v>
      </c>
      <c r="C226" s="10"/>
      <c r="D226" s="406">
        <f t="shared" si="64"/>
        <v>7251</v>
      </c>
      <c r="E226" s="123">
        <v>2298</v>
      </c>
      <c r="F226" s="28">
        <v>74</v>
      </c>
      <c r="G226" s="28">
        <v>491</v>
      </c>
      <c r="H226" s="122">
        <v>4388</v>
      </c>
      <c r="I226" s="406">
        <f t="shared" si="65"/>
        <v>4090</v>
      </c>
      <c r="J226" s="134">
        <v>420</v>
      </c>
      <c r="K226" s="28">
        <v>1754</v>
      </c>
      <c r="L226" s="134">
        <v>1916</v>
      </c>
      <c r="M226" s="406">
        <f t="shared" si="66"/>
        <v>32</v>
      </c>
      <c r="N226" s="123">
        <v>32</v>
      </c>
      <c r="O226" s="134"/>
      <c r="P226" s="404"/>
      <c r="Q226" s="406">
        <f t="shared" si="67"/>
        <v>780</v>
      </c>
      <c r="R226" s="123">
        <v>270</v>
      </c>
      <c r="S226" s="28">
        <v>510</v>
      </c>
      <c r="T226" s="28"/>
      <c r="U226" s="45"/>
      <c r="V226" s="319"/>
    </row>
    <row r="227" spans="1:22">
      <c r="A227" s="228">
        <v>17</v>
      </c>
      <c r="B227" s="236" t="s">
        <v>260</v>
      </c>
      <c r="C227" s="10"/>
      <c r="D227" s="406">
        <f t="shared" si="64"/>
        <v>4400</v>
      </c>
      <c r="E227" s="123">
        <v>50</v>
      </c>
      <c r="F227" s="28">
        <v>11</v>
      </c>
      <c r="G227" s="28"/>
      <c r="H227" s="122">
        <v>4339</v>
      </c>
      <c r="I227" s="406">
        <f t="shared" si="65"/>
        <v>32</v>
      </c>
      <c r="J227" s="134"/>
      <c r="K227" s="28">
        <v>32</v>
      </c>
      <c r="L227" s="134"/>
      <c r="M227" s="406">
        <f t="shared" si="66"/>
        <v>0</v>
      </c>
      <c r="N227" s="123"/>
      <c r="O227" s="134"/>
      <c r="P227" s="404"/>
      <c r="Q227" s="406">
        <f t="shared" si="67"/>
        <v>0</v>
      </c>
      <c r="R227" s="123"/>
      <c r="S227" s="28"/>
      <c r="T227" s="28"/>
      <c r="U227" s="45"/>
      <c r="V227" s="319"/>
    </row>
    <row r="228" spans="1:22">
      <c r="A228" s="228">
        <v>18</v>
      </c>
      <c r="B228" s="236" t="s">
        <v>261</v>
      </c>
      <c r="C228" s="10"/>
      <c r="D228" s="406">
        <f t="shared" si="64"/>
        <v>890</v>
      </c>
      <c r="E228" s="123"/>
      <c r="F228" s="28">
        <v>23</v>
      </c>
      <c r="G228" s="28"/>
      <c r="H228" s="122">
        <v>867</v>
      </c>
      <c r="I228" s="406">
        <f t="shared" si="65"/>
        <v>0</v>
      </c>
      <c r="J228" s="134"/>
      <c r="K228" s="28"/>
      <c r="L228" s="134"/>
      <c r="M228" s="406">
        <f t="shared" si="66"/>
        <v>32</v>
      </c>
      <c r="N228" s="123">
        <v>16</v>
      </c>
      <c r="O228" s="134">
        <v>16</v>
      </c>
      <c r="P228" s="404"/>
      <c r="Q228" s="406">
        <f t="shared" si="67"/>
        <v>0</v>
      </c>
      <c r="R228" s="123"/>
      <c r="S228" s="28"/>
      <c r="T228" s="28"/>
      <c r="U228" s="45"/>
      <c r="V228" s="319"/>
    </row>
    <row r="229" spans="1:22">
      <c r="A229" s="228">
        <v>19</v>
      </c>
      <c r="B229" s="236" t="s">
        <v>262</v>
      </c>
      <c r="C229" s="10"/>
      <c r="D229" s="406">
        <f t="shared" si="64"/>
        <v>57</v>
      </c>
      <c r="E229" s="32"/>
      <c r="F229" s="22"/>
      <c r="G229" s="32"/>
      <c r="H229" s="49">
        <v>57</v>
      </c>
      <c r="I229" s="406">
        <f t="shared" si="65"/>
        <v>0</v>
      </c>
      <c r="J229" s="123"/>
      <c r="K229" s="32"/>
      <c r="L229" s="23"/>
      <c r="M229" s="406">
        <f t="shared" si="66"/>
        <v>0</v>
      </c>
      <c r="N229" s="32"/>
      <c r="O229" s="23"/>
      <c r="P229" s="406"/>
      <c r="Q229" s="406">
        <f t="shared" si="67"/>
        <v>0</v>
      </c>
      <c r="R229" s="70"/>
      <c r="S229" s="28"/>
      <c r="T229" s="28"/>
      <c r="U229" s="45"/>
      <c r="V229" s="319"/>
    </row>
    <row r="230" spans="1:22" ht="15">
      <c r="A230" s="228">
        <v>20</v>
      </c>
      <c r="B230" s="236" t="s">
        <v>263</v>
      </c>
      <c r="C230" s="248"/>
      <c r="D230" s="406">
        <f t="shared" si="64"/>
        <v>14</v>
      </c>
      <c r="E230" s="70"/>
      <c r="F230" s="22"/>
      <c r="G230" s="22"/>
      <c r="H230" s="49">
        <v>14</v>
      </c>
      <c r="I230" s="406">
        <f t="shared" si="65"/>
        <v>0</v>
      </c>
      <c r="J230" s="70"/>
      <c r="K230" s="22"/>
      <c r="L230" s="32"/>
      <c r="M230" s="406">
        <f t="shared" si="66"/>
        <v>0</v>
      </c>
      <c r="N230" s="70"/>
      <c r="O230" s="23"/>
      <c r="P230" s="406"/>
      <c r="Q230" s="406">
        <f t="shared" si="67"/>
        <v>0</v>
      </c>
      <c r="R230" s="70"/>
      <c r="S230" s="28"/>
      <c r="T230" s="28"/>
      <c r="U230" s="45"/>
      <c r="V230" s="319"/>
    </row>
    <row r="231" spans="1:22">
      <c r="A231" s="228">
        <v>21</v>
      </c>
      <c r="B231" s="236" t="s">
        <v>264</v>
      </c>
      <c r="C231" s="17"/>
      <c r="D231" s="406">
        <f t="shared" si="64"/>
        <v>1169</v>
      </c>
      <c r="E231" s="123">
        <v>40</v>
      </c>
      <c r="F231" s="28"/>
      <c r="G231" s="28"/>
      <c r="H231" s="122">
        <v>1129</v>
      </c>
      <c r="I231" s="406">
        <f t="shared" si="65"/>
        <v>0</v>
      </c>
      <c r="J231" s="32"/>
      <c r="K231" s="28"/>
      <c r="L231" s="134"/>
      <c r="M231" s="406">
        <f t="shared" si="66"/>
        <v>0</v>
      </c>
      <c r="N231" s="123"/>
      <c r="O231" s="134"/>
      <c r="P231" s="404"/>
      <c r="Q231" s="406">
        <f t="shared" si="67"/>
        <v>0</v>
      </c>
      <c r="R231" s="123"/>
      <c r="S231" s="28"/>
      <c r="T231" s="28"/>
      <c r="U231" s="45"/>
      <c r="V231" s="319"/>
    </row>
    <row r="232" spans="1:22">
      <c r="A232" s="228">
        <v>22</v>
      </c>
      <c r="B232" s="236" t="s">
        <v>265</v>
      </c>
      <c r="C232" s="10"/>
      <c r="D232" s="406">
        <f t="shared" si="64"/>
        <v>1182</v>
      </c>
      <c r="E232" s="123"/>
      <c r="F232" s="28"/>
      <c r="G232" s="28"/>
      <c r="H232" s="122">
        <v>1182</v>
      </c>
      <c r="I232" s="406">
        <f t="shared" si="65"/>
        <v>0</v>
      </c>
      <c r="J232" s="134"/>
      <c r="K232" s="28"/>
      <c r="L232" s="134"/>
      <c r="M232" s="406">
        <f t="shared" si="66"/>
        <v>0</v>
      </c>
      <c r="N232" s="123"/>
      <c r="O232" s="134"/>
      <c r="P232" s="404"/>
      <c r="Q232" s="406">
        <f t="shared" si="67"/>
        <v>0</v>
      </c>
      <c r="R232" s="123"/>
      <c r="S232" s="28"/>
      <c r="T232" s="28"/>
      <c r="U232" s="45"/>
      <c r="V232" s="319"/>
    </row>
    <row r="233" spans="1:22">
      <c r="A233" s="228">
        <v>23</v>
      </c>
      <c r="B233" s="236" t="s">
        <v>266</v>
      </c>
      <c r="C233" s="10"/>
      <c r="D233" s="406">
        <f t="shared" si="64"/>
        <v>3368</v>
      </c>
      <c r="E233" s="123">
        <v>340</v>
      </c>
      <c r="F233" s="28">
        <v>2320</v>
      </c>
      <c r="G233" s="28">
        <v>10</v>
      </c>
      <c r="H233" s="122">
        <v>698</v>
      </c>
      <c r="I233" s="406">
        <f t="shared" si="65"/>
        <v>126</v>
      </c>
      <c r="J233" s="134"/>
      <c r="K233" s="28">
        <v>63</v>
      </c>
      <c r="L233" s="134">
        <v>63</v>
      </c>
      <c r="M233" s="406">
        <f t="shared" si="66"/>
        <v>2595</v>
      </c>
      <c r="N233" s="123">
        <v>2500</v>
      </c>
      <c r="O233" s="134">
        <v>95</v>
      </c>
      <c r="P233" s="404"/>
      <c r="Q233" s="406">
        <f t="shared" si="67"/>
        <v>30</v>
      </c>
      <c r="R233" s="123"/>
      <c r="S233" s="28">
        <v>30</v>
      </c>
      <c r="T233" s="28"/>
      <c r="U233" s="45"/>
      <c r="V233" s="319"/>
    </row>
    <row r="234" spans="1:22">
      <c r="A234" s="229"/>
      <c r="B234" s="237"/>
      <c r="C234" s="12"/>
      <c r="D234" s="312"/>
      <c r="E234" s="210"/>
      <c r="F234" s="206"/>
      <c r="G234" s="206"/>
      <c r="H234" s="298"/>
      <c r="I234" s="410"/>
      <c r="J234" s="256"/>
      <c r="K234" s="206"/>
      <c r="L234" s="256"/>
      <c r="M234" s="410"/>
      <c r="N234" s="210"/>
      <c r="O234" s="256"/>
      <c r="P234" s="410"/>
      <c r="Q234" s="410"/>
      <c r="R234" s="210"/>
      <c r="S234" s="206"/>
      <c r="T234" s="206"/>
      <c r="U234" s="317"/>
      <c r="V234" s="319"/>
    </row>
    <row r="235" spans="1:22">
      <c r="A235" s="228" t="s">
        <v>296</v>
      </c>
      <c r="B235" s="236"/>
      <c r="C235" s="10"/>
      <c r="D235" s="408">
        <f>SUM(D211:D234)</f>
        <v>26773</v>
      </c>
      <c r="E235" s="272">
        <f t="shared" ref="E235:F235" si="68">SUM(E211:E234)</f>
        <v>3924</v>
      </c>
      <c r="F235" s="51">
        <f t="shared" si="68"/>
        <v>5524</v>
      </c>
      <c r="G235" s="51">
        <f t="shared" ref="G235" si="69">SUM(G211:G234)</f>
        <v>512</v>
      </c>
      <c r="H235" s="422">
        <f t="shared" ref="H235" si="70">SUM(H211:H234)</f>
        <v>16813</v>
      </c>
      <c r="I235" s="408">
        <f t="shared" ref="I235" si="71">SUM(I211:I234)</f>
        <v>4503</v>
      </c>
      <c r="J235" s="423">
        <f t="shared" ref="J235" si="72">SUM(J211:J234)</f>
        <v>675</v>
      </c>
      <c r="K235" s="51">
        <f t="shared" ref="K235" si="73">SUM(K211:K234)</f>
        <v>1849</v>
      </c>
      <c r="L235" s="422">
        <f t="shared" ref="L235" si="74">SUM(L211:L234)</f>
        <v>1979</v>
      </c>
      <c r="M235" s="408">
        <f t="shared" ref="M235" si="75">SUM(M211:M234)</f>
        <v>10248</v>
      </c>
      <c r="N235" s="423">
        <f t="shared" ref="N235" si="76">SUM(N211:N234)</f>
        <v>4445</v>
      </c>
      <c r="O235" s="422">
        <f t="shared" ref="O235" si="77">SUM(O211:O234)</f>
        <v>5803</v>
      </c>
      <c r="P235" s="408">
        <f t="shared" ref="P235" si="78">SUM(P211:P234)</f>
        <v>203</v>
      </c>
      <c r="Q235" s="408">
        <f t="shared" ref="Q235" si="79">SUM(Q211:Q234)</f>
        <v>843</v>
      </c>
      <c r="R235" s="423">
        <f t="shared" ref="R235" si="80">SUM(R211:R234)</f>
        <v>295</v>
      </c>
      <c r="S235" s="51">
        <f t="shared" ref="S235" si="81">SUM(S211:S234)</f>
        <v>548</v>
      </c>
      <c r="T235" s="51">
        <f t="shared" ref="T235" si="82">SUM(T211:T234)</f>
        <v>0</v>
      </c>
      <c r="U235" s="51">
        <f t="shared" ref="U235" si="83">SUM(U211:U234)</f>
        <v>0</v>
      </c>
      <c r="V235" s="319"/>
    </row>
    <row r="236" spans="1:22" ht="16" thickBot="1">
      <c r="A236" s="230"/>
      <c r="B236" s="238"/>
      <c r="C236" s="261"/>
      <c r="D236" s="119"/>
      <c r="E236" s="207"/>
      <c r="F236" s="186"/>
      <c r="G236" s="186"/>
      <c r="H236" s="305"/>
      <c r="I236" s="119"/>
      <c r="J236" s="202"/>
      <c r="K236" s="186"/>
      <c r="L236" s="202"/>
      <c r="M236" s="119"/>
      <c r="N236" s="207"/>
      <c r="O236" s="276"/>
      <c r="P236" s="119"/>
      <c r="Q236" s="119"/>
      <c r="R236" s="207"/>
      <c r="S236" s="322"/>
      <c r="T236" s="322"/>
      <c r="U236" s="323"/>
      <c r="V236" s="319"/>
    </row>
    <row r="237" spans="1:22" ht="17" thickTop="1" thickBot="1">
      <c r="A237" s="226" t="s">
        <v>40</v>
      </c>
      <c r="B237" s="94"/>
      <c r="C237" s="17"/>
      <c r="D237" s="406"/>
      <c r="E237" s="123"/>
      <c r="F237" s="28"/>
      <c r="G237" s="28"/>
      <c r="H237" s="122"/>
      <c r="I237" s="404"/>
      <c r="J237" s="134"/>
      <c r="K237" s="28"/>
      <c r="L237" s="134"/>
      <c r="M237" s="404"/>
      <c r="N237" s="123"/>
      <c r="O237" s="134"/>
      <c r="P237" s="404"/>
      <c r="Q237" s="404"/>
      <c r="R237" s="123"/>
      <c r="S237" s="22"/>
      <c r="T237" s="22"/>
      <c r="U237" s="23"/>
      <c r="V237" s="319"/>
    </row>
    <row r="238" spans="1:22">
      <c r="A238" s="228">
        <v>1</v>
      </c>
      <c r="B238" s="236" t="s">
        <v>267</v>
      </c>
      <c r="C238" s="10"/>
      <c r="D238" s="406">
        <f>E238+F238+G238+H238</f>
        <v>197</v>
      </c>
      <c r="E238" s="123"/>
      <c r="F238" s="28"/>
      <c r="G238" s="28"/>
      <c r="H238" s="122">
        <v>197</v>
      </c>
      <c r="I238" s="404">
        <f>J238+K238+L238</f>
        <v>0</v>
      </c>
      <c r="J238" s="134"/>
      <c r="K238" s="28"/>
      <c r="L238" s="134"/>
      <c r="M238" s="404">
        <f>N238+O238</f>
        <v>0</v>
      </c>
      <c r="N238" s="123"/>
      <c r="O238" s="134"/>
      <c r="P238" s="404"/>
      <c r="Q238" s="404"/>
      <c r="R238" s="123"/>
      <c r="S238" s="28"/>
      <c r="T238" s="28"/>
      <c r="U238" s="45"/>
      <c r="V238" s="319"/>
    </row>
    <row r="239" spans="1:22">
      <c r="A239" s="228">
        <v>2</v>
      </c>
      <c r="B239" s="236" t="s">
        <v>268</v>
      </c>
      <c r="C239" s="10"/>
      <c r="D239" s="406">
        <f t="shared" ref="D239:D261" si="84">E239+F239+G239+H239</f>
        <v>4949</v>
      </c>
      <c r="E239" s="123"/>
      <c r="F239" s="28">
        <v>2</v>
      </c>
      <c r="G239" s="28">
        <v>14</v>
      </c>
      <c r="H239" s="122">
        <v>4933</v>
      </c>
      <c r="I239" s="404">
        <f t="shared" ref="I239:I261" si="85">J239+K239+L239</f>
        <v>0</v>
      </c>
      <c r="J239" s="134"/>
      <c r="K239" s="28"/>
      <c r="L239" s="134"/>
      <c r="M239" s="404">
        <f t="shared" ref="M239:M261" si="86">N239+O239</f>
        <v>15</v>
      </c>
      <c r="N239" s="123"/>
      <c r="O239" s="134">
        <v>15</v>
      </c>
      <c r="P239" s="404">
        <v>15</v>
      </c>
      <c r="Q239" s="404">
        <f>R239+S239+T239+U239</f>
        <v>0</v>
      </c>
      <c r="R239" s="123"/>
      <c r="S239" s="28"/>
      <c r="T239" s="28"/>
      <c r="U239" s="45"/>
      <c r="V239" s="319"/>
    </row>
    <row r="240" spans="1:22">
      <c r="A240" s="228">
        <v>3</v>
      </c>
      <c r="B240" s="236" t="s">
        <v>269</v>
      </c>
      <c r="C240" s="10"/>
      <c r="D240" s="406">
        <f t="shared" si="84"/>
        <v>2209</v>
      </c>
      <c r="E240" s="123"/>
      <c r="F240" s="28">
        <v>9</v>
      </c>
      <c r="G240" s="28">
        <v>3</v>
      </c>
      <c r="H240" s="122">
        <v>2197</v>
      </c>
      <c r="I240" s="404">
        <f t="shared" si="85"/>
        <v>0</v>
      </c>
      <c r="J240" s="134"/>
      <c r="K240" s="28"/>
      <c r="L240" s="134"/>
      <c r="M240" s="404">
        <f t="shared" si="86"/>
        <v>4</v>
      </c>
      <c r="N240" s="123">
        <v>4</v>
      </c>
      <c r="O240" s="134"/>
      <c r="P240" s="404">
        <v>13</v>
      </c>
      <c r="Q240" s="404">
        <f t="shared" ref="Q240:Q261" si="87">R240+S240+T240+U240</f>
        <v>32</v>
      </c>
      <c r="R240" s="123"/>
      <c r="S240" s="28">
        <v>32</v>
      </c>
      <c r="T240" s="28"/>
      <c r="U240" s="45"/>
      <c r="V240" s="319"/>
    </row>
    <row r="241" spans="1:22">
      <c r="A241" s="228">
        <v>4</v>
      </c>
      <c r="B241" s="236" t="s">
        <v>270</v>
      </c>
      <c r="C241" s="10"/>
      <c r="D241" s="406">
        <f t="shared" si="84"/>
        <v>721</v>
      </c>
      <c r="E241" s="123">
        <v>4</v>
      </c>
      <c r="F241" s="28">
        <v>4</v>
      </c>
      <c r="G241" s="28">
        <v>4</v>
      </c>
      <c r="H241" s="122">
        <v>709</v>
      </c>
      <c r="I241" s="404">
        <f t="shared" si="85"/>
        <v>0</v>
      </c>
      <c r="J241" s="134"/>
      <c r="K241" s="205"/>
      <c r="L241" s="134"/>
      <c r="M241" s="404">
        <f t="shared" si="86"/>
        <v>0</v>
      </c>
      <c r="N241" s="123"/>
      <c r="O241" s="134"/>
      <c r="P241" s="404"/>
      <c r="Q241" s="404">
        <f t="shared" si="87"/>
        <v>25</v>
      </c>
      <c r="R241" s="123"/>
      <c r="S241" s="28"/>
      <c r="T241" s="28">
        <v>25</v>
      </c>
      <c r="U241" s="45"/>
      <c r="V241" s="319"/>
    </row>
    <row r="242" spans="1:22" ht="15">
      <c r="A242" s="228">
        <v>5</v>
      </c>
      <c r="B242" s="236" t="s">
        <v>271</v>
      </c>
      <c r="C242" s="248"/>
      <c r="D242" s="406">
        <f t="shared" si="84"/>
        <v>1322</v>
      </c>
      <c r="E242" s="70"/>
      <c r="F242" s="22">
        <v>5</v>
      </c>
      <c r="G242" s="22">
        <v>21</v>
      </c>
      <c r="H242" s="49">
        <v>1296</v>
      </c>
      <c r="I242" s="404">
        <f t="shared" si="85"/>
        <v>0</v>
      </c>
      <c r="J242" s="32"/>
      <c r="K242" s="28"/>
      <c r="L242" s="32"/>
      <c r="M242" s="404">
        <f t="shared" si="86"/>
        <v>0</v>
      </c>
      <c r="N242" s="70"/>
      <c r="O242" s="23"/>
      <c r="P242" s="406">
        <v>100</v>
      </c>
      <c r="Q242" s="404">
        <f t="shared" si="87"/>
        <v>0</v>
      </c>
      <c r="R242" s="70"/>
      <c r="S242" s="28"/>
      <c r="T242" s="28"/>
      <c r="U242" s="45"/>
      <c r="V242" s="319"/>
    </row>
    <row r="243" spans="1:22">
      <c r="A243" s="228">
        <v>6</v>
      </c>
      <c r="B243" s="236" t="s">
        <v>272</v>
      </c>
      <c r="C243" s="17"/>
      <c r="D243" s="406">
        <f t="shared" si="84"/>
        <v>5734</v>
      </c>
      <c r="E243" s="123">
        <v>5</v>
      </c>
      <c r="F243" s="28">
        <v>2</v>
      </c>
      <c r="G243" s="28">
        <v>79</v>
      </c>
      <c r="H243" s="122">
        <v>5648</v>
      </c>
      <c r="I243" s="404">
        <f t="shared" si="85"/>
        <v>0</v>
      </c>
      <c r="J243" s="134"/>
      <c r="K243" s="28"/>
      <c r="L243" s="134"/>
      <c r="M243" s="404">
        <f t="shared" si="86"/>
        <v>1</v>
      </c>
      <c r="N243" s="123">
        <v>1</v>
      </c>
      <c r="O243" s="134"/>
      <c r="P243" s="404"/>
      <c r="Q243" s="404">
        <f t="shared" si="87"/>
        <v>38</v>
      </c>
      <c r="R243" s="123">
        <v>15</v>
      </c>
      <c r="S243" s="28">
        <v>23</v>
      </c>
      <c r="T243" s="27"/>
      <c r="U243" s="45"/>
      <c r="V243" s="319"/>
    </row>
    <row r="244" spans="1:22">
      <c r="A244" s="228">
        <v>7</v>
      </c>
      <c r="B244" s="236" t="s">
        <v>273</v>
      </c>
      <c r="C244" s="10"/>
      <c r="D244" s="406">
        <f t="shared" si="84"/>
        <v>81</v>
      </c>
      <c r="E244" s="123"/>
      <c r="F244" s="28"/>
      <c r="G244" s="28">
        <v>4</v>
      </c>
      <c r="H244" s="122">
        <v>77</v>
      </c>
      <c r="I244" s="404">
        <f t="shared" si="85"/>
        <v>0</v>
      </c>
      <c r="J244" s="134"/>
      <c r="K244" s="28"/>
      <c r="L244" s="134"/>
      <c r="M244" s="404">
        <f t="shared" si="86"/>
        <v>0</v>
      </c>
      <c r="N244" s="123"/>
      <c r="O244" s="134"/>
      <c r="P244" s="404"/>
      <c r="Q244" s="404">
        <f t="shared" si="87"/>
        <v>0</v>
      </c>
      <c r="R244" s="123"/>
      <c r="S244" s="28"/>
      <c r="T244" s="28"/>
      <c r="U244" s="45"/>
      <c r="V244" s="319"/>
    </row>
    <row r="245" spans="1:22">
      <c r="A245" s="228">
        <v>8</v>
      </c>
      <c r="B245" s="236" t="s">
        <v>274</v>
      </c>
      <c r="C245" s="10"/>
      <c r="D245" s="406">
        <f t="shared" si="84"/>
        <v>4</v>
      </c>
      <c r="E245" s="123"/>
      <c r="F245" s="28"/>
      <c r="G245" s="28"/>
      <c r="H245" s="122">
        <v>4</v>
      </c>
      <c r="I245" s="404">
        <f t="shared" si="85"/>
        <v>0</v>
      </c>
      <c r="J245" s="134"/>
      <c r="K245" s="28"/>
      <c r="L245" s="134"/>
      <c r="M245" s="404">
        <f t="shared" si="86"/>
        <v>0</v>
      </c>
      <c r="N245" s="123"/>
      <c r="O245" s="134"/>
      <c r="P245" s="404"/>
      <c r="Q245" s="404">
        <f t="shared" si="87"/>
        <v>20</v>
      </c>
      <c r="R245" s="123">
        <v>20</v>
      </c>
      <c r="S245" s="28"/>
      <c r="T245" s="28"/>
      <c r="U245" s="45"/>
      <c r="V245" s="319"/>
    </row>
    <row r="246" spans="1:22">
      <c r="A246" s="228">
        <v>9</v>
      </c>
      <c r="B246" s="236" t="s">
        <v>275</v>
      </c>
      <c r="C246" s="10"/>
      <c r="D246" s="406">
        <f t="shared" si="84"/>
        <v>15</v>
      </c>
      <c r="E246" s="123"/>
      <c r="F246" s="28"/>
      <c r="G246" s="28"/>
      <c r="H246" s="122">
        <v>15</v>
      </c>
      <c r="I246" s="404">
        <f t="shared" si="85"/>
        <v>0</v>
      </c>
      <c r="J246" s="134"/>
      <c r="K246" s="28"/>
      <c r="L246" s="134"/>
      <c r="M246" s="404">
        <f t="shared" si="86"/>
        <v>0</v>
      </c>
      <c r="N246" s="123"/>
      <c r="O246" s="134"/>
      <c r="P246" s="404"/>
      <c r="Q246" s="404">
        <f t="shared" si="87"/>
        <v>0</v>
      </c>
      <c r="R246" s="123"/>
      <c r="S246" s="28"/>
      <c r="T246" s="28"/>
      <c r="U246" s="45"/>
      <c r="V246" s="319"/>
    </row>
    <row r="247" spans="1:22">
      <c r="A247" s="228">
        <v>10</v>
      </c>
      <c r="B247" s="236" t="s">
        <v>276</v>
      </c>
      <c r="C247" s="10"/>
      <c r="D247" s="406">
        <f t="shared" si="84"/>
        <v>24</v>
      </c>
      <c r="E247" s="123"/>
      <c r="F247" s="28"/>
      <c r="G247" s="28"/>
      <c r="H247" s="122">
        <v>24</v>
      </c>
      <c r="I247" s="404">
        <f t="shared" si="85"/>
        <v>0</v>
      </c>
      <c r="J247" s="134"/>
      <c r="K247" s="28"/>
      <c r="L247" s="134"/>
      <c r="M247" s="404">
        <f t="shared" si="86"/>
        <v>0</v>
      </c>
      <c r="N247" s="123"/>
      <c r="O247" s="134"/>
      <c r="P247" s="404"/>
      <c r="Q247" s="404">
        <f t="shared" si="87"/>
        <v>0</v>
      </c>
      <c r="R247" s="123"/>
      <c r="S247" s="28"/>
      <c r="T247" s="28"/>
      <c r="U247" s="45"/>
      <c r="V247" s="319"/>
    </row>
    <row r="248" spans="1:22" ht="15">
      <c r="A248" s="228">
        <v>11</v>
      </c>
      <c r="B248" s="236" t="s">
        <v>277</v>
      </c>
      <c r="C248" s="248"/>
      <c r="D248" s="406">
        <f t="shared" si="84"/>
        <v>745</v>
      </c>
      <c r="E248" s="70"/>
      <c r="F248" s="22"/>
      <c r="G248" s="22"/>
      <c r="H248" s="49">
        <v>745</v>
      </c>
      <c r="I248" s="404">
        <f t="shared" si="85"/>
        <v>0</v>
      </c>
      <c r="J248" s="32"/>
      <c r="K248" s="22"/>
      <c r="L248" s="32"/>
      <c r="M248" s="404">
        <f t="shared" si="86"/>
        <v>0</v>
      </c>
      <c r="N248" s="70"/>
      <c r="O248" s="23"/>
      <c r="P248" s="406"/>
      <c r="Q248" s="404">
        <f t="shared" si="87"/>
        <v>0</v>
      </c>
      <c r="R248" s="70"/>
      <c r="S248" s="28"/>
      <c r="T248" s="28"/>
      <c r="U248" s="45"/>
      <c r="V248" s="319"/>
    </row>
    <row r="249" spans="1:22">
      <c r="A249" s="228">
        <v>12</v>
      </c>
      <c r="B249" s="236" t="s">
        <v>278</v>
      </c>
      <c r="C249" s="17"/>
      <c r="D249" s="406">
        <f t="shared" si="84"/>
        <v>755</v>
      </c>
      <c r="E249" s="123"/>
      <c r="F249" s="28">
        <v>3</v>
      </c>
      <c r="G249" s="28"/>
      <c r="H249" s="122">
        <v>752</v>
      </c>
      <c r="I249" s="404">
        <f t="shared" si="85"/>
        <v>0</v>
      </c>
      <c r="J249" s="134"/>
      <c r="K249" s="28"/>
      <c r="L249" s="134"/>
      <c r="M249" s="404">
        <f t="shared" si="86"/>
        <v>0</v>
      </c>
      <c r="N249" s="123"/>
      <c r="O249" s="134"/>
      <c r="P249" s="404"/>
      <c r="Q249" s="404">
        <f t="shared" si="87"/>
        <v>0</v>
      </c>
      <c r="R249" s="123"/>
      <c r="S249" s="28"/>
      <c r="T249" s="27"/>
      <c r="U249" s="45"/>
      <c r="V249" s="319"/>
    </row>
    <row r="250" spans="1:22">
      <c r="A250" s="228">
        <v>13</v>
      </c>
      <c r="B250" s="236" t="s">
        <v>279</v>
      </c>
      <c r="C250" s="10"/>
      <c r="D250" s="406">
        <f t="shared" si="84"/>
        <v>300</v>
      </c>
      <c r="E250" s="123"/>
      <c r="F250" s="28"/>
      <c r="G250" s="28"/>
      <c r="H250" s="122">
        <v>300</v>
      </c>
      <c r="I250" s="404">
        <f t="shared" si="85"/>
        <v>0</v>
      </c>
      <c r="J250" s="134"/>
      <c r="K250" s="28"/>
      <c r="L250" s="134"/>
      <c r="M250" s="404">
        <f t="shared" si="86"/>
        <v>0</v>
      </c>
      <c r="N250" s="123"/>
      <c r="O250" s="134"/>
      <c r="P250" s="404"/>
      <c r="Q250" s="404">
        <f t="shared" si="87"/>
        <v>0</v>
      </c>
      <c r="R250" s="123"/>
      <c r="S250" s="28"/>
      <c r="T250" s="28"/>
      <c r="U250" s="45"/>
      <c r="V250" s="319"/>
    </row>
    <row r="251" spans="1:22">
      <c r="A251" s="228">
        <v>14</v>
      </c>
      <c r="B251" s="236" t="s">
        <v>280</v>
      </c>
      <c r="C251" s="10"/>
      <c r="D251" s="406">
        <f t="shared" si="84"/>
        <v>740</v>
      </c>
      <c r="E251" s="123"/>
      <c r="F251" s="28"/>
      <c r="G251" s="28"/>
      <c r="H251" s="122">
        <v>740</v>
      </c>
      <c r="I251" s="404">
        <f t="shared" si="85"/>
        <v>0</v>
      </c>
      <c r="J251" s="134"/>
      <c r="K251" s="28"/>
      <c r="L251" s="134"/>
      <c r="M251" s="404">
        <f t="shared" si="86"/>
        <v>0</v>
      </c>
      <c r="N251" s="123"/>
      <c r="O251" s="134"/>
      <c r="P251" s="404"/>
      <c r="Q251" s="404">
        <f t="shared" si="87"/>
        <v>0</v>
      </c>
      <c r="R251" s="123"/>
      <c r="S251" s="28"/>
      <c r="T251" s="28"/>
      <c r="U251" s="45"/>
      <c r="V251" s="319"/>
    </row>
    <row r="252" spans="1:22">
      <c r="A252" s="228">
        <v>15</v>
      </c>
      <c r="B252" s="236" t="s">
        <v>281</v>
      </c>
      <c r="C252" s="10"/>
      <c r="D252" s="406">
        <f t="shared" si="84"/>
        <v>22</v>
      </c>
      <c r="E252" s="123"/>
      <c r="F252" s="28"/>
      <c r="G252" s="28"/>
      <c r="H252" s="122">
        <v>22</v>
      </c>
      <c r="I252" s="404">
        <f t="shared" si="85"/>
        <v>0</v>
      </c>
      <c r="J252" s="134"/>
      <c r="K252" s="28"/>
      <c r="L252" s="134"/>
      <c r="M252" s="404">
        <f t="shared" si="86"/>
        <v>0</v>
      </c>
      <c r="N252" s="123"/>
      <c r="O252" s="134"/>
      <c r="P252" s="404"/>
      <c r="Q252" s="404">
        <f t="shared" si="87"/>
        <v>0</v>
      </c>
      <c r="R252" s="123"/>
      <c r="S252" s="28"/>
      <c r="T252" s="205"/>
      <c r="U252" s="45"/>
      <c r="V252" s="319"/>
    </row>
    <row r="253" spans="1:22">
      <c r="A253" s="228">
        <v>16</v>
      </c>
      <c r="B253" s="236" t="s">
        <v>282</v>
      </c>
      <c r="C253" s="10"/>
      <c r="D253" s="406">
        <f t="shared" si="84"/>
        <v>3160</v>
      </c>
      <c r="E253" s="123"/>
      <c r="F253" s="28"/>
      <c r="G253" s="28">
        <v>391</v>
      </c>
      <c r="H253" s="122">
        <v>2769</v>
      </c>
      <c r="I253" s="404">
        <f t="shared" si="85"/>
        <v>0</v>
      </c>
      <c r="J253" s="134"/>
      <c r="K253" s="28"/>
      <c r="L253" s="134"/>
      <c r="M253" s="404">
        <f t="shared" si="86"/>
        <v>0</v>
      </c>
      <c r="N253" s="123"/>
      <c r="O253" s="134"/>
      <c r="P253" s="404"/>
      <c r="Q253" s="404">
        <f t="shared" si="87"/>
        <v>1081</v>
      </c>
      <c r="R253" s="123"/>
      <c r="S253" s="28">
        <v>1079</v>
      </c>
      <c r="T253" s="205"/>
      <c r="U253" s="45">
        <v>2</v>
      </c>
      <c r="V253" s="319"/>
    </row>
    <row r="254" spans="1:22" ht="15">
      <c r="A254" s="228">
        <v>17</v>
      </c>
      <c r="B254" s="236" t="s">
        <v>283</v>
      </c>
      <c r="C254" s="248"/>
      <c r="D254" s="406">
        <f t="shared" si="84"/>
        <v>1484</v>
      </c>
      <c r="E254" s="70"/>
      <c r="F254" s="22"/>
      <c r="G254" s="22">
        <v>3</v>
      </c>
      <c r="H254" s="49">
        <v>1481</v>
      </c>
      <c r="I254" s="404">
        <f t="shared" si="85"/>
        <v>0</v>
      </c>
      <c r="J254" s="32"/>
      <c r="K254" s="22"/>
      <c r="L254" s="32"/>
      <c r="M254" s="404">
        <f t="shared" si="86"/>
        <v>0</v>
      </c>
      <c r="N254" s="70"/>
      <c r="O254" s="23"/>
      <c r="P254" s="406"/>
      <c r="Q254" s="404">
        <f t="shared" si="87"/>
        <v>0</v>
      </c>
      <c r="R254" s="70"/>
      <c r="S254" s="28"/>
      <c r="T254" s="28"/>
      <c r="U254" s="45"/>
      <c r="V254" s="319"/>
    </row>
    <row r="255" spans="1:22">
      <c r="A255" s="228">
        <v>18</v>
      </c>
      <c r="B255" s="236" t="s">
        <v>284</v>
      </c>
      <c r="C255" s="17"/>
      <c r="D255" s="406">
        <f t="shared" si="84"/>
        <v>396</v>
      </c>
      <c r="E255" s="123"/>
      <c r="F255" s="28"/>
      <c r="G255" s="28"/>
      <c r="H255" s="122">
        <v>396</v>
      </c>
      <c r="I255" s="404">
        <f t="shared" si="85"/>
        <v>0</v>
      </c>
      <c r="J255" s="134"/>
      <c r="K255" s="28"/>
      <c r="L255" s="134"/>
      <c r="M255" s="404">
        <f t="shared" si="86"/>
        <v>0</v>
      </c>
      <c r="N255" s="123"/>
      <c r="O255" s="134"/>
      <c r="P255" s="404"/>
      <c r="Q255" s="404">
        <f t="shared" si="87"/>
        <v>0</v>
      </c>
      <c r="R255" s="123"/>
      <c r="S255" s="28"/>
      <c r="T255" s="28"/>
      <c r="U255" s="21"/>
      <c r="V255" s="319"/>
    </row>
    <row r="256" spans="1:22">
      <c r="A256" s="228">
        <v>19</v>
      </c>
      <c r="B256" s="236" t="s">
        <v>285</v>
      </c>
      <c r="C256" s="10"/>
      <c r="D256" s="406">
        <f t="shared" si="84"/>
        <v>507</v>
      </c>
      <c r="E256" s="123"/>
      <c r="F256" s="28">
        <v>1</v>
      </c>
      <c r="G256" s="28"/>
      <c r="H256" s="122">
        <v>506</v>
      </c>
      <c r="I256" s="404">
        <f t="shared" si="85"/>
        <v>0</v>
      </c>
      <c r="J256" s="134"/>
      <c r="K256" s="28"/>
      <c r="L256" s="134"/>
      <c r="M256" s="404">
        <f t="shared" si="86"/>
        <v>0</v>
      </c>
      <c r="N256" s="123"/>
      <c r="O256" s="134"/>
      <c r="P256" s="404"/>
      <c r="Q256" s="404">
        <f t="shared" si="87"/>
        <v>0</v>
      </c>
      <c r="R256" s="123"/>
      <c r="S256" s="28"/>
      <c r="T256" s="27"/>
      <c r="U256" s="45"/>
      <c r="V256" s="319"/>
    </row>
    <row r="257" spans="1:22">
      <c r="A257" s="228">
        <v>20</v>
      </c>
      <c r="B257" s="236" t="s">
        <v>286</v>
      </c>
      <c r="C257" s="10"/>
      <c r="D257" s="406">
        <f t="shared" si="84"/>
        <v>311</v>
      </c>
      <c r="E257" s="123"/>
      <c r="F257" s="28"/>
      <c r="G257" s="28"/>
      <c r="H257" s="122">
        <v>311</v>
      </c>
      <c r="I257" s="404">
        <f t="shared" si="85"/>
        <v>0</v>
      </c>
      <c r="J257" s="134"/>
      <c r="K257" s="28"/>
      <c r="L257" s="134"/>
      <c r="M257" s="404">
        <f t="shared" si="86"/>
        <v>0</v>
      </c>
      <c r="N257" s="123"/>
      <c r="O257" s="134"/>
      <c r="P257" s="404"/>
      <c r="Q257" s="404">
        <f t="shared" si="87"/>
        <v>0</v>
      </c>
      <c r="R257" s="123"/>
      <c r="S257" s="28"/>
      <c r="T257" s="28"/>
      <c r="U257" s="21"/>
      <c r="V257" s="319"/>
    </row>
    <row r="258" spans="1:22">
      <c r="A258" s="228">
        <v>21</v>
      </c>
      <c r="B258" s="236" t="s">
        <v>287</v>
      </c>
      <c r="C258" s="10"/>
      <c r="D258" s="406">
        <f t="shared" si="84"/>
        <v>1</v>
      </c>
      <c r="E258" s="123"/>
      <c r="F258" s="28"/>
      <c r="G258" s="28"/>
      <c r="H258" s="122">
        <v>1</v>
      </c>
      <c r="I258" s="404">
        <f t="shared" si="85"/>
        <v>0</v>
      </c>
      <c r="J258" s="134"/>
      <c r="K258" s="28"/>
      <c r="L258" s="134"/>
      <c r="M258" s="404">
        <f t="shared" si="86"/>
        <v>0</v>
      </c>
      <c r="N258" s="123"/>
      <c r="O258" s="134"/>
      <c r="P258" s="404"/>
      <c r="Q258" s="404">
        <f t="shared" si="87"/>
        <v>0</v>
      </c>
      <c r="R258" s="123"/>
      <c r="S258" s="28"/>
      <c r="T258" s="27"/>
      <c r="U258" s="45"/>
      <c r="V258" s="319"/>
    </row>
    <row r="259" spans="1:22">
      <c r="A259" s="228">
        <v>22</v>
      </c>
      <c r="B259" s="236" t="s">
        <v>288</v>
      </c>
      <c r="C259" s="10"/>
      <c r="D259" s="406">
        <f t="shared" si="84"/>
        <v>2864</v>
      </c>
      <c r="E259" s="123"/>
      <c r="F259" s="28">
        <v>480</v>
      </c>
      <c r="G259" s="28">
        <v>10</v>
      </c>
      <c r="H259" s="122">
        <v>2374</v>
      </c>
      <c r="I259" s="404">
        <f t="shared" si="85"/>
        <v>0</v>
      </c>
      <c r="J259" s="134"/>
      <c r="K259" s="28"/>
      <c r="L259" s="134"/>
      <c r="M259" s="404">
        <f t="shared" si="86"/>
        <v>0</v>
      </c>
      <c r="N259" s="123"/>
      <c r="O259" s="134"/>
      <c r="P259" s="404"/>
      <c r="Q259" s="404">
        <f t="shared" si="87"/>
        <v>0</v>
      </c>
      <c r="R259" s="123"/>
      <c r="S259" s="28"/>
      <c r="T259" s="28"/>
      <c r="U259" s="45"/>
      <c r="V259" s="319"/>
    </row>
    <row r="260" spans="1:22">
      <c r="A260" s="228">
        <v>23</v>
      </c>
      <c r="B260" s="236" t="s">
        <v>289</v>
      </c>
      <c r="C260" s="10"/>
      <c r="D260" s="406">
        <f t="shared" si="84"/>
        <v>707</v>
      </c>
      <c r="E260" s="32"/>
      <c r="F260" s="22"/>
      <c r="G260" s="32"/>
      <c r="H260" s="49">
        <v>707</v>
      </c>
      <c r="I260" s="404">
        <f t="shared" si="85"/>
        <v>0</v>
      </c>
      <c r="J260" s="70"/>
      <c r="K260" s="32"/>
      <c r="L260" s="23"/>
      <c r="M260" s="404">
        <f t="shared" si="86"/>
        <v>0</v>
      </c>
      <c r="N260" s="32"/>
      <c r="O260" s="23"/>
      <c r="P260" s="406">
        <v>50</v>
      </c>
      <c r="Q260" s="404">
        <f t="shared" si="87"/>
        <v>0</v>
      </c>
      <c r="R260" s="70"/>
      <c r="S260" s="28"/>
      <c r="T260" s="28"/>
      <c r="U260" s="45"/>
      <c r="V260" s="319"/>
    </row>
    <row r="261" spans="1:22" ht="15">
      <c r="A261" s="228">
        <v>24</v>
      </c>
      <c r="B261" s="236" t="s">
        <v>290</v>
      </c>
      <c r="C261" s="248"/>
      <c r="D261" s="406">
        <f t="shared" si="84"/>
        <v>585</v>
      </c>
      <c r="E261" s="70"/>
      <c r="F261" s="22">
        <v>12</v>
      </c>
      <c r="G261" s="22">
        <v>68</v>
      </c>
      <c r="H261" s="49">
        <v>505</v>
      </c>
      <c r="I261" s="404">
        <f t="shared" si="85"/>
        <v>0</v>
      </c>
      <c r="J261" s="32"/>
      <c r="K261" s="22"/>
      <c r="L261" s="32"/>
      <c r="M261" s="404">
        <f t="shared" si="86"/>
        <v>0</v>
      </c>
      <c r="N261" s="70"/>
      <c r="O261" s="23"/>
      <c r="P261" s="406"/>
      <c r="Q261" s="404">
        <f t="shared" si="87"/>
        <v>0</v>
      </c>
      <c r="R261" s="70"/>
      <c r="S261" s="28"/>
      <c r="T261" s="28"/>
      <c r="U261" s="45"/>
      <c r="V261" s="319"/>
    </row>
    <row r="262" spans="1:22">
      <c r="A262" s="215"/>
      <c r="B262" s="203"/>
      <c r="C262" s="16"/>
      <c r="D262" s="312"/>
      <c r="E262" s="210"/>
      <c r="F262" s="206"/>
      <c r="G262" s="206"/>
      <c r="H262" s="298"/>
      <c r="I262" s="410"/>
      <c r="J262" s="256"/>
      <c r="K262" s="206"/>
      <c r="L262" s="256"/>
      <c r="M262" s="410"/>
      <c r="N262" s="210"/>
      <c r="O262" s="256"/>
      <c r="P262" s="410"/>
      <c r="Q262" s="410"/>
      <c r="R262" s="210"/>
      <c r="S262" s="206"/>
      <c r="T262" s="206"/>
      <c r="U262" s="317"/>
      <c r="V262" s="319"/>
    </row>
    <row r="263" spans="1:22" ht="15">
      <c r="A263" s="216" t="s">
        <v>295</v>
      </c>
      <c r="B263" s="239"/>
      <c r="C263" s="10"/>
      <c r="D263" s="408">
        <f>SUM(D238:D262)</f>
        <v>27833</v>
      </c>
      <c r="E263" s="272">
        <f t="shared" ref="E263:F263" si="88">SUM(E238:E262)</f>
        <v>9</v>
      </c>
      <c r="F263" s="51">
        <f t="shared" si="88"/>
        <v>518</v>
      </c>
      <c r="G263" s="51">
        <f t="shared" ref="G263" si="89">SUM(G238:G262)</f>
        <v>597</v>
      </c>
      <c r="H263" s="422">
        <f t="shared" ref="H263" si="90">SUM(H238:H262)</f>
        <v>26709</v>
      </c>
      <c r="I263" s="408">
        <f t="shared" ref="I263" si="91">SUM(I238:I262)</f>
        <v>0</v>
      </c>
      <c r="J263" s="423">
        <f t="shared" ref="J263" si="92">SUM(J238:J262)</f>
        <v>0</v>
      </c>
      <c r="K263" s="51">
        <f t="shared" ref="K263" si="93">SUM(K238:K262)</f>
        <v>0</v>
      </c>
      <c r="L263" s="422">
        <f t="shared" ref="L263" si="94">SUM(L238:L262)</f>
        <v>0</v>
      </c>
      <c r="M263" s="404">
        <f>SUM(M238:M262)</f>
        <v>20</v>
      </c>
      <c r="N263" s="423">
        <f t="shared" ref="N263" si="95">SUM(N238:N262)</f>
        <v>5</v>
      </c>
      <c r="O263" s="422">
        <f t="shared" ref="O263" si="96">SUM(O238:O262)</f>
        <v>15</v>
      </c>
      <c r="P263" s="408">
        <f t="shared" ref="P263" si="97">SUM(P238:P262)</f>
        <v>178</v>
      </c>
      <c r="Q263" s="408">
        <f t="shared" ref="Q263" si="98">SUM(Q238:Q262)</f>
        <v>1196</v>
      </c>
      <c r="R263" s="423">
        <f t="shared" ref="R263" si="99">SUM(R238:R262)</f>
        <v>35</v>
      </c>
      <c r="S263" s="51">
        <f t="shared" ref="S263" si="100">SUM(S238:S262)</f>
        <v>1134</v>
      </c>
      <c r="T263" s="51">
        <f t="shared" ref="T263" si="101">SUM(T238:T262)</f>
        <v>25</v>
      </c>
      <c r="U263" s="51">
        <f t="shared" ref="U263" si="102">SUM(U238:U262)</f>
        <v>2</v>
      </c>
      <c r="V263" s="319"/>
    </row>
    <row r="264" spans="1:22" ht="15" thickBot="1">
      <c r="A264" s="217"/>
      <c r="B264" s="104"/>
      <c r="C264" s="251"/>
      <c r="D264" s="119"/>
      <c r="E264" s="209"/>
      <c r="F264" s="208"/>
      <c r="G264" s="208"/>
      <c r="H264" s="299"/>
      <c r="I264" s="411"/>
      <c r="J264" s="253"/>
      <c r="K264" s="208"/>
      <c r="L264" s="253"/>
      <c r="M264" s="411"/>
      <c r="N264" s="209"/>
      <c r="O264" s="253"/>
      <c r="P264" s="411"/>
      <c r="Q264" s="411"/>
      <c r="R264" s="209"/>
      <c r="S264" s="213"/>
      <c r="T264" s="213"/>
      <c r="U264" s="318"/>
      <c r="V264" s="319"/>
    </row>
    <row r="265" spans="1:22" ht="15" thickTop="1">
      <c r="C265" s="31"/>
      <c r="D265" s="32"/>
      <c r="E265" s="134"/>
      <c r="F265" s="134"/>
      <c r="G265" s="134"/>
      <c r="H265" s="134"/>
      <c r="I265" s="134"/>
      <c r="J265" s="134"/>
      <c r="K265" s="134"/>
      <c r="L265" s="134"/>
      <c r="M265" s="134"/>
      <c r="N265" s="134"/>
      <c r="O265" s="134"/>
      <c r="P265" s="134"/>
      <c r="Q265" s="134"/>
      <c r="R265" s="134"/>
      <c r="S265" s="134"/>
      <c r="T265" s="134"/>
      <c r="U265" s="134"/>
    </row>
    <row r="266" spans="1:22">
      <c r="C266" s="31"/>
      <c r="D266" s="32"/>
      <c r="E266" s="134"/>
      <c r="F266" s="134"/>
      <c r="G266" s="134"/>
      <c r="H266" s="134"/>
      <c r="I266" s="134"/>
      <c r="J266" s="134"/>
      <c r="K266" s="134"/>
      <c r="L266" s="134"/>
      <c r="M266" s="134"/>
      <c r="N266" s="134"/>
      <c r="O266" s="134"/>
      <c r="P266" s="134"/>
      <c r="Q266" s="134"/>
      <c r="R266" s="134"/>
      <c r="S266" s="134"/>
      <c r="T266" s="134"/>
      <c r="U266" s="134"/>
    </row>
    <row r="267" spans="1:22" ht="15">
      <c r="C267" s="249"/>
      <c r="D267" s="31"/>
      <c r="E267" s="31"/>
      <c r="F267" s="31"/>
      <c r="G267" s="31"/>
      <c r="H267" s="31"/>
      <c r="I267" s="31"/>
      <c r="J267" s="31"/>
      <c r="K267" s="31"/>
      <c r="L267" s="31"/>
      <c r="M267" s="31"/>
      <c r="N267" s="31"/>
      <c r="O267" s="31"/>
      <c r="P267" s="31"/>
      <c r="Q267" s="31"/>
      <c r="R267" s="31"/>
      <c r="S267" s="31"/>
      <c r="T267" s="31"/>
      <c r="U267" s="31"/>
    </row>
    <row r="268" spans="1:22">
      <c r="C268" s="47"/>
      <c r="D268" s="32"/>
      <c r="E268" s="134"/>
      <c r="F268" s="134"/>
      <c r="G268" s="134"/>
      <c r="H268" s="134"/>
      <c r="I268" s="134"/>
      <c r="J268" s="134"/>
      <c r="K268" s="134"/>
      <c r="L268" s="134"/>
      <c r="M268" s="134"/>
      <c r="N268" s="134"/>
      <c r="O268" s="134"/>
      <c r="P268" s="134"/>
      <c r="Q268" s="134"/>
      <c r="R268" s="134"/>
      <c r="S268" s="134"/>
      <c r="T268" s="134"/>
      <c r="U268" s="134"/>
    </row>
    <row r="269" spans="1:22">
      <c r="C269" s="31"/>
      <c r="D269" s="32"/>
      <c r="E269" s="134"/>
      <c r="F269" s="134"/>
      <c r="G269" s="134"/>
      <c r="H269" s="134"/>
      <c r="I269" s="134"/>
      <c r="J269" s="134"/>
      <c r="K269" s="134"/>
      <c r="L269" s="134"/>
      <c r="M269" s="134"/>
      <c r="N269" s="134"/>
      <c r="O269" s="134"/>
      <c r="P269" s="134"/>
      <c r="Q269" s="134"/>
      <c r="R269" s="134"/>
      <c r="S269" s="134"/>
      <c r="T269" s="134"/>
      <c r="U269" s="134"/>
    </row>
    <row r="270" spans="1:22">
      <c r="C270" s="31"/>
      <c r="D270" s="32"/>
      <c r="E270" s="134"/>
      <c r="F270" s="134"/>
      <c r="G270" s="134"/>
      <c r="H270" s="134"/>
      <c r="I270" s="134"/>
      <c r="J270" s="134"/>
      <c r="K270" s="134"/>
      <c r="L270" s="134"/>
      <c r="M270" s="134"/>
      <c r="N270" s="134"/>
      <c r="O270" s="134"/>
      <c r="P270" s="134"/>
      <c r="Q270" s="134"/>
      <c r="R270" s="134"/>
      <c r="S270" s="134"/>
      <c r="T270" s="134"/>
      <c r="U270" s="134"/>
    </row>
    <row r="271" spans="1:22">
      <c r="C271" s="31"/>
      <c r="D271" s="32"/>
      <c r="E271" s="134"/>
      <c r="F271" s="134"/>
      <c r="G271" s="134"/>
      <c r="H271" s="134"/>
      <c r="I271" s="134"/>
      <c r="J271" s="134"/>
      <c r="K271" s="134"/>
      <c r="L271" s="134"/>
      <c r="M271" s="134"/>
      <c r="N271" s="134"/>
      <c r="O271" s="134"/>
      <c r="P271" s="134"/>
      <c r="Q271" s="134"/>
      <c r="R271" s="134"/>
      <c r="S271" s="134"/>
      <c r="T271" s="134"/>
      <c r="U271" s="134"/>
    </row>
    <row r="272" spans="1:22">
      <c r="C272" s="31"/>
      <c r="D272" s="32"/>
      <c r="E272" s="134"/>
      <c r="F272" s="134"/>
      <c r="G272" s="134"/>
      <c r="H272" s="134"/>
      <c r="I272" s="134"/>
      <c r="J272" s="134"/>
      <c r="K272" s="134"/>
      <c r="L272" s="134"/>
      <c r="M272" s="134"/>
      <c r="N272" s="134"/>
      <c r="O272" s="134"/>
      <c r="P272" s="134"/>
      <c r="Q272" s="134"/>
      <c r="R272" s="134"/>
      <c r="S272" s="134"/>
      <c r="T272" s="134"/>
      <c r="U272" s="134"/>
    </row>
  </sheetData>
  <mergeCells count="6">
    <mergeCell ref="D4:H5"/>
    <mergeCell ref="I4:L5"/>
    <mergeCell ref="P4:P9"/>
    <mergeCell ref="Q4:U5"/>
    <mergeCell ref="C5:C9"/>
    <mergeCell ref="M4:O5"/>
  </mergeCell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1"/>
  </sheetPr>
  <dimension ref="A2:Q271"/>
  <sheetViews>
    <sheetView topLeftCell="B241" workbookViewId="0">
      <selection activeCell="A2" sqref="A2"/>
    </sheetView>
  </sheetViews>
  <sheetFormatPr baseColWidth="10" defaultColWidth="8.83203125" defaultRowHeight="14" x14ac:dyDescent="0"/>
  <cols>
    <col min="1" max="1" width="31.5" customWidth="1"/>
    <col min="2" max="2" width="21.5" customWidth="1"/>
    <col min="3" max="3" width="10.1640625" customWidth="1"/>
    <col min="4" max="4" width="11.5" customWidth="1"/>
    <col min="5" max="5" width="12.1640625" customWidth="1"/>
    <col min="6" max="6" width="10.1640625" customWidth="1"/>
    <col min="7" max="7" width="13.5" customWidth="1"/>
    <col min="8" max="8" width="10.6640625" customWidth="1"/>
    <col min="9" max="9" width="11.83203125" customWidth="1"/>
    <col min="10" max="10" width="11" customWidth="1"/>
    <col min="11" max="11" width="12.6640625" customWidth="1"/>
    <col min="12" max="12" width="12" customWidth="1"/>
    <col min="13" max="13" width="12.1640625" customWidth="1"/>
    <col min="14" max="14" width="14" customWidth="1"/>
    <col min="15" max="15" width="11.5" customWidth="1"/>
    <col min="16" max="16" width="11.33203125" customWidth="1"/>
    <col min="17" max="17" width="13.1640625" customWidth="1"/>
  </cols>
  <sheetData>
    <row r="2" spans="1:17" ht="18">
      <c r="A2" s="705" t="s">
        <v>415</v>
      </c>
      <c r="B2" s="262" t="s">
        <v>416</v>
      </c>
    </row>
    <row r="3" spans="1:17" ht="19" thickBot="1">
      <c r="A3" s="278"/>
    </row>
    <row r="4" spans="1:17" ht="15" thickTop="1">
      <c r="A4" s="33"/>
      <c r="B4" s="7"/>
      <c r="C4" s="710" t="s">
        <v>306</v>
      </c>
      <c r="D4" s="721" t="s">
        <v>408</v>
      </c>
      <c r="E4" s="722"/>
      <c r="F4" s="721" t="s">
        <v>409</v>
      </c>
      <c r="G4" s="722"/>
      <c r="H4" s="721" t="s">
        <v>410</v>
      </c>
      <c r="I4" s="722"/>
      <c r="J4" s="721" t="s">
        <v>411</v>
      </c>
      <c r="K4" s="722"/>
      <c r="L4" s="721" t="s">
        <v>412</v>
      </c>
      <c r="M4" s="722"/>
      <c r="N4" s="721" t="s">
        <v>413</v>
      </c>
      <c r="O4" s="722"/>
      <c r="P4" s="721" t="s">
        <v>414</v>
      </c>
      <c r="Q4" s="725"/>
    </row>
    <row r="5" spans="1:17">
      <c r="A5" s="140" t="s">
        <v>42</v>
      </c>
      <c r="B5" s="97"/>
      <c r="C5" s="712"/>
      <c r="D5" s="723"/>
      <c r="E5" s="724"/>
      <c r="F5" s="723"/>
      <c r="G5" s="724"/>
      <c r="H5" s="723"/>
      <c r="I5" s="724"/>
      <c r="J5" s="723"/>
      <c r="K5" s="724"/>
      <c r="L5" s="723"/>
      <c r="M5" s="724"/>
      <c r="N5" s="723"/>
      <c r="O5" s="724"/>
      <c r="P5" s="723"/>
      <c r="Q5" s="726"/>
    </row>
    <row r="6" spans="1:17" s="31" customFormat="1">
      <c r="A6" s="140"/>
      <c r="B6" s="97"/>
      <c r="C6" s="380"/>
      <c r="D6" s="380"/>
      <c r="E6" s="61"/>
      <c r="F6" s="380"/>
      <c r="G6" s="61"/>
      <c r="H6" s="380"/>
      <c r="I6" s="61"/>
      <c r="J6" s="380"/>
      <c r="K6" s="61"/>
      <c r="L6" s="380"/>
      <c r="M6" s="61"/>
      <c r="N6" s="380"/>
      <c r="O6" s="61"/>
      <c r="P6" s="380"/>
      <c r="Q6" s="326"/>
    </row>
    <row r="7" spans="1:17">
      <c r="A7" s="141">
        <v>4145</v>
      </c>
      <c r="B7" s="241"/>
      <c r="C7" s="243"/>
      <c r="D7" s="325" t="s">
        <v>374</v>
      </c>
      <c r="E7" s="18" t="s">
        <v>375</v>
      </c>
      <c r="F7" s="325" t="s">
        <v>374</v>
      </c>
      <c r="G7" s="18" t="s">
        <v>375</v>
      </c>
      <c r="H7" s="325" t="s">
        <v>374</v>
      </c>
      <c r="I7" s="18" t="s">
        <v>375</v>
      </c>
      <c r="J7" s="325" t="s">
        <v>374</v>
      </c>
      <c r="K7" s="18" t="s">
        <v>375</v>
      </c>
      <c r="L7" s="325" t="s">
        <v>374</v>
      </c>
      <c r="M7" s="18" t="s">
        <v>375</v>
      </c>
      <c r="N7" s="325" t="s">
        <v>374</v>
      </c>
      <c r="O7" s="18" t="s">
        <v>375</v>
      </c>
      <c r="P7" s="325" t="s">
        <v>374</v>
      </c>
      <c r="Q7" s="360" t="s">
        <v>375</v>
      </c>
    </row>
    <row r="8" spans="1:17">
      <c r="A8" s="3"/>
      <c r="B8" s="5"/>
      <c r="C8" s="34"/>
      <c r="D8" s="34"/>
      <c r="E8" s="14"/>
      <c r="F8" s="34"/>
      <c r="G8" s="14"/>
      <c r="H8" s="34"/>
      <c r="I8" s="14"/>
      <c r="J8" s="34"/>
      <c r="K8" s="14"/>
      <c r="L8" s="34"/>
      <c r="M8" s="14"/>
      <c r="N8" s="34"/>
      <c r="O8" s="14"/>
      <c r="P8" s="34"/>
      <c r="Q8" s="330"/>
    </row>
    <row r="9" spans="1:17">
      <c r="A9" s="31"/>
      <c r="B9" s="4"/>
      <c r="C9" s="10"/>
      <c r="D9" s="38"/>
      <c r="E9" s="123"/>
      <c r="F9" s="38"/>
      <c r="G9" s="123"/>
      <c r="H9" s="38"/>
      <c r="I9" s="123"/>
      <c r="J9" s="38"/>
      <c r="K9" s="123"/>
      <c r="L9" s="38"/>
      <c r="M9" s="123"/>
      <c r="N9" s="38"/>
      <c r="O9" s="123"/>
      <c r="P9" s="38"/>
      <c r="Q9" s="424"/>
    </row>
    <row r="10" spans="1:17">
      <c r="A10" s="145" t="s">
        <v>61</v>
      </c>
      <c r="B10" s="235"/>
      <c r="C10" s="244"/>
      <c r="D10" s="433">
        <f>SUM(D13:D16)</f>
        <v>11440777</v>
      </c>
      <c r="E10" s="388">
        <f t="shared" ref="E10:Q10" si="0">SUM(E13:E16)</f>
        <v>2442337</v>
      </c>
      <c r="F10" s="433">
        <f t="shared" si="0"/>
        <v>7252641</v>
      </c>
      <c r="G10" s="388">
        <f t="shared" si="0"/>
        <v>713088</v>
      </c>
      <c r="H10" s="433">
        <f t="shared" si="0"/>
        <v>2626834</v>
      </c>
      <c r="I10" s="388">
        <f t="shared" si="0"/>
        <v>231795</v>
      </c>
      <c r="J10" s="433">
        <f t="shared" si="0"/>
        <v>5369590</v>
      </c>
      <c r="K10" s="388">
        <f t="shared" si="0"/>
        <v>686916</v>
      </c>
      <c r="L10" s="433">
        <f t="shared" si="0"/>
        <v>17328184</v>
      </c>
      <c r="M10" s="388">
        <f t="shared" si="0"/>
        <v>2162274</v>
      </c>
      <c r="N10" s="433">
        <f t="shared" si="0"/>
        <v>5103714</v>
      </c>
      <c r="O10" s="388">
        <f t="shared" si="0"/>
        <v>487983</v>
      </c>
      <c r="P10" s="433">
        <f t="shared" si="0"/>
        <v>10510882</v>
      </c>
      <c r="Q10" s="389">
        <f t="shared" si="0"/>
        <v>2397459</v>
      </c>
    </row>
    <row r="11" spans="1:17" ht="15" thickBot="1">
      <c r="A11" s="47" t="s">
        <v>62</v>
      </c>
      <c r="B11" s="8"/>
      <c r="C11" s="17"/>
      <c r="D11" s="337"/>
      <c r="E11" s="338"/>
      <c r="F11" s="337"/>
      <c r="G11" s="338"/>
      <c r="H11" s="337"/>
      <c r="I11" s="338"/>
      <c r="J11" s="337"/>
      <c r="K11" s="338"/>
      <c r="L11" s="337"/>
      <c r="M11" s="338"/>
      <c r="N11" s="337"/>
      <c r="O11" s="338"/>
      <c r="P11" s="337"/>
      <c r="Q11" s="426"/>
    </row>
    <row r="12" spans="1:17">
      <c r="A12" s="47"/>
      <c r="B12" s="8"/>
      <c r="C12" s="17"/>
      <c r="D12" s="340"/>
      <c r="E12" s="341"/>
      <c r="F12" s="340"/>
      <c r="G12" s="341"/>
      <c r="H12" s="340"/>
      <c r="I12" s="341"/>
      <c r="J12" s="340"/>
      <c r="K12" s="341"/>
      <c r="L12" s="340"/>
      <c r="M12" s="341"/>
      <c r="N12" s="340"/>
      <c r="O12" s="341"/>
      <c r="P12" s="340"/>
      <c r="Q12" s="425"/>
    </row>
    <row r="13" spans="1:17">
      <c r="A13" s="31" t="s">
        <v>4</v>
      </c>
      <c r="B13" s="4"/>
      <c r="C13" s="10"/>
      <c r="D13" s="340">
        <v>10957894</v>
      </c>
      <c r="E13" s="341">
        <v>2354944</v>
      </c>
      <c r="F13" s="340">
        <v>7237795</v>
      </c>
      <c r="G13" s="341">
        <v>700160</v>
      </c>
      <c r="H13" s="340">
        <v>2519541</v>
      </c>
      <c r="I13" s="341">
        <v>206978</v>
      </c>
      <c r="J13" s="340">
        <v>5367298</v>
      </c>
      <c r="K13" s="341">
        <v>686687</v>
      </c>
      <c r="L13" s="340">
        <v>17320518</v>
      </c>
      <c r="M13" s="341">
        <v>2157624</v>
      </c>
      <c r="N13" s="340">
        <v>5072932</v>
      </c>
      <c r="O13" s="341">
        <v>484470</v>
      </c>
      <c r="P13" s="340">
        <v>10115053</v>
      </c>
      <c r="Q13" s="425">
        <v>2191070</v>
      </c>
    </row>
    <row r="14" spans="1:17">
      <c r="A14" s="68" t="s">
        <v>1</v>
      </c>
      <c r="B14" s="111"/>
      <c r="C14" s="245"/>
      <c r="D14" s="343">
        <v>974</v>
      </c>
      <c r="E14" s="341">
        <v>737</v>
      </c>
      <c r="F14" s="343">
        <v>112</v>
      </c>
      <c r="G14" s="341">
        <v>601</v>
      </c>
      <c r="H14" s="343">
        <v>102</v>
      </c>
      <c r="I14" s="341">
        <v>46</v>
      </c>
      <c r="J14" s="343">
        <v>210</v>
      </c>
      <c r="K14" s="341"/>
      <c r="L14" s="343">
        <v>159</v>
      </c>
      <c r="M14" s="341"/>
      <c r="N14" s="343">
        <v>16</v>
      </c>
      <c r="O14" s="341">
        <v>15</v>
      </c>
      <c r="P14" s="343">
        <v>24513</v>
      </c>
      <c r="Q14" s="425">
        <v>2237</v>
      </c>
    </row>
    <row r="15" spans="1:17">
      <c r="A15" s="68" t="s">
        <v>2</v>
      </c>
      <c r="B15" s="111"/>
      <c r="C15" s="245"/>
      <c r="D15" s="343">
        <v>247476</v>
      </c>
      <c r="E15" s="341">
        <v>47697</v>
      </c>
      <c r="F15" s="343">
        <v>10713</v>
      </c>
      <c r="G15" s="341">
        <v>4224</v>
      </c>
      <c r="H15" s="343">
        <v>84761</v>
      </c>
      <c r="I15" s="341">
        <v>23189</v>
      </c>
      <c r="J15" s="343">
        <v>1096</v>
      </c>
      <c r="K15" s="341">
        <v>211</v>
      </c>
      <c r="L15" s="343">
        <v>4895</v>
      </c>
      <c r="M15" s="341">
        <v>4040</v>
      </c>
      <c r="N15" s="343">
        <v>8595</v>
      </c>
      <c r="O15" s="341">
        <v>2162</v>
      </c>
      <c r="P15" s="343">
        <v>278025</v>
      </c>
      <c r="Q15" s="425">
        <v>186491</v>
      </c>
    </row>
    <row r="16" spans="1:17">
      <c r="A16" s="68" t="s">
        <v>3</v>
      </c>
      <c r="B16" s="111"/>
      <c r="C16" s="245"/>
      <c r="D16" s="343">
        <v>234433</v>
      </c>
      <c r="E16" s="341">
        <v>38959</v>
      </c>
      <c r="F16" s="343">
        <v>4021</v>
      </c>
      <c r="G16" s="341">
        <v>8103</v>
      </c>
      <c r="H16" s="343">
        <v>22430</v>
      </c>
      <c r="I16" s="341">
        <v>1582</v>
      </c>
      <c r="J16" s="343">
        <v>986</v>
      </c>
      <c r="K16" s="341">
        <v>18</v>
      </c>
      <c r="L16" s="343">
        <v>2612</v>
      </c>
      <c r="M16" s="341">
        <v>610</v>
      </c>
      <c r="N16" s="343">
        <v>22171</v>
      </c>
      <c r="O16" s="341">
        <v>1336</v>
      </c>
      <c r="P16" s="343">
        <v>93291</v>
      </c>
      <c r="Q16" s="425">
        <v>17661</v>
      </c>
    </row>
    <row r="17" spans="1:17">
      <c r="A17" s="68"/>
      <c r="B17" s="111"/>
      <c r="C17" s="245"/>
      <c r="D17" s="343"/>
      <c r="E17" s="344"/>
      <c r="F17" s="343"/>
      <c r="G17" s="344"/>
      <c r="H17" s="343"/>
      <c r="I17" s="344"/>
      <c r="J17" s="343"/>
      <c r="K17" s="344"/>
      <c r="L17" s="343"/>
      <c r="M17" s="344"/>
      <c r="N17" s="343"/>
      <c r="O17" s="344"/>
      <c r="P17" s="343"/>
      <c r="Q17" s="427"/>
    </row>
    <row r="18" spans="1:17" ht="16" thickBot="1">
      <c r="A18" s="144" t="s">
        <v>5</v>
      </c>
      <c r="B18" s="242"/>
      <c r="C18" s="246"/>
      <c r="D18" s="346"/>
      <c r="E18" s="347"/>
      <c r="F18" s="346"/>
      <c r="G18" s="347"/>
      <c r="H18" s="346"/>
      <c r="I18" s="347"/>
      <c r="J18" s="346"/>
      <c r="K18" s="347"/>
      <c r="L18" s="346"/>
      <c r="M18" s="347"/>
      <c r="N18" s="346"/>
      <c r="O18" s="347"/>
      <c r="P18" s="346"/>
      <c r="Q18" s="428"/>
    </row>
    <row r="19" spans="1:17">
      <c r="A19" s="100">
        <v>1</v>
      </c>
      <c r="B19" s="4" t="s">
        <v>300</v>
      </c>
      <c r="C19" s="17" t="s">
        <v>407</v>
      </c>
      <c r="D19" s="355">
        <v>17083</v>
      </c>
      <c r="E19" s="354">
        <v>625</v>
      </c>
      <c r="F19" s="355">
        <v>2</v>
      </c>
      <c r="G19" s="354"/>
      <c r="H19" s="355">
        <v>2672</v>
      </c>
      <c r="I19" s="354">
        <v>25</v>
      </c>
      <c r="J19" s="355"/>
      <c r="K19" s="354"/>
      <c r="L19" s="355"/>
      <c r="M19" s="349"/>
      <c r="N19" s="355">
        <v>7858</v>
      </c>
      <c r="O19" s="354">
        <v>90</v>
      </c>
      <c r="P19" s="355">
        <v>13205</v>
      </c>
      <c r="Q19" s="378">
        <v>26</v>
      </c>
    </row>
    <row r="20" spans="1:17">
      <c r="A20" s="100">
        <v>2</v>
      </c>
      <c r="B20" s="4" t="s">
        <v>88</v>
      </c>
      <c r="C20" s="10"/>
      <c r="D20" s="355">
        <v>390</v>
      </c>
      <c r="E20" s="354">
        <v>22</v>
      </c>
      <c r="F20" s="355"/>
      <c r="G20" s="354"/>
      <c r="H20" s="355">
        <v>7</v>
      </c>
      <c r="I20" s="354"/>
      <c r="J20" s="355"/>
      <c r="K20" s="354"/>
      <c r="L20" s="355"/>
      <c r="M20" s="349"/>
      <c r="N20" s="355">
        <v>108</v>
      </c>
      <c r="O20" s="354">
        <v>21</v>
      </c>
      <c r="P20" s="355">
        <v>111</v>
      </c>
      <c r="Q20" s="378">
        <v>35</v>
      </c>
    </row>
    <row r="21" spans="1:17">
      <c r="A21" s="100">
        <v>3</v>
      </c>
      <c r="B21" s="4" t="s">
        <v>89</v>
      </c>
      <c r="C21" s="10"/>
      <c r="D21" s="355">
        <v>27</v>
      </c>
      <c r="E21" s="354">
        <v>17</v>
      </c>
      <c r="F21" s="355"/>
      <c r="G21" s="354"/>
      <c r="H21" s="355">
        <v>7</v>
      </c>
      <c r="I21" s="354"/>
      <c r="J21" s="355"/>
      <c r="K21" s="354"/>
      <c r="L21" s="355">
        <v>28</v>
      </c>
      <c r="M21" s="349">
        <v>2</v>
      </c>
      <c r="N21" s="355"/>
      <c r="O21" s="354"/>
      <c r="P21" s="355">
        <v>156</v>
      </c>
      <c r="Q21" s="378">
        <v>5</v>
      </c>
    </row>
    <row r="22" spans="1:17">
      <c r="A22" s="100">
        <v>4</v>
      </c>
      <c r="B22" s="4" t="s">
        <v>90</v>
      </c>
      <c r="C22" s="10"/>
      <c r="D22" s="355">
        <v>4489</v>
      </c>
      <c r="E22" s="354">
        <v>509</v>
      </c>
      <c r="F22" s="355">
        <v>800</v>
      </c>
      <c r="G22" s="354"/>
      <c r="H22" s="355">
        <v>1645</v>
      </c>
      <c r="I22" s="354"/>
      <c r="J22" s="355"/>
      <c r="K22" s="354"/>
      <c r="L22" s="355"/>
      <c r="M22" s="349"/>
      <c r="N22" s="355">
        <v>365</v>
      </c>
      <c r="O22" s="354"/>
      <c r="P22" s="355">
        <v>3649</v>
      </c>
      <c r="Q22" s="378">
        <v>1338</v>
      </c>
    </row>
    <row r="23" spans="1:17">
      <c r="A23" s="100">
        <v>5</v>
      </c>
      <c r="B23" s="4" t="s">
        <v>91</v>
      </c>
      <c r="C23" s="10"/>
      <c r="D23" s="355"/>
      <c r="E23" s="354"/>
      <c r="F23" s="355"/>
      <c r="G23" s="354"/>
      <c r="H23" s="355"/>
      <c r="I23" s="354"/>
      <c r="J23" s="355"/>
      <c r="K23" s="354"/>
      <c r="L23" s="355"/>
      <c r="M23" s="349"/>
      <c r="N23" s="355"/>
      <c r="O23" s="354"/>
      <c r="P23" s="355"/>
      <c r="Q23" s="378"/>
    </row>
    <row r="24" spans="1:17" ht="15">
      <c r="A24" s="100">
        <v>6</v>
      </c>
      <c r="B24" s="4" t="s">
        <v>92</v>
      </c>
      <c r="C24" s="248"/>
      <c r="D24" s="357">
        <v>21</v>
      </c>
      <c r="E24" s="354">
        <v>15</v>
      </c>
      <c r="F24" s="357"/>
      <c r="G24" s="354"/>
      <c r="H24" s="357"/>
      <c r="I24" s="354"/>
      <c r="J24" s="357"/>
      <c r="K24" s="354"/>
      <c r="L24" s="357"/>
      <c r="M24" s="349"/>
      <c r="N24" s="357"/>
      <c r="O24" s="354"/>
      <c r="P24" s="357">
        <v>299</v>
      </c>
      <c r="Q24" s="378">
        <v>930</v>
      </c>
    </row>
    <row r="25" spans="1:17">
      <c r="A25" s="100">
        <v>7</v>
      </c>
      <c r="B25" s="4" t="s">
        <v>93</v>
      </c>
      <c r="C25" s="17"/>
      <c r="D25" s="355">
        <v>57</v>
      </c>
      <c r="E25" s="354">
        <v>30</v>
      </c>
      <c r="F25" s="355"/>
      <c r="G25" s="354">
        <v>15</v>
      </c>
      <c r="H25" s="355">
        <v>29</v>
      </c>
      <c r="I25" s="354">
        <v>15</v>
      </c>
      <c r="J25" s="355"/>
      <c r="K25" s="354"/>
      <c r="L25" s="355"/>
      <c r="M25" s="349"/>
      <c r="N25" s="355"/>
      <c r="O25" s="354"/>
      <c r="P25" s="355">
        <v>48</v>
      </c>
      <c r="Q25" s="378">
        <v>17</v>
      </c>
    </row>
    <row r="26" spans="1:17">
      <c r="A26" s="100">
        <v>8</v>
      </c>
      <c r="B26" s="4" t="s">
        <v>94</v>
      </c>
      <c r="C26" s="10"/>
      <c r="D26" s="355">
        <v>1468</v>
      </c>
      <c r="E26" s="354">
        <v>206</v>
      </c>
      <c r="F26" s="355"/>
      <c r="G26" s="354"/>
      <c r="H26" s="355"/>
      <c r="I26" s="354"/>
      <c r="J26" s="355"/>
      <c r="K26" s="354"/>
      <c r="L26" s="355"/>
      <c r="M26" s="349"/>
      <c r="N26" s="355">
        <v>50</v>
      </c>
      <c r="O26" s="354"/>
      <c r="P26" s="355">
        <v>1718</v>
      </c>
      <c r="Q26" s="378">
        <v>570</v>
      </c>
    </row>
    <row r="27" spans="1:17">
      <c r="A27" s="100">
        <v>9</v>
      </c>
      <c r="B27" s="4" t="s">
        <v>95</v>
      </c>
      <c r="C27" s="10"/>
      <c r="D27" s="355">
        <v>27</v>
      </c>
      <c r="E27" s="354">
        <v>1</v>
      </c>
      <c r="F27" s="355"/>
      <c r="G27" s="354"/>
      <c r="H27" s="355"/>
      <c r="I27" s="354"/>
      <c r="J27" s="355"/>
      <c r="K27" s="354"/>
      <c r="L27" s="355"/>
      <c r="M27" s="349"/>
      <c r="N27" s="355"/>
      <c r="O27" s="354"/>
      <c r="P27" s="355">
        <v>4135</v>
      </c>
      <c r="Q27" s="378">
        <v>1802</v>
      </c>
    </row>
    <row r="28" spans="1:17">
      <c r="A28" s="100">
        <v>10</v>
      </c>
      <c r="B28" s="4" t="s">
        <v>96</v>
      </c>
      <c r="C28" s="10"/>
      <c r="D28" s="355">
        <v>11390</v>
      </c>
      <c r="E28" s="354">
        <v>166</v>
      </c>
      <c r="F28" s="355"/>
      <c r="G28" s="354"/>
      <c r="H28" s="355">
        <v>295</v>
      </c>
      <c r="I28" s="354"/>
      <c r="J28" s="355"/>
      <c r="K28" s="354"/>
      <c r="L28" s="355"/>
      <c r="M28" s="349"/>
      <c r="N28" s="355">
        <v>399</v>
      </c>
      <c r="O28" s="354"/>
      <c r="P28" s="355">
        <v>6361</v>
      </c>
      <c r="Q28" s="378">
        <v>54</v>
      </c>
    </row>
    <row r="29" spans="1:17">
      <c r="A29" s="100">
        <v>11</v>
      </c>
      <c r="B29" s="4" t="s">
        <v>97</v>
      </c>
      <c r="C29" s="10"/>
      <c r="D29" s="355">
        <v>50</v>
      </c>
      <c r="E29" s="354">
        <v>16</v>
      </c>
      <c r="F29" s="355"/>
      <c r="G29" s="354"/>
      <c r="H29" s="355">
        <v>40</v>
      </c>
      <c r="I29" s="354"/>
      <c r="J29" s="355"/>
      <c r="K29" s="354"/>
      <c r="L29" s="355"/>
      <c r="M29" s="349"/>
      <c r="N29" s="355"/>
      <c r="O29" s="354"/>
      <c r="P29" s="355">
        <v>446</v>
      </c>
      <c r="Q29" s="378">
        <v>80</v>
      </c>
    </row>
    <row r="30" spans="1:17" ht="15">
      <c r="A30" s="100">
        <v>12</v>
      </c>
      <c r="B30" s="4" t="s">
        <v>98</v>
      </c>
      <c r="C30" s="248"/>
      <c r="D30" s="357">
        <v>39925</v>
      </c>
      <c r="E30" s="354">
        <v>7470</v>
      </c>
      <c r="F30" s="357">
        <v>4800</v>
      </c>
      <c r="G30" s="354">
        <v>2460</v>
      </c>
      <c r="H30" s="357">
        <v>425</v>
      </c>
      <c r="I30" s="354"/>
      <c r="J30" s="357"/>
      <c r="K30" s="354"/>
      <c r="L30" s="357">
        <v>3000</v>
      </c>
      <c r="M30" s="349">
        <v>300</v>
      </c>
      <c r="N30" s="357">
        <v>2500</v>
      </c>
      <c r="O30" s="354">
        <v>420</v>
      </c>
      <c r="P30" s="357">
        <v>2700</v>
      </c>
      <c r="Q30" s="378"/>
    </row>
    <row r="31" spans="1:17">
      <c r="A31" s="100">
        <v>13</v>
      </c>
      <c r="B31" s="4" t="s">
        <v>99</v>
      </c>
      <c r="C31" s="17"/>
      <c r="D31" s="355">
        <v>6752</v>
      </c>
      <c r="E31" s="354">
        <v>305</v>
      </c>
      <c r="F31" s="355">
        <v>100</v>
      </c>
      <c r="G31" s="354"/>
      <c r="H31" s="355">
        <v>1908</v>
      </c>
      <c r="I31" s="354">
        <v>234</v>
      </c>
      <c r="J31" s="355"/>
      <c r="K31" s="354"/>
      <c r="L31" s="355">
        <v>200</v>
      </c>
      <c r="M31" s="349"/>
      <c r="N31" s="355">
        <v>2286</v>
      </c>
      <c r="O31" s="354"/>
      <c r="P31" s="355">
        <v>4390</v>
      </c>
      <c r="Q31" s="378">
        <v>139</v>
      </c>
    </row>
    <row r="32" spans="1:17">
      <c r="A32" s="100">
        <v>14</v>
      </c>
      <c r="B32" s="4" t="s">
        <v>100</v>
      </c>
      <c r="C32" s="10"/>
      <c r="D32" s="355">
        <v>159092</v>
      </c>
      <c r="E32" s="354">
        <v>18300</v>
      </c>
      <c r="F32" s="355">
        <v>192700</v>
      </c>
      <c r="G32" s="354">
        <v>4900</v>
      </c>
      <c r="H32" s="355">
        <v>7200</v>
      </c>
      <c r="I32" s="354">
        <v>16000</v>
      </c>
      <c r="J32" s="355">
        <v>130300</v>
      </c>
      <c r="K32" s="354">
        <v>25000</v>
      </c>
      <c r="L32" s="355">
        <v>370449</v>
      </c>
      <c r="M32" s="349">
        <v>52900</v>
      </c>
      <c r="N32" s="355">
        <v>40052</v>
      </c>
      <c r="O32" s="354">
        <v>20860</v>
      </c>
      <c r="P32" s="355">
        <v>277750</v>
      </c>
      <c r="Q32" s="378">
        <v>51002</v>
      </c>
    </row>
    <row r="33" spans="1:17">
      <c r="A33" s="100">
        <v>15</v>
      </c>
      <c r="B33" s="4" t="s">
        <v>101</v>
      </c>
      <c r="C33" s="10"/>
      <c r="D33" s="355">
        <v>26956</v>
      </c>
      <c r="E33" s="354">
        <v>69</v>
      </c>
      <c r="F33" s="355"/>
      <c r="G33" s="354"/>
      <c r="H33" s="355">
        <v>1007</v>
      </c>
      <c r="I33" s="354"/>
      <c r="J33" s="355">
        <v>1500</v>
      </c>
      <c r="K33" s="354">
        <v>47000</v>
      </c>
      <c r="L33" s="355"/>
      <c r="M33" s="349"/>
      <c r="N33" s="355">
        <v>1540</v>
      </c>
      <c r="O33" s="354"/>
      <c r="P33" s="355">
        <v>403</v>
      </c>
      <c r="Q33" s="378"/>
    </row>
    <row r="34" spans="1:17">
      <c r="A34" s="100">
        <v>16</v>
      </c>
      <c r="B34" s="4" t="s">
        <v>102</v>
      </c>
      <c r="C34" s="10"/>
      <c r="D34" s="355">
        <v>754869</v>
      </c>
      <c r="E34" s="354">
        <v>213215</v>
      </c>
      <c r="F34" s="355">
        <v>552531</v>
      </c>
      <c r="G34" s="354">
        <v>48855</v>
      </c>
      <c r="H34" s="355">
        <v>95030</v>
      </c>
      <c r="I34" s="354">
        <v>8550</v>
      </c>
      <c r="J34" s="355">
        <v>512574</v>
      </c>
      <c r="K34" s="354"/>
      <c r="L34" s="355">
        <v>192375</v>
      </c>
      <c r="M34" s="349">
        <v>31500</v>
      </c>
      <c r="N34" s="355">
        <v>213467</v>
      </c>
      <c r="O34" s="354">
        <v>42322</v>
      </c>
      <c r="P34" s="355">
        <v>1006521</v>
      </c>
      <c r="Q34" s="378">
        <v>507200</v>
      </c>
    </row>
    <row r="35" spans="1:17">
      <c r="A35" s="100">
        <v>17</v>
      </c>
      <c r="B35" s="4" t="s">
        <v>301</v>
      </c>
      <c r="C35" s="10"/>
      <c r="D35" s="355">
        <v>15681</v>
      </c>
      <c r="E35" s="354">
        <v>481</v>
      </c>
      <c r="F35" s="355"/>
      <c r="G35" s="354"/>
      <c r="H35" s="355">
        <v>1728</v>
      </c>
      <c r="I35" s="354">
        <v>25</v>
      </c>
      <c r="J35" s="355"/>
      <c r="K35" s="354"/>
      <c r="L35" s="355"/>
      <c r="M35" s="349"/>
      <c r="N35" s="355">
        <v>1375</v>
      </c>
      <c r="O35" s="354">
        <v>1148</v>
      </c>
      <c r="P35" s="355">
        <v>5735</v>
      </c>
      <c r="Q35" s="378">
        <v>79</v>
      </c>
    </row>
    <row r="36" spans="1:17" ht="15">
      <c r="A36" s="100">
        <v>18</v>
      </c>
      <c r="B36" s="4" t="s">
        <v>302</v>
      </c>
      <c r="C36" s="248"/>
      <c r="D36" s="357">
        <v>200</v>
      </c>
      <c r="E36" s="354"/>
      <c r="F36" s="357"/>
      <c r="G36" s="354"/>
      <c r="H36" s="357"/>
      <c r="I36" s="354"/>
      <c r="J36" s="357"/>
      <c r="K36" s="354">
        <v>3000</v>
      </c>
      <c r="L36" s="357"/>
      <c r="M36" s="349"/>
      <c r="N36" s="357"/>
      <c r="O36" s="354"/>
      <c r="P36" s="357">
        <v>775</v>
      </c>
      <c r="Q36" s="378">
        <v>13</v>
      </c>
    </row>
    <row r="37" spans="1:17">
      <c r="A37" s="100">
        <v>19</v>
      </c>
      <c r="B37" s="4" t="s">
        <v>105</v>
      </c>
      <c r="C37" s="17"/>
      <c r="D37" s="355">
        <v>54570</v>
      </c>
      <c r="E37" s="354">
        <v>82520</v>
      </c>
      <c r="F37" s="355">
        <v>66500</v>
      </c>
      <c r="G37" s="354">
        <v>21500</v>
      </c>
      <c r="H37" s="355"/>
      <c r="I37" s="354">
        <v>2000</v>
      </c>
      <c r="J37" s="355"/>
      <c r="K37" s="354">
        <v>4250</v>
      </c>
      <c r="L37" s="355">
        <v>206800</v>
      </c>
      <c r="M37" s="349">
        <v>46500</v>
      </c>
      <c r="N37" s="355">
        <v>7000</v>
      </c>
      <c r="O37" s="354"/>
      <c r="P37" s="355">
        <v>29200</v>
      </c>
      <c r="Q37" s="378">
        <v>47375</v>
      </c>
    </row>
    <row r="38" spans="1:17">
      <c r="A38" s="100">
        <v>20</v>
      </c>
      <c r="B38" s="4" t="s">
        <v>106</v>
      </c>
      <c r="C38" s="10"/>
      <c r="D38" s="355">
        <v>40415</v>
      </c>
      <c r="E38" s="354">
        <v>9110</v>
      </c>
      <c r="F38" s="355">
        <v>27020</v>
      </c>
      <c r="G38" s="354">
        <v>12560</v>
      </c>
      <c r="H38" s="355">
        <v>15926</v>
      </c>
      <c r="I38" s="354">
        <v>9440</v>
      </c>
      <c r="J38" s="355">
        <v>15600</v>
      </c>
      <c r="K38" s="354"/>
      <c r="L38" s="355"/>
      <c r="M38" s="349"/>
      <c r="N38" s="355">
        <v>199702</v>
      </c>
      <c r="O38" s="354">
        <v>43404</v>
      </c>
      <c r="P38" s="355">
        <v>632853</v>
      </c>
      <c r="Q38" s="378">
        <v>40100</v>
      </c>
    </row>
    <row r="39" spans="1:17">
      <c r="A39" s="100">
        <v>21</v>
      </c>
      <c r="B39" s="4" t="s">
        <v>107</v>
      </c>
      <c r="C39" s="10"/>
      <c r="D39" s="355">
        <v>8760</v>
      </c>
      <c r="E39" s="354">
        <v>713</v>
      </c>
      <c r="F39" s="355"/>
      <c r="G39" s="354"/>
      <c r="H39" s="355">
        <v>867</v>
      </c>
      <c r="I39" s="354">
        <v>125</v>
      </c>
      <c r="J39" s="355">
        <v>5</v>
      </c>
      <c r="K39" s="354"/>
      <c r="L39" s="355"/>
      <c r="M39" s="349"/>
      <c r="N39" s="355"/>
      <c r="O39" s="354"/>
      <c r="P39" s="355">
        <v>6179</v>
      </c>
      <c r="Q39" s="378">
        <v>886</v>
      </c>
    </row>
    <row r="40" spans="1:17">
      <c r="A40" s="214">
        <v>22</v>
      </c>
      <c r="B40" s="96" t="s">
        <v>108</v>
      </c>
      <c r="C40" s="10"/>
      <c r="D40" s="355">
        <v>3142</v>
      </c>
      <c r="E40" s="354">
        <v>150</v>
      </c>
      <c r="F40" s="355"/>
      <c r="G40" s="354"/>
      <c r="H40" s="355">
        <v>2420</v>
      </c>
      <c r="I40" s="354">
        <v>800</v>
      </c>
      <c r="J40" s="355"/>
      <c r="K40" s="354"/>
      <c r="L40" s="355"/>
      <c r="M40" s="349"/>
      <c r="N40" s="355">
        <v>1579</v>
      </c>
      <c r="O40" s="354"/>
      <c r="P40" s="355">
        <v>1553</v>
      </c>
      <c r="Q40" s="378">
        <v>145</v>
      </c>
    </row>
    <row r="41" spans="1:17">
      <c r="A41" s="100">
        <v>23</v>
      </c>
      <c r="B41" s="4" t="s">
        <v>109</v>
      </c>
      <c r="C41" s="10"/>
      <c r="D41" s="355">
        <v>4282</v>
      </c>
      <c r="E41" s="354">
        <v>568</v>
      </c>
      <c r="F41" s="355"/>
      <c r="G41" s="354"/>
      <c r="H41" s="355">
        <v>802</v>
      </c>
      <c r="I41" s="354">
        <v>3</v>
      </c>
      <c r="J41" s="355">
        <v>50</v>
      </c>
      <c r="K41" s="354"/>
      <c r="L41" s="355">
        <v>50</v>
      </c>
      <c r="M41" s="349"/>
      <c r="N41" s="355">
        <v>127</v>
      </c>
      <c r="O41" s="354">
        <v>52</v>
      </c>
      <c r="P41" s="355">
        <v>3024</v>
      </c>
      <c r="Q41" s="378">
        <v>525</v>
      </c>
    </row>
    <row r="42" spans="1:17">
      <c r="A42" s="100">
        <v>24</v>
      </c>
      <c r="B42" s="4" t="s">
        <v>110</v>
      </c>
      <c r="C42" s="10"/>
      <c r="D42" s="355"/>
      <c r="E42" s="354"/>
      <c r="F42" s="355"/>
      <c r="G42" s="354"/>
      <c r="H42" s="355"/>
      <c r="I42" s="354"/>
      <c r="J42" s="355"/>
      <c r="K42" s="354"/>
      <c r="L42" s="355"/>
      <c r="M42" s="349"/>
      <c r="N42" s="355"/>
      <c r="O42" s="354"/>
      <c r="P42" s="355"/>
      <c r="Q42" s="378"/>
    </row>
    <row r="43" spans="1:17" ht="15">
      <c r="A43" s="100">
        <v>25</v>
      </c>
      <c r="B43" s="4" t="s">
        <v>111</v>
      </c>
      <c r="C43" s="248"/>
      <c r="D43" s="357"/>
      <c r="E43" s="354"/>
      <c r="F43" s="357"/>
      <c r="G43" s="354"/>
      <c r="H43" s="357"/>
      <c r="I43" s="354"/>
      <c r="J43" s="357"/>
      <c r="K43" s="354"/>
      <c r="L43" s="357"/>
      <c r="M43" s="349"/>
      <c r="N43" s="357"/>
      <c r="O43" s="354"/>
      <c r="P43" s="357"/>
      <c r="Q43" s="378"/>
    </row>
    <row r="44" spans="1:17">
      <c r="A44" s="100">
        <v>26</v>
      </c>
      <c r="B44" s="4" t="s">
        <v>112</v>
      </c>
      <c r="C44" s="17"/>
      <c r="D44" s="355">
        <v>1489</v>
      </c>
      <c r="E44" s="354">
        <v>55</v>
      </c>
      <c r="F44" s="355">
        <v>303</v>
      </c>
      <c r="G44" s="354"/>
      <c r="H44" s="355">
        <v>993</v>
      </c>
      <c r="I44" s="354">
        <v>149</v>
      </c>
      <c r="J44" s="355"/>
      <c r="K44" s="354"/>
      <c r="L44" s="355">
        <v>537</v>
      </c>
      <c r="M44" s="349"/>
      <c r="N44" s="355">
        <v>100</v>
      </c>
      <c r="O44" s="354"/>
      <c r="P44" s="355">
        <v>3008</v>
      </c>
      <c r="Q44" s="378">
        <v>121</v>
      </c>
    </row>
    <row r="45" spans="1:17">
      <c r="A45" s="100">
        <v>27</v>
      </c>
      <c r="B45" s="4" t="s">
        <v>113</v>
      </c>
      <c r="C45" s="10"/>
      <c r="D45" s="355">
        <v>133366</v>
      </c>
      <c r="E45" s="354">
        <v>600</v>
      </c>
      <c r="F45" s="355"/>
      <c r="G45" s="354"/>
      <c r="H45" s="355">
        <v>1120</v>
      </c>
      <c r="I45" s="354"/>
      <c r="J45" s="355"/>
      <c r="K45" s="354"/>
      <c r="L45" s="355"/>
      <c r="M45" s="349"/>
      <c r="N45" s="355">
        <v>600</v>
      </c>
      <c r="O45" s="354"/>
      <c r="P45" s="355"/>
      <c r="Q45" s="378"/>
    </row>
    <row r="46" spans="1:17">
      <c r="A46" s="100">
        <v>28</v>
      </c>
      <c r="B46" s="4" t="s">
        <v>114</v>
      </c>
      <c r="C46" s="10"/>
      <c r="D46" s="355"/>
      <c r="E46" s="354"/>
      <c r="F46" s="355"/>
      <c r="G46" s="354"/>
      <c r="H46" s="355"/>
      <c r="I46" s="354"/>
      <c r="J46" s="355"/>
      <c r="K46" s="354"/>
      <c r="L46" s="355"/>
      <c r="M46" s="349"/>
      <c r="N46" s="355"/>
      <c r="O46" s="354"/>
      <c r="P46" s="355">
        <v>185</v>
      </c>
      <c r="Q46" s="378">
        <v>32</v>
      </c>
    </row>
    <row r="47" spans="1:17">
      <c r="A47" s="100">
        <v>29</v>
      </c>
      <c r="B47" s="4" t="s">
        <v>115</v>
      </c>
      <c r="C47" s="10"/>
      <c r="D47" s="355">
        <v>110515</v>
      </c>
      <c r="E47" s="354">
        <v>646</v>
      </c>
      <c r="F47" s="355">
        <v>20</v>
      </c>
      <c r="G47" s="354"/>
      <c r="H47" s="355">
        <v>25374</v>
      </c>
      <c r="I47" s="354"/>
      <c r="J47" s="355"/>
      <c r="K47" s="354"/>
      <c r="L47" s="355">
        <v>500</v>
      </c>
      <c r="M47" s="349"/>
      <c r="N47" s="355">
        <v>1770</v>
      </c>
      <c r="O47" s="354"/>
      <c r="P47" s="355">
        <v>118732</v>
      </c>
      <c r="Q47" s="378">
        <v>367</v>
      </c>
    </row>
    <row r="48" spans="1:17">
      <c r="A48" s="100">
        <v>30</v>
      </c>
      <c r="B48" s="4" t="s">
        <v>116</v>
      </c>
      <c r="C48" s="10"/>
      <c r="D48" s="355">
        <v>1134</v>
      </c>
      <c r="F48" s="355"/>
      <c r="G48" s="354"/>
      <c r="H48" s="355">
        <v>475</v>
      </c>
      <c r="I48" s="354"/>
      <c r="J48" s="355"/>
      <c r="K48" s="354"/>
      <c r="L48" s="355"/>
      <c r="M48" s="349"/>
      <c r="N48" s="355"/>
      <c r="O48" s="354"/>
      <c r="P48" s="355">
        <v>1886</v>
      </c>
      <c r="Q48" s="378"/>
    </row>
    <row r="49" spans="1:17" ht="15">
      <c r="A49" s="100">
        <v>31</v>
      </c>
      <c r="B49" s="4" t="s">
        <v>117</v>
      </c>
      <c r="C49" s="248"/>
      <c r="D49" s="357">
        <v>7473</v>
      </c>
      <c r="E49" s="354">
        <v>804</v>
      </c>
      <c r="F49" s="357">
        <v>515</v>
      </c>
      <c r="G49" s="354">
        <v>150</v>
      </c>
      <c r="H49" s="357">
        <v>498</v>
      </c>
      <c r="I49" s="354">
        <v>60</v>
      </c>
      <c r="J49" s="357"/>
      <c r="K49" s="354"/>
      <c r="L49" s="357">
        <v>1</v>
      </c>
      <c r="M49" s="349"/>
      <c r="N49" s="357">
        <v>571</v>
      </c>
      <c r="O49" s="354">
        <v>32</v>
      </c>
      <c r="P49" s="357">
        <v>2934</v>
      </c>
      <c r="Q49" s="378">
        <v>54</v>
      </c>
    </row>
    <row r="50" spans="1:17">
      <c r="A50" s="100">
        <v>32</v>
      </c>
      <c r="B50" s="4" t="s">
        <v>118</v>
      </c>
      <c r="C50" s="17"/>
      <c r="D50" s="355">
        <v>23841</v>
      </c>
      <c r="E50" s="354">
        <v>7562</v>
      </c>
      <c r="F50" s="355">
        <v>3</v>
      </c>
      <c r="G50" s="354"/>
      <c r="H50" s="355">
        <v>76</v>
      </c>
      <c r="I50" s="354"/>
      <c r="J50" s="355"/>
      <c r="K50" s="354"/>
      <c r="L50" s="355">
        <v>125</v>
      </c>
      <c r="M50" s="349">
        <v>84</v>
      </c>
      <c r="N50" s="355">
        <v>20</v>
      </c>
      <c r="O50" s="354"/>
      <c r="P50" s="355">
        <v>10064</v>
      </c>
      <c r="Q50" s="378">
        <v>8</v>
      </c>
    </row>
    <row r="51" spans="1:17">
      <c r="A51" s="100">
        <v>33</v>
      </c>
      <c r="B51" s="4" t="s">
        <v>119</v>
      </c>
      <c r="C51" s="10"/>
      <c r="D51" s="355"/>
      <c r="E51" s="354"/>
      <c r="F51" s="355"/>
      <c r="G51" s="354"/>
      <c r="H51" s="355"/>
      <c r="I51" s="354"/>
      <c r="J51" s="355"/>
      <c r="K51" s="354"/>
      <c r="L51" s="355"/>
      <c r="M51" s="349"/>
      <c r="N51" s="355"/>
      <c r="O51" s="354"/>
      <c r="P51" s="355"/>
      <c r="Q51" s="378"/>
    </row>
    <row r="52" spans="1:17">
      <c r="A52" s="100">
        <v>34</v>
      </c>
      <c r="B52" s="4" t="s">
        <v>120</v>
      </c>
      <c r="C52" s="10"/>
      <c r="D52" s="355">
        <v>6532</v>
      </c>
      <c r="E52" s="354">
        <v>400</v>
      </c>
      <c r="F52" s="355">
        <v>15</v>
      </c>
      <c r="G52" s="354"/>
      <c r="H52" s="355">
        <v>1633</v>
      </c>
      <c r="I52" s="354">
        <v>100</v>
      </c>
      <c r="J52" s="355"/>
      <c r="K52" s="354"/>
      <c r="L52" s="355"/>
      <c r="M52" s="349"/>
      <c r="N52" s="355"/>
      <c r="O52" s="354"/>
      <c r="P52" s="355">
        <v>8554</v>
      </c>
      <c r="Q52" s="378">
        <v>175</v>
      </c>
    </row>
    <row r="53" spans="1:17">
      <c r="A53" s="100">
        <v>35</v>
      </c>
      <c r="B53" s="4" t="s">
        <v>121</v>
      </c>
      <c r="C53" s="10"/>
      <c r="D53" s="355">
        <v>4</v>
      </c>
      <c r="E53" s="354">
        <v>200</v>
      </c>
      <c r="F53" s="355"/>
      <c r="G53" s="354"/>
      <c r="H53" s="355">
        <v>10</v>
      </c>
      <c r="I53" s="354"/>
      <c r="J53" s="355"/>
      <c r="K53" s="354"/>
      <c r="L53" s="355">
        <v>2300</v>
      </c>
      <c r="M53" s="349">
        <v>1900</v>
      </c>
      <c r="N53" s="355">
        <v>300</v>
      </c>
      <c r="O53" s="354"/>
      <c r="P53" s="355">
        <v>24</v>
      </c>
      <c r="Q53" s="378">
        <v>251</v>
      </c>
    </row>
    <row r="54" spans="1:17">
      <c r="A54" s="100">
        <v>36</v>
      </c>
      <c r="B54" s="4" t="s">
        <v>122</v>
      </c>
      <c r="C54" s="10"/>
      <c r="D54" s="355">
        <v>27798</v>
      </c>
      <c r="E54" s="354">
        <v>680</v>
      </c>
      <c r="F54" s="355"/>
      <c r="G54" s="354"/>
      <c r="H54" s="355">
        <v>15614</v>
      </c>
      <c r="I54" s="354">
        <v>11365</v>
      </c>
      <c r="J54" s="355"/>
      <c r="K54" s="354"/>
      <c r="L54" s="355"/>
      <c r="M54" s="349"/>
      <c r="N54" s="355">
        <v>2004</v>
      </c>
      <c r="O54" s="354">
        <v>160</v>
      </c>
      <c r="P54" s="355">
        <v>8369</v>
      </c>
      <c r="Q54" s="378">
        <v>140</v>
      </c>
    </row>
    <row r="55" spans="1:17" ht="15">
      <c r="A55" s="100">
        <v>37</v>
      </c>
      <c r="B55" s="4" t="s">
        <v>123</v>
      </c>
      <c r="C55" s="248"/>
      <c r="D55" s="357">
        <v>163537</v>
      </c>
      <c r="E55" s="352">
        <v>46280</v>
      </c>
      <c r="F55" s="20"/>
      <c r="G55" s="354"/>
      <c r="H55" s="357">
        <v>1423</v>
      </c>
      <c r="I55" s="354">
        <v>908</v>
      </c>
      <c r="J55" s="357"/>
      <c r="K55" s="354"/>
      <c r="L55" s="357"/>
      <c r="M55" s="349"/>
      <c r="N55" s="357">
        <v>22704</v>
      </c>
      <c r="O55" s="354">
        <v>16874</v>
      </c>
      <c r="P55" s="357">
        <v>37964</v>
      </c>
      <c r="Q55" s="378">
        <v>14398</v>
      </c>
    </row>
    <row r="56" spans="1:17">
      <c r="A56" s="100">
        <v>38</v>
      </c>
      <c r="B56" s="4" t="s">
        <v>124</v>
      </c>
      <c r="C56" s="17"/>
      <c r="D56" s="355">
        <v>13925</v>
      </c>
      <c r="E56" s="354">
        <v>833</v>
      </c>
      <c r="F56" s="357">
        <v>175</v>
      </c>
      <c r="G56" s="354">
        <v>500</v>
      </c>
      <c r="H56" s="355">
        <v>12520</v>
      </c>
      <c r="I56" s="354">
        <v>500</v>
      </c>
      <c r="J56" s="355"/>
      <c r="K56" s="354"/>
      <c r="L56" s="355"/>
      <c r="M56" s="349"/>
      <c r="N56" s="355">
        <v>14570</v>
      </c>
      <c r="O56" s="354">
        <v>1127</v>
      </c>
      <c r="P56" s="355">
        <v>37606</v>
      </c>
      <c r="Q56" s="378">
        <v>3501</v>
      </c>
    </row>
    <row r="57" spans="1:17">
      <c r="A57" s="100">
        <v>39</v>
      </c>
      <c r="B57" s="4" t="s">
        <v>125</v>
      </c>
      <c r="C57" s="10"/>
      <c r="D57" s="355">
        <v>97</v>
      </c>
      <c r="E57" s="354"/>
      <c r="F57" s="355"/>
      <c r="G57" s="354"/>
      <c r="H57" s="355"/>
      <c r="I57" s="354"/>
      <c r="J57" s="355"/>
      <c r="K57" s="354"/>
      <c r="L57" s="355"/>
      <c r="M57" s="349"/>
      <c r="N57" s="355"/>
      <c r="O57" s="354"/>
      <c r="P57" s="355">
        <v>3280</v>
      </c>
      <c r="Q57" s="378">
        <v>1012</v>
      </c>
    </row>
    <row r="58" spans="1:17">
      <c r="A58" s="100">
        <v>40</v>
      </c>
      <c r="B58" s="4" t="s">
        <v>126</v>
      </c>
      <c r="C58" s="10"/>
      <c r="D58" s="355">
        <v>6936</v>
      </c>
      <c r="E58" s="354">
        <v>3</v>
      </c>
      <c r="F58" s="355"/>
      <c r="G58" s="354"/>
      <c r="H58" s="355">
        <v>2000</v>
      </c>
      <c r="I58" s="354"/>
      <c r="J58" s="355"/>
      <c r="K58" s="354"/>
      <c r="L58" s="355"/>
      <c r="M58" s="349"/>
      <c r="N58" s="355"/>
      <c r="O58" s="354"/>
      <c r="P58" s="355">
        <v>2500</v>
      </c>
      <c r="Q58" s="378">
        <v>500</v>
      </c>
    </row>
    <row r="59" spans="1:17">
      <c r="A59" s="100">
        <v>41</v>
      </c>
      <c r="B59" s="4" t="s">
        <v>127</v>
      </c>
      <c r="C59" s="10"/>
      <c r="D59" s="355"/>
      <c r="E59" s="352"/>
      <c r="F59" s="20"/>
      <c r="G59" s="354"/>
      <c r="H59" s="355"/>
      <c r="I59" s="354"/>
      <c r="J59" s="355"/>
      <c r="K59" s="354"/>
      <c r="L59" s="355"/>
      <c r="M59" s="376"/>
      <c r="N59" s="355"/>
      <c r="O59" s="354"/>
      <c r="P59" s="355"/>
      <c r="Q59" s="378"/>
    </row>
    <row r="60" spans="1:17">
      <c r="A60" s="100">
        <v>42</v>
      </c>
      <c r="B60" s="4" t="s">
        <v>303</v>
      </c>
      <c r="C60" s="10"/>
      <c r="D60" s="355">
        <v>292972</v>
      </c>
      <c r="E60" s="354">
        <v>7920</v>
      </c>
      <c r="F60" s="355">
        <v>1000</v>
      </c>
      <c r="G60" s="354"/>
      <c r="H60" s="355">
        <v>33720</v>
      </c>
      <c r="I60" s="354">
        <v>300</v>
      </c>
      <c r="J60" s="355">
        <v>4180</v>
      </c>
      <c r="K60" s="354"/>
      <c r="L60" s="355">
        <v>4000</v>
      </c>
      <c r="M60" s="349"/>
      <c r="N60" s="355">
        <v>86290</v>
      </c>
      <c r="O60" s="354">
        <v>4500</v>
      </c>
      <c r="P60" s="355">
        <v>12420</v>
      </c>
      <c r="Q60" s="378"/>
    </row>
    <row r="61" spans="1:17" ht="15">
      <c r="A61" s="175">
        <v>43</v>
      </c>
      <c r="B61" s="111" t="s">
        <v>129</v>
      </c>
      <c r="C61" s="248"/>
      <c r="D61" s="357">
        <v>101563</v>
      </c>
      <c r="E61" s="354">
        <v>3700</v>
      </c>
      <c r="F61" s="355">
        <v>1500</v>
      </c>
      <c r="G61" s="354"/>
      <c r="H61" s="357">
        <v>3250</v>
      </c>
      <c r="I61" s="354">
        <v>250</v>
      </c>
      <c r="J61" s="357"/>
      <c r="K61" s="354"/>
      <c r="L61" s="357"/>
      <c r="M61" s="349"/>
      <c r="N61" s="357">
        <v>11950</v>
      </c>
      <c r="O61" s="354"/>
      <c r="P61" s="357">
        <v>1420</v>
      </c>
      <c r="Q61" s="378"/>
    </row>
    <row r="62" spans="1:17">
      <c r="A62" s="175">
        <v>44</v>
      </c>
      <c r="B62" s="111" t="s">
        <v>130</v>
      </c>
      <c r="C62" s="17"/>
      <c r="D62" s="355">
        <v>144902</v>
      </c>
      <c r="E62" s="354">
        <v>30199</v>
      </c>
      <c r="F62" s="357">
        <v>190075</v>
      </c>
      <c r="G62" s="354">
        <v>4200</v>
      </c>
      <c r="H62" s="355">
        <v>64600</v>
      </c>
      <c r="I62" s="354">
        <v>4000</v>
      </c>
      <c r="J62" s="355">
        <v>74674</v>
      </c>
      <c r="K62" s="354"/>
      <c r="L62" s="355">
        <v>2028549</v>
      </c>
      <c r="M62" s="349">
        <v>386050</v>
      </c>
      <c r="N62" s="355">
        <v>53675</v>
      </c>
      <c r="O62" s="354">
        <v>12625</v>
      </c>
      <c r="P62" s="355">
        <v>1051659</v>
      </c>
      <c r="Q62" s="378">
        <v>197689</v>
      </c>
    </row>
    <row r="63" spans="1:17">
      <c r="A63" s="175">
        <v>45</v>
      </c>
      <c r="B63" s="111" t="s">
        <v>131</v>
      </c>
      <c r="C63" s="10"/>
      <c r="D63" s="355">
        <v>10192</v>
      </c>
      <c r="E63" s="354">
        <v>232</v>
      </c>
      <c r="F63" s="355">
        <v>3</v>
      </c>
      <c r="G63" s="354"/>
      <c r="H63" s="355">
        <v>726</v>
      </c>
      <c r="I63" s="354">
        <v>6</v>
      </c>
      <c r="J63" s="355"/>
      <c r="K63" s="354"/>
      <c r="L63" s="355"/>
      <c r="M63" s="349"/>
      <c r="N63" s="355">
        <v>249</v>
      </c>
      <c r="O63" s="354">
        <v>308</v>
      </c>
      <c r="P63" s="355">
        <v>2514</v>
      </c>
      <c r="Q63" s="378">
        <v>267</v>
      </c>
    </row>
    <row r="64" spans="1:17">
      <c r="A64" s="175">
        <v>46</v>
      </c>
      <c r="B64" s="111" t="s">
        <v>132</v>
      </c>
      <c r="C64" s="10"/>
      <c r="D64" s="355"/>
      <c r="E64" s="352"/>
      <c r="F64" s="20"/>
      <c r="G64" s="354"/>
      <c r="H64" s="355"/>
      <c r="I64" s="354"/>
      <c r="J64" s="355"/>
      <c r="K64" s="354"/>
      <c r="L64" s="355"/>
      <c r="M64" s="349"/>
      <c r="N64" s="355"/>
      <c r="O64" s="354"/>
      <c r="P64" s="355"/>
      <c r="Q64" s="378"/>
    </row>
    <row r="65" spans="1:17">
      <c r="A65" s="175">
        <v>47</v>
      </c>
      <c r="B65" s="111" t="s">
        <v>133</v>
      </c>
      <c r="C65" s="10"/>
      <c r="D65" s="355">
        <v>385810</v>
      </c>
      <c r="E65" s="354">
        <v>10160</v>
      </c>
      <c r="F65" s="355">
        <v>21800</v>
      </c>
      <c r="G65" s="354">
        <v>2750</v>
      </c>
      <c r="H65" s="355">
        <v>703700</v>
      </c>
      <c r="I65" s="354">
        <v>10600</v>
      </c>
      <c r="J65" s="355"/>
      <c r="K65" s="354"/>
      <c r="L65" s="355">
        <v>95300</v>
      </c>
      <c r="M65" s="349"/>
      <c r="N65" s="355">
        <v>483700</v>
      </c>
      <c r="O65" s="354">
        <v>8850</v>
      </c>
      <c r="P65" s="355">
        <v>121610</v>
      </c>
      <c r="Q65" s="378">
        <v>8700</v>
      </c>
    </row>
    <row r="66" spans="1:17">
      <c r="A66" s="175">
        <v>48</v>
      </c>
      <c r="B66" s="111" t="s">
        <v>134</v>
      </c>
      <c r="C66" s="10"/>
      <c r="D66" s="355">
        <v>20352</v>
      </c>
      <c r="E66" s="354"/>
      <c r="F66" s="355"/>
      <c r="G66" s="354"/>
      <c r="H66" s="355"/>
      <c r="I66" s="354"/>
      <c r="J66" s="355"/>
      <c r="K66" s="354"/>
      <c r="L66" s="355"/>
      <c r="M66" s="349"/>
      <c r="N66" s="355"/>
      <c r="O66" s="354"/>
      <c r="P66" s="355"/>
      <c r="Q66" s="378"/>
    </row>
    <row r="67" spans="1:17" ht="15">
      <c r="A67" s="175">
        <v>49</v>
      </c>
      <c r="B67" s="111" t="s">
        <v>135</v>
      </c>
      <c r="C67" s="248"/>
      <c r="D67" s="357">
        <v>1401</v>
      </c>
      <c r="E67" s="352">
        <v>351</v>
      </c>
      <c r="F67" s="20"/>
      <c r="G67" s="354"/>
      <c r="H67" s="357">
        <v>30</v>
      </c>
      <c r="I67" s="354"/>
      <c r="J67" s="357"/>
      <c r="K67" s="354"/>
      <c r="L67" s="357"/>
      <c r="M67" s="349"/>
      <c r="N67" s="357">
        <v>116</v>
      </c>
      <c r="O67" s="354"/>
      <c r="P67" s="357">
        <v>636</v>
      </c>
      <c r="Q67" s="378">
        <v>32</v>
      </c>
    </row>
    <row r="68" spans="1:17">
      <c r="A68" s="175">
        <v>50</v>
      </c>
      <c r="B68" s="111" t="s">
        <v>136</v>
      </c>
      <c r="C68" s="17"/>
      <c r="D68" s="355">
        <v>15443</v>
      </c>
      <c r="E68" s="354">
        <v>2487</v>
      </c>
      <c r="F68" s="357">
        <v>2600</v>
      </c>
      <c r="G68" s="354"/>
      <c r="H68" s="355">
        <v>660</v>
      </c>
      <c r="I68" s="354"/>
      <c r="J68" s="355"/>
      <c r="K68" s="354"/>
      <c r="L68" s="355"/>
      <c r="M68" s="349"/>
      <c r="N68" s="355">
        <v>400</v>
      </c>
      <c r="O68" s="354"/>
      <c r="P68" s="355">
        <v>4876</v>
      </c>
      <c r="Q68" s="378">
        <v>4340</v>
      </c>
    </row>
    <row r="69" spans="1:17">
      <c r="A69" s="218">
        <v>51</v>
      </c>
      <c r="B69" s="111" t="s">
        <v>137</v>
      </c>
      <c r="C69" s="10"/>
      <c r="D69" s="355">
        <v>551193</v>
      </c>
      <c r="E69" s="354">
        <v>31126</v>
      </c>
      <c r="F69" s="355"/>
      <c r="G69" s="354"/>
      <c r="H69" s="355">
        <v>105200</v>
      </c>
      <c r="I69" s="354">
        <v>2630</v>
      </c>
      <c r="J69" s="355"/>
      <c r="K69" s="354"/>
      <c r="L69" s="355"/>
      <c r="M69" s="349"/>
      <c r="N69" s="355">
        <v>65704</v>
      </c>
      <c r="O69" s="354">
        <v>3844</v>
      </c>
      <c r="P69" s="355">
        <v>171692</v>
      </c>
      <c r="Q69" s="378">
        <v>6681</v>
      </c>
    </row>
    <row r="70" spans="1:17">
      <c r="A70" s="218">
        <v>52</v>
      </c>
      <c r="B70" s="111" t="s">
        <v>138</v>
      </c>
      <c r="C70" s="10"/>
      <c r="D70" s="355">
        <v>804618</v>
      </c>
      <c r="E70" s="354">
        <v>189450</v>
      </c>
      <c r="F70" s="355">
        <v>2366024</v>
      </c>
      <c r="G70" s="354">
        <v>210860</v>
      </c>
      <c r="H70" s="355">
        <v>327900</v>
      </c>
      <c r="I70" s="354">
        <v>26800</v>
      </c>
      <c r="J70" s="355">
        <v>234650</v>
      </c>
      <c r="K70" s="354">
        <v>39500</v>
      </c>
      <c r="L70" s="355">
        <v>8830953</v>
      </c>
      <c r="M70" s="349">
        <v>1026243</v>
      </c>
      <c r="N70" s="355">
        <v>989747</v>
      </c>
      <c r="O70" s="354">
        <v>146030</v>
      </c>
      <c r="P70" s="355">
        <v>2480020</v>
      </c>
      <c r="Q70" s="378">
        <v>432633</v>
      </c>
    </row>
    <row r="71" spans="1:17">
      <c r="A71" s="218">
        <v>53</v>
      </c>
      <c r="B71" s="111" t="s">
        <v>139</v>
      </c>
      <c r="C71" s="10"/>
      <c r="D71" s="355">
        <v>322</v>
      </c>
      <c r="E71" s="354">
        <v>250</v>
      </c>
      <c r="F71" s="355"/>
      <c r="G71" s="354"/>
      <c r="H71" s="355"/>
      <c r="I71" s="354"/>
      <c r="J71" s="355"/>
      <c r="K71" s="354"/>
      <c r="L71" s="355">
        <v>3</v>
      </c>
      <c r="M71" s="349"/>
      <c r="N71" s="355"/>
      <c r="O71" s="354"/>
      <c r="P71" s="355">
        <v>438</v>
      </c>
      <c r="Q71" s="378">
        <v>29</v>
      </c>
    </row>
    <row r="72" spans="1:17">
      <c r="A72" s="218">
        <v>54</v>
      </c>
      <c r="B72" s="111" t="s">
        <v>140</v>
      </c>
      <c r="C72" s="10"/>
      <c r="D72" s="355">
        <v>16424</v>
      </c>
      <c r="E72" s="354">
        <v>204</v>
      </c>
      <c r="F72" s="355"/>
      <c r="G72" s="354"/>
      <c r="H72" s="355">
        <v>1001</v>
      </c>
      <c r="I72" s="354">
        <v>40</v>
      </c>
      <c r="J72" s="355">
        <v>20</v>
      </c>
      <c r="K72" s="354"/>
      <c r="L72" s="355"/>
      <c r="M72" s="349"/>
      <c r="N72" s="355">
        <v>1363</v>
      </c>
      <c r="O72" s="354"/>
      <c r="P72" s="355">
        <v>4085</v>
      </c>
      <c r="Q72" s="378">
        <v>170</v>
      </c>
    </row>
    <row r="73" spans="1:17">
      <c r="A73" s="218">
        <v>55</v>
      </c>
      <c r="B73" s="111" t="s">
        <v>141</v>
      </c>
      <c r="C73" s="10"/>
      <c r="D73" s="355">
        <v>479520</v>
      </c>
      <c r="E73" s="354">
        <v>64800</v>
      </c>
      <c r="F73" s="355">
        <v>51800</v>
      </c>
      <c r="G73" s="354">
        <v>8200</v>
      </c>
      <c r="H73" s="355">
        <v>19050</v>
      </c>
      <c r="I73" s="354">
        <v>3400</v>
      </c>
      <c r="J73" s="355">
        <v>393800</v>
      </c>
      <c r="K73" s="354">
        <v>37000</v>
      </c>
      <c r="L73" s="355">
        <v>175300</v>
      </c>
      <c r="M73" s="349">
        <v>39100</v>
      </c>
      <c r="N73" s="355">
        <v>121426</v>
      </c>
      <c r="O73" s="354">
        <v>39000</v>
      </c>
      <c r="P73" s="355">
        <v>828796</v>
      </c>
      <c r="Q73" s="378">
        <v>93000</v>
      </c>
    </row>
    <row r="74" spans="1:17" ht="15">
      <c r="A74" s="218">
        <v>56</v>
      </c>
      <c r="B74" s="111" t="s">
        <v>142</v>
      </c>
      <c r="C74" s="248"/>
      <c r="D74" s="357"/>
      <c r="E74" s="354"/>
      <c r="F74" s="357"/>
      <c r="G74" s="354"/>
      <c r="H74" s="357"/>
      <c r="I74" s="354"/>
      <c r="J74" s="357"/>
      <c r="K74" s="354"/>
      <c r="L74" s="357"/>
      <c r="M74" s="349"/>
      <c r="N74" s="357"/>
      <c r="O74" s="354"/>
      <c r="P74" s="357"/>
      <c r="Q74" s="378"/>
    </row>
    <row r="75" spans="1:17">
      <c r="A75" s="218">
        <v>57</v>
      </c>
      <c r="B75" s="111" t="s">
        <v>143</v>
      </c>
      <c r="C75" s="17"/>
      <c r="D75" s="355"/>
      <c r="E75" s="354"/>
      <c r="F75" s="355"/>
      <c r="G75" s="354"/>
      <c r="H75" s="355"/>
      <c r="I75" s="354"/>
      <c r="J75" s="355"/>
      <c r="K75" s="354"/>
      <c r="L75" s="355"/>
      <c r="M75" s="349"/>
      <c r="N75" s="355"/>
      <c r="O75" s="354"/>
      <c r="P75" s="355">
        <v>2200</v>
      </c>
      <c r="Q75" s="378"/>
    </row>
    <row r="76" spans="1:17">
      <c r="A76" s="218">
        <v>58</v>
      </c>
      <c r="B76" s="111" t="s">
        <v>144</v>
      </c>
      <c r="C76" s="10"/>
      <c r="D76" s="355">
        <v>732</v>
      </c>
      <c r="E76" s="354"/>
      <c r="F76" s="355">
        <v>88</v>
      </c>
      <c r="G76" s="354"/>
      <c r="H76" s="355"/>
      <c r="I76" s="354"/>
      <c r="J76" s="355"/>
      <c r="K76" s="354"/>
      <c r="L76" s="355"/>
      <c r="M76" s="349"/>
      <c r="N76" s="355">
        <v>139</v>
      </c>
      <c r="O76" s="354">
        <v>8</v>
      </c>
      <c r="P76" s="355">
        <v>1555</v>
      </c>
      <c r="Q76" s="378">
        <v>510</v>
      </c>
    </row>
    <row r="77" spans="1:17">
      <c r="A77" s="218">
        <v>59</v>
      </c>
      <c r="B77" s="111" t="s">
        <v>145</v>
      </c>
      <c r="C77" s="17" t="s">
        <v>483</v>
      </c>
      <c r="D77" s="355">
        <v>87200</v>
      </c>
      <c r="E77" s="349">
        <v>7377</v>
      </c>
      <c r="F77" s="355"/>
      <c r="G77" s="349"/>
      <c r="H77" s="355">
        <v>13507</v>
      </c>
      <c r="I77" s="349">
        <v>3102</v>
      </c>
      <c r="J77" s="355"/>
      <c r="K77" s="349"/>
      <c r="L77" s="355"/>
      <c r="M77" s="349"/>
      <c r="N77" s="355">
        <v>590</v>
      </c>
      <c r="O77" s="349">
        <v>3000</v>
      </c>
      <c r="P77" s="355">
        <v>4000</v>
      </c>
      <c r="Q77" s="377">
        <v>37</v>
      </c>
    </row>
    <row r="78" spans="1:17">
      <c r="A78" s="218">
        <v>60</v>
      </c>
      <c r="B78" s="111" t="s">
        <v>146</v>
      </c>
      <c r="C78" s="10"/>
      <c r="D78" s="355">
        <v>175</v>
      </c>
      <c r="E78" s="354">
        <v>88</v>
      </c>
      <c r="F78" s="355"/>
      <c r="G78" s="354"/>
      <c r="H78" s="355"/>
      <c r="I78" s="354"/>
      <c r="J78" s="355"/>
      <c r="K78" s="354"/>
      <c r="L78" s="355"/>
      <c r="M78" s="349"/>
      <c r="N78" s="355"/>
      <c r="O78" s="354"/>
      <c r="P78" s="355">
        <v>923</v>
      </c>
      <c r="Q78" s="378">
        <v>289</v>
      </c>
    </row>
    <row r="79" spans="1:17">
      <c r="A79" s="218">
        <v>61</v>
      </c>
      <c r="B79" s="111" t="s">
        <v>147</v>
      </c>
      <c r="C79" s="10"/>
      <c r="D79" s="355">
        <v>1511</v>
      </c>
      <c r="E79" s="354">
        <v>152</v>
      </c>
      <c r="F79" s="355">
        <v>20</v>
      </c>
      <c r="G79" s="354"/>
      <c r="H79" s="355">
        <v>126</v>
      </c>
      <c r="I79" s="354"/>
      <c r="J79" s="355"/>
      <c r="K79" s="354"/>
      <c r="L79" s="355"/>
      <c r="M79" s="349"/>
      <c r="N79" s="355">
        <v>93</v>
      </c>
      <c r="O79" s="354"/>
      <c r="P79" s="355">
        <v>1455</v>
      </c>
      <c r="Q79" s="378">
        <v>300</v>
      </c>
    </row>
    <row r="80" spans="1:17" ht="15">
      <c r="A80" s="218">
        <v>62</v>
      </c>
      <c r="B80" s="111" t="s">
        <v>148</v>
      </c>
      <c r="C80" s="248"/>
      <c r="D80" s="357">
        <v>54900</v>
      </c>
      <c r="E80" s="354">
        <v>2200</v>
      </c>
      <c r="F80" s="357"/>
      <c r="G80" s="354"/>
      <c r="H80" s="357">
        <v>35850</v>
      </c>
      <c r="I80" s="354"/>
      <c r="J80" s="357">
        <v>2300</v>
      </c>
      <c r="K80" s="354"/>
      <c r="L80" s="357">
        <v>2050</v>
      </c>
      <c r="M80" s="349"/>
      <c r="N80" s="357">
        <v>122100</v>
      </c>
      <c r="O80" s="354">
        <v>1900</v>
      </c>
      <c r="P80" s="357">
        <v>2200</v>
      </c>
      <c r="Q80" s="378"/>
    </row>
    <row r="81" spans="1:17">
      <c r="A81" s="218">
        <v>63</v>
      </c>
      <c r="B81" s="111" t="s">
        <v>149</v>
      </c>
      <c r="C81" s="17"/>
      <c r="D81" s="355">
        <v>1151530</v>
      </c>
      <c r="E81" s="354">
        <v>149850</v>
      </c>
      <c r="F81" s="355">
        <v>46200</v>
      </c>
      <c r="G81" s="354">
        <v>2000</v>
      </c>
      <c r="H81" s="355">
        <v>635350</v>
      </c>
      <c r="I81" s="354">
        <v>66050</v>
      </c>
      <c r="J81" s="355">
        <v>1100</v>
      </c>
      <c r="K81" s="354"/>
      <c r="L81" s="355">
        <v>96100</v>
      </c>
      <c r="M81" s="349">
        <v>12000</v>
      </c>
      <c r="N81" s="355">
        <v>1388770</v>
      </c>
      <c r="O81" s="354">
        <v>53400</v>
      </c>
      <c r="P81" s="355">
        <v>351817</v>
      </c>
      <c r="Q81" s="378">
        <v>130737</v>
      </c>
    </row>
    <row r="82" spans="1:17">
      <c r="A82" s="218">
        <v>64</v>
      </c>
      <c r="B82" s="111" t="s">
        <v>150</v>
      </c>
      <c r="C82" s="10"/>
      <c r="D82" s="355"/>
      <c r="E82" s="354">
        <v>1600</v>
      </c>
      <c r="F82" s="355"/>
      <c r="G82" s="354"/>
      <c r="H82" s="355"/>
      <c r="I82" s="354"/>
      <c r="J82" s="355"/>
      <c r="K82" s="354"/>
      <c r="L82" s="355"/>
      <c r="M82" s="349"/>
      <c r="N82" s="355"/>
      <c r="O82" s="354"/>
      <c r="P82" s="355"/>
      <c r="Q82" s="378"/>
    </row>
    <row r="83" spans="1:17">
      <c r="A83" s="218">
        <v>65</v>
      </c>
      <c r="B83" s="111" t="s">
        <v>151</v>
      </c>
      <c r="C83" s="10"/>
      <c r="D83" s="355">
        <v>2732</v>
      </c>
      <c r="E83" s="354">
        <v>572</v>
      </c>
      <c r="F83" s="355">
        <v>300</v>
      </c>
      <c r="G83" s="354"/>
      <c r="H83" s="355">
        <v>1065</v>
      </c>
      <c r="I83" s="354">
        <v>81</v>
      </c>
      <c r="J83" s="355"/>
      <c r="K83" s="354"/>
      <c r="L83" s="355">
        <v>1</v>
      </c>
      <c r="M83" s="349">
        <v>2</v>
      </c>
      <c r="N83" s="355">
        <v>892</v>
      </c>
      <c r="O83" s="354">
        <v>15</v>
      </c>
      <c r="P83" s="355">
        <v>3022</v>
      </c>
      <c r="Q83" s="378">
        <v>50</v>
      </c>
    </row>
    <row r="84" spans="1:17">
      <c r="A84" s="218">
        <v>66</v>
      </c>
      <c r="B84" s="111" t="s">
        <v>152</v>
      </c>
      <c r="C84" s="10"/>
      <c r="D84" s="355">
        <v>243881</v>
      </c>
      <c r="E84" s="354">
        <v>44630</v>
      </c>
      <c r="F84" s="355">
        <v>2855977</v>
      </c>
      <c r="G84" s="354">
        <v>326535</v>
      </c>
      <c r="H84" s="355">
        <v>23195</v>
      </c>
      <c r="I84" s="354">
        <v>3980</v>
      </c>
      <c r="J84" s="355">
        <v>3707395</v>
      </c>
      <c r="K84" s="354">
        <v>503937</v>
      </c>
      <c r="L84" s="355">
        <v>1570765</v>
      </c>
      <c r="M84" s="349">
        <v>294060</v>
      </c>
      <c r="N84" s="355">
        <v>10403</v>
      </c>
      <c r="O84" s="354">
        <v>500</v>
      </c>
      <c r="P84" s="355">
        <v>886373</v>
      </c>
      <c r="Q84" s="378">
        <v>128230</v>
      </c>
    </row>
    <row r="85" spans="1:17">
      <c r="A85" s="218">
        <v>67</v>
      </c>
      <c r="B85" s="111" t="s">
        <v>153</v>
      </c>
      <c r="C85" s="10"/>
      <c r="D85" s="355">
        <v>2276</v>
      </c>
      <c r="E85" s="354">
        <v>185</v>
      </c>
      <c r="F85" s="355"/>
      <c r="G85" s="354"/>
      <c r="H85" s="355">
        <v>304</v>
      </c>
      <c r="I85" s="354"/>
      <c r="J85" s="355"/>
      <c r="K85" s="354"/>
      <c r="L85" s="355"/>
      <c r="M85" s="349"/>
      <c r="N85" s="355">
        <v>150</v>
      </c>
      <c r="O85" s="354">
        <v>80</v>
      </c>
      <c r="P85" s="355">
        <v>1833</v>
      </c>
      <c r="Q85" s="378">
        <v>95</v>
      </c>
    </row>
    <row r="86" spans="1:17" ht="15">
      <c r="A86" s="218">
        <v>68</v>
      </c>
      <c r="B86" s="111" t="s">
        <v>154</v>
      </c>
      <c r="C86" s="248"/>
      <c r="D86" s="357">
        <v>3843</v>
      </c>
      <c r="E86" s="354">
        <v>67</v>
      </c>
      <c r="F86" s="357"/>
      <c r="G86" s="354"/>
      <c r="H86" s="357">
        <v>75</v>
      </c>
      <c r="I86" s="354">
        <v>2</v>
      </c>
      <c r="J86" s="357"/>
      <c r="K86" s="354"/>
      <c r="L86" s="357">
        <v>3</v>
      </c>
      <c r="M86" s="349"/>
      <c r="N86" s="357">
        <v>1470</v>
      </c>
      <c r="O86" s="354"/>
      <c r="P86" s="357">
        <v>2150</v>
      </c>
      <c r="Q86" s="378">
        <v>45</v>
      </c>
    </row>
    <row r="87" spans="1:17">
      <c r="A87" s="218">
        <v>69</v>
      </c>
      <c r="B87" s="111" t="s">
        <v>155</v>
      </c>
      <c r="C87" s="17"/>
      <c r="D87" s="355"/>
      <c r="E87" s="354"/>
      <c r="F87" s="355"/>
      <c r="G87" s="354"/>
      <c r="H87" s="355">
        <v>3</v>
      </c>
      <c r="I87" s="354"/>
      <c r="J87" s="355"/>
      <c r="K87" s="354"/>
      <c r="L87" s="356"/>
      <c r="M87" s="349"/>
      <c r="N87" s="355">
        <v>3</v>
      </c>
      <c r="O87" s="354"/>
      <c r="P87" s="355">
        <v>173</v>
      </c>
      <c r="Q87" s="378">
        <v>66</v>
      </c>
    </row>
    <row r="88" spans="1:17">
      <c r="A88" s="218">
        <v>70</v>
      </c>
      <c r="B88" s="111" t="s">
        <v>156</v>
      </c>
      <c r="C88" s="10"/>
      <c r="D88" s="355">
        <v>512</v>
      </c>
      <c r="E88" s="354"/>
      <c r="F88" s="355"/>
      <c r="G88" s="354"/>
      <c r="H88" s="355">
        <v>500</v>
      </c>
      <c r="I88" s="354"/>
      <c r="J88" s="355"/>
      <c r="K88" s="354"/>
      <c r="L88" s="355"/>
      <c r="M88" s="349"/>
      <c r="N88" s="355"/>
      <c r="O88" s="354"/>
      <c r="P88" s="355">
        <v>1898</v>
      </c>
      <c r="Q88" s="378">
        <v>5</v>
      </c>
    </row>
    <row r="89" spans="1:17">
      <c r="A89" s="218">
        <v>71</v>
      </c>
      <c r="B89" s="111" t="s">
        <v>157</v>
      </c>
      <c r="C89" s="10"/>
      <c r="D89" s="355">
        <v>2130</v>
      </c>
      <c r="E89" s="354">
        <v>200</v>
      </c>
      <c r="F89" s="355"/>
      <c r="G89" s="354"/>
      <c r="H89" s="355"/>
      <c r="I89" s="354"/>
      <c r="J89" s="355"/>
      <c r="K89" s="354"/>
      <c r="L89" s="355"/>
      <c r="M89" s="349"/>
      <c r="N89" s="355"/>
      <c r="O89" s="354"/>
      <c r="P89" s="355"/>
      <c r="Q89" s="378"/>
    </row>
    <row r="90" spans="1:17">
      <c r="A90" s="218">
        <v>72</v>
      </c>
      <c r="B90" s="111" t="s">
        <v>158</v>
      </c>
      <c r="C90" s="10"/>
      <c r="D90" s="355">
        <v>116743</v>
      </c>
      <c r="E90" s="354">
        <v>3002</v>
      </c>
      <c r="F90" s="355">
        <v>1000</v>
      </c>
      <c r="G90" s="354"/>
      <c r="H90" s="355">
        <v>3620</v>
      </c>
      <c r="I90" s="354">
        <v>200</v>
      </c>
      <c r="J90" s="355">
        <v>28000</v>
      </c>
      <c r="K90" s="354"/>
      <c r="L90" s="355">
        <v>237918</v>
      </c>
      <c r="M90" s="349">
        <v>1000</v>
      </c>
      <c r="N90" s="355">
        <v>232800</v>
      </c>
      <c r="O90" s="354">
        <v>15500</v>
      </c>
      <c r="P90" s="355">
        <v>24500</v>
      </c>
      <c r="Q90" s="378"/>
    </row>
    <row r="91" spans="1:17">
      <c r="A91" s="218">
        <v>73</v>
      </c>
      <c r="B91" s="111" t="s">
        <v>159</v>
      </c>
      <c r="C91" s="10"/>
      <c r="D91" s="355">
        <v>70</v>
      </c>
      <c r="E91" s="354"/>
      <c r="F91" s="355"/>
      <c r="G91" s="354"/>
      <c r="H91" s="355"/>
      <c r="I91" s="354"/>
      <c r="J91" s="355"/>
      <c r="K91" s="354"/>
      <c r="L91" s="355"/>
      <c r="M91" s="349"/>
      <c r="N91" s="355"/>
      <c r="O91" s="354"/>
      <c r="P91" s="355">
        <v>1301</v>
      </c>
      <c r="Q91" s="378">
        <v>30</v>
      </c>
    </row>
    <row r="92" spans="1:17" ht="15">
      <c r="A92" s="218">
        <v>74</v>
      </c>
      <c r="B92" s="111" t="s">
        <v>160</v>
      </c>
      <c r="C92" s="248"/>
      <c r="D92" s="357">
        <v>246914</v>
      </c>
      <c r="E92" s="354">
        <v>98300</v>
      </c>
      <c r="F92" s="357">
        <v>169065</v>
      </c>
      <c r="G92" s="354">
        <v>24625</v>
      </c>
      <c r="H92" s="357">
        <v>94830</v>
      </c>
      <c r="I92" s="354">
        <v>7800</v>
      </c>
      <c r="J92" s="357">
        <v>259150</v>
      </c>
      <c r="K92" s="354">
        <v>23000</v>
      </c>
      <c r="L92" s="355">
        <v>1069294</v>
      </c>
      <c r="M92" s="349">
        <v>99968</v>
      </c>
      <c r="N92" s="357">
        <v>77750</v>
      </c>
      <c r="O92" s="354">
        <v>20100</v>
      </c>
      <c r="P92" s="357">
        <v>202024</v>
      </c>
      <c r="Q92" s="378">
        <v>180412</v>
      </c>
    </row>
    <row r="93" spans="1:17">
      <c r="A93" s="218">
        <v>75</v>
      </c>
      <c r="B93" s="111" t="s">
        <v>161</v>
      </c>
      <c r="C93" s="17"/>
      <c r="D93" s="355">
        <v>2382</v>
      </c>
      <c r="E93" s="354"/>
      <c r="F93" s="355">
        <v>4189</v>
      </c>
      <c r="G93" s="354"/>
      <c r="H93" s="355">
        <v>25</v>
      </c>
      <c r="I93" s="354"/>
      <c r="J93" s="355"/>
      <c r="K93" s="354"/>
      <c r="L93" s="357">
        <v>3247</v>
      </c>
      <c r="M93" s="349">
        <v>875</v>
      </c>
      <c r="N93" s="355">
        <v>150</v>
      </c>
      <c r="O93" s="354"/>
      <c r="P93" s="355">
        <v>1575</v>
      </c>
      <c r="Q93" s="378"/>
    </row>
    <row r="94" spans="1:17">
      <c r="A94" s="218">
        <v>76</v>
      </c>
      <c r="B94" s="111" t="s">
        <v>162</v>
      </c>
      <c r="C94" s="10"/>
      <c r="D94" s="355">
        <v>127361</v>
      </c>
      <c r="E94" s="354">
        <v>8016</v>
      </c>
      <c r="F94" s="355">
        <v>500</v>
      </c>
      <c r="G94" s="354"/>
      <c r="H94" s="355">
        <v>59700</v>
      </c>
      <c r="I94" s="354"/>
      <c r="J94" s="355"/>
      <c r="K94" s="354"/>
      <c r="L94" s="355"/>
      <c r="M94" s="349"/>
      <c r="N94" s="355">
        <v>11801</v>
      </c>
      <c r="O94" s="354"/>
      <c r="P94" s="355">
        <v>300</v>
      </c>
      <c r="Q94" s="378"/>
    </row>
    <row r="95" spans="1:17">
      <c r="A95" s="218">
        <v>77</v>
      </c>
      <c r="B95" s="111" t="s">
        <v>163</v>
      </c>
      <c r="C95" s="10"/>
      <c r="D95" s="355">
        <v>76360</v>
      </c>
      <c r="E95" s="354">
        <v>7160</v>
      </c>
      <c r="F95" s="355">
        <v>4000</v>
      </c>
      <c r="G95" s="354">
        <v>1200</v>
      </c>
      <c r="H95" s="355">
        <v>6500</v>
      </c>
      <c r="I95" s="354">
        <v>1000</v>
      </c>
      <c r="J95" s="355"/>
      <c r="K95" s="354"/>
      <c r="L95" s="355">
        <v>3250</v>
      </c>
      <c r="M95" s="349"/>
      <c r="N95" s="355">
        <v>200</v>
      </c>
      <c r="O95" s="354"/>
      <c r="P95" s="355">
        <v>139869</v>
      </c>
      <c r="Q95" s="378">
        <v>10900</v>
      </c>
    </row>
    <row r="96" spans="1:17">
      <c r="A96" s="218">
        <v>78</v>
      </c>
      <c r="B96" s="111" t="s">
        <v>164</v>
      </c>
      <c r="C96" s="10"/>
      <c r="D96" s="355"/>
      <c r="E96" s="354"/>
      <c r="F96" s="355"/>
      <c r="G96" s="354"/>
      <c r="H96" s="355"/>
      <c r="I96" s="354"/>
      <c r="J96" s="355"/>
      <c r="K96" s="354"/>
      <c r="L96" s="355"/>
      <c r="M96" s="349"/>
      <c r="N96" s="355"/>
      <c r="O96" s="354"/>
      <c r="P96" s="355">
        <v>254</v>
      </c>
      <c r="Q96" s="378">
        <v>7</v>
      </c>
    </row>
    <row r="97" spans="1:17">
      <c r="A97" s="218">
        <v>79</v>
      </c>
      <c r="B97" s="111" t="s">
        <v>165</v>
      </c>
      <c r="C97" s="10"/>
      <c r="D97" s="355">
        <v>2717</v>
      </c>
      <c r="E97" s="354">
        <v>20</v>
      </c>
      <c r="F97" s="355"/>
      <c r="G97" s="354"/>
      <c r="H97" s="355">
        <v>365</v>
      </c>
      <c r="I97" s="354">
        <v>7</v>
      </c>
      <c r="J97" s="355"/>
      <c r="K97" s="354"/>
      <c r="L97" s="355">
        <v>30</v>
      </c>
      <c r="M97" s="349"/>
      <c r="N97" s="355"/>
      <c r="O97" s="354"/>
      <c r="P97" s="355">
        <v>2078</v>
      </c>
      <c r="Q97" s="378">
        <v>100</v>
      </c>
    </row>
    <row r="98" spans="1:17" ht="15">
      <c r="A98" s="218">
        <v>80</v>
      </c>
      <c r="B98" s="111" t="s">
        <v>166</v>
      </c>
      <c r="C98" s="248"/>
      <c r="D98" s="357">
        <v>8560</v>
      </c>
      <c r="E98" s="354"/>
      <c r="F98" s="357"/>
      <c r="G98" s="354"/>
      <c r="H98" s="357"/>
      <c r="I98" s="354"/>
      <c r="J98" s="357"/>
      <c r="K98" s="354"/>
      <c r="L98" s="355"/>
      <c r="M98" s="349"/>
      <c r="N98" s="357">
        <v>600</v>
      </c>
      <c r="O98" s="354"/>
      <c r="P98" s="357"/>
      <c r="Q98" s="378"/>
    </row>
    <row r="99" spans="1:17">
      <c r="A99" s="218">
        <v>81</v>
      </c>
      <c r="B99" s="111" t="s">
        <v>167</v>
      </c>
      <c r="C99" s="17"/>
      <c r="D99" s="355"/>
      <c r="E99" s="354"/>
      <c r="F99" s="355"/>
      <c r="G99" s="354"/>
      <c r="H99" s="355"/>
      <c r="I99" s="354"/>
      <c r="J99" s="355"/>
      <c r="K99" s="354"/>
      <c r="L99" s="357"/>
      <c r="M99" s="349"/>
      <c r="N99" s="355"/>
      <c r="O99" s="354"/>
      <c r="P99" s="355"/>
      <c r="Q99" s="378"/>
    </row>
    <row r="100" spans="1:17">
      <c r="A100" s="218">
        <v>82</v>
      </c>
      <c r="B100" s="111" t="s">
        <v>168</v>
      </c>
      <c r="C100" s="10"/>
      <c r="D100" s="355">
        <v>4193372</v>
      </c>
      <c r="E100" s="361">
        <v>1251300</v>
      </c>
      <c r="F100" s="355">
        <v>670000</v>
      </c>
      <c r="G100" s="361">
        <v>28700</v>
      </c>
      <c r="H100" s="355">
        <v>178900</v>
      </c>
      <c r="I100" s="361">
        <v>22000</v>
      </c>
      <c r="J100" s="355">
        <v>2000</v>
      </c>
      <c r="K100" s="361">
        <v>4000</v>
      </c>
      <c r="L100" s="355">
        <v>2405700</v>
      </c>
      <c r="M100" s="349">
        <v>158000</v>
      </c>
      <c r="N100" s="355">
        <v>872800</v>
      </c>
      <c r="O100" s="361">
        <v>47000</v>
      </c>
      <c r="P100" s="355">
        <v>1490206</v>
      </c>
      <c r="Q100" s="429">
        <v>317400</v>
      </c>
    </row>
    <row r="101" spans="1:17">
      <c r="A101" s="219"/>
      <c r="B101" s="240"/>
      <c r="C101" s="12"/>
      <c r="D101" s="363"/>
      <c r="E101" s="364"/>
      <c r="F101" s="363"/>
      <c r="G101" s="364"/>
      <c r="H101" s="363"/>
      <c r="I101" s="364"/>
      <c r="J101" s="363"/>
      <c r="K101" s="364"/>
      <c r="L101" s="363"/>
      <c r="M101" s="364"/>
      <c r="N101" s="363"/>
      <c r="O101" s="364"/>
      <c r="P101" s="363"/>
      <c r="Q101" s="430"/>
    </row>
    <row r="102" spans="1:17" ht="15">
      <c r="A102" s="220" t="s">
        <v>86</v>
      </c>
      <c r="B102" s="232"/>
      <c r="C102" s="10"/>
      <c r="D102" s="359">
        <f>SUM(D19:D100)</f>
        <v>10796906</v>
      </c>
      <c r="E102" s="358">
        <f t="shared" ref="E102:Q102" si="1">SUM(E19:E100)</f>
        <v>2308169</v>
      </c>
      <c r="F102" s="359">
        <f t="shared" si="1"/>
        <v>7231625</v>
      </c>
      <c r="G102" s="358">
        <f t="shared" si="1"/>
        <v>700010</v>
      </c>
      <c r="H102" s="359">
        <f t="shared" si="1"/>
        <v>2507496</v>
      </c>
      <c r="I102" s="358">
        <f t="shared" si="1"/>
        <v>202547</v>
      </c>
      <c r="J102" s="359">
        <f t="shared" si="1"/>
        <v>5367298</v>
      </c>
      <c r="K102" s="358">
        <f t="shared" si="1"/>
        <v>686687</v>
      </c>
      <c r="L102" s="359">
        <f t="shared" si="1"/>
        <v>17298828</v>
      </c>
      <c r="M102" s="358">
        <f t="shared" si="1"/>
        <v>2150484</v>
      </c>
      <c r="N102" s="359">
        <f t="shared" si="1"/>
        <v>5056378</v>
      </c>
      <c r="O102" s="358">
        <f t="shared" si="1"/>
        <v>483170</v>
      </c>
      <c r="P102" s="359">
        <f t="shared" si="1"/>
        <v>10038189</v>
      </c>
      <c r="Q102" s="377">
        <f t="shared" si="1"/>
        <v>2185634</v>
      </c>
    </row>
    <row r="103" spans="1:17" ht="16" thickBot="1">
      <c r="A103" s="221"/>
      <c r="B103" s="233"/>
      <c r="C103" s="251"/>
      <c r="D103" s="366"/>
      <c r="E103" s="367"/>
      <c r="F103" s="366"/>
      <c r="G103" s="367"/>
      <c r="H103" s="366"/>
      <c r="I103" s="367"/>
      <c r="J103" s="366"/>
      <c r="K103" s="367"/>
      <c r="L103" s="366"/>
      <c r="M103" s="367"/>
      <c r="N103" s="366"/>
      <c r="O103" s="367"/>
      <c r="P103" s="366"/>
      <c r="Q103" s="431"/>
    </row>
    <row r="104" spans="1:17" ht="15" thickTop="1">
      <c r="A104" s="222" t="s">
        <v>21</v>
      </c>
      <c r="B104" s="97"/>
      <c r="C104" s="10"/>
      <c r="D104" s="355"/>
      <c r="E104" s="354"/>
      <c r="F104" s="355"/>
      <c r="G104" s="354"/>
      <c r="H104" s="355"/>
      <c r="I104" s="354"/>
      <c r="J104" s="355"/>
      <c r="K104" s="354"/>
      <c r="L104" s="355"/>
      <c r="M104" s="354"/>
      <c r="N104" s="355"/>
      <c r="O104" s="354"/>
      <c r="P104" s="355"/>
      <c r="Q104" s="378"/>
    </row>
    <row r="105" spans="1:17" ht="15">
      <c r="A105" s="145">
        <v>83</v>
      </c>
      <c r="B105" s="4" t="s">
        <v>169</v>
      </c>
      <c r="C105" s="248"/>
      <c r="D105" s="357">
        <v>151936</v>
      </c>
      <c r="E105" s="354">
        <v>46320</v>
      </c>
      <c r="F105" s="357">
        <v>6170</v>
      </c>
      <c r="G105" s="354">
        <v>150</v>
      </c>
      <c r="H105" s="357">
        <v>11080</v>
      </c>
      <c r="I105" s="354">
        <v>4020</v>
      </c>
      <c r="J105" s="357"/>
      <c r="K105" s="354"/>
      <c r="L105" s="357">
        <v>21590</v>
      </c>
      <c r="M105" s="354">
        <v>7140</v>
      </c>
      <c r="N105" s="357">
        <v>10400</v>
      </c>
      <c r="O105" s="354">
        <v>1100</v>
      </c>
      <c r="P105" s="357">
        <v>58205</v>
      </c>
      <c r="Q105" s="378">
        <v>3510</v>
      </c>
    </row>
    <row r="106" spans="1:17">
      <c r="A106" s="145">
        <v>84</v>
      </c>
      <c r="B106" s="4" t="s">
        <v>170</v>
      </c>
      <c r="C106" s="17"/>
      <c r="D106" s="355">
        <v>3499</v>
      </c>
      <c r="E106" s="352">
        <v>165</v>
      </c>
      <c r="F106" s="20"/>
      <c r="G106" s="352"/>
      <c r="H106" s="355">
        <v>465</v>
      </c>
      <c r="I106" s="352">
        <v>400</v>
      </c>
      <c r="J106" s="355"/>
      <c r="K106" s="352"/>
      <c r="L106" s="355"/>
      <c r="M106" s="352"/>
      <c r="N106" s="355">
        <v>3070</v>
      </c>
      <c r="O106" s="352">
        <v>200</v>
      </c>
      <c r="P106" s="355">
        <v>1105</v>
      </c>
      <c r="Q106" s="378">
        <v>197</v>
      </c>
    </row>
    <row r="107" spans="1:17">
      <c r="A107" s="145">
        <v>85</v>
      </c>
      <c r="B107" s="4" t="s">
        <v>171</v>
      </c>
      <c r="C107" s="10"/>
      <c r="D107" s="355">
        <v>515</v>
      </c>
      <c r="E107" s="352">
        <v>137</v>
      </c>
      <c r="F107" s="20"/>
      <c r="G107" s="352"/>
      <c r="H107" s="355">
        <v>75</v>
      </c>
      <c r="I107" s="352"/>
      <c r="J107" s="355"/>
      <c r="K107" s="352"/>
      <c r="L107" s="355"/>
      <c r="M107" s="352"/>
      <c r="N107" s="355"/>
      <c r="O107" s="352"/>
      <c r="P107" s="355">
        <v>556</v>
      </c>
      <c r="Q107" s="378"/>
    </row>
    <row r="108" spans="1:17">
      <c r="A108" s="145">
        <v>86</v>
      </c>
      <c r="B108" s="4" t="s">
        <v>172</v>
      </c>
      <c r="C108" s="10"/>
      <c r="D108" s="355">
        <v>12</v>
      </c>
      <c r="E108" s="352"/>
      <c r="F108" s="20"/>
      <c r="G108" s="352"/>
      <c r="H108" s="355">
        <v>75</v>
      </c>
      <c r="I108" s="352"/>
      <c r="J108" s="355"/>
      <c r="K108" s="352"/>
      <c r="L108" s="355"/>
      <c r="M108" s="352"/>
      <c r="N108" s="355">
        <v>34</v>
      </c>
      <c r="O108" s="352"/>
      <c r="P108" s="355">
        <v>51</v>
      </c>
      <c r="Q108" s="378">
        <v>70</v>
      </c>
    </row>
    <row r="109" spans="1:17">
      <c r="A109" s="145">
        <v>87</v>
      </c>
      <c r="B109" s="4" t="s">
        <v>173</v>
      </c>
      <c r="C109" s="10"/>
      <c r="D109" s="355">
        <v>4592</v>
      </c>
      <c r="E109" s="352">
        <v>130</v>
      </c>
      <c r="F109" s="40"/>
      <c r="G109" s="352"/>
      <c r="H109" s="355">
        <v>6</v>
      </c>
      <c r="I109" s="352">
        <v>3</v>
      </c>
      <c r="J109" s="355"/>
      <c r="K109" s="352"/>
      <c r="L109" s="355">
        <v>100</v>
      </c>
      <c r="M109" s="352"/>
      <c r="N109" s="355">
        <v>3000</v>
      </c>
      <c r="O109" s="352"/>
      <c r="P109" s="355">
        <v>4613</v>
      </c>
      <c r="Q109" s="378">
        <v>662</v>
      </c>
    </row>
    <row r="110" spans="1:17">
      <c r="A110" s="215"/>
      <c r="B110" s="203"/>
      <c r="C110" s="12"/>
      <c r="D110" s="363"/>
      <c r="E110" s="364"/>
      <c r="F110" s="363"/>
      <c r="G110" s="364"/>
      <c r="H110" s="363"/>
      <c r="I110" s="364"/>
      <c r="J110" s="363"/>
      <c r="K110" s="364"/>
      <c r="L110" s="363"/>
      <c r="M110" s="364"/>
      <c r="N110" s="363"/>
      <c r="O110" s="364"/>
      <c r="P110" s="363"/>
      <c r="Q110" s="430"/>
    </row>
    <row r="111" spans="1:17" ht="15">
      <c r="A111" s="145" t="s">
        <v>293</v>
      </c>
      <c r="B111" s="4"/>
      <c r="C111" s="248"/>
      <c r="D111" s="359">
        <f>SUM(D105:D109)</f>
        <v>160554</v>
      </c>
      <c r="E111" s="358">
        <f t="shared" ref="E111:Q111" si="2">SUM(E105:E109)</f>
        <v>46752</v>
      </c>
      <c r="F111" s="359">
        <f t="shared" si="2"/>
        <v>6170</v>
      </c>
      <c r="G111" s="358">
        <f t="shared" si="2"/>
        <v>150</v>
      </c>
      <c r="H111" s="359">
        <f>SUM(H105:H109)</f>
        <v>11701</v>
      </c>
      <c r="I111" s="358">
        <f t="shared" si="2"/>
        <v>4423</v>
      </c>
      <c r="J111" s="357">
        <f t="shared" si="2"/>
        <v>0</v>
      </c>
      <c r="K111" s="349">
        <f t="shared" si="2"/>
        <v>0</v>
      </c>
      <c r="L111" s="357">
        <f t="shared" si="2"/>
        <v>21690</v>
      </c>
      <c r="M111" s="349">
        <f t="shared" si="2"/>
        <v>7140</v>
      </c>
      <c r="N111" s="357">
        <f t="shared" si="2"/>
        <v>16504</v>
      </c>
      <c r="O111" s="349">
        <f t="shared" si="2"/>
        <v>1300</v>
      </c>
      <c r="P111" s="357">
        <f t="shared" si="2"/>
        <v>64530</v>
      </c>
      <c r="Q111" s="377">
        <f t="shared" si="2"/>
        <v>4439</v>
      </c>
    </row>
    <row r="112" spans="1:17" ht="15" thickBot="1">
      <c r="A112" s="217"/>
      <c r="B112" s="104"/>
      <c r="C112" s="257"/>
      <c r="D112" s="366"/>
      <c r="E112" s="367"/>
      <c r="F112" s="366"/>
      <c r="G112" s="367"/>
      <c r="H112" s="366"/>
      <c r="I112" s="367"/>
      <c r="J112" s="366"/>
      <c r="K112" s="367"/>
      <c r="L112" s="366"/>
      <c r="M112" s="367"/>
      <c r="N112" s="366"/>
      <c r="O112" s="367"/>
      <c r="P112" s="366"/>
      <c r="Q112" s="431"/>
    </row>
    <row r="113" spans="1:17" ht="15" thickTop="1">
      <c r="A113" s="223" t="s">
        <v>22</v>
      </c>
      <c r="B113" s="112"/>
      <c r="C113" s="10"/>
      <c r="D113" s="355"/>
      <c r="E113" s="352"/>
      <c r="F113" s="355"/>
      <c r="G113" s="352"/>
      <c r="H113" s="355"/>
      <c r="I113" s="352"/>
      <c r="J113" s="355"/>
      <c r="K113" s="352"/>
      <c r="L113" s="355"/>
      <c r="M113" s="352"/>
      <c r="N113" s="355"/>
      <c r="O113" s="352"/>
      <c r="P113" s="355"/>
      <c r="Q113" s="378"/>
    </row>
    <row r="114" spans="1:17">
      <c r="A114" s="222" t="s">
        <v>23</v>
      </c>
      <c r="B114" s="97"/>
      <c r="C114" s="10"/>
      <c r="D114" s="355"/>
      <c r="E114" s="352"/>
      <c r="F114" s="355"/>
      <c r="G114" s="352"/>
      <c r="H114" s="355"/>
      <c r="I114" s="352"/>
      <c r="J114" s="355"/>
      <c r="K114" s="352"/>
      <c r="L114" s="355"/>
      <c r="M114" s="352"/>
      <c r="N114" s="355"/>
      <c r="O114" s="352"/>
      <c r="P114" s="355"/>
      <c r="Q114" s="378"/>
    </row>
    <row r="115" spans="1:17">
      <c r="A115" s="145">
        <v>88</v>
      </c>
      <c r="B115" s="4" t="s">
        <v>174</v>
      </c>
      <c r="C115" s="10"/>
      <c r="D115" s="355">
        <v>4</v>
      </c>
      <c r="E115" s="352"/>
      <c r="F115" s="355"/>
      <c r="G115" s="352"/>
      <c r="H115" s="355"/>
      <c r="I115" s="352"/>
      <c r="J115" s="355"/>
      <c r="K115" s="352"/>
      <c r="L115" s="355"/>
      <c r="M115" s="352"/>
      <c r="N115" s="355"/>
      <c r="O115" s="352"/>
      <c r="P115" s="355">
        <v>205</v>
      </c>
      <c r="Q115" s="378">
        <v>57</v>
      </c>
    </row>
    <row r="116" spans="1:17">
      <c r="A116" s="145">
        <v>89</v>
      </c>
      <c r="B116" s="4" t="s">
        <v>175</v>
      </c>
      <c r="C116" s="10"/>
      <c r="D116" s="355">
        <v>301</v>
      </c>
      <c r="E116" s="352"/>
      <c r="F116" s="355"/>
      <c r="G116" s="352"/>
      <c r="H116" s="355">
        <v>303</v>
      </c>
      <c r="I116" s="352"/>
      <c r="J116" s="355"/>
      <c r="K116" s="352"/>
      <c r="L116" s="355"/>
      <c r="M116" s="352"/>
      <c r="N116" s="355"/>
      <c r="O116" s="352"/>
      <c r="P116" s="355">
        <v>1242</v>
      </c>
      <c r="Q116" s="378">
        <v>220</v>
      </c>
    </row>
    <row r="117" spans="1:17" ht="15">
      <c r="A117" s="145">
        <v>90</v>
      </c>
      <c r="B117" s="4" t="s">
        <v>176</v>
      </c>
      <c r="C117" s="248"/>
      <c r="D117" s="357">
        <v>65</v>
      </c>
      <c r="E117" s="354">
        <v>17</v>
      </c>
      <c r="F117" s="357"/>
      <c r="G117" s="354"/>
      <c r="H117" s="357">
        <v>34</v>
      </c>
      <c r="I117" s="354">
        <v>5</v>
      </c>
      <c r="J117" s="357"/>
      <c r="K117" s="354"/>
      <c r="L117" s="357"/>
      <c r="M117" s="354"/>
      <c r="N117" s="357"/>
      <c r="O117" s="354"/>
      <c r="P117" s="357">
        <v>255</v>
      </c>
      <c r="Q117" s="378">
        <v>107</v>
      </c>
    </row>
    <row r="118" spans="1:17">
      <c r="A118" s="145">
        <v>91</v>
      </c>
      <c r="B118" s="4" t="s">
        <v>177</v>
      </c>
      <c r="C118" s="17"/>
      <c r="D118" s="355"/>
      <c r="E118" s="352"/>
      <c r="F118" s="355"/>
      <c r="G118" s="352"/>
      <c r="H118" s="355"/>
      <c r="I118" s="352"/>
      <c r="J118" s="355"/>
      <c r="K118" s="352"/>
      <c r="L118" s="355"/>
      <c r="M118" s="352"/>
      <c r="N118" s="355"/>
      <c r="O118" s="352"/>
      <c r="P118" s="355"/>
      <c r="Q118" s="378"/>
    </row>
    <row r="119" spans="1:17">
      <c r="A119" s="145">
        <v>92</v>
      </c>
      <c r="B119" s="4" t="s">
        <v>178</v>
      </c>
      <c r="C119" s="10"/>
      <c r="D119" s="355"/>
      <c r="E119" s="352"/>
      <c r="F119" s="355"/>
      <c r="G119" s="352"/>
      <c r="H119" s="355"/>
      <c r="I119" s="352"/>
      <c r="J119" s="355"/>
      <c r="K119" s="352"/>
      <c r="L119" s="355"/>
      <c r="M119" s="352"/>
      <c r="N119" s="355"/>
      <c r="O119" s="352"/>
      <c r="P119" s="355"/>
      <c r="Q119" s="378"/>
    </row>
    <row r="120" spans="1:17">
      <c r="A120" s="145">
        <v>93</v>
      </c>
      <c r="B120" s="4" t="s">
        <v>179</v>
      </c>
      <c r="C120" s="10"/>
      <c r="D120" s="355"/>
      <c r="E120" s="352"/>
      <c r="F120" s="355"/>
      <c r="G120" s="352"/>
      <c r="H120" s="355"/>
      <c r="I120" s="352"/>
      <c r="J120" s="355"/>
      <c r="K120" s="352"/>
      <c r="L120" s="355"/>
      <c r="M120" s="352"/>
      <c r="N120" s="355"/>
      <c r="O120" s="352"/>
      <c r="P120" s="355"/>
      <c r="Q120" s="378"/>
    </row>
    <row r="121" spans="1:17">
      <c r="A121" s="145">
        <v>94</v>
      </c>
      <c r="B121" s="4" t="s">
        <v>180</v>
      </c>
      <c r="C121" s="10"/>
      <c r="D121" s="355"/>
      <c r="E121" s="352"/>
      <c r="F121" s="355"/>
      <c r="G121" s="352"/>
      <c r="H121" s="355"/>
      <c r="I121" s="352"/>
      <c r="J121" s="355"/>
      <c r="K121" s="352"/>
      <c r="L121" s="355"/>
      <c r="M121" s="352"/>
      <c r="N121" s="355"/>
      <c r="O121" s="352"/>
      <c r="P121" s="355"/>
      <c r="Q121" s="378"/>
    </row>
    <row r="122" spans="1:17">
      <c r="A122" s="145">
        <v>95</v>
      </c>
      <c r="B122" s="4" t="s">
        <v>181</v>
      </c>
      <c r="C122" s="10"/>
      <c r="D122" s="355"/>
      <c r="E122" s="352"/>
      <c r="F122" s="355"/>
      <c r="G122" s="352"/>
      <c r="H122" s="355"/>
      <c r="I122" s="352"/>
      <c r="J122" s="355"/>
      <c r="K122" s="352"/>
      <c r="L122" s="355"/>
      <c r="M122" s="352"/>
      <c r="N122" s="355"/>
      <c r="O122" s="352"/>
      <c r="P122" s="355"/>
      <c r="Q122" s="378"/>
    </row>
    <row r="123" spans="1:17" ht="15">
      <c r="A123" s="145">
        <v>96</v>
      </c>
      <c r="B123" s="4" t="s">
        <v>182</v>
      </c>
      <c r="C123" s="248"/>
      <c r="D123" s="357"/>
      <c r="E123" s="354"/>
      <c r="F123" s="357"/>
      <c r="G123" s="354"/>
      <c r="H123" s="357">
        <v>2</v>
      </c>
      <c r="I123" s="354">
        <v>3</v>
      </c>
      <c r="J123" s="357"/>
      <c r="K123" s="354"/>
      <c r="L123" s="357"/>
      <c r="M123" s="354"/>
      <c r="N123" s="357"/>
      <c r="O123" s="354"/>
      <c r="P123" s="357">
        <v>1785</v>
      </c>
      <c r="Q123" s="378">
        <v>415</v>
      </c>
    </row>
    <row r="124" spans="1:17">
      <c r="A124" s="222" t="s">
        <v>24</v>
      </c>
      <c r="B124" s="97"/>
      <c r="C124" s="17"/>
      <c r="D124" s="355"/>
      <c r="E124" s="352"/>
      <c r="F124" s="355"/>
      <c r="G124" s="352"/>
      <c r="H124" s="355"/>
      <c r="I124" s="352"/>
      <c r="J124" s="355"/>
      <c r="K124" s="352"/>
      <c r="L124" s="355"/>
      <c r="M124" s="352"/>
      <c r="N124" s="355"/>
      <c r="O124" s="352"/>
      <c r="P124" s="355"/>
      <c r="Q124" s="378"/>
    </row>
    <row r="125" spans="1:17">
      <c r="A125" s="224">
        <v>97</v>
      </c>
      <c r="B125" s="113" t="s">
        <v>183</v>
      </c>
      <c r="C125" s="10"/>
      <c r="D125" s="355">
        <v>8</v>
      </c>
      <c r="E125" s="352"/>
      <c r="F125" s="355"/>
      <c r="G125" s="352"/>
      <c r="H125" s="355">
        <v>5</v>
      </c>
      <c r="I125" s="352"/>
      <c r="J125" s="355"/>
      <c r="K125" s="352"/>
      <c r="L125" s="355"/>
      <c r="M125" s="352"/>
      <c r="N125" s="355"/>
      <c r="O125" s="352"/>
      <c r="P125" s="355">
        <v>14</v>
      </c>
      <c r="Q125" s="378">
        <v>9</v>
      </c>
    </row>
    <row r="126" spans="1:17">
      <c r="A126" s="145">
        <v>98</v>
      </c>
      <c r="B126" s="4" t="s">
        <v>184</v>
      </c>
      <c r="C126" s="10"/>
      <c r="D126" s="355">
        <v>4</v>
      </c>
      <c r="E126" s="352">
        <v>6</v>
      </c>
      <c r="F126" s="355"/>
      <c r="G126" s="352"/>
      <c r="H126" s="355"/>
      <c r="I126" s="352"/>
      <c r="J126" s="355"/>
      <c r="K126" s="352"/>
      <c r="L126" s="355"/>
      <c r="M126" s="352"/>
      <c r="N126" s="355"/>
      <c r="O126" s="352"/>
      <c r="P126" s="355"/>
      <c r="Q126" s="378"/>
    </row>
    <row r="127" spans="1:17">
      <c r="A127" s="145">
        <v>99</v>
      </c>
      <c r="B127" s="4" t="s">
        <v>185</v>
      </c>
      <c r="C127" s="10"/>
      <c r="D127" s="355"/>
      <c r="E127" s="352"/>
      <c r="F127" s="355"/>
      <c r="G127" s="352"/>
      <c r="H127" s="355"/>
      <c r="I127" s="352"/>
      <c r="J127" s="355"/>
      <c r="K127" s="352"/>
      <c r="L127" s="355"/>
      <c r="M127" s="352"/>
      <c r="N127" s="355"/>
      <c r="O127" s="352"/>
      <c r="P127" s="355"/>
      <c r="Q127" s="378"/>
    </row>
    <row r="128" spans="1:17">
      <c r="A128" s="145">
        <v>100</v>
      </c>
      <c r="B128" s="4" t="s">
        <v>186</v>
      </c>
      <c r="C128" s="10"/>
      <c r="D128" s="355"/>
      <c r="E128" s="352"/>
      <c r="F128" s="355"/>
      <c r="G128" s="352"/>
      <c r="H128" s="355"/>
      <c r="I128" s="352"/>
      <c r="J128" s="355"/>
      <c r="K128" s="352"/>
      <c r="L128" s="355"/>
      <c r="M128" s="352"/>
      <c r="N128" s="355"/>
      <c r="O128" s="352"/>
      <c r="P128" s="355"/>
      <c r="Q128" s="378"/>
    </row>
    <row r="129" spans="1:17" ht="15">
      <c r="A129" s="145">
        <v>101</v>
      </c>
      <c r="B129" s="4" t="s">
        <v>304</v>
      </c>
      <c r="C129" s="248"/>
      <c r="D129" s="357"/>
      <c r="E129" s="354"/>
      <c r="F129" s="357"/>
      <c r="G129" s="354"/>
      <c r="H129" s="357"/>
      <c r="I129" s="354"/>
      <c r="J129" s="357"/>
      <c r="K129" s="354"/>
      <c r="L129" s="357"/>
      <c r="M129" s="354"/>
      <c r="N129" s="357"/>
      <c r="O129" s="354"/>
      <c r="P129" s="357"/>
      <c r="Q129" s="378"/>
    </row>
    <row r="130" spans="1:17">
      <c r="A130" s="145">
        <v>102</v>
      </c>
      <c r="B130" s="4" t="s">
        <v>187</v>
      </c>
      <c r="C130" s="17"/>
      <c r="D130" s="355"/>
      <c r="E130" s="352"/>
      <c r="F130" s="355"/>
      <c r="G130" s="352"/>
      <c r="H130" s="355"/>
      <c r="I130" s="352"/>
      <c r="J130" s="355"/>
      <c r="K130" s="352"/>
      <c r="L130" s="355"/>
      <c r="M130" s="352"/>
      <c r="N130" s="355"/>
      <c r="O130" s="352"/>
      <c r="P130" s="355">
        <v>8520</v>
      </c>
      <c r="Q130" s="378">
        <v>130</v>
      </c>
    </row>
    <row r="131" spans="1:17">
      <c r="A131" s="145">
        <v>103</v>
      </c>
      <c r="B131" s="4" t="s">
        <v>188</v>
      </c>
      <c r="C131" s="10"/>
      <c r="D131" s="355">
        <v>50</v>
      </c>
      <c r="E131" s="352"/>
      <c r="F131" s="355"/>
      <c r="G131" s="352"/>
      <c r="H131" s="355"/>
      <c r="I131" s="352"/>
      <c r="J131" s="355"/>
      <c r="K131" s="352"/>
      <c r="L131" s="355"/>
      <c r="M131" s="352"/>
      <c r="N131" s="355">
        <v>50</v>
      </c>
      <c r="O131" s="352"/>
      <c r="P131" s="355">
        <v>204</v>
      </c>
      <c r="Q131" s="378">
        <v>50</v>
      </c>
    </row>
    <row r="132" spans="1:17">
      <c r="A132" s="222" t="s">
        <v>25</v>
      </c>
      <c r="B132" s="97"/>
      <c r="C132" s="10"/>
      <c r="D132" s="355"/>
      <c r="E132" s="352"/>
      <c r="F132" s="355"/>
      <c r="G132" s="352"/>
      <c r="H132" s="355"/>
      <c r="I132" s="352"/>
      <c r="J132" s="355"/>
      <c r="K132" s="352"/>
      <c r="L132" s="355"/>
      <c r="M132" s="352"/>
      <c r="N132" s="355"/>
      <c r="O132" s="352"/>
      <c r="P132" s="355"/>
      <c r="Q132" s="378"/>
    </row>
    <row r="133" spans="1:17">
      <c r="A133" s="145">
        <v>104</v>
      </c>
      <c r="B133" s="4" t="s">
        <v>189</v>
      </c>
      <c r="C133" s="10"/>
      <c r="D133" s="355"/>
      <c r="E133" s="352"/>
      <c r="F133" s="355"/>
      <c r="G133" s="352"/>
      <c r="H133" s="355"/>
      <c r="I133" s="352"/>
      <c r="J133" s="355"/>
      <c r="K133" s="352"/>
      <c r="L133" s="355"/>
      <c r="M133" s="352"/>
      <c r="N133" s="355"/>
      <c r="O133" s="352"/>
      <c r="P133" s="355"/>
      <c r="Q133" s="378"/>
    </row>
    <row r="134" spans="1:17">
      <c r="A134" s="145">
        <v>105</v>
      </c>
      <c r="B134" s="4" t="s">
        <v>190</v>
      </c>
      <c r="C134" s="10"/>
      <c r="D134" s="355"/>
      <c r="E134" s="354"/>
      <c r="F134" s="355"/>
      <c r="G134" s="354"/>
      <c r="H134" s="355"/>
      <c r="I134" s="354"/>
      <c r="J134" s="355"/>
      <c r="K134" s="354"/>
      <c r="L134" s="355"/>
      <c r="M134" s="354"/>
      <c r="N134" s="355"/>
      <c r="O134" s="354"/>
      <c r="P134" s="355">
        <v>50</v>
      </c>
      <c r="Q134" s="378"/>
    </row>
    <row r="135" spans="1:17">
      <c r="A135" s="145">
        <v>106</v>
      </c>
      <c r="B135" s="4" t="s">
        <v>191</v>
      </c>
      <c r="C135" s="10"/>
      <c r="D135" s="355"/>
      <c r="E135" s="354"/>
      <c r="F135" s="355"/>
      <c r="G135" s="354"/>
      <c r="H135" s="355"/>
      <c r="I135" s="354"/>
      <c r="J135" s="355"/>
      <c r="K135" s="354"/>
      <c r="L135" s="355"/>
      <c r="M135" s="354"/>
      <c r="N135" s="355"/>
      <c r="O135" s="354"/>
      <c r="P135" s="355"/>
      <c r="Q135" s="378"/>
    </row>
    <row r="136" spans="1:17" ht="15">
      <c r="A136" s="145">
        <v>107</v>
      </c>
      <c r="B136" s="4" t="s">
        <v>192</v>
      </c>
      <c r="C136" s="248"/>
      <c r="D136" s="357"/>
      <c r="E136" s="354"/>
      <c r="F136" s="357"/>
      <c r="G136" s="354"/>
      <c r="H136" s="357"/>
      <c r="I136" s="354"/>
      <c r="J136" s="357"/>
      <c r="K136" s="354"/>
      <c r="L136" s="357"/>
      <c r="M136" s="354"/>
      <c r="N136" s="357"/>
      <c r="O136" s="354"/>
      <c r="P136" s="357"/>
      <c r="Q136" s="378"/>
    </row>
    <row r="137" spans="1:17">
      <c r="A137" s="145">
        <v>108</v>
      </c>
      <c r="B137" s="4" t="s">
        <v>193</v>
      </c>
      <c r="C137" s="17"/>
      <c r="D137" s="355"/>
      <c r="E137" s="352"/>
      <c r="F137" s="355"/>
      <c r="G137" s="352"/>
      <c r="H137" s="355"/>
      <c r="I137" s="352"/>
      <c r="J137" s="355"/>
      <c r="K137" s="352"/>
      <c r="L137" s="355"/>
      <c r="M137" s="352"/>
      <c r="N137" s="355"/>
      <c r="O137" s="352"/>
      <c r="P137" s="355"/>
      <c r="Q137" s="378"/>
    </row>
    <row r="138" spans="1:17">
      <c r="A138" s="145">
        <v>109</v>
      </c>
      <c r="B138" s="4" t="s">
        <v>194</v>
      </c>
      <c r="C138" s="10"/>
      <c r="D138" s="355">
        <v>2</v>
      </c>
      <c r="E138" s="352"/>
      <c r="F138" s="355"/>
      <c r="G138" s="352"/>
      <c r="H138" s="355"/>
      <c r="I138" s="352"/>
      <c r="J138" s="355"/>
      <c r="K138" s="352"/>
      <c r="L138" s="355"/>
      <c r="M138" s="352"/>
      <c r="N138" s="355"/>
      <c r="O138" s="352"/>
      <c r="P138" s="355">
        <v>30</v>
      </c>
      <c r="Q138" s="378"/>
    </row>
    <row r="139" spans="1:17">
      <c r="A139" s="222" t="s">
        <v>26</v>
      </c>
      <c r="B139" s="97"/>
      <c r="C139" s="10"/>
      <c r="D139" s="355"/>
      <c r="E139" s="352"/>
      <c r="F139" s="355"/>
      <c r="G139" s="352"/>
      <c r="H139" s="355"/>
      <c r="I139" s="352"/>
      <c r="J139" s="355"/>
      <c r="K139" s="352"/>
      <c r="L139" s="355"/>
      <c r="M139" s="352"/>
      <c r="N139" s="355"/>
      <c r="O139" s="352"/>
      <c r="P139" s="355"/>
      <c r="Q139" s="378"/>
    </row>
    <row r="140" spans="1:17">
      <c r="A140" s="145">
        <v>110</v>
      </c>
      <c r="B140" s="4" t="s">
        <v>195</v>
      </c>
      <c r="C140" s="17" t="s">
        <v>484</v>
      </c>
      <c r="D140" s="355"/>
      <c r="E140" s="352"/>
      <c r="F140" s="355"/>
      <c r="G140" s="352"/>
      <c r="H140" s="355"/>
      <c r="I140" s="352"/>
      <c r="J140" s="355"/>
      <c r="K140" s="352"/>
      <c r="L140" s="355"/>
      <c r="M140" s="352"/>
      <c r="N140" s="355"/>
      <c r="O140" s="352"/>
      <c r="P140" s="355"/>
      <c r="Q140" s="378"/>
    </row>
    <row r="141" spans="1:17">
      <c r="A141" s="145">
        <v>111</v>
      </c>
      <c r="B141" s="4" t="s">
        <v>196</v>
      </c>
      <c r="C141" s="10"/>
      <c r="D141" s="355"/>
      <c r="E141" s="352"/>
      <c r="F141" s="355"/>
      <c r="G141" s="352"/>
      <c r="H141" s="355"/>
      <c r="I141" s="352"/>
      <c r="J141" s="355"/>
      <c r="K141" s="352"/>
      <c r="L141" s="355"/>
      <c r="M141" s="352"/>
      <c r="N141" s="355"/>
      <c r="O141" s="352"/>
      <c r="P141" s="355"/>
      <c r="Q141" s="378"/>
    </row>
    <row r="142" spans="1:17" ht="15">
      <c r="A142" s="145">
        <v>112</v>
      </c>
      <c r="B142" s="4" t="s">
        <v>197</v>
      </c>
      <c r="C142" s="248"/>
      <c r="D142" s="357"/>
      <c r="E142" s="354"/>
      <c r="F142" s="357"/>
      <c r="G142" s="354"/>
      <c r="H142" s="357"/>
      <c r="I142" s="354"/>
      <c r="J142" s="357"/>
      <c r="K142" s="354"/>
      <c r="L142" s="357"/>
      <c r="M142" s="354"/>
      <c r="N142" s="357"/>
      <c r="O142" s="354"/>
      <c r="P142" s="357"/>
      <c r="Q142" s="378"/>
    </row>
    <row r="143" spans="1:17">
      <c r="A143" s="145">
        <v>113</v>
      </c>
      <c r="B143" s="4" t="s">
        <v>198</v>
      </c>
      <c r="C143" s="17"/>
      <c r="D143" s="355"/>
      <c r="E143" s="352"/>
      <c r="F143" s="355"/>
      <c r="G143" s="352"/>
      <c r="H143" s="355"/>
      <c r="I143" s="352"/>
      <c r="J143" s="355"/>
      <c r="K143" s="352"/>
      <c r="L143" s="355"/>
      <c r="M143" s="352"/>
      <c r="N143" s="355"/>
      <c r="O143" s="352"/>
      <c r="P143" s="355"/>
      <c r="Q143" s="378"/>
    </row>
    <row r="144" spans="1:17">
      <c r="A144" s="145">
        <v>114</v>
      </c>
      <c r="B144" s="4" t="s">
        <v>199</v>
      </c>
      <c r="C144" s="10"/>
      <c r="D144" s="355"/>
      <c r="E144" s="352"/>
      <c r="F144" s="355"/>
      <c r="G144" s="352"/>
      <c r="H144" s="355"/>
      <c r="I144" s="352"/>
      <c r="J144" s="355"/>
      <c r="K144" s="352"/>
      <c r="L144" s="355"/>
      <c r="M144" s="352"/>
      <c r="N144" s="355"/>
      <c r="O144" s="352"/>
      <c r="P144" s="355"/>
      <c r="Q144" s="378"/>
    </row>
    <row r="145" spans="1:17">
      <c r="A145" s="145">
        <v>115</v>
      </c>
      <c r="B145" s="4" t="s">
        <v>305</v>
      </c>
      <c r="C145" s="10"/>
      <c r="D145" s="355"/>
      <c r="E145" s="352"/>
      <c r="F145" s="355"/>
      <c r="G145" s="352"/>
      <c r="H145" s="355"/>
      <c r="I145" s="352"/>
      <c r="J145" s="355"/>
      <c r="K145" s="352"/>
      <c r="L145" s="355"/>
      <c r="M145" s="352"/>
      <c r="N145" s="355"/>
      <c r="O145" s="352"/>
      <c r="P145" s="355"/>
      <c r="Q145" s="378"/>
    </row>
    <row r="146" spans="1:17">
      <c r="A146" s="145">
        <v>116</v>
      </c>
      <c r="B146" s="4" t="s">
        <v>200</v>
      </c>
      <c r="C146" s="10"/>
      <c r="D146" s="355"/>
      <c r="E146" s="352"/>
      <c r="F146" s="355"/>
      <c r="G146" s="352"/>
      <c r="H146" s="355"/>
      <c r="I146" s="352"/>
      <c r="J146" s="355"/>
      <c r="K146" s="352"/>
      <c r="L146" s="355"/>
      <c r="M146" s="352"/>
      <c r="N146" s="355"/>
      <c r="O146" s="352"/>
      <c r="P146" s="355">
        <v>29</v>
      </c>
      <c r="Q146" s="378">
        <v>9</v>
      </c>
    </row>
    <row r="147" spans="1:17">
      <c r="A147" s="215"/>
      <c r="B147" s="203"/>
      <c r="C147" s="12"/>
      <c r="D147" s="363"/>
      <c r="E147" s="364"/>
      <c r="F147" s="363"/>
      <c r="G147" s="364"/>
      <c r="H147" s="363"/>
      <c r="I147" s="364"/>
      <c r="J147" s="363"/>
      <c r="K147" s="364"/>
      <c r="L147" s="363"/>
      <c r="M147" s="364"/>
      <c r="N147" s="363"/>
      <c r="O147" s="364"/>
      <c r="P147" s="363"/>
      <c r="Q147" s="430"/>
    </row>
    <row r="148" spans="1:17" ht="15">
      <c r="A148" s="145" t="s">
        <v>294</v>
      </c>
      <c r="B148" s="4"/>
      <c r="C148" s="248"/>
      <c r="D148" s="359">
        <f>SUM(D115:D146)</f>
        <v>434</v>
      </c>
      <c r="E148" s="358">
        <f t="shared" ref="E148:Q148" si="3">SUM(E115:E146)</f>
        <v>23</v>
      </c>
      <c r="F148" s="359">
        <f t="shared" si="3"/>
        <v>0</v>
      </c>
      <c r="G148" s="358">
        <f t="shared" si="3"/>
        <v>0</v>
      </c>
      <c r="H148" s="359">
        <f t="shared" si="3"/>
        <v>344</v>
      </c>
      <c r="I148" s="358">
        <f t="shared" si="3"/>
        <v>8</v>
      </c>
      <c r="J148" s="359">
        <f t="shared" si="3"/>
        <v>0</v>
      </c>
      <c r="K148" s="358">
        <f t="shared" si="3"/>
        <v>0</v>
      </c>
      <c r="L148" s="359">
        <f t="shared" si="3"/>
        <v>0</v>
      </c>
      <c r="M148" s="358">
        <f t="shared" si="3"/>
        <v>0</v>
      </c>
      <c r="N148" s="359">
        <f t="shared" si="3"/>
        <v>50</v>
      </c>
      <c r="O148" s="358">
        <f t="shared" si="3"/>
        <v>0</v>
      </c>
      <c r="P148" s="359">
        <f t="shared" si="3"/>
        <v>12334</v>
      </c>
      <c r="Q148" s="377">
        <f t="shared" si="3"/>
        <v>997</v>
      </c>
    </row>
    <row r="149" spans="1:17" ht="15" thickBot="1">
      <c r="A149" s="217"/>
      <c r="B149" s="104"/>
      <c r="C149" s="257"/>
      <c r="D149" s="366"/>
      <c r="E149" s="367"/>
      <c r="F149" s="366"/>
      <c r="G149" s="367"/>
      <c r="H149" s="366"/>
      <c r="I149" s="367"/>
      <c r="J149" s="366"/>
      <c r="K149" s="367"/>
      <c r="L149" s="366"/>
      <c r="M149" s="367"/>
      <c r="N149" s="366"/>
      <c r="O149" s="367"/>
      <c r="P149" s="366"/>
      <c r="Q149" s="431"/>
    </row>
    <row r="150" spans="1:17" ht="15" thickTop="1">
      <c r="A150" s="145"/>
      <c r="B150" s="4"/>
      <c r="C150" s="10"/>
      <c r="D150" s="355"/>
      <c r="E150" s="352"/>
      <c r="F150" s="355"/>
      <c r="G150" s="352"/>
      <c r="H150" s="355"/>
      <c r="I150" s="352"/>
      <c r="J150" s="355"/>
      <c r="K150" s="352"/>
      <c r="L150" s="355"/>
      <c r="M150" s="352"/>
      <c r="N150" s="355"/>
      <c r="O150" s="352"/>
      <c r="P150" s="355"/>
      <c r="Q150" s="378"/>
    </row>
    <row r="151" spans="1:17">
      <c r="A151" s="218">
        <v>117</v>
      </c>
      <c r="B151" s="111" t="s">
        <v>201</v>
      </c>
      <c r="C151" s="10"/>
      <c r="D151" s="355"/>
      <c r="E151" s="352"/>
      <c r="F151" s="355"/>
      <c r="G151" s="352"/>
      <c r="H151" s="355"/>
      <c r="I151" s="352"/>
      <c r="J151" s="355"/>
      <c r="K151" s="352"/>
      <c r="L151" s="355"/>
      <c r="M151" s="352"/>
      <c r="N151" s="355"/>
      <c r="O151" s="352"/>
      <c r="P151" s="355"/>
      <c r="Q151" s="378"/>
    </row>
    <row r="152" spans="1:17" ht="15" thickBot="1">
      <c r="A152" s="225"/>
      <c r="B152" s="234"/>
      <c r="C152" s="10"/>
      <c r="D152" s="355"/>
      <c r="E152" s="352"/>
      <c r="F152" s="355"/>
      <c r="G152" s="352"/>
      <c r="H152" s="355"/>
      <c r="I152" s="352"/>
      <c r="J152" s="355"/>
      <c r="K152" s="352"/>
      <c r="L152" s="355"/>
      <c r="M152" s="352"/>
      <c r="N152" s="355"/>
      <c r="O152" s="352"/>
      <c r="P152" s="355"/>
      <c r="Q152" s="378"/>
    </row>
    <row r="153" spans="1:17" ht="15" thickTop="1">
      <c r="A153" s="218"/>
      <c r="B153" s="111"/>
      <c r="C153" s="9"/>
      <c r="D153" s="369"/>
      <c r="E153" s="370"/>
      <c r="F153" s="369"/>
      <c r="G153" s="370"/>
      <c r="H153" s="369"/>
      <c r="I153" s="370"/>
      <c r="J153" s="369"/>
      <c r="K153" s="370"/>
      <c r="L153" s="369"/>
      <c r="M153" s="370"/>
      <c r="N153" s="369"/>
      <c r="O153" s="370"/>
      <c r="P153" s="369"/>
      <c r="Q153" s="432"/>
    </row>
    <row r="154" spans="1:17" ht="15">
      <c r="A154" s="218" t="s">
        <v>86</v>
      </c>
      <c r="B154" s="111"/>
      <c r="C154" s="248"/>
      <c r="D154" s="359">
        <f>D151+D148+D111+D102</f>
        <v>10957894</v>
      </c>
      <c r="E154" s="358">
        <f t="shared" ref="E154:Q154" si="4">E151+E148+E111+E102</f>
        <v>2354944</v>
      </c>
      <c r="F154" s="359">
        <f t="shared" si="4"/>
        <v>7237795</v>
      </c>
      <c r="G154" s="358">
        <f t="shared" si="4"/>
        <v>700160</v>
      </c>
      <c r="H154" s="359">
        <f t="shared" si="4"/>
        <v>2519541</v>
      </c>
      <c r="I154" s="358">
        <f t="shared" si="4"/>
        <v>206978</v>
      </c>
      <c r="J154" s="359">
        <f t="shared" si="4"/>
        <v>5367298</v>
      </c>
      <c r="K154" s="358">
        <f t="shared" si="4"/>
        <v>686687</v>
      </c>
      <c r="L154" s="359">
        <f t="shared" si="4"/>
        <v>17320518</v>
      </c>
      <c r="M154" s="358">
        <f t="shared" si="4"/>
        <v>2157624</v>
      </c>
      <c r="N154" s="359">
        <f t="shared" si="4"/>
        <v>5072932</v>
      </c>
      <c r="O154" s="358">
        <f t="shared" si="4"/>
        <v>484470</v>
      </c>
      <c r="P154" s="359">
        <f t="shared" si="4"/>
        <v>10115053</v>
      </c>
      <c r="Q154" s="377">
        <f t="shared" si="4"/>
        <v>2191070</v>
      </c>
    </row>
    <row r="155" spans="1:17" ht="15" thickBot="1">
      <c r="A155" s="225"/>
      <c r="B155" s="234"/>
      <c r="C155" s="257"/>
      <c r="D155" s="366"/>
      <c r="E155" s="367"/>
      <c r="F155" s="366"/>
      <c r="G155" s="367"/>
      <c r="H155" s="366"/>
      <c r="I155" s="367"/>
      <c r="J155" s="366"/>
      <c r="K155" s="367"/>
      <c r="L155" s="366"/>
      <c r="M155" s="367"/>
      <c r="N155" s="366"/>
      <c r="O155" s="367"/>
      <c r="P155" s="366"/>
      <c r="Q155" s="431"/>
    </row>
    <row r="156" spans="1:17" ht="17" thickTop="1" thickBot="1">
      <c r="A156" s="226" t="s">
        <v>27</v>
      </c>
      <c r="B156" s="94"/>
      <c r="C156" s="10"/>
      <c r="D156" s="355"/>
      <c r="E156" s="352"/>
      <c r="F156" s="355"/>
      <c r="G156" s="352"/>
      <c r="H156" s="355"/>
      <c r="I156" s="352"/>
      <c r="J156" s="355"/>
      <c r="K156" s="352"/>
      <c r="L156" s="355"/>
      <c r="M156" s="352"/>
      <c r="N156" s="355"/>
      <c r="O156" s="352"/>
      <c r="P156" s="355"/>
      <c r="Q156" s="378"/>
    </row>
    <row r="157" spans="1:17">
      <c r="A157" s="227">
        <v>1</v>
      </c>
      <c r="B157" s="4" t="s">
        <v>203</v>
      </c>
      <c r="C157" s="309"/>
      <c r="D157" s="355">
        <v>2</v>
      </c>
      <c r="E157" s="352"/>
      <c r="F157" s="355"/>
      <c r="G157" s="352"/>
      <c r="H157" s="355"/>
      <c r="I157" s="352"/>
      <c r="J157" s="355"/>
      <c r="K157" s="352"/>
      <c r="L157" s="355"/>
      <c r="M157" s="352"/>
      <c r="N157" s="355"/>
      <c r="O157" s="352"/>
      <c r="P157" s="355">
        <v>1</v>
      </c>
      <c r="Q157" s="378"/>
    </row>
    <row r="158" spans="1:17">
      <c r="A158" s="145">
        <v>2</v>
      </c>
      <c r="B158" s="4" t="s">
        <v>204</v>
      </c>
      <c r="C158" s="309"/>
      <c r="D158" s="355">
        <v>5</v>
      </c>
      <c r="E158" s="352">
        <v>2</v>
      </c>
      <c r="F158" s="355"/>
      <c r="G158" s="352"/>
      <c r="H158" s="355">
        <v>2</v>
      </c>
      <c r="I158" s="352">
        <v>10</v>
      </c>
      <c r="J158" s="355"/>
      <c r="K158" s="352"/>
      <c r="L158" s="355"/>
      <c r="M158" s="352"/>
      <c r="N158" s="355"/>
      <c r="O158" s="352"/>
      <c r="P158" s="355">
        <v>9</v>
      </c>
      <c r="Q158" s="378">
        <v>11</v>
      </c>
    </row>
    <row r="159" spans="1:17">
      <c r="A159" s="145">
        <v>3</v>
      </c>
      <c r="B159" s="4" t="s">
        <v>205</v>
      </c>
      <c r="C159" s="309"/>
      <c r="D159" s="355">
        <v>10</v>
      </c>
      <c r="E159" s="352"/>
      <c r="F159" s="355"/>
      <c r="G159" s="352"/>
      <c r="H159" s="355"/>
      <c r="I159" s="352"/>
      <c r="J159" s="355"/>
      <c r="K159" s="352"/>
      <c r="L159" s="355"/>
      <c r="M159" s="352"/>
      <c r="N159" s="355"/>
      <c r="O159" s="352"/>
      <c r="P159" s="355">
        <v>2</v>
      </c>
      <c r="Q159" s="378"/>
    </row>
    <row r="160" spans="1:17" ht="15">
      <c r="A160" s="145">
        <v>4</v>
      </c>
      <c r="B160" s="4" t="s">
        <v>206</v>
      </c>
      <c r="C160" s="310"/>
      <c r="D160" s="357">
        <v>3</v>
      </c>
      <c r="E160" s="354"/>
      <c r="F160" s="357"/>
      <c r="G160" s="354"/>
      <c r="H160" s="357"/>
      <c r="I160" s="354"/>
      <c r="J160" s="357"/>
      <c r="K160" s="354"/>
      <c r="L160" s="357"/>
      <c r="M160" s="354"/>
      <c r="N160" s="357"/>
      <c r="O160" s="354"/>
      <c r="P160" s="357">
        <v>13</v>
      </c>
      <c r="Q160" s="378">
        <v>18</v>
      </c>
    </row>
    <row r="161" spans="1:17">
      <c r="A161" s="145">
        <v>5</v>
      </c>
      <c r="B161" s="4" t="s">
        <v>207</v>
      </c>
      <c r="C161" s="309"/>
      <c r="D161" s="355">
        <v>6</v>
      </c>
      <c r="E161" s="352">
        <v>5</v>
      </c>
      <c r="F161" s="355"/>
      <c r="G161" s="352"/>
      <c r="H161" s="355">
        <v>1</v>
      </c>
      <c r="I161" s="352"/>
      <c r="J161" s="355"/>
      <c r="K161" s="352"/>
      <c r="L161" s="355">
        <v>1</v>
      </c>
      <c r="M161" s="352"/>
      <c r="N161" s="355"/>
      <c r="O161" s="352"/>
      <c r="P161" s="355">
        <v>1112</v>
      </c>
      <c r="Q161" s="378">
        <v>573</v>
      </c>
    </row>
    <row r="162" spans="1:17">
      <c r="A162" s="145">
        <v>6</v>
      </c>
      <c r="B162" s="4" t="s">
        <v>208</v>
      </c>
      <c r="C162" s="309"/>
      <c r="D162" s="355">
        <v>49</v>
      </c>
      <c r="E162" s="352">
        <v>65</v>
      </c>
      <c r="F162" s="355"/>
      <c r="G162" s="352"/>
      <c r="H162" s="355">
        <v>11</v>
      </c>
      <c r="I162" s="352">
        <v>11</v>
      </c>
      <c r="J162" s="355"/>
      <c r="K162" s="352"/>
      <c r="L162" s="355"/>
      <c r="M162" s="352"/>
      <c r="N162" s="355"/>
      <c r="O162" s="352"/>
      <c r="P162" s="355">
        <v>5145</v>
      </c>
      <c r="Q162" s="378">
        <v>513</v>
      </c>
    </row>
    <row r="163" spans="1:17">
      <c r="A163" s="145">
        <v>7</v>
      </c>
      <c r="B163" s="4" t="s">
        <v>209</v>
      </c>
      <c r="C163" s="309"/>
      <c r="D163" s="355">
        <v>4</v>
      </c>
      <c r="E163" s="352"/>
      <c r="F163" s="355"/>
      <c r="G163" s="352"/>
      <c r="H163" s="355"/>
      <c r="I163" s="352"/>
      <c r="J163" s="355"/>
      <c r="K163" s="352"/>
      <c r="L163" s="355"/>
      <c r="M163" s="352"/>
      <c r="N163" s="355"/>
      <c r="O163" s="352"/>
      <c r="P163" s="355">
        <v>6</v>
      </c>
      <c r="Q163" s="378"/>
    </row>
    <row r="164" spans="1:17">
      <c r="A164" s="145">
        <v>8</v>
      </c>
      <c r="B164" s="4" t="s">
        <v>210</v>
      </c>
      <c r="C164" s="309"/>
      <c r="D164" s="355">
        <v>85</v>
      </c>
      <c r="E164" s="352">
        <v>84</v>
      </c>
      <c r="F164" s="355"/>
      <c r="G164" s="352"/>
      <c r="H164" s="355"/>
      <c r="I164" s="352"/>
      <c r="J164" s="355"/>
      <c r="K164" s="352"/>
      <c r="L164" s="355"/>
      <c r="M164" s="352"/>
      <c r="N164" s="355"/>
      <c r="O164" s="352"/>
      <c r="P164" s="355">
        <v>139</v>
      </c>
      <c r="Q164" s="378">
        <v>35</v>
      </c>
    </row>
    <row r="165" spans="1:17">
      <c r="A165" s="145">
        <v>9</v>
      </c>
      <c r="B165" s="4" t="s">
        <v>211</v>
      </c>
      <c r="C165" s="309"/>
      <c r="D165" s="355">
        <v>41</v>
      </c>
      <c r="E165" s="352"/>
      <c r="F165" s="355"/>
      <c r="G165" s="352"/>
      <c r="H165" s="355"/>
      <c r="I165" s="352"/>
      <c r="J165" s="355"/>
      <c r="K165" s="352"/>
      <c r="L165" s="355"/>
      <c r="M165" s="352"/>
      <c r="N165" s="355"/>
      <c r="O165" s="352"/>
      <c r="P165" s="355">
        <v>38</v>
      </c>
      <c r="Q165" s="378">
        <v>4</v>
      </c>
    </row>
    <row r="166" spans="1:17">
      <c r="A166" s="145">
        <v>10</v>
      </c>
      <c r="B166" s="4" t="s">
        <v>212</v>
      </c>
      <c r="C166" s="309"/>
      <c r="D166" s="355"/>
      <c r="E166" s="354"/>
      <c r="F166" s="355"/>
      <c r="G166" s="354"/>
      <c r="H166" s="355">
        <v>1</v>
      </c>
      <c r="I166" s="354"/>
      <c r="J166" s="355"/>
      <c r="K166" s="354"/>
      <c r="L166" s="355"/>
      <c r="M166" s="354"/>
      <c r="N166" s="355"/>
      <c r="O166" s="354"/>
      <c r="P166" s="355">
        <v>12</v>
      </c>
      <c r="Q166" s="378">
        <v>3</v>
      </c>
    </row>
    <row r="167" spans="1:17" ht="15">
      <c r="A167" s="145">
        <v>11</v>
      </c>
      <c r="B167" s="4" t="s">
        <v>213</v>
      </c>
      <c r="C167" s="310"/>
      <c r="D167" s="357">
        <v>48</v>
      </c>
      <c r="E167" s="354">
        <v>60</v>
      </c>
      <c r="F167" s="357"/>
      <c r="G167" s="354"/>
      <c r="H167" s="357"/>
      <c r="I167" s="354"/>
      <c r="J167" s="357"/>
      <c r="K167" s="354"/>
      <c r="L167" s="357"/>
      <c r="M167" s="354"/>
      <c r="N167" s="357"/>
      <c r="O167" s="354"/>
      <c r="P167" s="357">
        <v>2</v>
      </c>
      <c r="Q167" s="378">
        <v>2</v>
      </c>
    </row>
    <row r="168" spans="1:17">
      <c r="A168" s="145">
        <v>12</v>
      </c>
      <c r="B168" s="4" t="s">
        <v>214</v>
      </c>
      <c r="C168" s="309"/>
      <c r="D168" s="355">
        <v>3</v>
      </c>
      <c r="E168" s="352">
        <v>45</v>
      </c>
      <c r="F168" s="355"/>
      <c r="G168" s="352"/>
      <c r="H168" s="355"/>
      <c r="I168" s="352"/>
      <c r="J168" s="355"/>
      <c r="K168" s="352"/>
      <c r="L168" s="355"/>
      <c r="M168" s="352"/>
      <c r="N168" s="355"/>
      <c r="O168" s="352"/>
      <c r="P168" s="355">
        <v>1</v>
      </c>
      <c r="Q168" s="378">
        <v>1</v>
      </c>
    </row>
    <row r="169" spans="1:17">
      <c r="A169" s="145">
        <v>13</v>
      </c>
      <c r="B169" s="4" t="s">
        <v>215</v>
      </c>
      <c r="C169" s="309"/>
      <c r="D169" s="355">
        <v>63</v>
      </c>
      <c r="E169" s="352"/>
      <c r="F169" s="355"/>
      <c r="G169" s="352">
        <v>600</v>
      </c>
      <c r="H169" s="355"/>
      <c r="I169" s="352"/>
      <c r="J169" s="355"/>
      <c r="K169" s="352"/>
      <c r="L169" s="355"/>
      <c r="M169" s="352"/>
      <c r="N169" s="355"/>
      <c r="O169" s="352"/>
      <c r="P169" s="355">
        <v>6070</v>
      </c>
      <c r="Q169" s="378">
        <v>155</v>
      </c>
    </row>
    <row r="170" spans="1:17">
      <c r="A170" s="145">
        <v>14</v>
      </c>
      <c r="B170" s="4" t="s">
        <v>216</v>
      </c>
      <c r="C170" s="309"/>
      <c r="D170" s="355"/>
      <c r="E170" s="352"/>
      <c r="F170" s="355"/>
      <c r="G170" s="352"/>
      <c r="H170" s="355">
        <v>1</v>
      </c>
      <c r="I170" s="352">
        <v>2</v>
      </c>
      <c r="J170" s="355"/>
      <c r="K170" s="352"/>
      <c r="L170" s="355"/>
      <c r="M170" s="352"/>
      <c r="N170" s="355"/>
      <c r="O170" s="352"/>
      <c r="P170" s="355">
        <v>6300</v>
      </c>
      <c r="Q170" s="378">
        <v>400</v>
      </c>
    </row>
    <row r="171" spans="1:17">
      <c r="A171" s="145">
        <v>15</v>
      </c>
      <c r="B171" s="4" t="s">
        <v>217</v>
      </c>
      <c r="C171" s="309"/>
      <c r="D171" s="355">
        <v>39</v>
      </c>
      <c r="E171" s="352">
        <v>33</v>
      </c>
      <c r="F171" s="355"/>
      <c r="G171" s="352"/>
      <c r="H171" s="355"/>
      <c r="I171" s="352"/>
      <c r="J171" s="355"/>
      <c r="K171" s="352"/>
      <c r="L171" s="355"/>
      <c r="M171" s="352"/>
      <c r="N171" s="355"/>
      <c r="O171" s="352"/>
      <c r="P171" s="355">
        <v>62</v>
      </c>
      <c r="Q171" s="378"/>
    </row>
    <row r="172" spans="1:17">
      <c r="A172" s="145">
        <v>16</v>
      </c>
      <c r="B172" s="4" t="s">
        <v>218</v>
      </c>
      <c r="C172" s="309"/>
      <c r="D172" s="355"/>
      <c r="E172" s="352"/>
      <c r="F172" s="355"/>
      <c r="G172" s="352"/>
      <c r="H172" s="355"/>
      <c r="I172" s="352"/>
      <c r="J172" s="355"/>
      <c r="K172" s="352"/>
      <c r="L172" s="355"/>
      <c r="M172" s="352"/>
      <c r="N172" s="355"/>
      <c r="O172" s="352"/>
      <c r="P172" s="355">
        <v>2</v>
      </c>
      <c r="Q172" s="378"/>
    </row>
    <row r="173" spans="1:17" ht="15">
      <c r="A173" s="145">
        <v>17</v>
      </c>
      <c r="B173" s="4" t="s">
        <v>219</v>
      </c>
      <c r="C173" s="310"/>
      <c r="D173" s="357">
        <v>4</v>
      </c>
      <c r="E173" s="354"/>
      <c r="F173" s="357"/>
      <c r="G173" s="354"/>
      <c r="H173" s="357"/>
      <c r="I173" s="354"/>
      <c r="J173" s="357"/>
      <c r="K173" s="354"/>
      <c r="L173" s="357"/>
      <c r="M173" s="354"/>
      <c r="N173" s="357"/>
      <c r="O173" s="354"/>
      <c r="P173" s="357">
        <v>16</v>
      </c>
      <c r="Q173" s="378">
        <v>100</v>
      </c>
    </row>
    <row r="174" spans="1:17">
      <c r="A174" s="145">
        <v>18</v>
      </c>
      <c r="B174" s="4" t="s">
        <v>220</v>
      </c>
      <c r="C174" s="309"/>
      <c r="D174" s="355">
        <v>7</v>
      </c>
      <c r="E174" s="352">
        <v>4</v>
      </c>
      <c r="F174" s="355"/>
      <c r="G174" s="352"/>
      <c r="H174" s="355"/>
      <c r="I174" s="352"/>
      <c r="J174" s="355"/>
      <c r="K174" s="352"/>
      <c r="L174" s="355"/>
      <c r="M174" s="352"/>
      <c r="N174" s="355"/>
      <c r="O174" s="352"/>
      <c r="P174" s="355">
        <v>14</v>
      </c>
      <c r="Q174" s="378"/>
    </row>
    <row r="175" spans="1:17">
      <c r="A175" s="145">
        <v>19</v>
      </c>
      <c r="B175" s="4" t="s">
        <v>221</v>
      </c>
      <c r="C175" s="309"/>
      <c r="D175" s="355">
        <v>13</v>
      </c>
      <c r="E175" s="352"/>
      <c r="F175" s="355"/>
      <c r="G175" s="352"/>
      <c r="H175" s="355"/>
      <c r="I175" s="352"/>
      <c r="J175" s="355"/>
      <c r="K175" s="352"/>
      <c r="L175" s="355"/>
      <c r="M175" s="352"/>
      <c r="N175" s="355"/>
      <c r="O175" s="352"/>
      <c r="P175" s="355"/>
      <c r="Q175" s="378">
        <v>21</v>
      </c>
    </row>
    <row r="176" spans="1:17">
      <c r="A176" s="145">
        <v>20</v>
      </c>
      <c r="B176" s="4" t="s">
        <v>222</v>
      </c>
      <c r="C176" s="309"/>
      <c r="D176" s="355"/>
      <c r="E176" s="352"/>
      <c r="F176" s="355"/>
      <c r="G176" s="352"/>
      <c r="H176" s="355"/>
      <c r="I176" s="352"/>
      <c r="J176" s="355"/>
      <c r="K176" s="352"/>
      <c r="L176" s="355"/>
      <c r="M176" s="352"/>
      <c r="N176" s="355"/>
      <c r="O176" s="352"/>
      <c r="P176" s="355"/>
      <c r="Q176" s="378"/>
    </row>
    <row r="177" spans="1:17">
      <c r="A177" s="145">
        <v>21</v>
      </c>
      <c r="B177" s="4" t="s">
        <v>223</v>
      </c>
      <c r="C177" s="309"/>
      <c r="D177" s="355">
        <v>17</v>
      </c>
      <c r="E177" s="352">
        <v>2</v>
      </c>
      <c r="F177" s="355"/>
      <c r="G177" s="352"/>
      <c r="H177" s="355"/>
      <c r="I177" s="352"/>
      <c r="J177" s="355"/>
      <c r="K177" s="352"/>
      <c r="L177" s="355"/>
      <c r="M177" s="352"/>
      <c r="N177" s="355"/>
      <c r="O177" s="352"/>
      <c r="P177" s="355">
        <v>155</v>
      </c>
      <c r="Q177" s="378">
        <v>47</v>
      </c>
    </row>
    <row r="178" spans="1:17">
      <c r="A178" s="145">
        <v>22</v>
      </c>
      <c r="B178" s="4" t="s">
        <v>224</v>
      </c>
      <c r="C178" s="309"/>
      <c r="D178" s="355">
        <v>5</v>
      </c>
      <c r="E178" s="352">
        <v>3</v>
      </c>
      <c r="F178" s="355">
        <v>3</v>
      </c>
      <c r="G178" s="352">
        <v>1</v>
      </c>
      <c r="H178" s="355"/>
      <c r="I178" s="352"/>
      <c r="J178" s="355"/>
      <c r="K178" s="352"/>
      <c r="L178" s="355"/>
      <c r="M178" s="352"/>
      <c r="N178" s="355"/>
      <c r="O178" s="352"/>
      <c r="P178" s="355">
        <v>67</v>
      </c>
      <c r="Q178" s="378">
        <v>31</v>
      </c>
    </row>
    <row r="179" spans="1:17">
      <c r="A179" s="145">
        <v>23</v>
      </c>
      <c r="B179" s="4" t="s">
        <v>225</v>
      </c>
      <c r="C179" s="311"/>
      <c r="D179" s="356">
        <v>7</v>
      </c>
      <c r="E179" s="354"/>
      <c r="F179" s="356"/>
      <c r="G179" s="354"/>
      <c r="H179" s="356"/>
      <c r="I179" s="354"/>
      <c r="J179" s="356"/>
      <c r="K179" s="354"/>
      <c r="L179" s="356"/>
      <c r="M179" s="354"/>
      <c r="N179" s="356"/>
      <c r="O179" s="354"/>
      <c r="P179" s="356">
        <v>11</v>
      </c>
      <c r="Q179" s="378">
        <v>4</v>
      </c>
    </row>
    <row r="180" spans="1:17" ht="15">
      <c r="A180" s="145">
        <v>24</v>
      </c>
      <c r="B180" s="4" t="s">
        <v>226</v>
      </c>
      <c r="C180" s="310"/>
      <c r="D180" s="357"/>
      <c r="E180" s="352"/>
      <c r="F180" s="357"/>
      <c r="G180" s="352"/>
      <c r="H180" s="357"/>
      <c r="I180" s="352"/>
      <c r="J180" s="357"/>
      <c r="K180" s="352"/>
      <c r="L180" s="357"/>
      <c r="M180" s="352"/>
      <c r="N180" s="357"/>
      <c r="O180" s="352"/>
      <c r="P180" s="357"/>
      <c r="Q180" s="378"/>
    </row>
    <row r="181" spans="1:17">
      <c r="A181" s="145">
        <v>25</v>
      </c>
      <c r="B181" s="4" t="s">
        <v>147</v>
      </c>
      <c r="C181" s="309"/>
      <c r="D181" s="355"/>
      <c r="E181" s="352">
        <v>1</v>
      </c>
      <c r="F181" s="355"/>
      <c r="G181" s="352"/>
      <c r="H181" s="355"/>
      <c r="I181" s="352"/>
      <c r="J181" s="355"/>
      <c r="K181" s="352"/>
      <c r="L181" s="355"/>
      <c r="M181" s="352"/>
      <c r="N181" s="355"/>
      <c r="O181" s="352"/>
      <c r="P181" s="355">
        <v>2106</v>
      </c>
      <c r="Q181" s="378"/>
    </row>
    <row r="182" spans="1:17">
      <c r="A182" s="145">
        <v>26</v>
      </c>
      <c r="B182" s="4" t="s">
        <v>227</v>
      </c>
      <c r="C182" s="309"/>
      <c r="D182" s="355">
        <v>3</v>
      </c>
      <c r="E182" s="352">
        <v>2</v>
      </c>
      <c r="F182" s="355"/>
      <c r="G182" s="352"/>
      <c r="H182" s="355"/>
      <c r="I182" s="352">
        <v>6</v>
      </c>
      <c r="J182" s="355"/>
      <c r="K182" s="352"/>
      <c r="L182" s="355"/>
      <c r="M182" s="352"/>
      <c r="N182" s="355"/>
      <c r="O182" s="352"/>
      <c r="P182" s="355">
        <v>62</v>
      </c>
      <c r="Q182" s="378">
        <v>19</v>
      </c>
    </row>
    <row r="183" spans="1:17">
      <c r="A183" s="145">
        <v>27</v>
      </c>
      <c r="B183" s="4" t="s">
        <v>228</v>
      </c>
      <c r="C183" s="309"/>
      <c r="D183" s="355">
        <v>14</v>
      </c>
      <c r="E183" s="352">
        <v>17</v>
      </c>
      <c r="F183" s="355"/>
      <c r="G183" s="352"/>
      <c r="H183" s="355"/>
      <c r="I183" s="352"/>
      <c r="J183" s="355"/>
      <c r="K183" s="352"/>
      <c r="L183" s="355"/>
      <c r="M183" s="352"/>
      <c r="N183" s="355"/>
      <c r="O183" s="352"/>
      <c r="P183" s="355">
        <v>633</v>
      </c>
      <c r="Q183" s="378">
        <v>100</v>
      </c>
    </row>
    <row r="184" spans="1:17">
      <c r="A184" s="145">
        <v>28</v>
      </c>
      <c r="B184" s="4" t="s">
        <v>229</v>
      </c>
      <c r="C184" s="309"/>
      <c r="D184" s="355">
        <v>12</v>
      </c>
      <c r="E184" s="352"/>
      <c r="F184" s="355"/>
      <c r="G184" s="352"/>
      <c r="H184" s="355"/>
      <c r="I184" s="352"/>
      <c r="J184" s="355"/>
      <c r="K184" s="352"/>
      <c r="L184" s="355"/>
      <c r="M184" s="352"/>
      <c r="N184" s="355"/>
      <c r="O184" s="352"/>
      <c r="P184" s="355">
        <v>8</v>
      </c>
      <c r="Q184" s="378">
        <v>11</v>
      </c>
    </row>
    <row r="185" spans="1:17">
      <c r="A185" s="145">
        <v>29</v>
      </c>
      <c r="B185" s="4" t="s">
        <v>230</v>
      </c>
      <c r="C185" s="309"/>
      <c r="D185" s="355">
        <v>74</v>
      </c>
      <c r="E185" s="354">
        <v>105</v>
      </c>
      <c r="F185" s="355"/>
      <c r="G185" s="354"/>
      <c r="H185" s="355">
        <v>10</v>
      </c>
      <c r="I185" s="354"/>
      <c r="J185" s="355"/>
      <c r="K185" s="354"/>
      <c r="L185" s="355"/>
      <c r="M185" s="354"/>
      <c r="N185" s="355"/>
      <c r="O185" s="354"/>
      <c r="P185" s="355">
        <v>81</v>
      </c>
      <c r="Q185" s="378">
        <v>47</v>
      </c>
    </row>
    <row r="186" spans="1:17" ht="15">
      <c r="A186" s="145">
        <v>30</v>
      </c>
      <c r="B186" s="4" t="s">
        <v>231</v>
      </c>
      <c r="C186" s="310"/>
      <c r="D186" s="357">
        <v>45</v>
      </c>
      <c r="E186" s="352">
        <v>35</v>
      </c>
      <c r="F186" s="357">
        <v>5</v>
      </c>
      <c r="G186" s="352"/>
      <c r="H186" s="357">
        <v>34</v>
      </c>
      <c r="I186" s="352">
        <v>2</v>
      </c>
      <c r="J186" s="357"/>
      <c r="K186" s="352"/>
      <c r="L186" s="357"/>
      <c r="M186" s="352"/>
      <c r="N186" s="357">
        <v>1</v>
      </c>
      <c r="O186" s="352"/>
      <c r="P186" s="357">
        <v>2248</v>
      </c>
      <c r="Q186" s="378">
        <v>69</v>
      </c>
    </row>
    <row r="187" spans="1:17">
      <c r="A187" s="145">
        <v>31</v>
      </c>
      <c r="B187" s="4" t="s">
        <v>232</v>
      </c>
      <c r="C187" s="309"/>
      <c r="D187" s="355">
        <v>410</v>
      </c>
      <c r="E187" s="352">
        <v>268</v>
      </c>
      <c r="F187" s="355">
        <v>104</v>
      </c>
      <c r="G187" s="352"/>
      <c r="H187" s="355">
        <v>42</v>
      </c>
      <c r="I187" s="352">
        <v>15</v>
      </c>
      <c r="J187" s="355">
        <v>210</v>
      </c>
      <c r="K187" s="352"/>
      <c r="L187" s="355">
        <v>158</v>
      </c>
      <c r="M187" s="352"/>
      <c r="N187" s="355">
        <v>15</v>
      </c>
      <c r="O187" s="352">
        <v>15</v>
      </c>
      <c r="P187" s="355">
        <v>178</v>
      </c>
      <c r="Q187" s="378">
        <v>60</v>
      </c>
    </row>
    <row r="188" spans="1:17">
      <c r="A188" s="215"/>
      <c r="B188" s="203"/>
      <c r="C188" s="312"/>
      <c r="D188" s="363"/>
      <c r="E188" s="364"/>
      <c r="F188" s="363"/>
      <c r="G188" s="364"/>
      <c r="H188" s="363"/>
      <c r="I188" s="364"/>
      <c r="J188" s="363"/>
      <c r="K188" s="364"/>
      <c r="L188" s="363"/>
      <c r="M188" s="364"/>
      <c r="N188" s="363"/>
      <c r="O188" s="364"/>
      <c r="P188" s="363"/>
      <c r="Q188" s="430"/>
    </row>
    <row r="189" spans="1:17">
      <c r="A189" s="145" t="s">
        <v>297</v>
      </c>
      <c r="B189" s="4"/>
      <c r="C189" s="162"/>
      <c r="D189" s="374">
        <f>SUM(D157:D187)</f>
        <v>969</v>
      </c>
      <c r="E189" s="379">
        <f t="shared" ref="E189:Q189" si="5">SUM(E157:E187)</f>
        <v>731</v>
      </c>
      <c r="F189" s="374">
        <f t="shared" si="5"/>
        <v>112</v>
      </c>
      <c r="G189" s="379">
        <f t="shared" si="5"/>
        <v>601</v>
      </c>
      <c r="H189" s="374">
        <f t="shared" si="5"/>
        <v>102</v>
      </c>
      <c r="I189" s="379">
        <f t="shared" si="5"/>
        <v>46</v>
      </c>
      <c r="J189" s="374">
        <f t="shared" si="5"/>
        <v>210</v>
      </c>
      <c r="K189" s="379">
        <f t="shared" si="5"/>
        <v>0</v>
      </c>
      <c r="L189" s="374">
        <f t="shared" si="5"/>
        <v>159</v>
      </c>
      <c r="M189" s="379">
        <f t="shared" si="5"/>
        <v>0</v>
      </c>
      <c r="N189" s="355">
        <f t="shared" si="5"/>
        <v>16</v>
      </c>
      <c r="O189" s="354">
        <f t="shared" si="5"/>
        <v>15</v>
      </c>
      <c r="P189" s="355">
        <f t="shared" si="5"/>
        <v>24493</v>
      </c>
      <c r="Q189" s="353">
        <f t="shared" si="5"/>
        <v>2224</v>
      </c>
    </row>
    <row r="190" spans="1:17" ht="15" thickBot="1">
      <c r="A190" s="217"/>
      <c r="B190" s="104"/>
      <c r="C190" s="252"/>
      <c r="D190" s="366"/>
      <c r="E190" s="367"/>
      <c r="F190" s="366"/>
      <c r="G190" s="367"/>
      <c r="H190" s="366"/>
      <c r="I190" s="367"/>
      <c r="J190" s="366"/>
      <c r="K190" s="367"/>
      <c r="L190" s="366"/>
      <c r="M190" s="367"/>
      <c r="N190" s="366"/>
      <c r="O190" s="367"/>
      <c r="P190" s="366"/>
      <c r="Q190" s="431"/>
    </row>
    <row r="191" spans="1:17" ht="16" thickTop="1">
      <c r="A191" s="222" t="s">
        <v>28</v>
      </c>
      <c r="B191" s="97"/>
      <c r="C191" s="248"/>
      <c r="D191" s="357"/>
      <c r="E191" s="354"/>
      <c r="F191" s="357"/>
      <c r="G191" s="354"/>
      <c r="H191" s="357"/>
      <c r="I191" s="354"/>
      <c r="J191" s="357"/>
      <c r="K191" s="354"/>
      <c r="L191" s="357"/>
      <c r="M191" s="354"/>
      <c r="N191" s="357"/>
      <c r="O191" s="354"/>
      <c r="P191" s="357"/>
      <c r="Q191" s="378"/>
    </row>
    <row r="192" spans="1:17">
      <c r="A192" s="145">
        <v>32</v>
      </c>
      <c r="B192" s="235" t="s">
        <v>233</v>
      </c>
      <c r="C192" s="17"/>
      <c r="D192" s="355"/>
      <c r="E192" s="352"/>
      <c r="F192" s="355"/>
      <c r="G192" s="352"/>
      <c r="H192" s="355"/>
      <c r="I192" s="352"/>
      <c r="J192" s="355"/>
      <c r="K192" s="352"/>
      <c r="L192" s="355"/>
      <c r="M192" s="352"/>
      <c r="N192" s="355"/>
      <c r="O192" s="352"/>
      <c r="P192" s="355"/>
      <c r="Q192" s="378"/>
    </row>
    <row r="193" spans="1:17">
      <c r="A193" s="145">
        <v>33</v>
      </c>
      <c r="B193" s="4" t="s">
        <v>234</v>
      </c>
      <c r="C193" s="10"/>
      <c r="D193" s="355">
        <v>5</v>
      </c>
      <c r="E193" s="352">
        <v>1</v>
      </c>
      <c r="F193" s="355"/>
      <c r="G193" s="352"/>
      <c r="H193" s="355"/>
      <c r="I193" s="352"/>
      <c r="J193" s="355"/>
      <c r="K193" s="352"/>
      <c r="L193" s="355"/>
      <c r="M193" s="352"/>
      <c r="N193" s="355"/>
      <c r="O193" s="352"/>
      <c r="P193" s="355">
        <v>19</v>
      </c>
      <c r="Q193" s="378">
        <v>11</v>
      </c>
    </row>
    <row r="194" spans="1:17">
      <c r="A194" s="145">
        <v>34</v>
      </c>
      <c r="B194" s="4" t="s">
        <v>235</v>
      </c>
      <c r="C194" s="10"/>
      <c r="D194" s="355"/>
      <c r="E194" s="352"/>
      <c r="F194" s="355"/>
      <c r="G194" s="352"/>
      <c r="H194" s="355"/>
      <c r="I194" s="352"/>
      <c r="J194" s="355"/>
      <c r="K194" s="352"/>
      <c r="L194" s="355"/>
      <c r="M194" s="352"/>
      <c r="N194" s="355"/>
      <c r="O194" s="352"/>
      <c r="P194" s="355"/>
      <c r="Q194" s="378"/>
    </row>
    <row r="195" spans="1:17">
      <c r="A195" s="145">
        <v>35</v>
      </c>
      <c r="B195" s="4" t="s">
        <v>236</v>
      </c>
      <c r="C195" s="10"/>
      <c r="D195" s="355"/>
      <c r="E195" s="352"/>
      <c r="F195" s="355"/>
      <c r="G195" s="352"/>
      <c r="H195" s="355"/>
      <c r="I195" s="352"/>
      <c r="J195" s="355"/>
      <c r="K195" s="352"/>
      <c r="L195" s="355"/>
      <c r="M195" s="352"/>
      <c r="N195" s="355"/>
      <c r="O195" s="352"/>
      <c r="P195" s="355"/>
      <c r="Q195" s="378"/>
    </row>
    <row r="196" spans="1:17">
      <c r="A196" s="145">
        <v>36</v>
      </c>
      <c r="B196" s="4" t="s">
        <v>237</v>
      </c>
      <c r="C196" s="10"/>
      <c r="D196" s="355"/>
      <c r="E196" s="352"/>
      <c r="F196" s="355"/>
      <c r="G196" s="352"/>
      <c r="H196" s="355"/>
      <c r="I196" s="352"/>
      <c r="J196" s="355"/>
      <c r="K196" s="352"/>
      <c r="L196" s="355"/>
      <c r="M196" s="352"/>
      <c r="N196" s="355"/>
      <c r="O196" s="352"/>
      <c r="P196" s="355"/>
      <c r="Q196" s="378"/>
    </row>
    <row r="197" spans="1:17">
      <c r="A197" s="145">
        <v>37</v>
      </c>
      <c r="B197" s="4" t="s">
        <v>238</v>
      </c>
      <c r="C197" s="10"/>
      <c r="D197" s="355"/>
      <c r="E197" s="354"/>
      <c r="F197" s="355"/>
      <c r="G197" s="354"/>
      <c r="H197" s="355"/>
      <c r="I197" s="354"/>
      <c r="J197" s="355"/>
      <c r="K197" s="354"/>
      <c r="L197" s="355"/>
      <c r="M197" s="354"/>
      <c r="N197" s="355"/>
      <c r="O197" s="354"/>
      <c r="P197" s="355"/>
      <c r="Q197" s="378"/>
    </row>
    <row r="198" spans="1:17" ht="15">
      <c r="A198" s="145">
        <v>38</v>
      </c>
      <c r="B198" s="4" t="s">
        <v>239</v>
      </c>
      <c r="C198" s="248"/>
      <c r="D198" s="357"/>
      <c r="E198" s="354"/>
      <c r="F198" s="357"/>
      <c r="G198" s="354"/>
      <c r="H198" s="357"/>
      <c r="I198" s="354"/>
      <c r="J198" s="357"/>
      <c r="K198" s="354"/>
      <c r="L198" s="357"/>
      <c r="M198" s="354"/>
      <c r="N198" s="357"/>
      <c r="O198" s="354"/>
      <c r="P198" s="357"/>
      <c r="Q198" s="378"/>
    </row>
    <row r="199" spans="1:17">
      <c r="A199" s="145">
        <v>39</v>
      </c>
      <c r="B199" s="4" t="s">
        <v>240</v>
      </c>
      <c r="C199" s="17"/>
      <c r="D199" s="355"/>
      <c r="E199" s="352">
        <v>2</v>
      </c>
      <c r="F199" s="355"/>
      <c r="G199" s="352"/>
      <c r="H199" s="355"/>
      <c r="I199" s="352"/>
      <c r="J199" s="355"/>
      <c r="K199" s="352"/>
      <c r="L199" s="355"/>
      <c r="M199" s="352"/>
      <c r="N199" s="355"/>
      <c r="O199" s="352"/>
      <c r="P199" s="355">
        <v>1</v>
      </c>
      <c r="Q199" s="378"/>
    </row>
    <row r="200" spans="1:17">
      <c r="A200" s="145">
        <v>40</v>
      </c>
      <c r="B200" s="4" t="s">
        <v>241</v>
      </c>
      <c r="C200" s="10"/>
      <c r="D200" s="355"/>
      <c r="E200" s="352"/>
      <c r="F200" s="355"/>
      <c r="G200" s="352"/>
      <c r="H200" s="355"/>
      <c r="I200" s="352"/>
      <c r="J200" s="355"/>
      <c r="K200" s="352"/>
      <c r="L200" s="355"/>
      <c r="M200" s="352"/>
      <c r="N200" s="355"/>
      <c r="O200" s="352"/>
      <c r="P200" s="355"/>
      <c r="Q200" s="378"/>
    </row>
    <row r="201" spans="1:17">
      <c r="A201" s="145">
        <v>41</v>
      </c>
      <c r="B201" s="4" t="s">
        <v>242</v>
      </c>
      <c r="C201" s="10"/>
      <c r="D201" s="355"/>
      <c r="E201" s="352"/>
      <c r="F201" s="355"/>
      <c r="G201" s="352"/>
      <c r="H201" s="355"/>
      <c r="I201" s="352"/>
      <c r="J201" s="355"/>
      <c r="K201" s="352"/>
      <c r="L201" s="355"/>
      <c r="M201" s="352"/>
      <c r="N201" s="355"/>
      <c r="O201" s="352"/>
      <c r="P201" s="355"/>
      <c r="Q201" s="378"/>
    </row>
    <row r="202" spans="1:17">
      <c r="A202" s="145">
        <v>42</v>
      </c>
      <c r="B202" s="4" t="s">
        <v>243</v>
      </c>
      <c r="C202" s="10"/>
      <c r="D202" s="355"/>
      <c r="E202" s="352">
        <v>3</v>
      </c>
      <c r="F202" s="355"/>
      <c r="G202" s="352"/>
      <c r="H202" s="355"/>
      <c r="I202" s="352"/>
      <c r="J202" s="355"/>
      <c r="K202" s="352"/>
      <c r="L202" s="355"/>
      <c r="M202" s="352"/>
      <c r="N202" s="355"/>
      <c r="O202" s="352"/>
      <c r="P202" s="355"/>
      <c r="Q202" s="378">
        <v>2</v>
      </c>
    </row>
    <row r="203" spans="1:17">
      <c r="A203" s="215"/>
      <c r="B203" s="203"/>
      <c r="C203" s="12"/>
      <c r="D203" s="363"/>
      <c r="E203" s="364"/>
      <c r="F203" s="363"/>
      <c r="G203" s="364"/>
      <c r="H203" s="363"/>
      <c r="I203" s="364"/>
      <c r="J203" s="363"/>
      <c r="K203" s="364"/>
      <c r="L203" s="363"/>
      <c r="M203" s="364"/>
      <c r="N203" s="363"/>
      <c r="O203" s="364"/>
      <c r="P203" s="363"/>
      <c r="Q203" s="430"/>
    </row>
    <row r="204" spans="1:17" ht="15">
      <c r="A204" s="145" t="s">
        <v>298</v>
      </c>
      <c r="B204" s="4"/>
      <c r="C204" s="248"/>
      <c r="D204" s="359">
        <f>SUM(D192:D202)</f>
        <v>5</v>
      </c>
      <c r="E204" s="358">
        <f t="shared" ref="E204:Q204" si="6">SUM(E192:E202)</f>
        <v>6</v>
      </c>
      <c r="F204" s="359">
        <f t="shared" si="6"/>
        <v>0</v>
      </c>
      <c r="G204" s="358">
        <f t="shared" si="6"/>
        <v>0</v>
      </c>
      <c r="H204" s="359">
        <f t="shared" si="6"/>
        <v>0</v>
      </c>
      <c r="I204" s="358">
        <f t="shared" si="6"/>
        <v>0</v>
      </c>
      <c r="J204" s="359">
        <f t="shared" si="6"/>
        <v>0</v>
      </c>
      <c r="K204" s="358">
        <f t="shared" si="6"/>
        <v>0</v>
      </c>
      <c r="L204" s="359">
        <f t="shared" si="6"/>
        <v>0</v>
      </c>
      <c r="M204" s="358">
        <f t="shared" si="6"/>
        <v>0</v>
      </c>
      <c r="N204" s="359">
        <f t="shared" si="6"/>
        <v>0</v>
      </c>
      <c r="O204" s="358">
        <f t="shared" si="6"/>
        <v>0</v>
      </c>
      <c r="P204" s="359">
        <f t="shared" si="6"/>
        <v>20</v>
      </c>
      <c r="Q204" s="377">
        <f t="shared" si="6"/>
        <v>13</v>
      </c>
    </row>
    <row r="205" spans="1:17" ht="15" thickBot="1">
      <c r="A205" s="217"/>
      <c r="B205" s="104"/>
      <c r="C205" s="257"/>
      <c r="D205" s="366"/>
      <c r="E205" s="367"/>
      <c r="F205" s="366"/>
      <c r="G205" s="367"/>
      <c r="H205" s="366"/>
      <c r="I205" s="367"/>
      <c r="J205" s="366"/>
      <c r="K205" s="367"/>
      <c r="L205" s="366"/>
      <c r="M205" s="367"/>
      <c r="N205" s="366"/>
      <c r="O205" s="367"/>
      <c r="P205" s="366"/>
      <c r="Q205" s="431"/>
    </row>
    <row r="206" spans="1:17" ht="15" thickTop="1">
      <c r="A206" s="145"/>
      <c r="B206" s="4"/>
      <c r="C206" s="9"/>
      <c r="D206" s="369"/>
      <c r="E206" s="370"/>
      <c r="F206" s="369"/>
      <c r="G206" s="370"/>
      <c r="H206" s="369"/>
      <c r="I206" s="370"/>
      <c r="J206" s="369"/>
      <c r="K206" s="370"/>
      <c r="L206" s="369"/>
      <c r="M206" s="370"/>
      <c r="N206" s="369"/>
      <c r="O206" s="370"/>
      <c r="P206" s="369"/>
      <c r="Q206" s="432"/>
    </row>
    <row r="207" spans="1:17">
      <c r="A207" s="145" t="s">
        <v>299</v>
      </c>
      <c r="B207" s="4"/>
      <c r="C207" s="10"/>
      <c r="D207" s="374">
        <f>D204+D189</f>
        <v>974</v>
      </c>
      <c r="E207" s="379">
        <f t="shared" ref="E207:Q207" si="7">E204+E189</f>
        <v>737</v>
      </c>
      <c r="F207" s="374">
        <f t="shared" si="7"/>
        <v>112</v>
      </c>
      <c r="G207" s="379">
        <f t="shared" si="7"/>
        <v>601</v>
      </c>
      <c r="H207" s="374">
        <f t="shared" si="7"/>
        <v>102</v>
      </c>
      <c r="I207" s="379">
        <f t="shared" si="7"/>
        <v>46</v>
      </c>
      <c r="J207" s="374">
        <f t="shared" si="7"/>
        <v>210</v>
      </c>
      <c r="K207" s="379">
        <f t="shared" si="7"/>
        <v>0</v>
      </c>
      <c r="L207" s="374">
        <f t="shared" si="7"/>
        <v>159</v>
      </c>
      <c r="M207" s="379">
        <f t="shared" si="7"/>
        <v>0</v>
      </c>
      <c r="N207" s="374">
        <f t="shared" si="7"/>
        <v>16</v>
      </c>
      <c r="O207" s="379">
        <f t="shared" si="7"/>
        <v>15</v>
      </c>
      <c r="P207" s="374">
        <f t="shared" si="7"/>
        <v>24513</v>
      </c>
      <c r="Q207" s="378">
        <f t="shared" si="7"/>
        <v>2237</v>
      </c>
    </row>
    <row r="208" spans="1:17" ht="15" thickBot="1">
      <c r="A208" s="217"/>
      <c r="B208" s="104"/>
      <c r="C208" s="251"/>
      <c r="D208" s="366"/>
      <c r="E208" s="367"/>
      <c r="F208" s="366"/>
      <c r="G208" s="367"/>
      <c r="H208" s="366"/>
      <c r="I208" s="367"/>
      <c r="J208" s="366"/>
      <c r="K208" s="367"/>
      <c r="L208" s="366"/>
      <c r="M208" s="367"/>
      <c r="N208" s="366"/>
      <c r="O208" s="367"/>
      <c r="P208" s="366"/>
      <c r="Q208" s="431"/>
    </row>
    <row r="209" spans="1:17" ht="17" thickTop="1" thickBot="1">
      <c r="A209" s="226" t="s">
        <v>38</v>
      </c>
      <c r="B209" s="94"/>
      <c r="C209" s="10"/>
      <c r="D209" s="355"/>
      <c r="E209" s="352"/>
      <c r="F209" s="355"/>
      <c r="G209" s="352"/>
      <c r="H209" s="355"/>
      <c r="I209" s="352"/>
      <c r="J209" s="355"/>
      <c r="K209" s="352"/>
      <c r="L209" s="355"/>
      <c r="M209" s="352"/>
      <c r="N209" s="355"/>
      <c r="O209" s="352"/>
      <c r="P209" s="355"/>
      <c r="Q209" s="378"/>
    </row>
    <row r="210" spans="1:17">
      <c r="A210" s="145">
        <v>1</v>
      </c>
      <c r="B210" s="4" t="s">
        <v>244</v>
      </c>
      <c r="C210" s="277" t="s">
        <v>485</v>
      </c>
      <c r="D210" s="357">
        <v>25</v>
      </c>
      <c r="E210" s="354">
        <v>551</v>
      </c>
      <c r="F210" s="357"/>
      <c r="G210" s="354">
        <v>550</v>
      </c>
      <c r="H210" s="357">
        <v>4</v>
      </c>
      <c r="I210" s="354">
        <v>1030</v>
      </c>
      <c r="J210" s="357"/>
      <c r="K210" s="354"/>
      <c r="L210" s="357"/>
      <c r="M210" s="354"/>
      <c r="N210" s="357"/>
      <c r="O210" s="354"/>
      <c r="P210" s="357">
        <v>477</v>
      </c>
      <c r="Q210" s="378">
        <v>103</v>
      </c>
    </row>
    <row r="211" spans="1:17">
      <c r="A211" s="145">
        <v>2</v>
      </c>
      <c r="B211" s="4" t="s">
        <v>245</v>
      </c>
      <c r="C211" s="17"/>
      <c r="D211" s="355">
        <v>12</v>
      </c>
      <c r="E211" s="352">
        <v>48</v>
      </c>
      <c r="F211" s="355"/>
      <c r="G211" s="352"/>
      <c r="H211" s="355">
        <v>26</v>
      </c>
      <c r="I211" s="352">
        <v>75</v>
      </c>
      <c r="J211" s="355"/>
      <c r="K211" s="352"/>
      <c r="L211" s="355"/>
      <c r="M211" s="352"/>
      <c r="N211" s="355"/>
      <c r="O211" s="352"/>
      <c r="P211" s="355">
        <v>33</v>
      </c>
      <c r="Q211" s="378">
        <v>67</v>
      </c>
    </row>
    <row r="212" spans="1:17">
      <c r="A212" s="145">
        <v>3</v>
      </c>
      <c r="B212" s="4" t="s">
        <v>246</v>
      </c>
      <c r="C212" s="10"/>
      <c r="D212" s="355">
        <v>929</v>
      </c>
      <c r="E212" s="352">
        <v>528</v>
      </c>
      <c r="F212" s="355">
        <v>7</v>
      </c>
      <c r="G212" s="352"/>
      <c r="H212" s="355">
        <v>48</v>
      </c>
      <c r="I212" s="352">
        <v>36</v>
      </c>
      <c r="J212" s="355"/>
      <c r="K212" s="352">
        <v>5</v>
      </c>
      <c r="L212" s="355"/>
      <c r="M212" s="352"/>
      <c r="N212" s="355">
        <v>1005</v>
      </c>
      <c r="O212" s="352">
        <v>350</v>
      </c>
      <c r="P212" s="355">
        <v>1585</v>
      </c>
      <c r="Q212" s="378">
        <v>147</v>
      </c>
    </row>
    <row r="213" spans="1:17">
      <c r="A213" s="145">
        <v>4</v>
      </c>
      <c r="B213" s="4" t="s">
        <v>247</v>
      </c>
      <c r="C213" s="10"/>
      <c r="D213" s="355"/>
      <c r="E213" s="352"/>
      <c r="F213" s="355"/>
      <c r="G213" s="352"/>
      <c r="H213" s="355"/>
      <c r="I213" s="352"/>
      <c r="J213" s="355"/>
      <c r="K213" s="352"/>
      <c r="L213" s="355"/>
      <c r="M213" s="352"/>
      <c r="N213" s="355"/>
      <c r="O213" s="352"/>
      <c r="P213" s="355">
        <v>49</v>
      </c>
      <c r="Q213" s="378">
        <v>18</v>
      </c>
    </row>
    <row r="214" spans="1:17">
      <c r="A214" s="145">
        <v>5</v>
      </c>
      <c r="B214" s="4" t="s">
        <v>248</v>
      </c>
      <c r="C214" s="10"/>
      <c r="D214" s="355">
        <v>157</v>
      </c>
      <c r="E214" s="352">
        <v>44</v>
      </c>
      <c r="F214" s="355"/>
      <c r="G214" s="352"/>
      <c r="H214" s="355">
        <v>15</v>
      </c>
      <c r="I214" s="352">
        <v>13</v>
      </c>
      <c r="J214" s="355"/>
      <c r="K214" s="352"/>
      <c r="L214" s="355"/>
      <c r="M214" s="352"/>
      <c r="N214" s="355">
        <v>1</v>
      </c>
      <c r="O214" s="352"/>
      <c r="P214" s="355">
        <v>107</v>
      </c>
      <c r="Q214" s="378">
        <v>39</v>
      </c>
    </row>
    <row r="215" spans="1:17">
      <c r="A215" s="145">
        <v>6</v>
      </c>
      <c r="B215" s="4" t="s">
        <v>249</v>
      </c>
      <c r="C215" s="10"/>
      <c r="D215" s="355">
        <v>108</v>
      </c>
      <c r="E215" s="352">
        <v>50</v>
      </c>
      <c r="F215" s="355"/>
      <c r="G215" s="352"/>
      <c r="H215" s="355">
        <v>8</v>
      </c>
      <c r="I215" s="352"/>
      <c r="J215" s="355"/>
      <c r="K215" s="352"/>
      <c r="L215" s="355"/>
      <c r="M215" s="352"/>
      <c r="N215" s="355"/>
      <c r="O215" s="352"/>
      <c r="P215" s="355">
        <v>52</v>
      </c>
      <c r="Q215" s="378">
        <v>90</v>
      </c>
    </row>
    <row r="216" spans="1:17" ht="15">
      <c r="A216" s="145">
        <v>7</v>
      </c>
      <c r="B216" s="4" t="s">
        <v>250</v>
      </c>
      <c r="C216" s="248"/>
      <c r="D216" s="357">
        <v>7</v>
      </c>
      <c r="E216" s="354"/>
      <c r="F216" s="357"/>
      <c r="G216" s="354"/>
      <c r="H216" s="357"/>
      <c r="I216" s="354"/>
      <c r="J216" s="357"/>
      <c r="K216" s="354"/>
      <c r="L216" s="357"/>
      <c r="M216" s="354"/>
      <c r="N216" s="357"/>
      <c r="O216" s="354"/>
      <c r="P216" s="357">
        <v>50233</v>
      </c>
      <c r="Q216" s="378">
        <v>100030</v>
      </c>
    </row>
    <row r="217" spans="1:17">
      <c r="A217" s="224">
        <v>8</v>
      </c>
      <c r="B217" s="113" t="s">
        <v>251</v>
      </c>
      <c r="C217" s="17"/>
      <c r="D217" s="355">
        <v>3633</v>
      </c>
      <c r="E217" s="352">
        <v>145</v>
      </c>
      <c r="F217" s="355">
        <v>850</v>
      </c>
      <c r="G217" s="352">
        <v>50</v>
      </c>
      <c r="H217" s="355">
        <v>2210</v>
      </c>
      <c r="I217" s="352">
        <v>1</v>
      </c>
      <c r="J217" s="355">
        <v>500</v>
      </c>
      <c r="K217" s="352"/>
      <c r="L217" s="355"/>
      <c r="M217" s="352"/>
      <c r="N217" s="355"/>
      <c r="O217" s="352">
        <v>50</v>
      </c>
      <c r="P217" s="355">
        <v>9921</v>
      </c>
      <c r="Q217" s="378">
        <v>83</v>
      </c>
    </row>
    <row r="218" spans="1:17">
      <c r="A218" s="224">
        <v>9</v>
      </c>
      <c r="B218" s="113" t="s">
        <v>252</v>
      </c>
      <c r="C218" s="10"/>
      <c r="D218" s="355">
        <v>304</v>
      </c>
      <c r="E218" s="352"/>
      <c r="F218" s="355"/>
      <c r="G218" s="352">
        <v>5</v>
      </c>
      <c r="H218" s="355">
        <v>24</v>
      </c>
      <c r="I218" s="352"/>
      <c r="J218" s="355"/>
      <c r="K218" s="352"/>
      <c r="L218" s="355">
        <v>3</v>
      </c>
      <c r="M218" s="352">
        <v>7</v>
      </c>
      <c r="N218" s="355"/>
      <c r="O218" s="352"/>
      <c r="P218" s="355">
        <v>1224</v>
      </c>
      <c r="Q218" s="378">
        <v>9981</v>
      </c>
    </row>
    <row r="219" spans="1:17">
      <c r="A219" s="224">
        <v>10</v>
      </c>
      <c r="B219" s="113" t="s">
        <v>253</v>
      </c>
      <c r="C219" s="10"/>
      <c r="D219" s="355">
        <v>1016</v>
      </c>
      <c r="E219" s="352">
        <v>590</v>
      </c>
      <c r="F219" s="355">
        <v>30</v>
      </c>
      <c r="G219" s="352"/>
      <c r="H219" s="355">
        <v>207</v>
      </c>
      <c r="I219" s="352">
        <v>43</v>
      </c>
      <c r="J219" s="355"/>
      <c r="K219" s="352"/>
      <c r="L219" s="355">
        <v>2</v>
      </c>
      <c r="M219" s="352"/>
      <c r="N219" s="355"/>
      <c r="O219" s="352">
        <v>400</v>
      </c>
      <c r="P219" s="355">
        <v>4581</v>
      </c>
      <c r="Q219" s="378">
        <v>3095</v>
      </c>
    </row>
    <row r="220" spans="1:17">
      <c r="A220" s="228">
        <v>11</v>
      </c>
      <c r="B220" s="236" t="s">
        <v>254</v>
      </c>
      <c r="C220" s="10"/>
      <c r="D220" s="355">
        <v>662</v>
      </c>
      <c r="E220" s="352">
        <v>294</v>
      </c>
      <c r="F220" s="355">
        <v>200</v>
      </c>
      <c r="G220" s="352"/>
      <c r="H220" s="355">
        <v>290</v>
      </c>
      <c r="I220" s="352">
        <v>3</v>
      </c>
      <c r="J220" s="355"/>
      <c r="K220" s="352"/>
      <c r="L220" s="355">
        <v>2003</v>
      </c>
      <c r="M220" s="352">
        <v>40</v>
      </c>
      <c r="N220" s="355"/>
      <c r="O220" s="352"/>
      <c r="P220" s="355">
        <v>388</v>
      </c>
      <c r="Q220" s="378">
        <v>275</v>
      </c>
    </row>
    <row r="221" spans="1:17">
      <c r="A221" s="228">
        <v>12</v>
      </c>
      <c r="B221" s="236" t="s">
        <v>255</v>
      </c>
      <c r="C221" s="10"/>
      <c r="D221" s="355">
        <v>248</v>
      </c>
      <c r="E221" s="352">
        <v>183</v>
      </c>
      <c r="F221" s="355">
        <v>4</v>
      </c>
      <c r="G221" s="352"/>
      <c r="H221" s="355">
        <v>71</v>
      </c>
      <c r="I221" s="352">
        <v>26</v>
      </c>
      <c r="J221" s="355"/>
      <c r="K221" s="352"/>
      <c r="L221" s="355"/>
      <c r="M221" s="352"/>
      <c r="N221" s="355">
        <v>4</v>
      </c>
      <c r="O221" s="352">
        <v>1</v>
      </c>
      <c r="P221" s="355">
        <v>220</v>
      </c>
      <c r="Q221" s="378">
        <v>137</v>
      </c>
    </row>
    <row r="222" spans="1:17" ht="15">
      <c r="A222" s="228">
        <v>13</v>
      </c>
      <c r="B222" s="236" t="s">
        <v>256</v>
      </c>
      <c r="C222" s="248"/>
      <c r="D222" s="357">
        <v>1179</v>
      </c>
      <c r="E222" s="354">
        <v>1589</v>
      </c>
      <c r="F222" s="357"/>
      <c r="G222" s="354"/>
      <c r="H222" s="357">
        <v>5413</v>
      </c>
      <c r="I222" s="354">
        <v>2567</v>
      </c>
      <c r="J222" s="357"/>
      <c r="K222" s="354"/>
      <c r="L222" s="357">
        <v>262</v>
      </c>
      <c r="M222" s="354">
        <v>50</v>
      </c>
      <c r="N222" s="357">
        <v>866</v>
      </c>
      <c r="O222" s="354">
        <v>484</v>
      </c>
      <c r="P222" s="357">
        <v>18218</v>
      </c>
      <c r="Q222" s="378">
        <v>1018</v>
      </c>
    </row>
    <row r="223" spans="1:17">
      <c r="A223" s="228">
        <v>14</v>
      </c>
      <c r="B223" s="236" t="s">
        <v>257</v>
      </c>
      <c r="C223" s="17"/>
      <c r="D223" s="355">
        <v>2558</v>
      </c>
      <c r="E223" s="352">
        <v>175</v>
      </c>
      <c r="F223" s="355"/>
      <c r="G223" s="352">
        <v>20</v>
      </c>
      <c r="H223" s="355">
        <v>2218</v>
      </c>
      <c r="I223" s="352">
        <v>362</v>
      </c>
      <c r="J223" s="355">
        <v>32</v>
      </c>
      <c r="K223" s="352"/>
      <c r="L223" s="355">
        <v>603</v>
      </c>
      <c r="M223" s="352"/>
      <c r="N223" s="355">
        <v>11</v>
      </c>
      <c r="O223" s="352">
        <v>10</v>
      </c>
      <c r="P223" s="355">
        <v>3099</v>
      </c>
      <c r="Q223" s="378">
        <v>209</v>
      </c>
    </row>
    <row r="224" spans="1:17">
      <c r="A224" s="228">
        <v>15</v>
      </c>
      <c r="B224" s="236" t="s">
        <v>258</v>
      </c>
      <c r="C224" s="10"/>
      <c r="D224" s="355">
        <v>27</v>
      </c>
      <c r="E224" s="352">
        <v>15</v>
      </c>
      <c r="F224" s="355">
        <v>6</v>
      </c>
      <c r="G224" s="352"/>
      <c r="H224" s="355">
        <v>175</v>
      </c>
      <c r="I224" s="352"/>
      <c r="J224" s="355"/>
      <c r="K224" s="352"/>
      <c r="L224" s="355"/>
      <c r="M224" s="352"/>
      <c r="N224" s="355"/>
      <c r="O224" s="352"/>
      <c r="P224" s="355">
        <v>108</v>
      </c>
      <c r="Q224" s="378">
        <v>63</v>
      </c>
    </row>
    <row r="225" spans="1:17">
      <c r="A225" s="228">
        <v>16</v>
      </c>
      <c r="B225" s="236" t="s">
        <v>259</v>
      </c>
      <c r="C225" s="10"/>
      <c r="D225" s="355">
        <v>212117</v>
      </c>
      <c r="E225" s="352">
        <v>37094</v>
      </c>
      <c r="F225" s="355">
        <v>65</v>
      </c>
      <c r="G225" s="352">
        <v>10</v>
      </c>
      <c r="H225" s="355">
        <v>15454</v>
      </c>
      <c r="I225" s="352">
        <v>13592</v>
      </c>
      <c r="J225" s="355"/>
      <c r="K225" s="352"/>
      <c r="L225" s="355">
        <v>244</v>
      </c>
      <c r="M225" s="352">
        <v>310</v>
      </c>
      <c r="N225" s="355">
        <v>264</v>
      </c>
      <c r="O225" s="352">
        <v>367</v>
      </c>
      <c r="P225" s="355">
        <v>85156</v>
      </c>
      <c r="Q225" s="378">
        <v>11972</v>
      </c>
    </row>
    <row r="226" spans="1:17">
      <c r="A226" s="228">
        <v>17</v>
      </c>
      <c r="B226" s="236" t="s">
        <v>260</v>
      </c>
      <c r="C226" s="10"/>
      <c r="D226" s="355">
        <v>6386</v>
      </c>
      <c r="E226" s="352">
        <v>1511</v>
      </c>
      <c r="F226" s="355">
        <v>7500</v>
      </c>
      <c r="G226" s="352">
        <v>3085</v>
      </c>
      <c r="H226" s="355">
        <v>10056</v>
      </c>
      <c r="I226" s="352">
        <v>589</v>
      </c>
      <c r="J226" s="355">
        <v>115</v>
      </c>
      <c r="K226" s="352">
        <v>200</v>
      </c>
      <c r="L226" s="355">
        <v>125</v>
      </c>
      <c r="M226" s="352">
        <v>100</v>
      </c>
      <c r="N226" s="355">
        <v>1651</v>
      </c>
      <c r="O226" s="352">
        <v>213</v>
      </c>
      <c r="P226" s="355">
        <v>62938</v>
      </c>
      <c r="Q226" s="378">
        <v>41068</v>
      </c>
    </row>
    <row r="227" spans="1:17">
      <c r="A227" s="228">
        <v>18</v>
      </c>
      <c r="B227" s="236" t="s">
        <v>261</v>
      </c>
      <c r="C227" s="10"/>
      <c r="D227" s="355">
        <v>6500</v>
      </c>
      <c r="E227" s="352">
        <v>74</v>
      </c>
      <c r="F227" s="355">
        <v>551</v>
      </c>
      <c r="G227" s="352">
        <v>504</v>
      </c>
      <c r="H227" s="355">
        <v>1193</v>
      </c>
      <c r="I227" s="352">
        <v>26</v>
      </c>
      <c r="J227" s="355">
        <v>344</v>
      </c>
      <c r="K227" s="352">
        <v>6</v>
      </c>
      <c r="L227" s="355">
        <v>3</v>
      </c>
      <c r="M227" s="352"/>
      <c r="N227" s="355">
        <v>2474</v>
      </c>
      <c r="O227" s="352">
        <v>7</v>
      </c>
      <c r="P227" s="355">
        <v>5454</v>
      </c>
      <c r="Q227" s="378">
        <v>3197</v>
      </c>
    </row>
    <row r="228" spans="1:17">
      <c r="A228" s="228">
        <v>19</v>
      </c>
      <c r="B228" s="236" t="s">
        <v>262</v>
      </c>
      <c r="C228" s="10"/>
      <c r="D228" s="355">
        <v>119</v>
      </c>
      <c r="E228" s="354">
        <v>53</v>
      </c>
      <c r="F228" s="355"/>
      <c r="G228" s="354"/>
      <c r="H228" s="355">
        <v>23</v>
      </c>
      <c r="I228" s="354"/>
      <c r="J228" s="355">
        <v>4</v>
      </c>
      <c r="K228" s="354"/>
      <c r="L228" s="355">
        <v>2</v>
      </c>
      <c r="M228" s="354"/>
      <c r="N228" s="355">
        <v>7</v>
      </c>
      <c r="O228" s="354">
        <v>3</v>
      </c>
      <c r="P228" s="355">
        <v>115</v>
      </c>
      <c r="Q228" s="378">
        <v>115</v>
      </c>
    </row>
    <row r="229" spans="1:17" ht="15">
      <c r="A229" s="228">
        <v>20</v>
      </c>
      <c r="B229" s="236" t="s">
        <v>263</v>
      </c>
      <c r="C229" s="248"/>
      <c r="D229" s="357">
        <v>17</v>
      </c>
      <c r="E229" s="354">
        <v>6</v>
      </c>
      <c r="F229" s="357"/>
      <c r="G229" s="354"/>
      <c r="H229" s="357"/>
      <c r="I229" s="354"/>
      <c r="J229" s="357">
        <v>1</v>
      </c>
      <c r="K229" s="354"/>
      <c r="L229" s="357"/>
      <c r="M229" s="354"/>
      <c r="N229" s="357"/>
      <c r="O229" s="354"/>
      <c r="P229" s="357">
        <v>30</v>
      </c>
      <c r="Q229" s="378">
        <v>44</v>
      </c>
    </row>
    <row r="230" spans="1:17">
      <c r="A230" s="228">
        <v>21</v>
      </c>
      <c r="B230" s="236" t="s">
        <v>264</v>
      </c>
      <c r="C230" s="17"/>
      <c r="D230" s="355">
        <v>4095</v>
      </c>
      <c r="E230" s="352">
        <v>1321</v>
      </c>
      <c r="F230" s="355">
        <v>1000</v>
      </c>
      <c r="G230" s="352"/>
      <c r="H230" s="355">
        <v>7289</v>
      </c>
      <c r="I230" s="352">
        <v>2253</v>
      </c>
      <c r="J230" s="355"/>
      <c r="K230" s="352"/>
      <c r="L230" s="355"/>
      <c r="M230" s="352"/>
      <c r="N230" s="355">
        <v>1254</v>
      </c>
      <c r="O230" s="352">
        <v>202</v>
      </c>
      <c r="P230" s="355">
        <v>16817</v>
      </c>
      <c r="Q230" s="378">
        <v>8696</v>
      </c>
    </row>
    <row r="231" spans="1:17">
      <c r="A231" s="228">
        <v>22</v>
      </c>
      <c r="B231" s="236" t="s">
        <v>265</v>
      </c>
      <c r="C231" s="10"/>
      <c r="D231" s="355">
        <v>264</v>
      </c>
      <c r="E231" s="352">
        <v>120</v>
      </c>
      <c r="F231" s="355"/>
      <c r="G231" s="352"/>
      <c r="H231" s="355">
        <v>254</v>
      </c>
      <c r="I231" s="352">
        <v>188</v>
      </c>
      <c r="J231" s="355"/>
      <c r="K231" s="352"/>
      <c r="L231" s="355"/>
      <c r="M231" s="352"/>
      <c r="N231" s="355"/>
      <c r="O231" s="352"/>
      <c r="P231" s="355">
        <v>30</v>
      </c>
      <c r="Q231" s="378">
        <v>26</v>
      </c>
    </row>
    <row r="232" spans="1:17">
      <c r="A232" s="228">
        <v>23</v>
      </c>
      <c r="B232" s="236" t="s">
        <v>266</v>
      </c>
      <c r="C232" s="10"/>
      <c r="D232" s="355">
        <v>7113</v>
      </c>
      <c r="E232" s="352">
        <v>3306</v>
      </c>
      <c r="F232" s="355">
        <v>500</v>
      </c>
      <c r="G232" s="352"/>
      <c r="H232" s="355">
        <v>39783</v>
      </c>
      <c r="I232" s="352">
        <v>2385</v>
      </c>
      <c r="J232" s="355">
        <v>100</v>
      </c>
      <c r="K232" s="352"/>
      <c r="L232" s="355">
        <v>1648</v>
      </c>
      <c r="M232" s="352">
        <v>3533</v>
      </c>
      <c r="N232" s="355">
        <v>1058</v>
      </c>
      <c r="O232" s="352">
        <v>75</v>
      </c>
      <c r="P232" s="355">
        <v>17190</v>
      </c>
      <c r="Q232" s="378">
        <v>6018</v>
      </c>
    </row>
    <row r="233" spans="1:17">
      <c r="A233" s="229"/>
      <c r="B233" s="237"/>
      <c r="C233" s="12"/>
      <c r="D233" s="363"/>
      <c r="E233" s="364"/>
      <c r="F233" s="363"/>
      <c r="G233" s="364"/>
      <c r="H233" s="363"/>
      <c r="I233" s="364"/>
      <c r="J233" s="363"/>
      <c r="K233" s="364"/>
      <c r="L233" s="363"/>
      <c r="M233" s="364"/>
      <c r="N233" s="363"/>
      <c r="O233" s="364"/>
      <c r="P233" s="363"/>
      <c r="Q233" s="430"/>
    </row>
    <row r="234" spans="1:17">
      <c r="A234" s="228" t="s">
        <v>296</v>
      </c>
      <c r="B234" s="236"/>
      <c r="C234" s="10"/>
      <c r="D234" s="359">
        <f>SUM(D210:D232)</f>
        <v>247476</v>
      </c>
      <c r="E234" s="358">
        <f t="shared" ref="E234:Q234" si="8">SUM(E210:E232)</f>
        <v>47697</v>
      </c>
      <c r="F234" s="359">
        <f t="shared" si="8"/>
        <v>10713</v>
      </c>
      <c r="G234" s="358">
        <f t="shared" si="8"/>
        <v>4224</v>
      </c>
      <c r="H234" s="359">
        <f t="shared" si="8"/>
        <v>84761</v>
      </c>
      <c r="I234" s="358">
        <f t="shared" si="8"/>
        <v>23189</v>
      </c>
      <c r="J234" s="359">
        <f t="shared" si="8"/>
        <v>1096</v>
      </c>
      <c r="K234" s="358">
        <f t="shared" si="8"/>
        <v>211</v>
      </c>
      <c r="L234" s="359">
        <f t="shared" si="8"/>
        <v>4895</v>
      </c>
      <c r="M234" s="358">
        <f t="shared" si="8"/>
        <v>4040</v>
      </c>
      <c r="N234" s="359">
        <f t="shared" si="8"/>
        <v>8595</v>
      </c>
      <c r="O234" s="358">
        <f t="shared" si="8"/>
        <v>2162</v>
      </c>
      <c r="P234" s="359">
        <f t="shared" si="8"/>
        <v>278025</v>
      </c>
      <c r="Q234" s="377">
        <f t="shared" si="8"/>
        <v>186491</v>
      </c>
    </row>
    <row r="235" spans="1:17" ht="16" thickBot="1">
      <c r="A235" s="230"/>
      <c r="B235" s="238"/>
      <c r="C235" s="261"/>
      <c r="D235" s="373"/>
      <c r="E235" s="372"/>
      <c r="F235" s="373"/>
      <c r="G235" s="372"/>
      <c r="H235" s="373"/>
      <c r="I235" s="372"/>
      <c r="J235" s="373"/>
      <c r="K235" s="372"/>
      <c r="L235" s="373"/>
      <c r="M235" s="372"/>
      <c r="N235" s="373"/>
      <c r="O235" s="372"/>
      <c r="P235" s="373"/>
      <c r="Q235" s="431"/>
    </row>
    <row r="236" spans="1:17" ht="17" thickTop="1" thickBot="1">
      <c r="A236" s="226" t="s">
        <v>40</v>
      </c>
      <c r="B236" s="94"/>
      <c r="C236" s="17"/>
      <c r="D236" s="355"/>
      <c r="E236" s="352"/>
      <c r="F236" s="355"/>
      <c r="G236" s="352"/>
      <c r="H236" s="355"/>
      <c r="I236" s="352"/>
      <c r="J236" s="355"/>
      <c r="K236" s="352"/>
      <c r="L236" s="355"/>
      <c r="M236" s="352"/>
      <c r="N236" s="355"/>
      <c r="O236" s="352"/>
      <c r="P236" s="355"/>
      <c r="Q236" s="378"/>
    </row>
    <row r="237" spans="1:17">
      <c r="A237" s="228">
        <v>1</v>
      </c>
      <c r="B237" s="236" t="s">
        <v>267</v>
      </c>
      <c r="C237" s="10"/>
      <c r="D237" s="355">
        <v>2636</v>
      </c>
      <c r="E237" s="352">
        <v>773</v>
      </c>
      <c r="F237" s="355">
        <v>2457</v>
      </c>
      <c r="G237" s="352">
        <v>8022</v>
      </c>
      <c r="H237" s="355">
        <v>368</v>
      </c>
      <c r="I237" s="352">
        <v>5</v>
      </c>
      <c r="J237" s="355"/>
      <c r="K237" s="352"/>
      <c r="L237" s="355"/>
      <c r="M237" s="352"/>
      <c r="N237" s="355">
        <v>5</v>
      </c>
      <c r="O237" s="352">
        <v>6</v>
      </c>
      <c r="P237" s="355">
        <v>214</v>
      </c>
      <c r="Q237" s="378">
        <v>98</v>
      </c>
    </row>
    <row r="238" spans="1:17">
      <c r="A238" s="228">
        <v>2</v>
      </c>
      <c r="B238" s="236" t="s">
        <v>268</v>
      </c>
      <c r="C238" s="10"/>
      <c r="D238" s="355">
        <v>7528</v>
      </c>
      <c r="E238" s="352">
        <v>1860</v>
      </c>
      <c r="F238" s="355">
        <v>225</v>
      </c>
      <c r="G238" s="352"/>
      <c r="H238" s="355">
        <v>1039</v>
      </c>
      <c r="I238" s="352">
        <v>79</v>
      </c>
      <c r="J238" s="355">
        <v>100</v>
      </c>
      <c r="K238" s="352"/>
      <c r="L238" s="355"/>
      <c r="M238" s="352"/>
      <c r="N238" s="355">
        <v>595</v>
      </c>
      <c r="O238" s="352">
        <v>29</v>
      </c>
      <c r="P238" s="355">
        <v>1563</v>
      </c>
      <c r="Q238" s="378">
        <v>248</v>
      </c>
    </row>
    <row r="239" spans="1:17">
      <c r="A239" s="228">
        <v>3</v>
      </c>
      <c r="B239" s="236" t="s">
        <v>269</v>
      </c>
      <c r="C239" s="10"/>
      <c r="D239" s="355">
        <v>16653</v>
      </c>
      <c r="E239" s="352">
        <v>10630</v>
      </c>
      <c r="F239" s="355">
        <v>768</v>
      </c>
      <c r="G239" s="352"/>
      <c r="H239" s="355">
        <v>2379</v>
      </c>
      <c r="I239" s="352">
        <v>627</v>
      </c>
      <c r="J239" s="355"/>
      <c r="K239" s="352"/>
      <c r="L239" s="355">
        <v>2055</v>
      </c>
      <c r="M239" s="352">
        <v>10</v>
      </c>
      <c r="N239" s="355">
        <v>3234</v>
      </c>
      <c r="O239" s="352">
        <v>474</v>
      </c>
      <c r="P239" s="355">
        <v>18650</v>
      </c>
      <c r="Q239" s="378">
        <v>2415</v>
      </c>
    </row>
    <row r="240" spans="1:17">
      <c r="A240" s="228">
        <v>4</v>
      </c>
      <c r="B240" s="236" t="s">
        <v>270</v>
      </c>
      <c r="C240" s="10"/>
      <c r="D240" s="355">
        <v>11095</v>
      </c>
      <c r="E240" s="352">
        <v>1730</v>
      </c>
      <c r="F240" s="355">
        <v>150</v>
      </c>
      <c r="G240" s="352"/>
      <c r="H240" s="355">
        <v>1602</v>
      </c>
      <c r="I240" s="352">
        <v>100</v>
      </c>
      <c r="J240" s="355">
        <v>25</v>
      </c>
      <c r="K240" s="352"/>
      <c r="L240" s="355"/>
      <c r="M240" s="352"/>
      <c r="N240" s="355">
        <v>2389</v>
      </c>
      <c r="O240" s="352">
        <v>303</v>
      </c>
      <c r="P240" s="355">
        <v>2624</v>
      </c>
      <c r="Q240" s="378">
        <v>1024</v>
      </c>
    </row>
    <row r="241" spans="1:17" ht="15">
      <c r="A241" s="228">
        <v>5</v>
      </c>
      <c r="B241" s="236" t="s">
        <v>271</v>
      </c>
      <c r="C241" s="248"/>
      <c r="D241" s="357">
        <v>6787</v>
      </c>
      <c r="E241" s="354">
        <v>345</v>
      </c>
      <c r="F241" s="357">
        <v>25</v>
      </c>
      <c r="G241" s="354">
        <v>30</v>
      </c>
      <c r="H241" s="357">
        <v>1385</v>
      </c>
      <c r="I241" s="354">
        <v>12</v>
      </c>
      <c r="J241" s="357"/>
      <c r="K241" s="354"/>
      <c r="L241" s="357"/>
      <c r="M241" s="354"/>
      <c r="N241" s="357"/>
      <c r="O241" s="354"/>
      <c r="P241" s="357">
        <v>5834</v>
      </c>
      <c r="Q241" s="378">
        <v>1004</v>
      </c>
    </row>
    <row r="242" spans="1:17">
      <c r="A242" s="228">
        <v>6</v>
      </c>
      <c r="B242" s="236" t="s">
        <v>272</v>
      </c>
      <c r="C242" s="17"/>
      <c r="D242" s="355">
        <v>28811</v>
      </c>
      <c r="E242" s="352">
        <v>6764</v>
      </c>
      <c r="F242" s="355">
        <v>8</v>
      </c>
      <c r="G242" s="352"/>
      <c r="H242" s="355">
        <v>596</v>
      </c>
      <c r="I242" s="352">
        <v>90</v>
      </c>
      <c r="J242" s="355">
        <v>500</v>
      </c>
      <c r="K242" s="352"/>
      <c r="L242" s="355"/>
      <c r="M242" s="352"/>
      <c r="N242" s="355">
        <v>2126</v>
      </c>
      <c r="O242" s="352">
        <v>275</v>
      </c>
      <c r="P242" s="355">
        <v>19347</v>
      </c>
      <c r="Q242" s="378">
        <v>4208</v>
      </c>
    </row>
    <row r="243" spans="1:17">
      <c r="A243" s="228">
        <v>7</v>
      </c>
      <c r="B243" s="236" t="s">
        <v>273</v>
      </c>
      <c r="C243" s="10"/>
      <c r="D243" s="355">
        <v>1307</v>
      </c>
      <c r="E243" s="352">
        <v>149</v>
      </c>
      <c r="F243" s="355"/>
      <c r="G243" s="352"/>
      <c r="H243" s="355">
        <v>57</v>
      </c>
      <c r="I243" s="352">
        <v>16</v>
      </c>
      <c r="J243" s="355"/>
      <c r="K243" s="352"/>
      <c r="L243" s="355">
        <v>11</v>
      </c>
      <c r="M243" s="352"/>
      <c r="N243" s="355">
        <v>6</v>
      </c>
      <c r="O243" s="352"/>
      <c r="P243" s="355">
        <v>1225</v>
      </c>
      <c r="Q243" s="378">
        <v>329</v>
      </c>
    </row>
    <row r="244" spans="1:17">
      <c r="A244" s="228">
        <v>8</v>
      </c>
      <c r="B244" s="236" t="s">
        <v>274</v>
      </c>
      <c r="C244" s="10"/>
      <c r="D244" s="355">
        <v>115</v>
      </c>
      <c r="E244" s="352">
        <v>10</v>
      </c>
      <c r="F244" s="355"/>
      <c r="G244" s="352">
        <v>10</v>
      </c>
      <c r="H244" s="355">
        <v>7</v>
      </c>
      <c r="I244" s="352">
        <v>2</v>
      </c>
      <c r="J244" s="355"/>
      <c r="K244" s="352"/>
      <c r="L244" s="355"/>
      <c r="M244" s="352"/>
      <c r="N244" s="355">
        <v>61</v>
      </c>
      <c r="O244" s="352">
        <v>3</v>
      </c>
      <c r="P244" s="355">
        <v>15</v>
      </c>
      <c r="Q244" s="378">
        <v>65</v>
      </c>
    </row>
    <row r="245" spans="1:17">
      <c r="A245" s="228">
        <v>9</v>
      </c>
      <c r="B245" s="236" t="s">
        <v>275</v>
      </c>
      <c r="C245" s="10"/>
      <c r="D245" s="355">
        <v>371</v>
      </c>
      <c r="E245" s="352">
        <v>195</v>
      </c>
      <c r="F245" s="355"/>
      <c r="G245" s="352">
        <v>8</v>
      </c>
      <c r="H245" s="355">
        <v>159</v>
      </c>
      <c r="I245" s="352">
        <v>16</v>
      </c>
      <c r="J245" s="355"/>
      <c r="K245" s="352"/>
      <c r="L245" s="355">
        <v>3</v>
      </c>
      <c r="M245" s="352"/>
      <c r="N245" s="355">
        <v>6</v>
      </c>
      <c r="O245" s="352">
        <v>9</v>
      </c>
      <c r="P245" s="355">
        <v>488</v>
      </c>
      <c r="Q245" s="378">
        <v>70</v>
      </c>
    </row>
    <row r="246" spans="1:17">
      <c r="A246" s="228">
        <v>10</v>
      </c>
      <c r="B246" s="236" t="s">
        <v>276</v>
      </c>
      <c r="C246" s="10"/>
      <c r="D246" s="355">
        <v>47</v>
      </c>
      <c r="E246" s="352">
        <v>52</v>
      </c>
      <c r="F246" s="355"/>
      <c r="G246" s="352"/>
      <c r="H246" s="355">
        <v>10</v>
      </c>
      <c r="I246" s="352">
        <v>1</v>
      </c>
      <c r="J246" s="355"/>
      <c r="K246" s="352"/>
      <c r="L246" s="355"/>
      <c r="M246" s="352"/>
      <c r="N246" s="355">
        <v>12</v>
      </c>
      <c r="O246" s="352"/>
      <c r="P246" s="355">
        <v>242</v>
      </c>
      <c r="Q246" s="378">
        <v>880</v>
      </c>
    </row>
    <row r="247" spans="1:17" ht="15">
      <c r="A247" s="228">
        <v>11</v>
      </c>
      <c r="B247" s="236" t="s">
        <v>277</v>
      </c>
      <c r="C247" s="248"/>
      <c r="D247" s="357">
        <v>3623</v>
      </c>
      <c r="E247" s="354">
        <v>60</v>
      </c>
      <c r="F247" s="357">
        <v>63</v>
      </c>
      <c r="G247" s="354"/>
      <c r="H247" s="357">
        <v>1177</v>
      </c>
      <c r="I247" s="354">
        <v>7</v>
      </c>
      <c r="J247" s="357"/>
      <c r="K247" s="354"/>
      <c r="L247" s="357">
        <v>10</v>
      </c>
      <c r="M247" s="354"/>
      <c r="N247" s="357">
        <v>655</v>
      </c>
      <c r="O247" s="354">
        <v>173</v>
      </c>
      <c r="P247" s="357">
        <v>103</v>
      </c>
      <c r="Q247" s="378">
        <v>68</v>
      </c>
    </row>
    <row r="248" spans="1:17">
      <c r="A248" s="228">
        <v>12</v>
      </c>
      <c r="B248" s="236" t="s">
        <v>278</v>
      </c>
      <c r="C248" s="17"/>
      <c r="D248" s="355">
        <v>5833</v>
      </c>
      <c r="E248" s="352">
        <v>424</v>
      </c>
      <c r="F248" s="355">
        <v>8</v>
      </c>
      <c r="G248" s="352"/>
      <c r="H248" s="355">
        <v>1625</v>
      </c>
      <c r="I248" s="352">
        <v>40</v>
      </c>
      <c r="J248" s="355"/>
      <c r="K248" s="352"/>
      <c r="L248" s="355"/>
      <c r="M248" s="352"/>
      <c r="N248" s="355">
        <v>1100</v>
      </c>
      <c r="O248" s="352">
        <v>40</v>
      </c>
      <c r="P248" s="355">
        <v>2473</v>
      </c>
      <c r="Q248" s="378">
        <v>129</v>
      </c>
    </row>
    <row r="249" spans="1:17">
      <c r="A249" s="228">
        <v>13</v>
      </c>
      <c r="B249" s="236" t="s">
        <v>279</v>
      </c>
      <c r="C249" s="10"/>
      <c r="D249" s="355">
        <v>2529</v>
      </c>
      <c r="E249" s="352">
        <v>31</v>
      </c>
      <c r="F249" s="355">
        <v>113</v>
      </c>
      <c r="G249" s="352"/>
      <c r="H249" s="355">
        <v>117</v>
      </c>
      <c r="I249" s="352">
        <v>25</v>
      </c>
      <c r="J249" s="355"/>
      <c r="K249" s="352"/>
      <c r="L249" s="355">
        <v>36</v>
      </c>
      <c r="M249" s="352"/>
      <c r="N249" s="355"/>
      <c r="O249" s="352"/>
      <c r="P249" s="355">
        <v>6243</v>
      </c>
      <c r="Q249" s="378">
        <v>297</v>
      </c>
    </row>
    <row r="250" spans="1:17">
      <c r="A250" s="228">
        <v>14</v>
      </c>
      <c r="B250" s="236" t="s">
        <v>280</v>
      </c>
      <c r="C250" s="10"/>
      <c r="D250" s="355">
        <v>14192</v>
      </c>
      <c r="E250" s="352">
        <v>118</v>
      </c>
      <c r="F250" s="355"/>
      <c r="G250" s="352"/>
      <c r="H250" s="355">
        <v>507</v>
      </c>
      <c r="I250" s="352">
        <v>120</v>
      </c>
      <c r="J250" s="355"/>
      <c r="K250" s="352"/>
      <c r="L250" s="355"/>
      <c r="M250" s="352"/>
      <c r="N250" s="355">
        <v>1032</v>
      </c>
      <c r="O250" s="352"/>
      <c r="P250" s="355">
        <v>3991</v>
      </c>
      <c r="Q250" s="378">
        <v>446</v>
      </c>
    </row>
    <row r="251" spans="1:17">
      <c r="A251" s="228">
        <v>15</v>
      </c>
      <c r="B251" s="236" t="s">
        <v>281</v>
      </c>
      <c r="C251" s="10"/>
      <c r="D251" s="355">
        <v>124</v>
      </c>
      <c r="E251" s="352">
        <v>28</v>
      </c>
      <c r="F251" s="355"/>
      <c r="G251" s="352">
        <v>2</v>
      </c>
      <c r="H251" s="355">
        <v>60</v>
      </c>
      <c r="I251" s="352"/>
      <c r="J251" s="355"/>
      <c r="K251" s="352"/>
      <c r="L251" s="355"/>
      <c r="M251" s="352"/>
      <c r="N251" s="355">
        <v>300</v>
      </c>
      <c r="O251" s="352"/>
      <c r="P251" s="355">
        <v>174</v>
      </c>
      <c r="Q251" s="378">
        <v>676</v>
      </c>
    </row>
    <row r="252" spans="1:17">
      <c r="A252" s="228">
        <v>16</v>
      </c>
      <c r="B252" s="236" t="s">
        <v>282</v>
      </c>
      <c r="C252" s="10"/>
      <c r="D252" s="355">
        <v>23552</v>
      </c>
      <c r="E252" s="352">
        <v>2930</v>
      </c>
      <c r="F252" s="355"/>
      <c r="G252" s="352">
        <v>10</v>
      </c>
      <c r="H252" s="355">
        <v>320</v>
      </c>
      <c r="I252" s="352">
        <v>80</v>
      </c>
      <c r="J252" s="355">
        <v>20</v>
      </c>
      <c r="K252" s="352"/>
      <c r="L252" s="355"/>
      <c r="M252" s="352"/>
      <c r="N252" s="355">
        <v>230</v>
      </c>
      <c r="O252" s="352"/>
      <c r="P252" s="355">
        <v>5701</v>
      </c>
      <c r="Q252" s="378">
        <v>472</v>
      </c>
    </row>
    <row r="253" spans="1:17" ht="15">
      <c r="A253" s="228">
        <v>17</v>
      </c>
      <c r="B253" s="236" t="s">
        <v>283</v>
      </c>
      <c r="C253" s="248"/>
      <c r="D253" s="357">
        <v>6280</v>
      </c>
      <c r="E253" s="354">
        <v>587</v>
      </c>
      <c r="F253" s="357">
        <v>87</v>
      </c>
      <c r="G253" s="354"/>
      <c r="H253" s="357">
        <v>309</v>
      </c>
      <c r="I253" s="354"/>
      <c r="J253" s="357"/>
      <c r="K253" s="354"/>
      <c r="L253" s="357">
        <v>274</v>
      </c>
      <c r="M253" s="354">
        <v>50</v>
      </c>
      <c r="N253" s="357">
        <v>3164</v>
      </c>
      <c r="O253" s="354"/>
      <c r="P253" s="357">
        <v>1465</v>
      </c>
      <c r="Q253" s="378">
        <v>353</v>
      </c>
    </row>
    <row r="254" spans="1:17">
      <c r="A254" s="228">
        <v>18</v>
      </c>
      <c r="B254" s="236" t="s">
        <v>284</v>
      </c>
      <c r="C254" s="17"/>
      <c r="D254" s="355">
        <v>6500</v>
      </c>
      <c r="E254" s="352">
        <v>760</v>
      </c>
      <c r="F254" s="355">
        <v>16</v>
      </c>
      <c r="G254" s="352">
        <v>1</v>
      </c>
      <c r="H254" s="355">
        <v>1110</v>
      </c>
      <c r="I254" s="352">
        <v>4</v>
      </c>
      <c r="J254" s="355">
        <v>50</v>
      </c>
      <c r="K254" s="352"/>
      <c r="L254" s="355">
        <v>170</v>
      </c>
      <c r="M254" s="352"/>
      <c r="N254" s="355">
        <v>2880</v>
      </c>
      <c r="O254" s="352">
        <v>3</v>
      </c>
      <c r="P254" s="355">
        <v>2049</v>
      </c>
      <c r="Q254" s="378">
        <v>19</v>
      </c>
    </row>
    <row r="255" spans="1:17">
      <c r="A255" s="228">
        <v>19</v>
      </c>
      <c r="B255" s="236" t="s">
        <v>285</v>
      </c>
      <c r="C255" s="10"/>
      <c r="D255" s="355">
        <v>1607</v>
      </c>
      <c r="E255" s="352">
        <v>231</v>
      </c>
      <c r="F255" s="355">
        <v>25</v>
      </c>
      <c r="G255" s="352"/>
      <c r="H255" s="355">
        <v>373</v>
      </c>
      <c r="I255" s="352">
        <v>33</v>
      </c>
      <c r="J255" s="355">
        <v>290</v>
      </c>
      <c r="K255" s="352">
        <v>18</v>
      </c>
      <c r="L255" s="355"/>
      <c r="M255" s="352"/>
      <c r="N255" s="355">
        <v>2766</v>
      </c>
      <c r="O255" s="352">
        <v>1</v>
      </c>
      <c r="P255" s="355">
        <v>892</v>
      </c>
      <c r="Q255" s="378">
        <v>496</v>
      </c>
    </row>
    <row r="256" spans="1:17">
      <c r="A256" s="228">
        <v>20</v>
      </c>
      <c r="B256" s="236" t="s">
        <v>286</v>
      </c>
      <c r="C256" s="10"/>
      <c r="D256" s="355">
        <v>3268</v>
      </c>
      <c r="E256" s="352">
        <v>376</v>
      </c>
      <c r="F256" s="355">
        <v>76</v>
      </c>
      <c r="G256" s="352">
        <v>20</v>
      </c>
      <c r="H256" s="355">
        <v>60</v>
      </c>
      <c r="I256" s="352">
        <v>15</v>
      </c>
      <c r="J256" s="355"/>
      <c r="K256" s="352"/>
      <c r="L256" s="355"/>
      <c r="M256" s="352"/>
      <c r="N256" s="355">
        <v>370</v>
      </c>
      <c r="O256" s="352"/>
      <c r="P256" s="355">
        <v>1417</v>
      </c>
      <c r="Q256" s="378">
        <v>331</v>
      </c>
    </row>
    <row r="257" spans="1:17">
      <c r="A257" s="228">
        <v>21</v>
      </c>
      <c r="B257" s="236" t="s">
        <v>287</v>
      </c>
      <c r="C257" s="10"/>
      <c r="D257" s="355">
        <v>16</v>
      </c>
      <c r="E257" s="352">
        <v>214</v>
      </c>
      <c r="F257" s="355"/>
      <c r="G257" s="352"/>
      <c r="H257" s="355"/>
      <c r="I257" s="352">
        <v>100</v>
      </c>
      <c r="J257" s="355"/>
      <c r="K257" s="352"/>
      <c r="L257" s="355"/>
      <c r="M257" s="352"/>
      <c r="N257" s="355">
        <v>4</v>
      </c>
      <c r="O257" s="352"/>
      <c r="P257" s="355">
        <v>14</v>
      </c>
      <c r="Q257" s="378">
        <v>520</v>
      </c>
    </row>
    <row r="258" spans="1:17">
      <c r="A258" s="228">
        <v>22</v>
      </c>
      <c r="B258" s="236" t="s">
        <v>288</v>
      </c>
      <c r="C258" s="10"/>
      <c r="D258" s="355">
        <v>82240</v>
      </c>
      <c r="E258" s="352">
        <v>9093</v>
      </c>
      <c r="F258" s="355"/>
      <c r="G258" s="352"/>
      <c r="H258" s="355">
        <v>7300</v>
      </c>
      <c r="I258" s="352">
        <v>200</v>
      </c>
      <c r="J258" s="355"/>
      <c r="K258" s="352"/>
      <c r="L258" s="355"/>
      <c r="M258" s="352"/>
      <c r="N258" s="355">
        <v>870</v>
      </c>
      <c r="O258" s="352"/>
      <c r="P258" s="355">
        <v>15717</v>
      </c>
      <c r="Q258" s="378">
        <v>1530</v>
      </c>
    </row>
    <row r="259" spans="1:17">
      <c r="A259" s="228">
        <v>23</v>
      </c>
      <c r="B259" s="236" t="s">
        <v>289</v>
      </c>
      <c r="C259" s="10"/>
      <c r="D259" s="355">
        <v>1626</v>
      </c>
      <c r="E259" s="354">
        <v>200</v>
      </c>
      <c r="F259" s="355"/>
      <c r="G259" s="354"/>
      <c r="H259" s="355">
        <v>460</v>
      </c>
      <c r="I259" s="354"/>
      <c r="J259" s="355"/>
      <c r="K259" s="354"/>
      <c r="L259" s="355">
        <v>25</v>
      </c>
      <c r="M259" s="354"/>
      <c r="N259" s="355">
        <v>366</v>
      </c>
      <c r="O259" s="354">
        <v>20</v>
      </c>
      <c r="P259" s="355">
        <v>583</v>
      </c>
      <c r="Q259" s="378">
        <v>303</v>
      </c>
    </row>
    <row r="260" spans="1:17" ht="15">
      <c r="A260" s="228">
        <v>24</v>
      </c>
      <c r="B260" s="236" t="s">
        <v>290</v>
      </c>
      <c r="C260" s="248"/>
      <c r="D260" s="357">
        <v>7693</v>
      </c>
      <c r="E260" s="354">
        <v>1399</v>
      </c>
      <c r="F260" s="357"/>
      <c r="G260" s="354"/>
      <c r="H260" s="357">
        <v>1410</v>
      </c>
      <c r="I260" s="354">
        <v>10</v>
      </c>
      <c r="J260" s="357">
        <v>1</v>
      </c>
      <c r="K260" s="354"/>
      <c r="L260" s="357">
        <v>28</v>
      </c>
      <c r="M260" s="354">
        <v>550</v>
      </c>
      <c r="N260" s="357"/>
      <c r="O260" s="354"/>
      <c r="P260" s="357">
        <v>2267</v>
      </c>
      <c r="Q260" s="378">
        <v>1680</v>
      </c>
    </row>
    <row r="261" spans="1:17">
      <c r="A261" s="215"/>
      <c r="B261" s="203"/>
      <c r="C261" s="16"/>
      <c r="D261" s="363"/>
      <c r="E261" s="364"/>
      <c r="F261" s="363"/>
      <c r="G261" s="364"/>
      <c r="H261" s="363"/>
      <c r="I261" s="364"/>
      <c r="J261" s="363"/>
      <c r="K261" s="364"/>
      <c r="L261" s="363"/>
      <c r="M261" s="364"/>
      <c r="N261" s="363"/>
      <c r="O261" s="364"/>
      <c r="P261" s="363"/>
      <c r="Q261" s="430"/>
    </row>
    <row r="262" spans="1:17" ht="15">
      <c r="A262" s="216" t="s">
        <v>295</v>
      </c>
      <c r="B262" s="239"/>
      <c r="C262" s="10"/>
      <c r="D262" s="359">
        <f>SUM(D237:D261)</f>
        <v>234433</v>
      </c>
      <c r="E262" s="358">
        <f t="shared" ref="E262:Q262" si="9">SUM(E237:E261)</f>
        <v>38959</v>
      </c>
      <c r="F262" s="359">
        <f t="shared" si="9"/>
        <v>4021</v>
      </c>
      <c r="G262" s="358">
        <f t="shared" si="9"/>
        <v>8103</v>
      </c>
      <c r="H262" s="359">
        <f t="shared" si="9"/>
        <v>22430</v>
      </c>
      <c r="I262" s="358">
        <f t="shared" si="9"/>
        <v>1582</v>
      </c>
      <c r="J262" s="359">
        <f t="shared" si="9"/>
        <v>986</v>
      </c>
      <c r="K262" s="358">
        <f t="shared" si="9"/>
        <v>18</v>
      </c>
      <c r="L262" s="359">
        <f t="shared" si="9"/>
        <v>2612</v>
      </c>
      <c r="M262" s="358">
        <f t="shared" si="9"/>
        <v>610</v>
      </c>
      <c r="N262" s="359">
        <f t="shared" si="9"/>
        <v>22171</v>
      </c>
      <c r="O262" s="358">
        <f t="shared" si="9"/>
        <v>1336</v>
      </c>
      <c r="P262" s="359">
        <f t="shared" si="9"/>
        <v>93291</v>
      </c>
      <c r="Q262" s="377">
        <f t="shared" si="9"/>
        <v>17661</v>
      </c>
    </row>
    <row r="263" spans="1:17" ht="15" thickBot="1">
      <c r="A263" s="217"/>
      <c r="B263" s="104"/>
      <c r="C263" s="251"/>
      <c r="D263" s="366"/>
      <c r="E263" s="367"/>
      <c r="F263" s="366"/>
      <c r="G263" s="367"/>
      <c r="H263" s="366"/>
      <c r="I263" s="367"/>
      <c r="J263" s="366"/>
      <c r="K263" s="367"/>
      <c r="L263" s="366"/>
      <c r="M263" s="367"/>
      <c r="N263" s="366"/>
      <c r="O263" s="367"/>
      <c r="P263" s="366"/>
      <c r="Q263" s="431"/>
    </row>
    <row r="264" spans="1:17" ht="15" thickTop="1">
      <c r="C264" s="31"/>
      <c r="D264" s="31"/>
      <c r="E264" s="32"/>
      <c r="F264" s="134"/>
      <c r="G264" s="134"/>
      <c r="H264" s="134"/>
      <c r="I264" s="134"/>
      <c r="J264" s="134"/>
      <c r="K264" s="134"/>
      <c r="L264" s="134"/>
      <c r="M264" s="134"/>
      <c r="N264" s="134"/>
      <c r="O264" s="134"/>
      <c r="P264" s="134"/>
      <c r="Q264" s="134"/>
    </row>
    <row r="265" spans="1:17">
      <c r="C265" s="31"/>
      <c r="D265" s="31"/>
      <c r="E265" s="32"/>
      <c r="F265" s="134"/>
      <c r="G265" s="134"/>
      <c r="H265" s="134"/>
      <c r="I265" s="134"/>
      <c r="J265" s="134"/>
      <c r="K265" s="134"/>
      <c r="L265" s="134"/>
      <c r="M265" s="134"/>
      <c r="N265" s="134"/>
      <c r="O265" s="134"/>
      <c r="P265" s="134"/>
      <c r="Q265" s="134"/>
    </row>
    <row r="266" spans="1:17" ht="15">
      <c r="C266" s="249"/>
      <c r="D266" s="249"/>
      <c r="E266" s="31"/>
      <c r="F266" s="31"/>
      <c r="G266" s="31"/>
      <c r="H266" s="31"/>
      <c r="I266" s="31"/>
      <c r="J266" s="31"/>
      <c r="K266" s="31"/>
      <c r="L266" s="31"/>
      <c r="M266" s="31"/>
      <c r="N266" s="31"/>
      <c r="O266" s="31"/>
      <c r="P266" s="31"/>
      <c r="Q266" s="31"/>
    </row>
    <row r="267" spans="1:17">
      <c r="C267" s="47"/>
      <c r="D267" s="47"/>
      <c r="E267" s="32"/>
      <c r="F267" s="134"/>
      <c r="G267" s="134"/>
      <c r="H267" s="134"/>
      <c r="I267" s="134"/>
      <c r="J267" s="134"/>
      <c r="K267" s="134"/>
      <c r="L267" s="134"/>
      <c r="M267" s="134"/>
      <c r="N267" s="134"/>
      <c r="O267" s="134"/>
      <c r="P267" s="134"/>
      <c r="Q267" s="134"/>
    </row>
    <row r="268" spans="1:17">
      <c r="C268" s="31"/>
      <c r="D268" s="31"/>
      <c r="E268" s="32"/>
      <c r="F268" s="134"/>
      <c r="G268" s="134"/>
      <c r="H268" s="134"/>
      <c r="I268" s="134"/>
      <c r="J268" s="134"/>
      <c r="K268" s="134"/>
      <c r="L268" s="134"/>
      <c r="M268" s="134"/>
      <c r="N268" s="134"/>
      <c r="O268" s="134"/>
      <c r="P268" s="134"/>
      <c r="Q268" s="134"/>
    </row>
    <row r="269" spans="1:17">
      <c r="C269" s="31"/>
      <c r="D269" s="31"/>
      <c r="E269" s="32"/>
      <c r="F269" s="134"/>
      <c r="G269" s="134"/>
      <c r="H269" s="134"/>
      <c r="I269" s="134"/>
      <c r="J269" s="134"/>
      <c r="K269" s="134"/>
      <c r="L269" s="134"/>
      <c r="M269" s="134"/>
      <c r="N269" s="134"/>
      <c r="O269" s="134"/>
      <c r="P269" s="134"/>
      <c r="Q269" s="134"/>
    </row>
    <row r="270" spans="1:17">
      <c r="C270" s="31"/>
      <c r="D270" s="31"/>
      <c r="E270" s="32"/>
      <c r="F270" s="134"/>
      <c r="G270" s="134"/>
      <c r="H270" s="134"/>
      <c r="I270" s="134"/>
      <c r="J270" s="134"/>
      <c r="K270" s="134"/>
      <c r="L270" s="134"/>
      <c r="M270" s="134"/>
      <c r="N270" s="134"/>
      <c r="O270" s="134"/>
      <c r="P270" s="134"/>
      <c r="Q270" s="134"/>
    </row>
    <row r="271" spans="1:17">
      <c r="C271" s="31"/>
      <c r="D271" s="31"/>
      <c r="E271" s="32"/>
      <c r="F271" s="134"/>
      <c r="G271" s="134"/>
      <c r="H271" s="134"/>
      <c r="I271" s="134"/>
      <c r="J271" s="134"/>
      <c r="K271" s="134"/>
      <c r="L271" s="134"/>
      <c r="M271" s="134"/>
      <c r="N271" s="134"/>
      <c r="O271" s="134"/>
      <c r="P271" s="134"/>
      <c r="Q271" s="134"/>
    </row>
  </sheetData>
  <mergeCells count="8">
    <mergeCell ref="N4:O5"/>
    <mergeCell ref="P4:Q5"/>
    <mergeCell ref="C4:C5"/>
    <mergeCell ref="D4:E5"/>
    <mergeCell ref="F4:G5"/>
    <mergeCell ref="H4:I5"/>
    <mergeCell ref="J4:K5"/>
    <mergeCell ref="L4:M5"/>
  </mergeCell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1"/>
  </sheetPr>
  <dimension ref="A2:AC267"/>
  <sheetViews>
    <sheetView topLeftCell="R1" workbookViewId="0">
      <selection activeCell="G149" sqref="G149"/>
    </sheetView>
  </sheetViews>
  <sheetFormatPr baseColWidth="10" defaultColWidth="11.5" defaultRowHeight="14" x14ac:dyDescent="0"/>
  <cols>
    <col min="1" max="1" width="34.6640625" customWidth="1"/>
    <col min="2" max="2" width="21.5" customWidth="1"/>
    <col min="3" max="5" width="10.1640625" customWidth="1"/>
    <col min="6" max="6" width="9.33203125" customWidth="1"/>
    <col min="7" max="7" width="12.1640625" customWidth="1"/>
    <col min="8" max="8" width="13.5" customWidth="1"/>
    <col min="9" max="9" width="12" style="68" customWidth="1"/>
    <col min="10" max="11" width="13.5" customWidth="1"/>
    <col min="12" max="12" width="12.5" customWidth="1"/>
    <col min="13" max="13" width="16.5" customWidth="1"/>
    <col min="14" max="14" width="13.1640625" customWidth="1"/>
    <col min="15" max="15" width="14.5" style="73" customWidth="1"/>
    <col min="16" max="16" width="15.6640625" customWidth="1"/>
    <col min="17" max="17" width="15.1640625" customWidth="1"/>
    <col min="18" max="18" width="13.83203125" customWidth="1"/>
    <col min="19" max="19" width="15" customWidth="1"/>
    <col min="20" max="20" width="11.33203125" customWidth="1"/>
    <col min="21" max="21" width="13" customWidth="1"/>
    <col min="23" max="23" width="13.1640625" customWidth="1"/>
    <col min="25" max="25" width="12.6640625" customWidth="1"/>
    <col min="26" max="26" width="13" customWidth="1"/>
    <col min="27" max="27" width="12.6640625" customWidth="1"/>
    <col min="28" max="28" width="12.5" style="31" customWidth="1"/>
    <col min="29" max="29" width="12.6640625" style="31" customWidth="1"/>
  </cols>
  <sheetData>
    <row r="2" spans="1:29" ht="18">
      <c r="A2" s="1" t="s">
        <v>437</v>
      </c>
      <c r="B2" s="696" t="s">
        <v>479</v>
      </c>
      <c r="C2" s="696"/>
      <c r="D2" s="696"/>
      <c r="E2" s="696"/>
      <c r="F2" s="696"/>
      <c r="G2" s="696"/>
      <c r="H2" s="696"/>
      <c r="I2" s="697"/>
      <c r="J2" s="696"/>
      <c r="K2" s="696"/>
      <c r="L2" s="696"/>
      <c r="M2" s="696"/>
      <c r="N2" s="696"/>
      <c r="O2" s="698"/>
      <c r="P2" s="698"/>
      <c r="Q2" s="698"/>
      <c r="R2" s="26"/>
      <c r="S2" s="26"/>
      <c r="T2" s="26"/>
      <c r="U2" s="26"/>
      <c r="V2" s="26"/>
      <c r="W2" s="26"/>
      <c r="X2" s="26"/>
      <c r="Y2" s="696"/>
      <c r="Z2" s="696"/>
      <c r="AA2" s="696"/>
      <c r="AB2" s="250"/>
    </row>
    <row r="3" spans="1:29" s="31" customFormat="1" ht="15">
      <c r="B3" s="644"/>
      <c r="C3" s="644"/>
      <c r="D3" s="644"/>
      <c r="E3" s="644"/>
      <c r="F3" s="644"/>
      <c r="G3" s="644"/>
      <c r="H3" s="644"/>
      <c r="I3" s="644"/>
      <c r="J3" s="644"/>
      <c r="K3" s="262"/>
      <c r="O3" s="68"/>
      <c r="P3" s="68"/>
      <c r="Q3" s="68"/>
    </row>
    <row r="4" spans="1:29" s="31" customFormat="1" ht="16" thickBot="1">
      <c r="B4" s="262"/>
      <c r="C4" s="262"/>
      <c r="D4" s="262"/>
      <c r="E4" s="262"/>
      <c r="F4" s="262"/>
      <c r="G4" s="262"/>
      <c r="H4" s="262"/>
      <c r="I4" s="262"/>
      <c r="J4" s="262"/>
      <c r="K4" s="262"/>
      <c r="O4" s="68"/>
      <c r="P4" s="68"/>
      <c r="Q4" s="68"/>
    </row>
    <row r="5" spans="1:29" s="31" customFormat="1" ht="15" thickTop="1">
      <c r="A5" s="64"/>
      <c r="B5" s="64"/>
      <c r="C5" s="710" t="s">
        <v>35</v>
      </c>
      <c r="D5" s="759" t="s">
        <v>418</v>
      </c>
      <c r="E5" s="759" t="s">
        <v>426</v>
      </c>
      <c r="F5" s="721" t="s">
        <v>419</v>
      </c>
      <c r="G5" s="727"/>
      <c r="H5" s="727"/>
      <c r="I5" s="727"/>
      <c r="J5" s="722"/>
      <c r="K5" s="721" t="s">
        <v>422</v>
      </c>
      <c r="L5" s="727"/>
      <c r="M5" s="727"/>
      <c r="N5" s="727"/>
      <c r="O5" s="727"/>
      <c r="P5" s="727"/>
      <c r="Q5" s="727"/>
      <c r="R5" s="727"/>
      <c r="S5" s="727"/>
      <c r="T5" s="727"/>
      <c r="U5" s="727"/>
      <c r="V5" s="727"/>
      <c r="W5" s="727"/>
      <c r="X5" s="721" t="s">
        <v>436</v>
      </c>
      <c r="Y5" s="727"/>
      <c r="Z5" s="727"/>
      <c r="AA5" s="727"/>
      <c r="AB5" s="725"/>
      <c r="AC5" s="634"/>
    </row>
    <row r="6" spans="1:29">
      <c r="A6" s="48"/>
      <c r="B6" s="59"/>
      <c r="C6" s="711"/>
      <c r="D6" s="760"/>
      <c r="E6" s="760"/>
      <c r="F6" s="723"/>
      <c r="G6" s="728"/>
      <c r="H6" s="728"/>
      <c r="I6" s="728"/>
      <c r="J6" s="724"/>
      <c r="K6" s="723"/>
      <c r="L6" s="728"/>
      <c r="M6" s="728"/>
      <c r="N6" s="728"/>
      <c r="O6" s="728"/>
      <c r="P6" s="728"/>
      <c r="Q6" s="728"/>
      <c r="R6" s="728"/>
      <c r="S6" s="728"/>
      <c r="T6" s="728"/>
      <c r="U6" s="728"/>
      <c r="V6" s="728"/>
      <c r="W6" s="728"/>
      <c r="X6" s="723"/>
      <c r="Y6" s="728"/>
      <c r="Z6" s="728"/>
      <c r="AA6" s="728"/>
      <c r="AB6" s="726"/>
      <c r="AC6" s="634"/>
    </row>
    <row r="7" spans="1:29">
      <c r="A7" s="59" t="s">
        <v>42</v>
      </c>
      <c r="B7" s="138"/>
      <c r="C7" s="711"/>
      <c r="D7" s="760"/>
      <c r="E7" s="760"/>
      <c r="F7" s="758" t="s">
        <v>44</v>
      </c>
      <c r="G7" s="749" t="s">
        <v>8</v>
      </c>
      <c r="H7" s="742" t="s">
        <v>7</v>
      </c>
      <c r="I7" s="752" t="s">
        <v>421</v>
      </c>
      <c r="J7" s="755" t="s">
        <v>420</v>
      </c>
      <c r="K7" s="758" t="s">
        <v>427</v>
      </c>
      <c r="L7" s="768" t="s">
        <v>423</v>
      </c>
      <c r="M7" s="769"/>
      <c r="N7" s="762" t="s">
        <v>425</v>
      </c>
      <c r="O7" s="767"/>
      <c r="P7" s="772" t="s">
        <v>424</v>
      </c>
      <c r="Q7" s="769"/>
      <c r="R7" s="762" t="s">
        <v>423</v>
      </c>
      <c r="S7" s="767"/>
      <c r="T7" s="762" t="s">
        <v>425</v>
      </c>
      <c r="U7" s="767"/>
      <c r="V7" s="762" t="s">
        <v>424</v>
      </c>
      <c r="W7" s="763"/>
      <c r="X7" s="736" t="s">
        <v>389</v>
      </c>
      <c r="Y7" s="739" t="s">
        <v>11</v>
      </c>
      <c r="Z7" s="742" t="s">
        <v>7</v>
      </c>
      <c r="AA7" s="742" t="s">
        <v>421</v>
      </c>
      <c r="AB7" s="745" t="s">
        <v>420</v>
      </c>
      <c r="AC7" s="748"/>
    </row>
    <row r="8" spans="1:29">
      <c r="A8" s="138">
        <v>4145</v>
      </c>
      <c r="B8" s="138"/>
      <c r="C8" s="711"/>
      <c r="D8" s="760"/>
      <c r="E8" s="760"/>
      <c r="F8" s="711"/>
      <c r="G8" s="750"/>
      <c r="H8" s="743"/>
      <c r="I8" s="753"/>
      <c r="J8" s="756"/>
      <c r="K8" s="711"/>
      <c r="L8" s="770"/>
      <c r="M8" s="771"/>
      <c r="N8" s="764"/>
      <c r="O8" s="733"/>
      <c r="P8" s="773"/>
      <c r="Q8" s="771"/>
      <c r="R8" s="764"/>
      <c r="S8" s="733"/>
      <c r="T8" s="764"/>
      <c r="U8" s="733"/>
      <c r="V8" s="764"/>
      <c r="W8" s="732"/>
      <c r="X8" s="737"/>
      <c r="Y8" s="740"/>
      <c r="Z8" s="743"/>
      <c r="AA8" s="743"/>
      <c r="AB8" s="746"/>
      <c r="AC8" s="748"/>
    </row>
    <row r="9" spans="1:29">
      <c r="A9" s="138"/>
      <c r="B9" s="138"/>
      <c r="C9" s="711"/>
      <c r="D9" s="760"/>
      <c r="E9" s="760"/>
      <c r="F9" s="711"/>
      <c r="G9" s="750"/>
      <c r="H9" s="743"/>
      <c r="I9" s="753"/>
      <c r="J9" s="756"/>
      <c r="K9" s="711"/>
      <c r="L9" s="749" t="s">
        <v>11</v>
      </c>
      <c r="M9" s="765" t="s">
        <v>7</v>
      </c>
      <c r="N9" s="742" t="s">
        <v>11</v>
      </c>
      <c r="O9" s="752" t="s">
        <v>7</v>
      </c>
      <c r="P9" s="742" t="s">
        <v>11</v>
      </c>
      <c r="Q9" s="762" t="s">
        <v>7</v>
      </c>
      <c r="R9" s="742" t="s">
        <v>421</v>
      </c>
      <c r="S9" s="742" t="s">
        <v>420</v>
      </c>
      <c r="T9" s="742" t="s">
        <v>421</v>
      </c>
      <c r="U9" s="742" t="s">
        <v>420</v>
      </c>
      <c r="V9" s="742" t="s">
        <v>421</v>
      </c>
      <c r="W9" s="762" t="s">
        <v>420</v>
      </c>
      <c r="X9" s="737"/>
      <c r="Y9" s="740"/>
      <c r="Z9" s="743"/>
      <c r="AA9" s="743"/>
      <c r="AB9" s="746"/>
      <c r="AC9" s="748"/>
    </row>
    <row r="10" spans="1:29" s="31" customFormat="1">
      <c r="A10" s="44"/>
      <c r="B10" s="44"/>
      <c r="C10" s="712"/>
      <c r="D10" s="761"/>
      <c r="E10" s="761"/>
      <c r="F10" s="712"/>
      <c r="G10" s="751"/>
      <c r="H10" s="744"/>
      <c r="I10" s="754"/>
      <c r="J10" s="757"/>
      <c r="K10" s="712"/>
      <c r="L10" s="751"/>
      <c r="M10" s="766"/>
      <c r="N10" s="744"/>
      <c r="O10" s="754"/>
      <c r="P10" s="744"/>
      <c r="Q10" s="764"/>
      <c r="R10" s="744"/>
      <c r="S10" s="744"/>
      <c r="T10" s="744"/>
      <c r="U10" s="744"/>
      <c r="V10" s="744"/>
      <c r="W10" s="764"/>
      <c r="X10" s="738"/>
      <c r="Y10" s="741"/>
      <c r="Z10" s="744"/>
      <c r="AA10" s="744"/>
      <c r="AB10" s="747"/>
      <c r="AC10" s="748"/>
    </row>
    <row r="11" spans="1:29" s="31" customFormat="1">
      <c r="A11" s="48"/>
      <c r="B11" s="48"/>
      <c r="C11" s="434"/>
      <c r="D11" s="95"/>
      <c r="E11" s="460"/>
      <c r="G11" s="56"/>
      <c r="H11" s="440"/>
      <c r="I11" s="441"/>
      <c r="J11" s="90"/>
      <c r="K11" s="47"/>
      <c r="L11" s="20"/>
      <c r="N11" s="18"/>
      <c r="O11" s="255"/>
      <c r="P11" s="381"/>
      <c r="Q11" s="161"/>
      <c r="R11" s="161"/>
      <c r="S11" s="18"/>
      <c r="T11" s="161"/>
      <c r="U11" s="18"/>
      <c r="V11" s="161"/>
      <c r="W11" s="161"/>
      <c r="X11" s="8"/>
      <c r="Y11" s="47"/>
      <c r="Z11" s="161"/>
      <c r="AA11" s="161"/>
      <c r="AB11" s="360"/>
      <c r="AC11" s="47"/>
    </row>
    <row r="12" spans="1:29" s="31" customFormat="1">
      <c r="A12" s="145" t="s">
        <v>61</v>
      </c>
      <c r="B12" s="235"/>
      <c r="C12" s="244"/>
      <c r="D12" s="637">
        <f>SUM(D15:D18)</f>
        <v>6970</v>
      </c>
      <c r="E12" s="637">
        <f t="shared" ref="E12" si="0">SUM(E15:E18)</f>
        <v>12269</v>
      </c>
      <c r="F12" s="637">
        <f>SUM(G12:J12)</f>
        <v>14253</v>
      </c>
      <c r="G12" s="637">
        <f>SUM(G15:G18)</f>
        <v>3426</v>
      </c>
      <c r="H12" s="151">
        <f>SUM(H15:H18)</f>
        <v>6761</v>
      </c>
      <c r="I12" s="151">
        <f>SUM(I15:I18)</f>
        <v>2258</v>
      </c>
      <c r="J12" s="616">
        <f>SUM(J15:J18)</f>
        <v>1808</v>
      </c>
      <c r="K12" s="617">
        <f>SUM(L12:W12)</f>
        <v>343585</v>
      </c>
      <c r="L12" s="637">
        <f>SUM(L15:L18)</f>
        <v>863</v>
      </c>
      <c r="M12" s="151">
        <f t="shared" ref="M12:W12" si="1">SUM(M15:M18)</f>
        <v>1001</v>
      </c>
      <c r="N12" s="151">
        <f t="shared" si="1"/>
        <v>79672</v>
      </c>
      <c r="O12" s="151">
        <f t="shared" si="1"/>
        <v>77244</v>
      </c>
      <c r="P12" s="151">
        <f t="shared" si="1"/>
        <v>14622</v>
      </c>
      <c r="Q12" s="616">
        <f t="shared" si="1"/>
        <v>12288</v>
      </c>
      <c r="R12" s="638">
        <f t="shared" si="1"/>
        <v>2221</v>
      </c>
      <c r="S12" s="151">
        <f t="shared" si="1"/>
        <v>2423</v>
      </c>
      <c r="T12" s="151">
        <f t="shared" si="1"/>
        <v>60368</v>
      </c>
      <c r="U12" s="151">
        <f t="shared" si="1"/>
        <v>65995</v>
      </c>
      <c r="V12" s="151">
        <f t="shared" si="1"/>
        <v>13248</v>
      </c>
      <c r="W12" s="638">
        <f t="shared" si="1"/>
        <v>13640</v>
      </c>
      <c r="X12" s="617">
        <f>SUM(Y12:AB12)</f>
        <v>306735</v>
      </c>
      <c r="Y12" s="616">
        <f>SUM(Y15:Y18)</f>
        <v>88384</v>
      </c>
      <c r="Z12" s="151">
        <f t="shared" ref="Z12:AB12" si="2">SUM(Z15:Z18)</f>
        <v>84162</v>
      </c>
      <c r="AA12" s="151">
        <f t="shared" si="2"/>
        <v>63430</v>
      </c>
      <c r="AB12" s="639">
        <f t="shared" si="2"/>
        <v>70759</v>
      </c>
      <c r="AC12" s="463"/>
    </row>
    <row r="13" spans="1:29" s="31" customFormat="1" ht="15" thickBot="1">
      <c r="A13" s="47" t="s">
        <v>62</v>
      </c>
      <c r="B13" s="8"/>
      <c r="C13" s="17"/>
      <c r="D13" s="465"/>
      <c r="E13" s="466"/>
      <c r="F13" s="493"/>
      <c r="G13" s="402"/>
      <c r="H13" s="415"/>
      <c r="I13" s="148"/>
      <c r="J13" s="398"/>
      <c r="K13" s="500"/>
      <c r="L13" s="453"/>
      <c r="M13" s="415"/>
      <c r="N13" s="415"/>
      <c r="O13" s="148"/>
      <c r="P13" s="149"/>
      <c r="Q13" s="415"/>
      <c r="R13" s="168"/>
      <c r="S13" s="28"/>
      <c r="T13" s="168"/>
      <c r="U13" s="28"/>
      <c r="V13" s="168"/>
      <c r="W13" s="45"/>
      <c r="X13" s="617"/>
      <c r="Y13" s="134"/>
      <c r="Z13" s="168"/>
      <c r="AA13" s="45"/>
      <c r="AB13" s="635"/>
      <c r="AC13" s="134"/>
    </row>
    <row r="14" spans="1:29" s="31" customFormat="1">
      <c r="A14" s="47"/>
      <c r="B14" s="8"/>
      <c r="C14" s="17"/>
      <c r="D14" s="467"/>
      <c r="E14" s="118"/>
      <c r="F14" s="499"/>
      <c r="G14" s="70"/>
      <c r="H14" s="23"/>
      <c r="I14" s="22"/>
      <c r="J14" s="49"/>
      <c r="K14" s="493"/>
      <c r="L14" s="162"/>
      <c r="M14" s="23"/>
      <c r="N14" s="23"/>
      <c r="O14" s="22"/>
      <c r="P14" s="32"/>
      <c r="Q14" s="23"/>
      <c r="R14" s="28"/>
      <c r="S14" s="451"/>
      <c r="T14" s="28"/>
      <c r="U14" s="451"/>
      <c r="V14" s="28"/>
      <c r="W14" s="630"/>
      <c r="X14" s="640"/>
      <c r="Y14" s="633"/>
      <c r="Z14" s="28"/>
      <c r="AA14" s="630"/>
      <c r="AB14" s="424"/>
      <c r="AC14" s="134"/>
    </row>
    <row r="15" spans="1:29" s="31" customFormat="1">
      <c r="A15" s="31" t="s">
        <v>4</v>
      </c>
      <c r="B15" s="4"/>
      <c r="C15" s="10"/>
      <c r="D15" s="162">
        <v>4545</v>
      </c>
      <c r="E15" s="406">
        <v>7495</v>
      </c>
      <c r="F15" s="493">
        <f>SUM(G15:J15)</f>
        <v>8706</v>
      </c>
      <c r="G15" s="70">
        <v>1589</v>
      </c>
      <c r="H15" s="23">
        <v>4265</v>
      </c>
      <c r="I15" s="22">
        <v>1505</v>
      </c>
      <c r="J15" s="49">
        <v>1347</v>
      </c>
      <c r="K15" s="493">
        <f>SUM(L15:W15)</f>
        <v>208523</v>
      </c>
      <c r="L15" s="162">
        <v>577</v>
      </c>
      <c r="M15" s="23">
        <v>636</v>
      </c>
      <c r="N15" s="23">
        <v>38949</v>
      </c>
      <c r="O15" s="22">
        <v>38547</v>
      </c>
      <c r="P15" s="32">
        <v>8769</v>
      </c>
      <c r="Q15" s="23">
        <v>7261</v>
      </c>
      <c r="R15" s="28">
        <v>1785</v>
      </c>
      <c r="S15" s="28">
        <v>1891</v>
      </c>
      <c r="T15" s="28">
        <v>43417</v>
      </c>
      <c r="U15" s="28">
        <v>47940</v>
      </c>
      <c r="V15" s="28">
        <v>9658</v>
      </c>
      <c r="W15" s="45">
        <v>9093</v>
      </c>
      <c r="X15" s="529">
        <f t="shared" ref="X15:X76" si="3">SUM(Y15:AB15)</f>
        <v>184587</v>
      </c>
      <c r="Y15" s="134">
        <v>45045</v>
      </c>
      <c r="Z15" s="28">
        <v>43405</v>
      </c>
      <c r="AA15" s="45">
        <v>45583</v>
      </c>
      <c r="AB15" s="424">
        <v>50554</v>
      </c>
      <c r="AC15" s="134"/>
    </row>
    <row r="16" spans="1:29" s="31" customFormat="1">
      <c r="A16" s="68" t="s">
        <v>1</v>
      </c>
      <c r="B16" s="111"/>
      <c r="C16" s="245"/>
      <c r="D16" s="468">
        <v>672</v>
      </c>
      <c r="E16" s="469">
        <v>1358</v>
      </c>
      <c r="F16" s="493">
        <f t="shared" ref="F16:F18" si="4">SUM(G16:J16)</f>
        <v>1736</v>
      </c>
      <c r="G16" s="70">
        <v>297</v>
      </c>
      <c r="H16" s="23">
        <v>799</v>
      </c>
      <c r="I16" s="22">
        <v>317</v>
      </c>
      <c r="J16" s="49">
        <v>323</v>
      </c>
      <c r="K16" s="493">
        <f>SUM(L16:W16)</f>
        <v>39238</v>
      </c>
      <c r="L16" s="162">
        <v>77</v>
      </c>
      <c r="M16" s="23">
        <v>90</v>
      </c>
      <c r="N16" s="23">
        <v>7059</v>
      </c>
      <c r="O16" s="22">
        <v>6874</v>
      </c>
      <c r="P16" s="32">
        <v>686</v>
      </c>
      <c r="Q16" s="23">
        <v>1091</v>
      </c>
      <c r="R16" s="28">
        <v>165</v>
      </c>
      <c r="S16" s="28">
        <v>186</v>
      </c>
      <c r="T16" s="28">
        <v>10217</v>
      </c>
      <c r="U16" s="28">
        <v>9369</v>
      </c>
      <c r="V16" s="28">
        <v>1337</v>
      </c>
      <c r="W16" s="45">
        <v>2087</v>
      </c>
      <c r="X16" s="529">
        <f t="shared" si="3"/>
        <v>35563</v>
      </c>
      <c r="Y16" s="134">
        <v>7544</v>
      </c>
      <c r="Z16" s="28">
        <v>7575</v>
      </c>
      <c r="AA16" s="45">
        <v>10120</v>
      </c>
      <c r="AB16" s="424">
        <v>10324</v>
      </c>
      <c r="AC16" s="134"/>
    </row>
    <row r="17" spans="1:29" s="31" customFormat="1">
      <c r="A17" s="68" t="s">
        <v>2</v>
      </c>
      <c r="B17" s="111"/>
      <c r="C17" s="245"/>
      <c r="D17" s="468">
        <v>1032</v>
      </c>
      <c r="E17" s="469">
        <v>2252</v>
      </c>
      <c r="F17" s="493">
        <f t="shared" si="4"/>
        <v>2552</v>
      </c>
      <c r="G17" s="70">
        <v>1044</v>
      </c>
      <c r="H17" s="23">
        <v>1119</v>
      </c>
      <c r="I17" s="28">
        <v>304</v>
      </c>
      <c r="J17" s="49">
        <v>85</v>
      </c>
      <c r="K17" s="493">
        <f>SUM(L17:W17)</f>
        <v>68089</v>
      </c>
      <c r="L17" s="162">
        <v>88</v>
      </c>
      <c r="M17" s="23">
        <v>111</v>
      </c>
      <c r="N17" s="23">
        <v>25201</v>
      </c>
      <c r="O17" s="22">
        <v>23706</v>
      </c>
      <c r="P17" s="32">
        <v>2872</v>
      </c>
      <c r="Q17" s="23">
        <v>2027</v>
      </c>
      <c r="R17" s="28">
        <v>104</v>
      </c>
      <c r="S17" s="28">
        <v>154</v>
      </c>
      <c r="T17" s="28">
        <v>4762</v>
      </c>
      <c r="U17" s="28">
        <v>5864</v>
      </c>
      <c r="V17" s="28">
        <v>1546</v>
      </c>
      <c r="W17" s="45">
        <v>1654</v>
      </c>
      <c r="X17" s="529">
        <f t="shared" si="3"/>
        <v>61643</v>
      </c>
      <c r="Y17" s="134">
        <v>25856</v>
      </c>
      <c r="Z17" s="28">
        <v>23778</v>
      </c>
      <c r="AA17" s="45">
        <v>5359</v>
      </c>
      <c r="AB17" s="424">
        <v>6650</v>
      </c>
      <c r="AC17" s="134"/>
    </row>
    <row r="18" spans="1:29" s="31" customFormat="1">
      <c r="A18" s="68" t="s">
        <v>3</v>
      </c>
      <c r="B18" s="111"/>
      <c r="C18" s="245"/>
      <c r="D18" s="468">
        <v>721</v>
      </c>
      <c r="E18" s="469">
        <v>1164</v>
      </c>
      <c r="F18" s="493">
        <f t="shared" si="4"/>
        <v>1259</v>
      </c>
      <c r="G18" s="70">
        <v>496</v>
      </c>
      <c r="H18" s="23">
        <v>578</v>
      </c>
      <c r="I18" s="22">
        <v>132</v>
      </c>
      <c r="J18" s="49">
        <v>53</v>
      </c>
      <c r="K18" s="493">
        <f>SUM(L18:W18)</f>
        <v>27735</v>
      </c>
      <c r="L18" s="162">
        <v>121</v>
      </c>
      <c r="M18" s="23">
        <v>164</v>
      </c>
      <c r="N18" s="23">
        <v>8463</v>
      </c>
      <c r="O18" s="22">
        <v>8117</v>
      </c>
      <c r="P18" s="32">
        <v>2295</v>
      </c>
      <c r="Q18" s="23">
        <v>1909</v>
      </c>
      <c r="R18" s="28">
        <v>167</v>
      </c>
      <c r="S18" s="28">
        <v>192</v>
      </c>
      <c r="T18" s="28">
        <v>1972</v>
      </c>
      <c r="U18" s="28">
        <v>2822</v>
      </c>
      <c r="V18" s="28">
        <v>707</v>
      </c>
      <c r="W18" s="45">
        <v>806</v>
      </c>
      <c r="X18" s="529">
        <f t="shared" si="3"/>
        <v>24942</v>
      </c>
      <c r="Y18" s="134">
        <v>9939</v>
      </c>
      <c r="Z18" s="28">
        <v>9404</v>
      </c>
      <c r="AA18" s="45">
        <v>2368</v>
      </c>
      <c r="AB18" s="424">
        <v>3231</v>
      </c>
      <c r="AC18" s="134"/>
    </row>
    <row r="19" spans="1:29" ht="15">
      <c r="A19" s="44"/>
      <c r="B19" s="438"/>
      <c r="C19" s="439"/>
      <c r="D19" s="599"/>
      <c r="E19" s="600"/>
      <c r="F19" s="502"/>
      <c r="G19" s="231"/>
      <c r="H19" s="416"/>
      <c r="I19" s="601"/>
      <c r="J19" s="602"/>
      <c r="K19" s="42"/>
      <c r="L19" s="266"/>
      <c r="M19" s="42"/>
      <c r="N19" s="43"/>
      <c r="O19" s="603"/>
      <c r="P19" s="231"/>
      <c r="Q19" s="416"/>
      <c r="R19" s="416"/>
      <c r="S19" s="43"/>
      <c r="T19" s="416"/>
      <c r="U19" s="43"/>
      <c r="V19" s="416"/>
      <c r="W19" s="416"/>
      <c r="X19" s="642"/>
      <c r="Y19" s="42"/>
      <c r="Z19" s="416"/>
      <c r="AA19" s="416"/>
      <c r="AB19" s="604"/>
      <c r="AC19" s="32"/>
    </row>
    <row r="20" spans="1:29" ht="16" thickBot="1">
      <c r="A20" s="436" t="s">
        <v>5</v>
      </c>
      <c r="B20" s="172"/>
      <c r="C20" s="8"/>
      <c r="D20" s="117"/>
      <c r="E20" s="118"/>
      <c r="F20" s="493"/>
      <c r="G20" s="63"/>
      <c r="H20" s="23"/>
      <c r="I20" s="605"/>
      <c r="J20" s="69"/>
      <c r="K20" s="32"/>
      <c r="L20" s="63"/>
      <c r="M20" s="32"/>
      <c r="N20" s="22"/>
      <c r="O20" s="448"/>
      <c r="P20" s="70"/>
      <c r="Q20" s="23"/>
      <c r="R20" s="23"/>
      <c r="S20" s="22"/>
      <c r="T20" s="23"/>
      <c r="U20" s="22"/>
      <c r="V20" s="23"/>
      <c r="W20" s="23"/>
      <c r="X20" s="529"/>
      <c r="Y20" s="32"/>
      <c r="Z20" s="23"/>
      <c r="AA20" s="23"/>
      <c r="AB20" s="454"/>
      <c r="AC20" s="32"/>
    </row>
    <row r="21" spans="1:29">
      <c r="A21" s="146">
        <v>1</v>
      </c>
      <c r="B21" s="48" t="s">
        <v>87</v>
      </c>
      <c r="C21" s="4" t="s">
        <v>417</v>
      </c>
      <c r="D21" s="452">
        <v>24</v>
      </c>
      <c r="E21" s="406">
        <v>34</v>
      </c>
      <c r="F21" s="493">
        <f>SUM(G21:J21)</f>
        <v>34</v>
      </c>
      <c r="G21" s="23">
        <v>3</v>
      </c>
      <c r="H21" s="52">
        <v>29</v>
      </c>
      <c r="I21" s="32">
        <v>1</v>
      </c>
      <c r="J21" s="71">
        <v>1</v>
      </c>
      <c r="K21" s="21">
        <f>SUM(L21:W21)</f>
        <v>547</v>
      </c>
      <c r="L21" s="120">
        <v>1</v>
      </c>
      <c r="M21" s="134">
        <v>6</v>
      </c>
      <c r="N21" s="22">
        <v>210</v>
      </c>
      <c r="O21" s="448">
        <v>200</v>
      </c>
      <c r="P21" s="70">
        <v>37</v>
      </c>
      <c r="Q21" s="23">
        <v>33</v>
      </c>
      <c r="R21" s="23"/>
      <c r="S21" s="22"/>
      <c r="T21" s="45">
        <v>28</v>
      </c>
      <c r="U21" s="28">
        <v>32</v>
      </c>
      <c r="V21" s="23"/>
      <c r="W21" s="23"/>
      <c r="X21" s="529">
        <f t="shared" si="3"/>
        <v>504</v>
      </c>
      <c r="Y21" s="32">
        <v>229</v>
      </c>
      <c r="Z21" s="23">
        <v>226</v>
      </c>
      <c r="AA21" s="23">
        <v>22</v>
      </c>
      <c r="AB21" s="454">
        <v>27</v>
      </c>
      <c r="AC21" s="32"/>
    </row>
    <row r="22" spans="1:29">
      <c r="A22" s="146">
        <v>2</v>
      </c>
      <c r="B22" s="48" t="s">
        <v>88</v>
      </c>
      <c r="C22" s="4"/>
      <c r="D22" s="452">
        <v>18</v>
      </c>
      <c r="E22" s="406">
        <v>26</v>
      </c>
      <c r="F22" s="493">
        <f t="shared" ref="F22:F85" si="5">SUM(G22:J22)</f>
        <v>31</v>
      </c>
      <c r="G22" s="23">
        <v>9</v>
      </c>
      <c r="H22" s="52">
        <v>16</v>
      </c>
      <c r="I22" s="32">
        <v>3</v>
      </c>
      <c r="J22" s="71">
        <v>3</v>
      </c>
      <c r="K22" s="21">
        <f t="shared" ref="K22:K77" si="6">SUM(L22:W22)</f>
        <v>634</v>
      </c>
      <c r="L22" s="120"/>
      <c r="M22" s="606">
        <v>2</v>
      </c>
      <c r="N22" s="22">
        <v>169</v>
      </c>
      <c r="O22" s="448">
        <v>146</v>
      </c>
      <c r="P22" s="70">
        <v>73</v>
      </c>
      <c r="Q22" s="23">
        <v>26</v>
      </c>
      <c r="R22" s="23"/>
      <c r="S22" s="22"/>
      <c r="T22" s="45">
        <v>94</v>
      </c>
      <c r="U22" s="28">
        <v>96</v>
      </c>
      <c r="V22" s="23">
        <v>12</v>
      </c>
      <c r="W22" s="23">
        <v>16</v>
      </c>
      <c r="X22" s="529">
        <f t="shared" si="3"/>
        <v>570</v>
      </c>
      <c r="Y22" s="32">
        <v>221</v>
      </c>
      <c r="Z22" s="23">
        <v>158</v>
      </c>
      <c r="AA22" s="23">
        <v>94</v>
      </c>
      <c r="AB22" s="454">
        <v>97</v>
      </c>
      <c r="AC22" s="32"/>
    </row>
    <row r="23" spans="1:29">
      <c r="A23" s="146">
        <v>3</v>
      </c>
      <c r="B23" s="48" t="s">
        <v>89</v>
      </c>
      <c r="C23" s="4"/>
      <c r="D23" s="452">
        <v>67</v>
      </c>
      <c r="E23" s="406">
        <v>231</v>
      </c>
      <c r="F23" s="493">
        <f t="shared" si="5"/>
        <v>222</v>
      </c>
      <c r="G23" s="23">
        <v>76</v>
      </c>
      <c r="H23" s="52">
        <v>124</v>
      </c>
      <c r="I23" s="32">
        <v>6</v>
      </c>
      <c r="J23" s="71">
        <v>16</v>
      </c>
      <c r="K23" s="21">
        <f t="shared" si="6"/>
        <v>3735</v>
      </c>
      <c r="L23" s="120">
        <v>22</v>
      </c>
      <c r="M23" s="606">
        <v>22</v>
      </c>
      <c r="N23" s="22">
        <v>964</v>
      </c>
      <c r="O23" s="448">
        <v>836</v>
      </c>
      <c r="P23" s="70">
        <v>485</v>
      </c>
      <c r="Q23" s="23">
        <v>497</v>
      </c>
      <c r="R23" s="23">
        <v>10</v>
      </c>
      <c r="S23" s="22">
        <v>16</v>
      </c>
      <c r="T23" s="45">
        <v>329</v>
      </c>
      <c r="U23" s="28">
        <v>386</v>
      </c>
      <c r="V23" s="23">
        <v>67</v>
      </c>
      <c r="W23" s="23">
        <v>101</v>
      </c>
      <c r="X23" s="529">
        <f t="shared" si="3"/>
        <v>3426</v>
      </c>
      <c r="Y23" s="32">
        <v>1367</v>
      </c>
      <c r="Z23" s="23">
        <v>1271</v>
      </c>
      <c r="AA23" s="23">
        <v>348</v>
      </c>
      <c r="AB23" s="454">
        <v>440</v>
      </c>
      <c r="AC23" s="32"/>
    </row>
    <row r="24" spans="1:29">
      <c r="A24" s="146">
        <v>4</v>
      </c>
      <c r="B24" s="48" t="s">
        <v>90</v>
      </c>
      <c r="C24" s="4"/>
      <c r="D24" s="452">
        <v>44</v>
      </c>
      <c r="E24" s="406">
        <v>62</v>
      </c>
      <c r="F24" s="493">
        <f t="shared" si="5"/>
        <v>59</v>
      </c>
      <c r="G24" s="23">
        <v>18</v>
      </c>
      <c r="H24" s="52">
        <v>34</v>
      </c>
      <c r="I24" s="32">
        <v>3</v>
      </c>
      <c r="J24" s="71">
        <v>4</v>
      </c>
      <c r="K24" s="21">
        <f t="shared" si="6"/>
        <v>1029</v>
      </c>
      <c r="L24" s="120">
        <v>1</v>
      </c>
      <c r="M24" s="606">
        <v>2</v>
      </c>
      <c r="N24" s="22">
        <v>340</v>
      </c>
      <c r="O24" s="448">
        <v>297</v>
      </c>
      <c r="P24" s="70">
        <v>68</v>
      </c>
      <c r="Q24" s="23">
        <v>48</v>
      </c>
      <c r="R24" s="23">
        <v>5</v>
      </c>
      <c r="S24" s="22">
        <v>9</v>
      </c>
      <c r="T24" s="45">
        <v>114</v>
      </c>
      <c r="U24" s="28">
        <v>125</v>
      </c>
      <c r="V24" s="23">
        <v>7</v>
      </c>
      <c r="W24" s="23">
        <v>13</v>
      </c>
      <c r="X24" s="529">
        <f t="shared" si="3"/>
        <v>951</v>
      </c>
      <c r="Y24" s="32">
        <v>386</v>
      </c>
      <c r="Z24" s="23">
        <v>325</v>
      </c>
      <c r="AA24" s="23">
        <v>111</v>
      </c>
      <c r="AB24" s="454">
        <v>129</v>
      </c>
      <c r="AC24" s="32"/>
    </row>
    <row r="25" spans="1:29">
      <c r="A25" s="146">
        <v>5</v>
      </c>
      <c r="B25" s="48" t="s">
        <v>91</v>
      </c>
      <c r="C25" s="4"/>
      <c r="D25" s="452">
        <v>27</v>
      </c>
      <c r="E25" s="406">
        <v>32</v>
      </c>
      <c r="F25" s="493">
        <f t="shared" si="5"/>
        <v>32</v>
      </c>
      <c r="G25" s="23">
        <v>6</v>
      </c>
      <c r="H25" s="52">
        <v>26</v>
      </c>
      <c r="I25" s="32"/>
      <c r="J25" s="49"/>
      <c r="K25" s="21">
        <f t="shared" si="6"/>
        <v>471</v>
      </c>
      <c r="L25" s="120">
        <v>1</v>
      </c>
      <c r="M25" s="606">
        <v>2</v>
      </c>
      <c r="N25" s="22">
        <v>193</v>
      </c>
      <c r="O25" s="448">
        <v>222</v>
      </c>
      <c r="P25" s="70">
        <v>29</v>
      </c>
      <c r="Q25" s="23">
        <v>24</v>
      </c>
      <c r="R25" s="23"/>
      <c r="S25" s="22"/>
      <c r="T25" s="45"/>
      <c r="U25" s="28"/>
      <c r="V25" s="23"/>
      <c r="W25" s="23"/>
      <c r="X25" s="529">
        <f t="shared" si="3"/>
        <v>451</v>
      </c>
      <c r="Y25" s="32">
        <v>213</v>
      </c>
      <c r="Z25" s="23">
        <v>238</v>
      </c>
      <c r="AA25" s="23"/>
      <c r="AB25" s="454"/>
      <c r="AC25" s="32"/>
    </row>
    <row r="26" spans="1:29">
      <c r="A26" s="146">
        <v>6</v>
      </c>
      <c r="B26" s="48" t="s">
        <v>92</v>
      </c>
      <c r="C26" s="4"/>
      <c r="D26" s="452">
        <v>53</v>
      </c>
      <c r="E26" s="406">
        <v>93</v>
      </c>
      <c r="F26" s="493">
        <f t="shared" si="5"/>
        <v>101</v>
      </c>
      <c r="G26" s="23">
        <v>26</v>
      </c>
      <c r="H26" s="52">
        <v>66</v>
      </c>
      <c r="I26" s="32">
        <v>3</v>
      </c>
      <c r="J26" s="71">
        <v>6</v>
      </c>
      <c r="K26" s="21">
        <f t="shared" si="6"/>
        <v>1510</v>
      </c>
      <c r="L26" s="120">
        <v>9</v>
      </c>
      <c r="M26" s="606">
        <v>12</v>
      </c>
      <c r="N26" s="22">
        <v>499</v>
      </c>
      <c r="O26" s="448">
        <v>514</v>
      </c>
      <c r="P26" s="70">
        <v>91</v>
      </c>
      <c r="Q26" s="23">
        <v>97</v>
      </c>
      <c r="R26" s="23">
        <v>8</v>
      </c>
      <c r="S26" s="22">
        <v>6</v>
      </c>
      <c r="T26" s="45">
        <v>91</v>
      </c>
      <c r="U26" s="28">
        <v>129</v>
      </c>
      <c r="V26" s="23">
        <v>28</v>
      </c>
      <c r="W26" s="23">
        <v>26</v>
      </c>
      <c r="X26" s="529">
        <f t="shared" si="3"/>
        <v>1366</v>
      </c>
      <c r="Y26" s="32">
        <v>552</v>
      </c>
      <c r="Z26" s="23">
        <v>585</v>
      </c>
      <c r="AA26" s="23">
        <v>107</v>
      </c>
      <c r="AB26" s="454">
        <v>122</v>
      </c>
      <c r="AC26" s="32"/>
    </row>
    <row r="27" spans="1:29">
      <c r="A27" s="146">
        <v>7</v>
      </c>
      <c r="B27" s="48" t="s">
        <v>93</v>
      </c>
      <c r="C27" s="4"/>
      <c r="D27" s="452">
        <v>53</v>
      </c>
      <c r="E27" s="406">
        <v>64</v>
      </c>
      <c r="F27" s="493">
        <f t="shared" si="5"/>
        <v>61</v>
      </c>
      <c r="G27" s="23">
        <v>20</v>
      </c>
      <c r="H27" s="52">
        <v>38</v>
      </c>
      <c r="I27" s="23">
        <v>3</v>
      </c>
      <c r="J27" s="49"/>
      <c r="K27" s="21">
        <f t="shared" si="6"/>
        <v>847</v>
      </c>
      <c r="L27" s="120">
        <v>1</v>
      </c>
      <c r="M27" s="32"/>
      <c r="N27" s="22">
        <v>301</v>
      </c>
      <c r="O27" s="448">
        <v>316</v>
      </c>
      <c r="P27" s="70">
        <v>51</v>
      </c>
      <c r="Q27" s="23">
        <v>52</v>
      </c>
      <c r="R27" s="23">
        <v>9</v>
      </c>
      <c r="S27" s="22">
        <v>10</v>
      </c>
      <c r="T27" s="45">
        <v>49</v>
      </c>
      <c r="U27" s="28">
        <v>38</v>
      </c>
      <c r="V27" s="23">
        <v>12</v>
      </c>
      <c r="W27" s="23">
        <v>8</v>
      </c>
      <c r="X27" s="529">
        <f t="shared" si="3"/>
        <v>771</v>
      </c>
      <c r="Y27" s="32">
        <v>325</v>
      </c>
      <c r="Z27" s="23">
        <v>341</v>
      </c>
      <c r="AA27" s="23">
        <v>54</v>
      </c>
      <c r="AB27" s="454">
        <v>51</v>
      </c>
      <c r="AC27" s="32"/>
    </row>
    <row r="28" spans="1:29">
      <c r="A28" s="146">
        <v>8</v>
      </c>
      <c r="B28" s="48" t="s">
        <v>94</v>
      </c>
      <c r="C28" s="4"/>
      <c r="D28" s="452">
        <v>25</v>
      </c>
      <c r="E28" s="406">
        <v>36</v>
      </c>
      <c r="F28" s="493">
        <f t="shared" si="5"/>
        <v>41</v>
      </c>
      <c r="G28" s="21">
        <v>11</v>
      </c>
      <c r="H28" s="52">
        <v>15</v>
      </c>
      <c r="I28" s="23">
        <v>12</v>
      </c>
      <c r="J28" s="49">
        <v>3</v>
      </c>
      <c r="K28" s="21">
        <f t="shared" si="6"/>
        <v>1477</v>
      </c>
      <c r="L28" s="120">
        <v>5</v>
      </c>
      <c r="M28" s="32"/>
      <c r="N28" s="22">
        <v>257</v>
      </c>
      <c r="O28" s="448">
        <v>283</v>
      </c>
      <c r="P28" s="70">
        <v>33</v>
      </c>
      <c r="Q28" s="23">
        <v>32</v>
      </c>
      <c r="R28" s="23">
        <v>3</v>
      </c>
      <c r="S28" s="22">
        <v>2</v>
      </c>
      <c r="T28" s="45">
        <v>270</v>
      </c>
      <c r="U28" s="28">
        <v>360</v>
      </c>
      <c r="V28" s="23">
        <v>112</v>
      </c>
      <c r="W28" s="23">
        <v>120</v>
      </c>
      <c r="X28" s="529">
        <f t="shared" si="3"/>
        <v>1313</v>
      </c>
      <c r="Y28" s="32">
        <v>282</v>
      </c>
      <c r="Z28" s="23">
        <v>293</v>
      </c>
      <c r="AA28" s="23">
        <v>317</v>
      </c>
      <c r="AB28" s="454">
        <v>421</v>
      </c>
      <c r="AC28" s="32"/>
    </row>
    <row r="29" spans="1:29">
      <c r="A29" s="146">
        <v>9</v>
      </c>
      <c r="B29" s="48" t="s">
        <v>95</v>
      </c>
      <c r="C29" s="4"/>
      <c r="D29" s="452">
        <v>20</v>
      </c>
      <c r="E29" s="406">
        <v>26</v>
      </c>
      <c r="F29" s="504">
        <f t="shared" si="5"/>
        <v>26</v>
      </c>
      <c r="G29" s="21">
        <v>4</v>
      </c>
      <c r="H29" s="52">
        <v>14</v>
      </c>
      <c r="I29" s="23">
        <v>5</v>
      </c>
      <c r="J29" s="49">
        <v>3</v>
      </c>
      <c r="K29" s="21">
        <f t="shared" si="6"/>
        <v>601</v>
      </c>
      <c r="L29" s="120">
        <v>3</v>
      </c>
      <c r="M29" s="32">
        <v>1</v>
      </c>
      <c r="N29" s="22">
        <v>129</v>
      </c>
      <c r="O29" s="448">
        <v>130</v>
      </c>
      <c r="P29" s="70">
        <v>17</v>
      </c>
      <c r="Q29" s="23">
        <v>17</v>
      </c>
      <c r="R29" s="23">
        <v>3</v>
      </c>
      <c r="S29" s="22">
        <v>6</v>
      </c>
      <c r="T29" s="45">
        <v>103</v>
      </c>
      <c r="U29" s="28">
        <v>145</v>
      </c>
      <c r="V29" s="23">
        <v>21</v>
      </c>
      <c r="W29" s="23">
        <v>26</v>
      </c>
      <c r="X29" s="529">
        <f t="shared" si="3"/>
        <v>499</v>
      </c>
      <c r="Y29" s="32">
        <v>135</v>
      </c>
      <c r="Z29" s="23">
        <v>132</v>
      </c>
      <c r="AA29" s="23">
        <v>100</v>
      </c>
      <c r="AB29" s="454">
        <v>132</v>
      </c>
      <c r="AC29" s="32"/>
    </row>
    <row r="30" spans="1:29">
      <c r="A30" s="146">
        <v>10</v>
      </c>
      <c r="B30" s="48" t="s">
        <v>96</v>
      </c>
      <c r="C30" s="4"/>
      <c r="D30" s="452">
        <v>33</v>
      </c>
      <c r="E30" s="406">
        <v>51</v>
      </c>
      <c r="F30" s="493">
        <f t="shared" si="5"/>
        <v>49</v>
      </c>
      <c r="G30" s="21">
        <v>8</v>
      </c>
      <c r="H30" s="52">
        <v>38</v>
      </c>
      <c r="I30" s="23">
        <v>2</v>
      </c>
      <c r="J30" s="49">
        <v>1</v>
      </c>
      <c r="K30" s="21">
        <f t="shared" si="6"/>
        <v>879</v>
      </c>
      <c r="L30" s="120">
        <v>3</v>
      </c>
      <c r="M30" s="32">
        <v>3</v>
      </c>
      <c r="N30" s="22">
        <v>264</v>
      </c>
      <c r="O30" s="448">
        <v>262</v>
      </c>
      <c r="P30" s="70">
        <v>60</v>
      </c>
      <c r="Q30" s="23">
        <v>71</v>
      </c>
      <c r="R30" s="23">
        <v>5</v>
      </c>
      <c r="S30" s="22">
        <v>5</v>
      </c>
      <c r="T30" s="45">
        <v>100</v>
      </c>
      <c r="U30" s="28">
        <v>90</v>
      </c>
      <c r="V30" s="23">
        <v>6</v>
      </c>
      <c r="W30" s="23">
        <v>10</v>
      </c>
      <c r="X30" s="529">
        <f t="shared" si="3"/>
        <v>834</v>
      </c>
      <c r="Y30" s="32">
        <v>318</v>
      </c>
      <c r="Z30" s="23">
        <v>326</v>
      </c>
      <c r="AA30" s="23">
        <v>98</v>
      </c>
      <c r="AB30" s="454">
        <v>92</v>
      </c>
      <c r="AC30" s="32"/>
    </row>
    <row r="31" spans="1:29">
      <c r="A31" s="146">
        <v>11</v>
      </c>
      <c r="B31" s="48" t="s">
        <v>97</v>
      </c>
      <c r="C31" s="4"/>
      <c r="D31" s="452">
        <v>14</v>
      </c>
      <c r="E31" s="406">
        <v>25</v>
      </c>
      <c r="F31" s="493">
        <f t="shared" si="5"/>
        <v>33</v>
      </c>
      <c r="G31" s="21">
        <v>2</v>
      </c>
      <c r="H31" s="52">
        <v>25</v>
      </c>
      <c r="I31" s="23">
        <v>2</v>
      </c>
      <c r="J31" s="49">
        <v>4</v>
      </c>
      <c r="K31" s="21">
        <f t="shared" si="6"/>
        <v>522</v>
      </c>
      <c r="L31" s="120">
        <v>7</v>
      </c>
      <c r="M31" s="32">
        <v>6</v>
      </c>
      <c r="N31" s="22">
        <v>114</v>
      </c>
      <c r="O31" s="52">
        <v>126</v>
      </c>
      <c r="P31" s="70">
        <v>20</v>
      </c>
      <c r="Q31" s="23">
        <v>42</v>
      </c>
      <c r="R31" s="23"/>
      <c r="S31" s="22">
        <v>1</v>
      </c>
      <c r="T31" s="45">
        <v>85</v>
      </c>
      <c r="U31" s="28">
        <v>110</v>
      </c>
      <c r="V31" s="23">
        <v>5</v>
      </c>
      <c r="W31" s="23">
        <v>6</v>
      </c>
      <c r="X31" s="529">
        <f t="shared" si="3"/>
        <v>492</v>
      </c>
      <c r="Y31" s="32">
        <v>132</v>
      </c>
      <c r="Z31" s="23">
        <v>167</v>
      </c>
      <c r="AA31" s="23">
        <v>83</v>
      </c>
      <c r="AB31" s="454">
        <v>110</v>
      </c>
      <c r="AC31" s="32"/>
    </row>
    <row r="32" spans="1:29">
      <c r="A32" s="146">
        <v>12</v>
      </c>
      <c r="B32" s="48" t="s">
        <v>98</v>
      </c>
      <c r="C32" s="4"/>
      <c r="D32" s="452">
        <v>43</v>
      </c>
      <c r="E32" s="406">
        <v>58</v>
      </c>
      <c r="F32" s="493">
        <f t="shared" si="5"/>
        <v>60</v>
      </c>
      <c r="G32" s="21">
        <v>8</v>
      </c>
      <c r="H32" s="52">
        <v>43</v>
      </c>
      <c r="I32" s="23">
        <v>4</v>
      </c>
      <c r="J32" s="49">
        <v>5</v>
      </c>
      <c r="K32" s="21">
        <f t="shared" si="6"/>
        <v>1178</v>
      </c>
      <c r="L32" s="120">
        <v>1</v>
      </c>
      <c r="M32" s="32"/>
      <c r="N32" s="22">
        <v>324</v>
      </c>
      <c r="O32" s="448">
        <v>319</v>
      </c>
      <c r="P32" s="70">
        <v>23</v>
      </c>
      <c r="Q32" s="23">
        <v>41</v>
      </c>
      <c r="R32" s="23">
        <v>1</v>
      </c>
      <c r="S32" s="22">
        <v>5</v>
      </c>
      <c r="T32" s="45">
        <v>224</v>
      </c>
      <c r="U32" s="28">
        <v>236</v>
      </c>
      <c r="V32" s="23">
        <v>2</v>
      </c>
      <c r="W32" s="23">
        <v>2</v>
      </c>
      <c r="X32" s="529">
        <f t="shared" si="3"/>
        <v>1098</v>
      </c>
      <c r="Y32" s="32">
        <v>331</v>
      </c>
      <c r="Z32" s="23">
        <v>339</v>
      </c>
      <c r="AA32" s="23">
        <v>207</v>
      </c>
      <c r="AB32" s="454">
        <v>221</v>
      </c>
      <c r="AC32" s="32"/>
    </row>
    <row r="33" spans="1:29">
      <c r="A33" s="146">
        <v>13</v>
      </c>
      <c r="B33" s="48" t="s">
        <v>99</v>
      </c>
      <c r="C33" s="4"/>
      <c r="D33" s="452">
        <v>24</v>
      </c>
      <c r="E33" s="406">
        <v>32</v>
      </c>
      <c r="F33" s="493">
        <f t="shared" si="5"/>
        <v>31</v>
      </c>
      <c r="G33" s="21">
        <v>7</v>
      </c>
      <c r="H33" s="52">
        <v>24</v>
      </c>
      <c r="I33" s="23"/>
      <c r="J33" s="49"/>
      <c r="K33" s="21">
        <f t="shared" si="6"/>
        <v>327</v>
      </c>
      <c r="L33" s="120">
        <v>3</v>
      </c>
      <c r="M33" s="32">
        <v>2</v>
      </c>
      <c r="N33" s="22">
        <v>134</v>
      </c>
      <c r="O33" s="448">
        <v>105</v>
      </c>
      <c r="P33" s="70">
        <v>22</v>
      </c>
      <c r="Q33" s="23">
        <v>20</v>
      </c>
      <c r="R33" s="23">
        <v>2</v>
      </c>
      <c r="S33" s="22">
        <v>2</v>
      </c>
      <c r="T33" s="45">
        <v>16</v>
      </c>
      <c r="U33" s="28">
        <v>18</v>
      </c>
      <c r="V33" s="23">
        <v>2</v>
      </c>
      <c r="W33" s="23">
        <v>1</v>
      </c>
      <c r="X33" s="529">
        <f t="shared" si="3"/>
        <v>318</v>
      </c>
      <c r="Y33" s="32">
        <v>155</v>
      </c>
      <c r="Z33" s="23">
        <v>124</v>
      </c>
      <c r="AA33" s="23">
        <v>19</v>
      </c>
      <c r="AB33" s="454">
        <v>20</v>
      </c>
      <c r="AC33" s="32"/>
    </row>
    <row r="34" spans="1:29">
      <c r="A34" s="146">
        <v>14</v>
      </c>
      <c r="B34" s="48" t="s">
        <v>100</v>
      </c>
      <c r="C34" s="4"/>
      <c r="D34" s="452">
        <v>68</v>
      </c>
      <c r="E34" s="406">
        <v>102</v>
      </c>
      <c r="F34" s="493">
        <f t="shared" si="5"/>
        <v>104</v>
      </c>
      <c r="G34" s="21">
        <v>19</v>
      </c>
      <c r="H34" s="52">
        <v>77</v>
      </c>
      <c r="I34" s="23">
        <v>5</v>
      </c>
      <c r="J34" s="49">
        <v>3</v>
      </c>
      <c r="K34" s="21">
        <f t="shared" si="6"/>
        <v>2286</v>
      </c>
      <c r="L34" s="120">
        <v>2</v>
      </c>
      <c r="M34" s="32">
        <v>5</v>
      </c>
      <c r="N34" s="22">
        <v>661</v>
      </c>
      <c r="O34" s="448">
        <v>699</v>
      </c>
      <c r="P34" s="70">
        <v>125</v>
      </c>
      <c r="Q34" s="23">
        <v>91</v>
      </c>
      <c r="R34" s="23">
        <v>6</v>
      </c>
      <c r="S34" s="22">
        <v>7</v>
      </c>
      <c r="T34" s="45">
        <v>317</v>
      </c>
      <c r="U34" s="28">
        <v>368</v>
      </c>
      <c r="V34" s="23">
        <v>3</v>
      </c>
      <c r="W34" s="23">
        <v>2</v>
      </c>
      <c r="X34" s="529">
        <f t="shared" si="3"/>
        <v>2137</v>
      </c>
      <c r="Y34" s="32">
        <v>738</v>
      </c>
      <c r="Z34" s="23">
        <v>753</v>
      </c>
      <c r="AA34" s="45">
        <v>304</v>
      </c>
      <c r="AB34" s="454">
        <v>342</v>
      </c>
      <c r="AC34" s="32"/>
    </row>
    <row r="35" spans="1:29">
      <c r="A35" s="146">
        <v>15</v>
      </c>
      <c r="B35" s="48" t="s">
        <v>101</v>
      </c>
      <c r="C35" s="4"/>
      <c r="D35" s="452">
        <v>48</v>
      </c>
      <c r="E35" s="406">
        <v>55</v>
      </c>
      <c r="F35" s="493">
        <f t="shared" si="5"/>
        <v>55</v>
      </c>
      <c r="G35" s="21">
        <v>20</v>
      </c>
      <c r="H35" s="52">
        <v>35</v>
      </c>
      <c r="I35" s="23"/>
      <c r="J35" s="49"/>
      <c r="K35" s="21">
        <f t="shared" si="6"/>
        <v>811</v>
      </c>
      <c r="L35" s="120"/>
      <c r="M35" s="32">
        <v>11</v>
      </c>
      <c r="N35" s="22">
        <v>234</v>
      </c>
      <c r="O35" s="448">
        <v>314</v>
      </c>
      <c r="P35" s="70">
        <v>79</v>
      </c>
      <c r="Q35" s="23">
        <v>68</v>
      </c>
      <c r="R35" s="23"/>
      <c r="S35" s="22">
        <v>1</v>
      </c>
      <c r="T35" s="45">
        <v>42</v>
      </c>
      <c r="U35" s="28">
        <v>57</v>
      </c>
      <c r="V35" s="23">
        <v>1</v>
      </c>
      <c r="W35" s="23">
        <v>4</v>
      </c>
      <c r="X35" s="529">
        <f t="shared" si="3"/>
        <v>774</v>
      </c>
      <c r="Y35" s="32">
        <v>302</v>
      </c>
      <c r="Z35" s="23">
        <v>376</v>
      </c>
      <c r="AA35" s="23">
        <v>39</v>
      </c>
      <c r="AB35" s="454">
        <v>57</v>
      </c>
      <c r="AC35" s="32"/>
    </row>
    <row r="36" spans="1:29">
      <c r="A36" s="146">
        <v>16</v>
      </c>
      <c r="B36" s="48" t="s">
        <v>102</v>
      </c>
      <c r="C36" s="4"/>
      <c r="D36" s="452">
        <v>236</v>
      </c>
      <c r="E36" s="406">
        <v>824</v>
      </c>
      <c r="F36" s="493">
        <f t="shared" si="5"/>
        <v>959</v>
      </c>
      <c r="G36" s="21">
        <v>229</v>
      </c>
      <c r="H36" s="52">
        <v>624</v>
      </c>
      <c r="I36" s="23">
        <v>57</v>
      </c>
      <c r="J36" s="49">
        <v>49</v>
      </c>
      <c r="K36" s="21">
        <f t="shared" si="6"/>
        <v>27582</v>
      </c>
      <c r="L36" s="120">
        <v>186</v>
      </c>
      <c r="M36" s="32">
        <v>158</v>
      </c>
      <c r="N36" s="22">
        <v>7016</v>
      </c>
      <c r="O36" s="448">
        <v>6742</v>
      </c>
      <c r="P36" s="70">
        <v>1636</v>
      </c>
      <c r="Q36" s="23">
        <v>915</v>
      </c>
      <c r="R36" s="23">
        <v>353</v>
      </c>
      <c r="S36" s="22">
        <v>304</v>
      </c>
      <c r="T36" s="45">
        <v>5015</v>
      </c>
      <c r="U36" s="28">
        <v>4850</v>
      </c>
      <c r="V36" s="23">
        <v>268</v>
      </c>
      <c r="W36" s="23">
        <v>139</v>
      </c>
      <c r="X36" s="529">
        <f t="shared" si="3"/>
        <v>24677</v>
      </c>
      <c r="Y36" s="32">
        <v>8260</v>
      </c>
      <c r="Z36" s="23">
        <v>7208</v>
      </c>
      <c r="AA36" s="23">
        <v>4775</v>
      </c>
      <c r="AB36" s="454">
        <v>4434</v>
      </c>
      <c r="AC36" s="32"/>
    </row>
    <row r="37" spans="1:29">
      <c r="A37" s="146">
        <v>17</v>
      </c>
      <c r="B37" s="48" t="s">
        <v>103</v>
      </c>
      <c r="C37" s="8"/>
      <c r="D37" s="474">
        <v>27</v>
      </c>
      <c r="E37" s="493">
        <v>38</v>
      </c>
      <c r="F37" s="493">
        <f t="shared" si="5"/>
        <v>38</v>
      </c>
      <c r="G37" s="21">
        <v>6</v>
      </c>
      <c r="H37" s="52">
        <v>27</v>
      </c>
      <c r="I37" s="23">
        <v>2</v>
      </c>
      <c r="J37" s="49">
        <v>3</v>
      </c>
      <c r="K37" s="21">
        <f t="shared" si="6"/>
        <v>619</v>
      </c>
      <c r="L37" s="120">
        <v>1</v>
      </c>
      <c r="M37" s="32">
        <v>3</v>
      </c>
      <c r="N37" s="28">
        <v>149</v>
      </c>
      <c r="O37" s="396">
        <v>199</v>
      </c>
      <c r="P37" s="123">
        <v>52</v>
      </c>
      <c r="Q37" s="45">
        <v>51</v>
      </c>
      <c r="R37" s="45"/>
      <c r="S37" s="28"/>
      <c r="T37" s="45">
        <v>74</v>
      </c>
      <c r="U37" s="28">
        <v>79</v>
      </c>
      <c r="V37" s="45">
        <v>6</v>
      </c>
      <c r="W37" s="45">
        <v>5</v>
      </c>
      <c r="X37" s="529">
        <f t="shared" si="3"/>
        <v>586</v>
      </c>
      <c r="Y37" s="134">
        <v>196</v>
      </c>
      <c r="Z37" s="45">
        <v>249</v>
      </c>
      <c r="AA37" s="45">
        <v>70</v>
      </c>
      <c r="AB37" s="424">
        <v>71</v>
      </c>
      <c r="AC37" s="134"/>
    </row>
    <row r="38" spans="1:29">
      <c r="A38" s="146">
        <v>18</v>
      </c>
      <c r="B38" s="48" t="s">
        <v>104</v>
      </c>
      <c r="C38" s="4"/>
      <c r="D38" s="452">
        <v>24</v>
      </c>
      <c r="E38" s="406">
        <v>34</v>
      </c>
      <c r="F38" s="493">
        <f t="shared" si="5"/>
        <v>34</v>
      </c>
      <c r="G38" s="21">
        <v>5</v>
      </c>
      <c r="H38" s="52">
        <v>24</v>
      </c>
      <c r="I38" s="23">
        <v>2</v>
      </c>
      <c r="J38" s="49">
        <v>3</v>
      </c>
      <c r="K38" s="21">
        <f t="shared" si="6"/>
        <v>499</v>
      </c>
      <c r="L38" s="120"/>
      <c r="M38" s="29">
        <v>1</v>
      </c>
      <c r="N38" s="28">
        <v>174</v>
      </c>
      <c r="O38" s="396">
        <v>130</v>
      </c>
      <c r="P38" s="123">
        <v>30</v>
      </c>
      <c r="Q38" s="45">
        <v>27</v>
      </c>
      <c r="R38" s="45"/>
      <c r="S38" s="28"/>
      <c r="T38" s="45">
        <v>60</v>
      </c>
      <c r="U38" s="28">
        <v>69</v>
      </c>
      <c r="V38" s="45"/>
      <c r="W38" s="45">
        <v>8</v>
      </c>
      <c r="X38" s="529">
        <f t="shared" si="3"/>
        <v>471</v>
      </c>
      <c r="Y38" s="134">
        <v>194</v>
      </c>
      <c r="Z38" s="45">
        <v>147</v>
      </c>
      <c r="AA38" s="45">
        <v>55</v>
      </c>
      <c r="AB38" s="424">
        <v>75</v>
      </c>
      <c r="AC38" s="134"/>
    </row>
    <row r="39" spans="1:29">
      <c r="A39" s="146">
        <v>19</v>
      </c>
      <c r="B39" s="48" t="s">
        <v>105</v>
      </c>
      <c r="C39" s="4"/>
      <c r="D39" s="452">
        <v>32</v>
      </c>
      <c r="E39" s="406">
        <v>44</v>
      </c>
      <c r="F39" s="493">
        <f t="shared" si="5"/>
        <v>43</v>
      </c>
      <c r="G39" s="21">
        <v>6</v>
      </c>
      <c r="H39" s="52">
        <v>35</v>
      </c>
      <c r="I39" s="23">
        <v>1</v>
      </c>
      <c r="J39" s="49">
        <v>1</v>
      </c>
      <c r="K39" s="21">
        <f t="shared" si="6"/>
        <v>688</v>
      </c>
      <c r="L39" s="120"/>
      <c r="M39" s="134"/>
      <c r="N39" s="28">
        <v>189</v>
      </c>
      <c r="O39" s="396">
        <v>219</v>
      </c>
      <c r="P39" s="123">
        <v>44</v>
      </c>
      <c r="Q39" s="45">
        <v>61</v>
      </c>
      <c r="R39" s="45"/>
      <c r="S39" s="28"/>
      <c r="T39" s="45">
        <v>88</v>
      </c>
      <c r="U39" s="28">
        <v>87</v>
      </c>
      <c r="V39" s="45"/>
      <c r="W39" s="45"/>
      <c r="X39" s="529">
        <f t="shared" si="3"/>
        <v>665</v>
      </c>
      <c r="Y39" s="134">
        <v>228</v>
      </c>
      <c r="Z39" s="45">
        <v>272</v>
      </c>
      <c r="AA39" s="45">
        <v>79</v>
      </c>
      <c r="AB39" s="424">
        <v>86</v>
      </c>
      <c r="AC39" s="134"/>
    </row>
    <row r="40" spans="1:29">
      <c r="A40" s="146">
        <v>20</v>
      </c>
      <c r="B40" s="48" t="s">
        <v>106</v>
      </c>
      <c r="C40" s="4"/>
      <c r="D40" s="452">
        <v>44</v>
      </c>
      <c r="E40" s="406">
        <v>53</v>
      </c>
      <c r="F40" s="493">
        <f t="shared" si="5"/>
        <v>55</v>
      </c>
      <c r="G40" s="21">
        <v>15</v>
      </c>
      <c r="H40" s="52">
        <v>37</v>
      </c>
      <c r="I40" s="23"/>
      <c r="J40" s="49">
        <v>3</v>
      </c>
      <c r="K40" s="21">
        <f t="shared" si="6"/>
        <v>919</v>
      </c>
      <c r="L40" s="120">
        <v>2</v>
      </c>
      <c r="M40" s="134"/>
      <c r="N40" s="28">
        <v>226</v>
      </c>
      <c r="O40" s="396">
        <v>289</v>
      </c>
      <c r="P40" s="123">
        <v>41</v>
      </c>
      <c r="Q40" s="45">
        <v>38</v>
      </c>
      <c r="R40" s="45">
        <v>8</v>
      </c>
      <c r="S40" s="28">
        <v>12</v>
      </c>
      <c r="T40" s="45">
        <v>135</v>
      </c>
      <c r="U40" s="28">
        <v>126</v>
      </c>
      <c r="V40" s="45">
        <v>19</v>
      </c>
      <c r="W40" s="45">
        <v>23</v>
      </c>
      <c r="X40" s="529">
        <f t="shared" si="3"/>
        <v>860</v>
      </c>
      <c r="Y40" s="134">
        <v>251</v>
      </c>
      <c r="Z40" s="45">
        <v>304</v>
      </c>
      <c r="AA40" s="45">
        <v>155</v>
      </c>
      <c r="AB40" s="424">
        <v>150</v>
      </c>
      <c r="AC40" s="134"/>
    </row>
    <row r="41" spans="1:29">
      <c r="A41" s="146">
        <v>21</v>
      </c>
      <c r="B41" s="48" t="s">
        <v>107</v>
      </c>
      <c r="C41" s="96"/>
      <c r="D41" s="134">
        <v>24</v>
      </c>
      <c r="E41" s="404">
        <v>40</v>
      </c>
      <c r="F41" s="493">
        <f t="shared" si="5"/>
        <v>41</v>
      </c>
      <c r="G41" s="21">
        <v>7</v>
      </c>
      <c r="H41" s="52">
        <v>29</v>
      </c>
      <c r="I41" s="23">
        <v>2</v>
      </c>
      <c r="J41" s="49">
        <v>3</v>
      </c>
      <c r="K41" s="21">
        <f t="shared" si="6"/>
        <v>785</v>
      </c>
      <c r="L41" s="120">
        <v>6</v>
      </c>
      <c r="M41" s="134">
        <v>4</v>
      </c>
      <c r="N41" s="28">
        <v>248</v>
      </c>
      <c r="O41" s="396">
        <v>236</v>
      </c>
      <c r="P41" s="123">
        <v>44</v>
      </c>
      <c r="Q41" s="45">
        <v>31</v>
      </c>
      <c r="R41" s="45">
        <v>3</v>
      </c>
      <c r="S41" s="28">
        <v>8</v>
      </c>
      <c r="T41" s="45">
        <v>96</v>
      </c>
      <c r="U41" s="28">
        <v>94</v>
      </c>
      <c r="V41" s="45">
        <v>7</v>
      </c>
      <c r="W41" s="45">
        <v>8</v>
      </c>
      <c r="X41" s="529">
        <f t="shared" si="3"/>
        <v>749</v>
      </c>
      <c r="Y41" s="134">
        <v>290</v>
      </c>
      <c r="Z41" s="45">
        <v>263</v>
      </c>
      <c r="AA41" s="45">
        <v>97</v>
      </c>
      <c r="AB41" s="424">
        <v>99</v>
      </c>
      <c r="AC41" s="134"/>
    </row>
    <row r="42" spans="1:29">
      <c r="A42" s="174">
        <v>22</v>
      </c>
      <c r="B42" s="55" t="s">
        <v>108</v>
      </c>
      <c r="C42" s="4"/>
      <c r="D42" s="474">
        <v>50</v>
      </c>
      <c r="E42" s="493">
        <v>86</v>
      </c>
      <c r="F42" s="493">
        <f t="shared" si="5"/>
        <v>96</v>
      </c>
      <c r="G42" s="471">
        <v>18</v>
      </c>
      <c r="H42" s="472">
        <v>68</v>
      </c>
      <c r="I42" s="503">
        <v>6</v>
      </c>
      <c r="J42" s="494">
        <v>4</v>
      </c>
      <c r="K42" s="21">
        <f t="shared" si="6"/>
        <v>1625</v>
      </c>
      <c r="L42" s="473">
        <v>24</v>
      </c>
      <c r="M42" s="134">
        <v>38</v>
      </c>
      <c r="N42" s="28">
        <v>431</v>
      </c>
      <c r="O42" s="396">
        <v>475</v>
      </c>
      <c r="P42" s="123">
        <v>107</v>
      </c>
      <c r="Q42" s="45">
        <v>148</v>
      </c>
      <c r="R42" s="45">
        <v>5</v>
      </c>
      <c r="S42" s="28">
        <v>1</v>
      </c>
      <c r="T42" s="45">
        <v>174</v>
      </c>
      <c r="U42" s="28">
        <v>184</v>
      </c>
      <c r="V42" s="45">
        <v>23</v>
      </c>
      <c r="W42" s="45">
        <v>15</v>
      </c>
      <c r="X42" s="529">
        <f t="shared" si="3"/>
        <v>1509</v>
      </c>
      <c r="Y42" s="134">
        <v>529</v>
      </c>
      <c r="Z42" s="45">
        <v>625</v>
      </c>
      <c r="AA42" s="45">
        <v>171</v>
      </c>
      <c r="AB42" s="424">
        <v>184</v>
      </c>
      <c r="AC42" s="134"/>
    </row>
    <row r="43" spans="1:29">
      <c r="A43" s="146">
        <v>23</v>
      </c>
      <c r="B43" s="48" t="s">
        <v>109</v>
      </c>
      <c r="C43" s="4"/>
      <c r="D43" s="474">
        <v>9</v>
      </c>
      <c r="E43" s="493">
        <v>13</v>
      </c>
      <c r="F43" s="493">
        <f t="shared" si="5"/>
        <v>17</v>
      </c>
      <c r="G43" s="471">
        <v>4</v>
      </c>
      <c r="H43" s="472">
        <v>9</v>
      </c>
      <c r="I43" s="503">
        <v>2</v>
      </c>
      <c r="J43" s="494">
        <v>2</v>
      </c>
      <c r="K43" s="21">
        <f t="shared" si="6"/>
        <v>392</v>
      </c>
      <c r="L43" s="473">
        <v>3</v>
      </c>
      <c r="M43" s="134">
        <v>2</v>
      </c>
      <c r="N43" s="28">
        <v>75</v>
      </c>
      <c r="O43" s="396">
        <v>94</v>
      </c>
      <c r="P43" s="123">
        <v>5</v>
      </c>
      <c r="Q43" s="45">
        <v>13</v>
      </c>
      <c r="R43" s="45"/>
      <c r="S43" s="28">
        <v>3</v>
      </c>
      <c r="T43" s="45">
        <v>57</v>
      </c>
      <c r="U43" s="28">
        <v>95</v>
      </c>
      <c r="V43" s="45">
        <v>26</v>
      </c>
      <c r="W43" s="45">
        <v>19</v>
      </c>
      <c r="X43" s="529">
        <f t="shared" si="3"/>
        <v>350</v>
      </c>
      <c r="Y43" s="134">
        <v>76</v>
      </c>
      <c r="Z43" s="45">
        <v>107</v>
      </c>
      <c r="AA43" s="45">
        <v>68</v>
      </c>
      <c r="AB43" s="424">
        <v>99</v>
      </c>
      <c r="AC43" s="134"/>
    </row>
    <row r="44" spans="1:29">
      <c r="A44" s="146">
        <v>24</v>
      </c>
      <c r="B44" s="48" t="s">
        <v>110</v>
      </c>
      <c r="C44" s="4"/>
      <c r="D44" s="474">
        <v>57</v>
      </c>
      <c r="E44" s="493">
        <v>131</v>
      </c>
      <c r="F44" s="493">
        <f t="shared" si="5"/>
        <v>149</v>
      </c>
      <c r="G44" s="471">
        <v>30</v>
      </c>
      <c r="H44" s="472">
        <v>98</v>
      </c>
      <c r="I44" s="503">
        <v>12</v>
      </c>
      <c r="J44" s="494">
        <v>9</v>
      </c>
      <c r="K44" s="21">
        <f t="shared" si="6"/>
        <v>3637</v>
      </c>
      <c r="L44" s="473">
        <v>17</v>
      </c>
      <c r="M44" s="134">
        <v>14</v>
      </c>
      <c r="N44" s="28">
        <v>1368</v>
      </c>
      <c r="O44" s="396">
        <v>1241</v>
      </c>
      <c r="P44" s="123">
        <v>180</v>
      </c>
      <c r="Q44" s="45">
        <v>129</v>
      </c>
      <c r="R44" s="45">
        <v>6</v>
      </c>
      <c r="S44" s="28">
        <v>1</v>
      </c>
      <c r="T44" s="45">
        <v>264</v>
      </c>
      <c r="U44" s="28">
        <v>278</v>
      </c>
      <c r="V44" s="45">
        <v>93</v>
      </c>
      <c r="W44" s="45">
        <v>46</v>
      </c>
      <c r="X44" s="529">
        <f t="shared" si="3"/>
        <v>3243</v>
      </c>
      <c r="Y44" s="134">
        <v>1404</v>
      </c>
      <c r="Z44" s="45">
        <v>1256</v>
      </c>
      <c r="AA44" s="45">
        <v>303</v>
      </c>
      <c r="AB44" s="424">
        <v>280</v>
      </c>
      <c r="AC44" s="134"/>
    </row>
    <row r="45" spans="1:29">
      <c r="A45" s="146">
        <v>25</v>
      </c>
      <c r="B45" s="48" t="s">
        <v>111</v>
      </c>
      <c r="C45" s="4"/>
      <c r="D45" s="474">
        <v>25</v>
      </c>
      <c r="E45" s="493">
        <v>46</v>
      </c>
      <c r="F45" s="493">
        <f t="shared" si="5"/>
        <v>68</v>
      </c>
      <c r="G45" s="471">
        <v>8</v>
      </c>
      <c r="H45" s="472">
        <v>28</v>
      </c>
      <c r="I45" s="503">
        <v>16</v>
      </c>
      <c r="J45" s="494">
        <v>16</v>
      </c>
      <c r="K45" s="21">
        <f t="shared" si="6"/>
        <v>1607</v>
      </c>
      <c r="L45" s="473">
        <v>3</v>
      </c>
      <c r="M45" s="134"/>
      <c r="N45" s="28">
        <v>163</v>
      </c>
      <c r="O45" s="396">
        <v>135</v>
      </c>
      <c r="P45" s="123">
        <v>19</v>
      </c>
      <c r="Q45" s="45">
        <v>20</v>
      </c>
      <c r="R45" s="45">
        <v>40</v>
      </c>
      <c r="S45" s="28">
        <v>30</v>
      </c>
      <c r="T45" s="45">
        <v>348</v>
      </c>
      <c r="U45" s="28">
        <v>453</v>
      </c>
      <c r="V45" s="45">
        <v>215</v>
      </c>
      <c r="W45" s="45">
        <v>181</v>
      </c>
      <c r="X45" s="529">
        <f t="shared" si="3"/>
        <v>1408</v>
      </c>
      <c r="Y45" s="134">
        <v>163</v>
      </c>
      <c r="Z45" s="45">
        <v>134</v>
      </c>
      <c r="AA45" s="45">
        <v>538</v>
      </c>
      <c r="AB45" s="424">
        <v>573</v>
      </c>
      <c r="AC45" s="134"/>
    </row>
    <row r="46" spans="1:29">
      <c r="A46" s="146">
        <v>26</v>
      </c>
      <c r="B46" s="48" t="s">
        <v>112</v>
      </c>
      <c r="C46" s="4"/>
      <c r="D46" s="474">
        <v>31</v>
      </c>
      <c r="E46" s="493">
        <v>35</v>
      </c>
      <c r="F46" s="493">
        <f t="shared" si="5"/>
        <v>34</v>
      </c>
      <c r="G46" s="471">
        <v>9</v>
      </c>
      <c r="H46" s="472">
        <v>23</v>
      </c>
      <c r="I46" s="503">
        <v>2</v>
      </c>
      <c r="J46" s="494"/>
      <c r="K46" s="21">
        <f t="shared" si="6"/>
        <v>384</v>
      </c>
      <c r="L46" s="473">
        <v>2</v>
      </c>
      <c r="M46" s="134">
        <v>2</v>
      </c>
      <c r="N46" s="28">
        <v>119</v>
      </c>
      <c r="O46" s="396">
        <v>109</v>
      </c>
      <c r="P46" s="123">
        <v>39</v>
      </c>
      <c r="Q46" s="45">
        <v>38</v>
      </c>
      <c r="R46" s="45"/>
      <c r="S46" s="28"/>
      <c r="T46" s="45">
        <v>35</v>
      </c>
      <c r="U46" s="28">
        <v>36</v>
      </c>
      <c r="V46" s="45">
        <v>3</v>
      </c>
      <c r="W46" s="45">
        <v>1</v>
      </c>
      <c r="X46" s="529">
        <f t="shared" si="3"/>
        <v>372</v>
      </c>
      <c r="Y46" s="134">
        <v>158</v>
      </c>
      <c r="Z46" s="45">
        <v>148</v>
      </c>
      <c r="AA46" s="45">
        <v>33</v>
      </c>
      <c r="AB46" s="424">
        <v>33</v>
      </c>
      <c r="AC46" s="134"/>
    </row>
    <row r="47" spans="1:29">
      <c r="A47" s="146">
        <v>27</v>
      </c>
      <c r="B47" s="48" t="s">
        <v>113</v>
      </c>
      <c r="C47" s="4"/>
      <c r="D47" s="474">
        <v>34</v>
      </c>
      <c r="E47" s="493">
        <v>57</v>
      </c>
      <c r="F47" s="493">
        <f t="shared" si="5"/>
        <v>67</v>
      </c>
      <c r="G47" s="471">
        <v>16</v>
      </c>
      <c r="H47" s="472">
        <v>48</v>
      </c>
      <c r="I47" s="503">
        <v>1</v>
      </c>
      <c r="J47" s="494">
        <v>2</v>
      </c>
      <c r="K47" s="21">
        <f t="shared" si="6"/>
        <v>1622</v>
      </c>
      <c r="L47" s="473">
        <v>1</v>
      </c>
      <c r="M47" s="134"/>
      <c r="N47" s="28">
        <v>510</v>
      </c>
      <c r="O47" s="396">
        <v>485</v>
      </c>
      <c r="P47" s="123">
        <v>74</v>
      </c>
      <c r="Q47" s="45">
        <v>65</v>
      </c>
      <c r="R47" s="45"/>
      <c r="S47" s="28"/>
      <c r="T47" s="45">
        <v>214</v>
      </c>
      <c r="U47" s="28">
        <v>265</v>
      </c>
      <c r="V47" s="45">
        <v>2</v>
      </c>
      <c r="W47" s="45">
        <v>6</v>
      </c>
      <c r="X47" s="529">
        <f t="shared" si="3"/>
        <v>1425</v>
      </c>
      <c r="Y47" s="134">
        <v>514</v>
      </c>
      <c r="Z47" s="45">
        <v>490</v>
      </c>
      <c r="AA47" s="45">
        <v>187</v>
      </c>
      <c r="AB47" s="424">
        <v>234</v>
      </c>
      <c r="AC47" s="134"/>
    </row>
    <row r="48" spans="1:29">
      <c r="A48" s="146">
        <v>28</v>
      </c>
      <c r="B48" s="48" t="s">
        <v>114</v>
      </c>
      <c r="C48" s="4"/>
      <c r="D48" s="474">
        <v>58</v>
      </c>
      <c r="E48" s="493">
        <v>64</v>
      </c>
      <c r="F48" s="493">
        <f t="shared" si="5"/>
        <v>102</v>
      </c>
      <c r="G48" s="471">
        <v>2</v>
      </c>
      <c r="H48" s="472">
        <v>6</v>
      </c>
      <c r="I48" s="503">
        <v>49</v>
      </c>
      <c r="J48" s="494">
        <v>45</v>
      </c>
      <c r="K48" s="21">
        <f t="shared" si="6"/>
        <v>3572</v>
      </c>
      <c r="L48" s="473"/>
      <c r="M48" s="134"/>
      <c r="N48" s="28">
        <v>45</v>
      </c>
      <c r="O48" s="396">
        <v>41</v>
      </c>
      <c r="P48" s="123">
        <v>3</v>
      </c>
      <c r="Q48" s="446">
        <v>3</v>
      </c>
      <c r="R48" s="45">
        <v>26</v>
      </c>
      <c r="S48" s="28">
        <v>48</v>
      </c>
      <c r="T48" s="45">
        <v>1330</v>
      </c>
      <c r="U48" s="28">
        <v>1467</v>
      </c>
      <c r="V48" s="45">
        <v>278</v>
      </c>
      <c r="W48" s="45">
        <v>331</v>
      </c>
      <c r="X48" s="529">
        <f t="shared" si="3"/>
        <v>2842</v>
      </c>
      <c r="Y48" s="134">
        <v>46</v>
      </c>
      <c r="Z48" s="45">
        <v>40</v>
      </c>
      <c r="AA48" s="45">
        <v>1228</v>
      </c>
      <c r="AB48" s="424">
        <v>1528</v>
      </c>
      <c r="AC48" s="134"/>
    </row>
    <row r="49" spans="1:29">
      <c r="A49" s="146">
        <v>29</v>
      </c>
      <c r="B49" s="48" t="s">
        <v>115</v>
      </c>
      <c r="C49" s="4"/>
      <c r="D49" s="474">
        <v>58</v>
      </c>
      <c r="E49" s="493">
        <v>120</v>
      </c>
      <c r="F49" s="493">
        <f t="shared" si="5"/>
        <v>116</v>
      </c>
      <c r="G49" s="471">
        <v>16</v>
      </c>
      <c r="H49" s="472">
        <v>84</v>
      </c>
      <c r="I49" s="503">
        <v>8</v>
      </c>
      <c r="J49" s="494">
        <v>8</v>
      </c>
      <c r="K49" s="21">
        <f t="shared" si="6"/>
        <v>2171</v>
      </c>
      <c r="L49" s="473">
        <v>4</v>
      </c>
      <c r="M49" s="134">
        <v>8</v>
      </c>
      <c r="N49" s="28">
        <v>560</v>
      </c>
      <c r="O49" s="396">
        <v>590</v>
      </c>
      <c r="P49" s="123">
        <v>153</v>
      </c>
      <c r="Q49" s="45">
        <v>218</v>
      </c>
      <c r="R49" s="45">
        <v>3</v>
      </c>
      <c r="S49" s="28">
        <v>10</v>
      </c>
      <c r="T49" s="45">
        <v>261</v>
      </c>
      <c r="U49" s="28">
        <v>310</v>
      </c>
      <c r="V49" s="45">
        <v>23</v>
      </c>
      <c r="W49" s="45">
        <v>31</v>
      </c>
      <c r="X49" s="529">
        <f t="shared" si="3"/>
        <v>1991</v>
      </c>
      <c r="Y49" s="134">
        <v>671</v>
      </c>
      <c r="Z49" s="45">
        <v>759</v>
      </c>
      <c r="AA49" s="45">
        <v>253</v>
      </c>
      <c r="AB49" s="424">
        <v>308</v>
      </c>
      <c r="AC49" s="134"/>
    </row>
    <row r="50" spans="1:29">
      <c r="A50" s="146">
        <v>30</v>
      </c>
      <c r="B50" s="48" t="s">
        <v>116</v>
      </c>
      <c r="C50" s="4"/>
      <c r="D50" s="474">
        <v>10</v>
      </c>
      <c r="E50" s="493">
        <v>16</v>
      </c>
      <c r="F50" s="493">
        <f t="shared" si="5"/>
        <v>15</v>
      </c>
      <c r="G50" s="471">
        <v>3</v>
      </c>
      <c r="H50" s="472">
        <v>11</v>
      </c>
      <c r="I50" s="503">
        <v>1</v>
      </c>
      <c r="J50" s="494"/>
      <c r="K50" s="21">
        <f t="shared" si="6"/>
        <v>270</v>
      </c>
      <c r="L50" s="473">
        <v>2</v>
      </c>
      <c r="M50" s="134"/>
      <c r="N50" s="28">
        <v>78</v>
      </c>
      <c r="O50" s="396">
        <v>70</v>
      </c>
      <c r="P50" s="123">
        <v>30</v>
      </c>
      <c r="Q50" s="45">
        <v>29</v>
      </c>
      <c r="R50" s="45">
        <v>1</v>
      </c>
      <c r="S50" s="28"/>
      <c r="T50" s="45">
        <v>31</v>
      </c>
      <c r="U50" s="28">
        <v>23</v>
      </c>
      <c r="V50" s="45">
        <v>3</v>
      </c>
      <c r="W50" s="45">
        <v>3</v>
      </c>
      <c r="X50" s="529">
        <f t="shared" si="3"/>
        <v>258</v>
      </c>
      <c r="Y50" s="134">
        <v>106</v>
      </c>
      <c r="Z50" s="45">
        <v>96</v>
      </c>
      <c r="AA50" s="45">
        <v>29</v>
      </c>
      <c r="AB50" s="424">
        <v>27</v>
      </c>
      <c r="AC50" s="134"/>
    </row>
    <row r="51" spans="1:29">
      <c r="A51" s="146">
        <v>31</v>
      </c>
      <c r="B51" s="48" t="s">
        <v>117</v>
      </c>
      <c r="C51" s="4"/>
      <c r="D51" s="474">
        <v>26</v>
      </c>
      <c r="E51" s="493">
        <v>30</v>
      </c>
      <c r="F51" s="493">
        <f t="shared" si="5"/>
        <v>30</v>
      </c>
      <c r="G51" s="471">
        <v>13</v>
      </c>
      <c r="H51" s="472">
        <v>17</v>
      </c>
      <c r="I51" s="503"/>
      <c r="J51" s="494"/>
      <c r="K51" s="21">
        <f t="shared" si="6"/>
        <v>395</v>
      </c>
      <c r="L51" s="473">
        <v>1</v>
      </c>
      <c r="M51" s="134">
        <v>1</v>
      </c>
      <c r="N51" s="28">
        <v>141</v>
      </c>
      <c r="O51" s="396">
        <v>151</v>
      </c>
      <c r="P51" s="123">
        <v>39</v>
      </c>
      <c r="Q51" s="45">
        <v>27</v>
      </c>
      <c r="R51" s="45"/>
      <c r="S51" s="28"/>
      <c r="T51" s="45">
        <v>11</v>
      </c>
      <c r="U51" s="28">
        <v>19</v>
      </c>
      <c r="V51" s="45">
        <v>3</v>
      </c>
      <c r="W51" s="45">
        <v>2</v>
      </c>
      <c r="X51" s="529">
        <f t="shared" si="3"/>
        <v>383</v>
      </c>
      <c r="Y51" s="134">
        <v>176</v>
      </c>
      <c r="Z51" s="45">
        <v>179</v>
      </c>
      <c r="AA51" s="45">
        <v>11</v>
      </c>
      <c r="AB51" s="424">
        <v>17</v>
      </c>
      <c r="AC51" s="134"/>
    </row>
    <row r="52" spans="1:29">
      <c r="A52" s="146">
        <v>32</v>
      </c>
      <c r="B52" s="48" t="s">
        <v>118</v>
      </c>
      <c r="C52" s="4"/>
      <c r="D52" s="474">
        <v>21</v>
      </c>
      <c r="E52" s="493">
        <v>24</v>
      </c>
      <c r="F52" s="493">
        <f t="shared" si="5"/>
        <v>24</v>
      </c>
      <c r="G52" s="471">
        <v>7</v>
      </c>
      <c r="H52" s="472">
        <v>17</v>
      </c>
      <c r="I52" s="503"/>
      <c r="J52" s="494"/>
      <c r="K52" s="21">
        <f t="shared" si="6"/>
        <v>313</v>
      </c>
      <c r="L52" s="473">
        <v>1</v>
      </c>
      <c r="M52" s="134">
        <v>2</v>
      </c>
      <c r="N52" s="28">
        <v>140</v>
      </c>
      <c r="O52" s="396">
        <v>122</v>
      </c>
      <c r="P52" s="123">
        <v>20</v>
      </c>
      <c r="Q52" s="45">
        <v>28</v>
      </c>
      <c r="R52" s="45"/>
      <c r="S52" s="28"/>
      <c r="T52" s="45"/>
      <c r="U52" s="28"/>
      <c r="V52" s="45"/>
      <c r="W52" s="45"/>
      <c r="X52" s="529">
        <f t="shared" si="3"/>
        <v>298</v>
      </c>
      <c r="Y52" s="134">
        <v>150</v>
      </c>
      <c r="Z52" s="45">
        <v>148</v>
      </c>
      <c r="AA52" s="45"/>
      <c r="AB52" s="424"/>
      <c r="AC52" s="134"/>
    </row>
    <row r="53" spans="1:29">
      <c r="A53" s="146">
        <v>33</v>
      </c>
      <c r="B53" s="48" t="s">
        <v>119</v>
      </c>
      <c r="C53" s="4"/>
      <c r="D53" s="474">
        <v>50</v>
      </c>
      <c r="E53" s="493">
        <v>56</v>
      </c>
      <c r="F53" s="493">
        <f t="shared" si="5"/>
        <v>93</v>
      </c>
      <c r="G53" s="471">
        <v>4</v>
      </c>
      <c r="H53" s="472">
        <v>4</v>
      </c>
      <c r="I53" s="503">
        <v>45</v>
      </c>
      <c r="J53" s="494">
        <v>40</v>
      </c>
      <c r="K53" s="21">
        <f t="shared" si="6"/>
        <v>2825</v>
      </c>
      <c r="L53" s="473"/>
      <c r="M53" s="134"/>
      <c r="N53" s="28">
        <v>12</v>
      </c>
      <c r="O53" s="396">
        <v>12</v>
      </c>
      <c r="P53" s="123"/>
      <c r="Q53" s="45">
        <v>2</v>
      </c>
      <c r="R53" s="45">
        <v>10</v>
      </c>
      <c r="S53" s="28">
        <v>6</v>
      </c>
      <c r="T53" s="45">
        <v>882</v>
      </c>
      <c r="U53" s="28">
        <v>1259</v>
      </c>
      <c r="V53" s="45">
        <v>393</v>
      </c>
      <c r="W53" s="45">
        <v>249</v>
      </c>
      <c r="X53" s="529">
        <f t="shared" si="3"/>
        <v>2367</v>
      </c>
      <c r="Y53" s="134">
        <v>11</v>
      </c>
      <c r="Z53" s="45">
        <v>13</v>
      </c>
      <c r="AA53" s="45">
        <v>1051</v>
      </c>
      <c r="AB53" s="424">
        <v>1292</v>
      </c>
      <c r="AC53" s="134"/>
    </row>
    <row r="54" spans="1:29">
      <c r="A54" s="146">
        <v>34</v>
      </c>
      <c r="B54" s="48" t="s">
        <v>120</v>
      </c>
      <c r="C54" s="4"/>
      <c r="D54" s="474">
        <v>27</v>
      </c>
      <c r="E54" s="493">
        <v>34</v>
      </c>
      <c r="F54" s="493">
        <f t="shared" si="5"/>
        <v>34</v>
      </c>
      <c r="G54" s="471">
        <v>9</v>
      </c>
      <c r="H54" s="472">
        <v>24</v>
      </c>
      <c r="I54" s="503">
        <v>1</v>
      </c>
      <c r="J54" s="494"/>
      <c r="K54" s="21">
        <f t="shared" si="6"/>
        <v>484</v>
      </c>
      <c r="L54" s="473">
        <v>1</v>
      </c>
      <c r="M54" s="134">
        <v>5</v>
      </c>
      <c r="N54" s="28">
        <v>180</v>
      </c>
      <c r="O54" s="396">
        <v>193</v>
      </c>
      <c r="P54" s="123">
        <v>31</v>
      </c>
      <c r="Q54" s="45">
        <v>31</v>
      </c>
      <c r="R54" s="45"/>
      <c r="S54" s="28">
        <v>1</v>
      </c>
      <c r="T54" s="45">
        <v>14</v>
      </c>
      <c r="U54" s="28">
        <v>24</v>
      </c>
      <c r="V54" s="45">
        <v>2</v>
      </c>
      <c r="W54" s="45">
        <v>2</v>
      </c>
      <c r="X54" s="529">
        <f t="shared" si="3"/>
        <v>460</v>
      </c>
      <c r="Y54" s="134">
        <v>199</v>
      </c>
      <c r="Z54" s="45">
        <v>218</v>
      </c>
      <c r="AA54" s="45">
        <v>16</v>
      </c>
      <c r="AB54" s="424">
        <v>27</v>
      </c>
      <c r="AC54" s="134"/>
    </row>
    <row r="55" spans="1:29">
      <c r="A55" s="146">
        <v>35</v>
      </c>
      <c r="B55" s="48" t="s">
        <v>121</v>
      </c>
      <c r="C55" s="4"/>
      <c r="D55" s="474">
        <v>69</v>
      </c>
      <c r="E55" s="493">
        <v>82</v>
      </c>
      <c r="F55" s="493">
        <f t="shared" si="5"/>
        <v>76</v>
      </c>
      <c r="G55" s="471">
        <v>11</v>
      </c>
      <c r="H55" s="472">
        <v>55</v>
      </c>
      <c r="I55" s="503">
        <v>8</v>
      </c>
      <c r="J55" s="494">
        <v>2</v>
      </c>
      <c r="K55" s="21">
        <f t="shared" si="6"/>
        <v>1450</v>
      </c>
      <c r="L55" s="473"/>
      <c r="M55" s="134">
        <v>3</v>
      </c>
      <c r="N55" s="28">
        <v>441</v>
      </c>
      <c r="O55" s="396">
        <v>402</v>
      </c>
      <c r="P55" s="123">
        <v>46</v>
      </c>
      <c r="Q55" s="45">
        <v>54</v>
      </c>
      <c r="R55" s="45">
        <v>6</v>
      </c>
      <c r="S55" s="28">
        <v>5</v>
      </c>
      <c r="T55" s="45">
        <v>232</v>
      </c>
      <c r="U55" s="28">
        <v>219</v>
      </c>
      <c r="V55" s="45">
        <v>28</v>
      </c>
      <c r="W55" s="45">
        <v>14</v>
      </c>
      <c r="X55" s="529">
        <f t="shared" si="3"/>
        <v>1341</v>
      </c>
      <c r="Y55" s="134">
        <v>465</v>
      </c>
      <c r="Z55" s="446">
        <v>417</v>
      </c>
      <c r="AA55" s="45">
        <v>243</v>
      </c>
      <c r="AB55" s="424">
        <v>216</v>
      </c>
      <c r="AC55" s="134"/>
    </row>
    <row r="56" spans="1:29">
      <c r="A56" s="146">
        <v>36</v>
      </c>
      <c r="B56" s="48" t="s">
        <v>122</v>
      </c>
      <c r="C56" s="4"/>
      <c r="D56" s="474">
        <v>47</v>
      </c>
      <c r="E56" s="493">
        <v>53</v>
      </c>
      <c r="F56" s="493">
        <f t="shared" si="5"/>
        <v>55</v>
      </c>
      <c r="G56" s="463">
        <v>9</v>
      </c>
      <c r="H56" s="472">
        <v>42</v>
      </c>
      <c r="I56" s="503">
        <v>3</v>
      </c>
      <c r="J56" s="494">
        <v>1</v>
      </c>
      <c r="K56" s="21">
        <f t="shared" si="6"/>
        <v>990</v>
      </c>
      <c r="L56" s="473">
        <v>3</v>
      </c>
      <c r="M56" s="134">
        <v>2</v>
      </c>
      <c r="N56" s="28">
        <v>353</v>
      </c>
      <c r="O56" s="396">
        <v>378</v>
      </c>
      <c r="P56" s="123">
        <v>44</v>
      </c>
      <c r="Q56" s="45">
        <v>65</v>
      </c>
      <c r="R56" s="45"/>
      <c r="S56" s="28"/>
      <c r="T56" s="45">
        <v>56</v>
      </c>
      <c r="U56" s="28">
        <v>80</v>
      </c>
      <c r="V56" s="45">
        <v>1</v>
      </c>
      <c r="W56" s="45">
        <v>8</v>
      </c>
      <c r="X56" s="529">
        <f t="shared" si="3"/>
        <v>911</v>
      </c>
      <c r="Y56" s="134">
        <v>374</v>
      </c>
      <c r="Z56" s="45">
        <v>418</v>
      </c>
      <c r="AA56" s="45">
        <v>47</v>
      </c>
      <c r="AB56" s="424">
        <v>72</v>
      </c>
      <c r="AC56" s="134"/>
    </row>
    <row r="57" spans="1:29">
      <c r="A57" s="146">
        <v>37</v>
      </c>
      <c r="B57" s="48" t="s">
        <v>123</v>
      </c>
      <c r="C57" s="4"/>
      <c r="D57" s="474">
        <v>27</v>
      </c>
      <c r="E57" s="493">
        <v>35</v>
      </c>
      <c r="F57" s="493">
        <f t="shared" si="5"/>
        <v>35</v>
      </c>
      <c r="G57" s="471">
        <v>16</v>
      </c>
      <c r="H57" s="472">
        <v>16</v>
      </c>
      <c r="I57" s="503">
        <v>1</v>
      </c>
      <c r="J57" s="494">
        <v>2</v>
      </c>
      <c r="K57" s="21">
        <f t="shared" si="6"/>
        <v>757</v>
      </c>
      <c r="L57" s="473">
        <v>1</v>
      </c>
      <c r="M57" s="134"/>
      <c r="N57" s="28">
        <v>260</v>
      </c>
      <c r="O57" s="396">
        <v>320</v>
      </c>
      <c r="P57" s="123">
        <v>42</v>
      </c>
      <c r="Q57" s="45">
        <v>64</v>
      </c>
      <c r="R57" s="45">
        <v>4</v>
      </c>
      <c r="S57" s="28">
        <v>2</v>
      </c>
      <c r="T57" s="45">
        <v>17</v>
      </c>
      <c r="U57" s="28">
        <v>21</v>
      </c>
      <c r="V57" s="45">
        <v>11</v>
      </c>
      <c r="W57" s="45">
        <v>15</v>
      </c>
      <c r="X57" s="529">
        <f t="shared" si="3"/>
        <v>724</v>
      </c>
      <c r="Y57" s="134">
        <v>293</v>
      </c>
      <c r="Z57" s="45">
        <v>363</v>
      </c>
      <c r="AA57" s="45">
        <v>32</v>
      </c>
      <c r="AB57" s="424">
        <v>36</v>
      </c>
      <c r="AC57" s="134"/>
    </row>
    <row r="58" spans="1:29">
      <c r="A58" s="146">
        <v>38</v>
      </c>
      <c r="B58" s="48" t="s">
        <v>124</v>
      </c>
      <c r="C58" s="4"/>
      <c r="D58" s="474">
        <v>49</v>
      </c>
      <c r="E58" s="493">
        <v>169</v>
      </c>
      <c r="F58" s="493">
        <f t="shared" si="5"/>
        <v>212</v>
      </c>
      <c r="G58" s="471">
        <v>46</v>
      </c>
      <c r="H58" s="472">
        <v>136</v>
      </c>
      <c r="I58" s="503">
        <v>9</v>
      </c>
      <c r="J58" s="494">
        <v>21</v>
      </c>
      <c r="K58" s="21">
        <f t="shared" si="6"/>
        <v>5778</v>
      </c>
      <c r="L58" s="473">
        <v>38</v>
      </c>
      <c r="M58" s="134">
        <v>54</v>
      </c>
      <c r="N58" s="28">
        <v>1751</v>
      </c>
      <c r="O58" s="396">
        <v>1719</v>
      </c>
      <c r="P58" s="123">
        <v>372</v>
      </c>
      <c r="Q58" s="45">
        <v>135</v>
      </c>
      <c r="R58" s="45">
        <v>42</v>
      </c>
      <c r="S58" s="28">
        <v>33</v>
      </c>
      <c r="T58" s="45">
        <v>712</v>
      </c>
      <c r="U58" s="28">
        <v>815</v>
      </c>
      <c r="V58" s="45">
        <v>55</v>
      </c>
      <c r="W58" s="45">
        <v>52</v>
      </c>
      <c r="X58" s="529">
        <f t="shared" si="3"/>
        <v>5327</v>
      </c>
      <c r="Y58" s="134">
        <v>1934</v>
      </c>
      <c r="Z58" s="45">
        <v>1786</v>
      </c>
      <c r="AA58" s="45">
        <v>780</v>
      </c>
      <c r="AB58" s="424">
        <v>827</v>
      </c>
      <c r="AC58" s="134"/>
    </row>
    <row r="59" spans="1:29">
      <c r="A59" s="146">
        <v>39</v>
      </c>
      <c r="B59" s="48" t="s">
        <v>125</v>
      </c>
      <c r="C59" s="4"/>
      <c r="D59" s="474">
        <v>164</v>
      </c>
      <c r="E59" s="493">
        <v>265</v>
      </c>
      <c r="F59" s="493">
        <f t="shared" si="5"/>
        <v>336</v>
      </c>
      <c r="G59" s="471">
        <v>25</v>
      </c>
      <c r="H59" s="472">
        <v>94</v>
      </c>
      <c r="I59" s="503">
        <v>95</v>
      </c>
      <c r="J59" s="494">
        <v>122</v>
      </c>
      <c r="K59" s="21">
        <f t="shared" si="6"/>
        <v>10013</v>
      </c>
      <c r="L59" s="473">
        <v>12</v>
      </c>
      <c r="M59" s="134">
        <v>10</v>
      </c>
      <c r="N59" s="28">
        <v>911</v>
      </c>
      <c r="O59" s="396">
        <v>874</v>
      </c>
      <c r="P59" s="123">
        <v>154</v>
      </c>
      <c r="Q59" s="45">
        <v>136</v>
      </c>
      <c r="R59" s="45">
        <v>92</v>
      </c>
      <c r="S59" s="28">
        <v>126</v>
      </c>
      <c r="T59" s="45">
        <v>2665</v>
      </c>
      <c r="U59" s="28">
        <v>3480</v>
      </c>
      <c r="V59" s="45">
        <v>713</v>
      </c>
      <c r="W59" s="45">
        <v>840</v>
      </c>
      <c r="X59" s="529">
        <f t="shared" si="3"/>
        <v>8300</v>
      </c>
      <c r="Y59" s="134">
        <v>969</v>
      </c>
      <c r="Z59" s="45">
        <v>921</v>
      </c>
      <c r="AA59" s="45">
        <v>2703</v>
      </c>
      <c r="AB59" s="424">
        <v>3707</v>
      </c>
      <c r="AC59" s="134"/>
    </row>
    <row r="60" spans="1:29">
      <c r="A60" s="146">
        <v>40</v>
      </c>
      <c r="B60" s="48" t="s">
        <v>126</v>
      </c>
      <c r="C60" s="4"/>
      <c r="D60" s="474">
        <v>39</v>
      </c>
      <c r="E60" s="493">
        <v>54</v>
      </c>
      <c r="F60" s="493">
        <f t="shared" si="5"/>
        <v>56</v>
      </c>
      <c r="G60" s="471">
        <v>13</v>
      </c>
      <c r="H60" s="472">
        <v>39</v>
      </c>
      <c r="I60" s="503">
        <v>3</v>
      </c>
      <c r="J60" s="494">
        <v>1</v>
      </c>
      <c r="K60" s="21">
        <f t="shared" si="6"/>
        <v>1367</v>
      </c>
      <c r="L60" s="473">
        <v>3</v>
      </c>
      <c r="M60" s="134">
        <v>6</v>
      </c>
      <c r="N60" s="28">
        <v>467</v>
      </c>
      <c r="O60" s="396">
        <v>442</v>
      </c>
      <c r="P60" s="123">
        <v>49</v>
      </c>
      <c r="Q60" s="45">
        <v>47</v>
      </c>
      <c r="R60" s="45"/>
      <c r="S60" s="28">
        <v>4</v>
      </c>
      <c r="T60" s="45">
        <v>157</v>
      </c>
      <c r="U60" s="28">
        <v>179</v>
      </c>
      <c r="V60" s="45">
        <v>4</v>
      </c>
      <c r="W60" s="45">
        <v>9</v>
      </c>
      <c r="X60" s="529">
        <f t="shared" si="3"/>
        <v>1202</v>
      </c>
      <c r="Y60" s="134">
        <v>462</v>
      </c>
      <c r="Z60" s="45">
        <v>444</v>
      </c>
      <c r="AA60" s="45">
        <v>140</v>
      </c>
      <c r="AB60" s="424">
        <v>156</v>
      </c>
      <c r="AC60" s="134"/>
    </row>
    <row r="61" spans="1:29">
      <c r="A61" s="146">
        <v>41</v>
      </c>
      <c r="B61" s="48" t="s">
        <v>127</v>
      </c>
      <c r="C61" s="4"/>
      <c r="D61" s="474">
        <v>19</v>
      </c>
      <c r="E61" s="493">
        <v>22</v>
      </c>
      <c r="F61" s="493">
        <f t="shared" si="5"/>
        <v>22</v>
      </c>
      <c r="G61" s="471">
        <v>5</v>
      </c>
      <c r="H61" s="472">
        <v>15</v>
      </c>
      <c r="I61" s="503">
        <v>2</v>
      </c>
      <c r="J61" s="494"/>
      <c r="K61" s="21">
        <f t="shared" si="6"/>
        <v>407</v>
      </c>
      <c r="L61" s="473">
        <v>1</v>
      </c>
      <c r="M61" s="134">
        <v>2</v>
      </c>
      <c r="N61" s="28">
        <v>138</v>
      </c>
      <c r="O61" s="396">
        <v>129</v>
      </c>
      <c r="P61" s="123">
        <v>13</v>
      </c>
      <c r="Q61" s="45">
        <v>13</v>
      </c>
      <c r="R61" s="45">
        <v>2</v>
      </c>
      <c r="S61" s="28">
        <v>2</v>
      </c>
      <c r="T61" s="45">
        <v>47</v>
      </c>
      <c r="U61" s="28">
        <v>49</v>
      </c>
      <c r="V61" s="45">
        <v>5</v>
      </c>
      <c r="W61" s="45">
        <v>6</v>
      </c>
      <c r="X61" s="529">
        <f t="shared" si="3"/>
        <v>347</v>
      </c>
      <c r="Y61" s="134">
        <v>136</v>
      </c>
      <c r="Z61" s="45">
        <v>127</v>
      </c>
      <c r="AA61" s="45">
        <v>40</v>
      </c>
      <c r="AB61" s="424">
        <v>44</v>
      </c>
      <c r="AC61" s="134"/>
    </row>
    <row r="62" spans="1:29" s="73" customFormat="1">
      <c r="A62" s="146">
        <v>42</v>
      </c>
      <c r="B62" s="48" t="s">
        <v>128</v>
      </c>
      <c r="C62" s="110"/>
      <c r="D62" s="490">
        <v>33</v>
      </c>
      <c r="E62" s="572">
        <v>54</v>
      </c>
      <c r="F62" s="493">
        <f t="shared" si="5"/>
        <v>55</v>
      </c>
      <c r="G62" s="476">
        <v>17</v>
      </c>
      <c r="H62" s="477">
        <v>32</v>
      </c>
      <c r="I62" s="476">
        <v>1</v>
      </c>
      <c r="J62" s="495">
        <v>5</v>
      </c>
      <c r="K62" s="21">
        <f t="shared" si="6"/>
        <v>1236</v>
      </c>
      <c r="L62" s="478">
        <v>2</v>
      </c>
      <c r="M62" s="446"/>
      <c r="N62" s="446">
        <v>397</v>
      </c>
      <c r="O62" s="205">
        <v>424</v>
      </c>
      <c r="P62" s="29">
        <v>49</v>
      </c>
      <c r="Q62" s="45">
        <v>35</v>
      </c>
      <c r="R62" s="446"/>
      <c r="S62" s="205">
        <v>2</v>
      </c>
      <c r="T62" s="446">
        <v>159</v>
      </c>
      <c r="U62" s="205">
        <v>165</v>
      </c>
      <c r="V62" s="446">
        <v>3</v>
      </c>
      <c r="W62" s="446"/>
      <c r="X62" s="529">
        <f t="shared" si="3"/>
        <v>1125</v>
      </c>
      <c r="Y62" s="29">
        <v>404</v>
      </c>
      <c r="Z62" s="45">
        <v>422</v>
      </c>
      <c r="AA62" s="446">
        <v>147</v>
      </c>
      <c r="AB62" s="455">
        <v>152</v>
      </c>
      <c r="AC62" s="29"/>
    </row>
    <row r="63" spans="1:29">
      <c r="A63" s="175">
        <v>43</v>
      </c>
      <c r="B63" s="67" t="s">
        <v>129</v>
      </c>
      <c r="C63" s="111"/>
      <c r="D63" s="490">
        <v>20</v>
      </c>
      <c r="E63" s="572">
        <v>27</v>
      </c>
      <c r="F63" s="493">
        <f t="shared" si="5"/>
        <v>26</v>
      </c>
      <c r="G63" s="479">
        <v>6</v>
      </c>
      <c r="H63" s="477">
        <v>19</v>
      </c>
      <c r="I63" s="479"/>
      <c r="J63" s="496">
        <v>1</v>
      </c>
      <c r="K63" s="21">
        <f t="shared" si="6"/>
        <v>489</v>
      </c>
      <c r="L63" s="571"/>
      <c r="M63" s="45"/>
      <c r="N63" s="45">
        <v>148</v>
      </c>
      <c r="O63" s="205">
        <v>174</v>
      </c>
      <c r="P63" s="134">
        <v>38</v>
      </c>
      <c r="Q63" s="446">
        <v>47</v>
      </c>
      <c r="R63" s="45">
        <v>1</v>
      </c>
      <c r="S63" s="28">
        <v>1</v>
      </c>
      <c r="T63" s="45">
        <v>40</v>
      </c>
      <c r="U63" s="28">
        <v>30</v>
      </c>
      <c r="V63" s="45">
        <v>6</v>
      </c>
      <c r="W63" s="45">
        <v>4</v>
      </c>
      <c r="X63" s="529">
        <f t="shared" si="3"/>
        <v>471</v>
      </c>
      <c r="Y63" s="134">
        <v>179</v>
      </c>
      <c r="Z63" s="446">
        <v>215</v>
      </c>
      <c r="AA63" s="45">
        <v>44</v>
      </c>
      <c r="AB63" s="424">
        <v>33</v>
      </c>
      <c r="AC63" s="134"/>
    </row>
    <row r="64" spans="1:29">
      <c r="A64" s="175">
        <v>44</v>
      </c>
      <c r="B64" s="67" t="s">
        <v>130</v>
      </c>
      <c r="C64" s="111"/>
      <c r="D64" s="490">
        <v>73</v>
      </c>
      <c r="E64" s="572">
        <v>130</v>
      </c>
      <c r="F64" s="493">
        <f t="shared" si="5"/>
        <v>133</v>
      </c>
      <c r="G64" s="479">
        <v>31</v>
      </c>
      <c r="H64" s="477">
        <v>80</v>
      </c>
      <c r="I64" s="479">
        <v>13</v>
      </c>
      <c r="J64" s="496">
        <v>9</v>
      </c>
      <c r="K64" s="21">
        <f t="shared" si="6"/>
        <v>3373</v>
      </c>
      <c r="L64" s="480">
        <v>2</v>
      </c>
      <c r="M64" s="45">
        <v>4</v>
      </c>
      <c r="N64" s="45">
        <v>874</v>
      </c>
      <c r="O64" s="205">
        <v>952</v>
      </c>
      <c r="P64" s="134">
        <v>227</v>
      </c>
      <c r="Q64" s="45">
        <v>194</v>
      </c>
      <c r="R64" s="45">
        <v>21</v>
      </c>
      <c r="S64" s="28">
        <v>13</v>
      </c>
      <c r="T64" s="45">
        <v>516</v>
      </c>
      <c r="U64" s="28">
        <v>541</v>
      </c>
      <c r="V64" s="45">
        <v>11</v>
      </c>
      <c r="W64" s="45">
        <v>18</v>
      </c>
      <c r="X64" s="529">
        <f t="shared" si="3"/>
        <v>3143</v>
      </c>
      <c r="Y64" s="134">
        <v>1042</v>
      </c>
      <c r="Z64" s="45">
        <v>1092</v>
      </c>
      <c r="AA64" s="45">
        <v>497</v>
      </c>
      <c r="AB64" s="424">
        <v>512</v>
      </c>
      <c r="AC64" s="134"/>
    </row>
    <row r="65" spans="1:29">
      <c r="A65" s="175">
        <v>45</v>
      </c>
      <c r="B65" s="67" t="s">
        <v>131</v>
      </c>
      <c r="C65" s="111"/>
      <c r="D65" s="490">
        <v>31</v>
      </c>
      <c r="E65" s="572">
        <v>51</v>
      </c>
      <c r="F65" s="493">
        <f t="shared" si="5"/>
        <v>59</v>
      </c>
      <c r="G65" s="479">
        <v>19</v>
      </c>
      <c r="H65" s="477">
        <v>34</v>
      </c>
      <c r="I65" s="479">
        <v>3</v>
      </c>
      <c r="J65" s="496">
        <v>3</v>
      </c>
      <c r="K65" s="21">
        <f t="shared" si="6"/>
        <v>930</v>
      </c>
      <c r="L65" s="480">
        <v>1</v>
      </c>
      <c r="M65" s="45">
        <v>1</v>
      </c>
      <c r="N65" s="45">
        <v>283</v>
      </c>
      <c r="O65" s="205">
        <v>270</v>
      </c>
      <c r="P65" s="134">
        <v>77</v>
      </c>
      <c r="Q65" s="45">
        <v>65</v>
      </c>
      <c r="R65" s="45">
        <v>1</v>
      </c>
      <c r="S65" s="28"/>
      <c r="T65" s="45">
        <v>106</v>
      </c>
      <c r="U65" s="28">
        <v>108</v>
      </c>
      <c r="V65" s="45">
        <v>7</v>
      </c>
      <c r="W65" s="45">
        <v>11</v>
      </c>
      <c r="X65" s="529">
        <f t="shared" si="3"/>
        <v>891</v>
      </c>
      <c r="Y65" s="134">
        <v>348</v>
      </c>
      <c r="Z65" s="45">
        <v>321</v>
      </c>
      <c r="AA65" s="45">
        <v>109</v>
      </c>
      <c r="AB65" s="424">
        <v>113</v>
      </c>
      <c r="AC65" s="134"/>
    </row>
    <row r="66" spans="1:29">
      <c r="A66" s="175">
        <v>46</v>
      </c>
      <c r="B66" s="67" t="s">
        <v>132</v>
      </c>
      <c r="C66" s="111"/>
      <c r="D66" s="490">
        <v>19</v>
      </c>
      <c r="E66" s="572">
        <v>27</v>
      </c>
      <c r="F66" s="493">
        <f t="shared" si="5"/>
        <v>29</v>
      </c>
      <c r="G66" s="474">
        <v>5</v>
      </c>
      <c r="H66" s="477">
        <v>21</v>
      </c>
      <c r="I66" s="479">
        <v>1</v>
      </c>
      <c r="J66" s="496">
        <v>2</v>
      </c>
      <c r="K66" s="21">
        <f t="shared" si="6"/>
        <v>552</v>
      </c>
      <c r="L66" s="480">
        <v>3</v>
      </c>
      <c r="M66" s="45">
        <v>3</v>
      </c>
      <c r="N66" s="45">
        <v>191</v>
      </c>
      <c r="O66" s="205">
        <v>199</v>
      </c>
      <c r="P66" s="134">
        <v>35</v>
      </c>
      <c r="Q66" s="45">
        <v>37</v>
      </c>
      <c r="R66" s="45">
        <v>2</v>
      </c>
      <c r="S66" s="28"/>
      <c r="T66" s="45">
        <v>39</v>
      </c>
      <c r="U66" s="28">
        <v>43</v>
      </c>
      <c r="V66" s="45"/>
      <c r="W66" s="45"/>
      <c r="X66" s="529">
        <f t="shared" si="3"/>
        <v>508</v>
      </c>
      <c r="Y66" s="134">
        <v>211</v>
      </c>
      <c r="Z66" s="45">
        <v>220</v>
      </c>
      <c r="AA66" s="45">
        <v>37</v>
      </c>
      <c r="AB66" s="424">
        <v>40</v>
      </c>
      <c r="AC66" s="134"/>
    </row>
    <row r="67" spans="1:29">
      <c r="A67" s="175">
        <v>47</v>
      </c>
      <c r="B67" s="67" t="s">
        <v>133</v>
      </c>
      <c r="C67" s="111"/>
      <c r="D67" s="490">
        <v>20</v>
      </c>
      <c r="E67" s="572">
        <v>34</v>
      </c>
      <c r="F67" s="493">
        <f t="shared" si="5"/>
        <v>32</v>
      </c>
      <c r="G67" s="474">
        <v>7</v>
      </c>
      <c r="H67" s="477">
        <v>25</v>
      </c>
      <c r="I67" s="479"/>
      <c r="J67" s="496"/>
      <c r="K67" s="21">
        <f t="shared" si="6"/>
        <v>792</v>
      </c>
      <c r="L67" s="480"/>
      <c r="M67" s="45"/>
      <c r="N67" s="45">
        <v>252</v>
      </c>
      <c r="O67" s="205">
        <v>274</v>
      </c>
      <c r="P67" s="134">
        <v>68</v>
      </c>
      <c r="Q67" s="45">
        <v>46</v>
      </c>
      <c r="R67" s="45">
        <v>5</v>
      </c>
      <c r="S67" s="28">
        <v>5</v>
      </c>
      <c r="T67" s="45">
        <v>67</v>
      </c>
      <c r="U67" s="28">
        <v>67</v>
      </c>
      <c r="V67" s="45">
        <v>4</v>
      </c>
      <c r="W67" s="45">
        <v>4</v>
      </c>
      <c r="X67" s="529">
        <f t="shared" si="3"/>
        <v>723</v>
      </c>
      <c r="Y67" s="134">
        <v>308</v>
      </c>
      <c r="Z67" s="45">
        <v>288</v>
      </c>
      <c r="AA67" s="45">
        <v>66</v>
      </c>
      <c r="AB67" s="424">
        <v>61</v>
      </c>
      <c r="AC67" s="134"/>
    </row>
    <row r="68" spans="1:29">
      <c r="A68" s="175">
        <v>48</v>
      </c>
      <c r="B68" s="67" t="s">
        <v>134</v>
      </c>
      <c r="C68" s="111"/>
      <c r="D68" s="490">
        <v>37</v>
      </c>
      <c r="E68" s="572">
        <v>61</v>
      </c>
      <c r="F68" s="493">
        <f t="shared" si="5"/>
        <v>61</v>
      </c>
      <c r="G68" s="474">
        <v>9</v>
      </c>
      <c r="H68" s="477">
        <v>48</v>
      </c>
      <c r="I68" s="479">
        <v>2</v>
      </c>
      <c r="J68" s="496">
        <v>2</v>
      </c>
      <c r="K68" s="21">
        <f t="shared" si="6"/>
        <v>1396</v>
      </c>
      <c r="L68" s="480"/>
      <c r="M68" s="45">
        <v>2</v>
      </c>
      <c r="N68" s="45">
        <v>426</v>
      </c>
      <c r="O68" s="205">
        <v>449</v>
      </c>
      <c r="P68" s="134">
        <v>35</v>
      </c>
      <c r="Q68" s="45">
        <v>27</v>
      </c>
      <c r="R68" s="45">
        <v>12</v>
      </c>
      <c r="S68" s="28">
        <v>8</v>
      </c>
      <c r="T68" s="45">
        <v>199</v>
      </c>
      <c r="U68" s="28">
        <v>232</v>
      </c>
      <c r="V68" s="45">
        <v>4</v>
      </c>
      <c r="W68" s="45">
        <v>2</v>
      </c>
      <c r="X68" s="529">
        <f t="shared" si="3"/>
        <v>1238</v>
      </c>
      <c r="Y68" s="134">
        <v>424</v>
      </c>
      <c r="Z68" s="45">
        <v>445</v>
      </c>
      <c r="AA68" s="45">
        <v>175</v>
      </c>
      <c r="AB68" s="424">
        <v>194</v>
      </c>
      <c r="AC68" s="134"/>
    </row>
    <row r="69" spans="1:29">
      <c r="A69" s="175">
        <v>49</v>
      </c>
      <c r="B69" s="67" t="s">
        <v>135</v>
      </c>
      <c r="C69" s="111"/>
      <c r="D69" s="490">
        <v>17</v>
      </c>
      <c r="E69" s="572">
        <v>23</v>
      </c>
      <c r="F69" s="493">
        <f t="shared" si="5"/>
        <v>23</v>
      </c>
      <c r="G69" s="474">
        <v>2</v>
      </c>
      <c r="H69" s="477">
        <v>20</v>
      </c>
      <c r="I69" s="479">
        <v>1</v>
      </c>
      <c r="J69" s="496"/>
      <c r="K69" s="21">
        <f t="shared" si="6"/>
        <v>368</v>
      </c>
      <c r="L69" s="480">
        <v>2</v>
      </c>
      <c r="M69" s="45">
        <v>1</v>
      </c>
      <c r="N69" s="45">
        <v>104</v>
      </c>
      <c r="O69" s="205">
        <v>98</v>
      </c>
      <c r="P69" s="134">
        <v>32</v>
      </c>
      <c r="Q69" s="45">
        <v>37</v>
      </c>
      <c r="R69" s="45"/>
      <c r="S69" s="28"/>
      <c r="T69" s="45">
        <v>42</v>
      </c>
      <c r="U69" s="28">
        <v>50</v>
      </c>
      <c r="V69" s="45">
        <v>1</v>
      </c>
      <c r="W69" s="45">
        <v>1</v>
      </c>
      <c r="X69" s="529">
        <f t="shared" si="3"/>
        <v>339</v>
      </c>
      <c r="Y69" s="134">
        <v>131</v>
      </c>
      <c r="Z69" s="45">
        <v>130</v>
      </c>
      <c r="AA69" s="45">
        <v>36</v>
      </c>
      <c r="AB69" s="424">
        <v>42</v>
      </c>
      <c r="AC69" s="134"/>
    </row>
    <row r="70" spans="1:29">
      <c r="A70" s="175">
        <v>50</v>
      </c>
      <c r="B70" s="67" t="s">
        <v>136</v>
      </c>
      <c r="C70" s="111"/>
      <c r="D70" s="490">
        <v>39</v>
      </c>
      <c r="E70" s="572">
        <v>55</v>
      </c>
      <c r="F70" s="493">
        <f t="shared" si="5"/>
        <v>59</v>
      </c>
      <c r="G70" s="474">
        <v>25</v>
      </c>
      <c r="H70" s="477">
        <v>19</v>
      </c>
      <c r="I70" s="476">
        <v>5</v>
      </c>
      <c r="J70" s="495">
        <v>10</v>
      </c>
      <c r="K70" s="21">
        <f t="shared" si="6"/>
        <v>1517</v>
      </c>
      <c r="L70" s="480">
        <v>3</v>
      </c>
      <c r="M70" s="45">
        <v>5</v>
      </c>
      <c r="N70" s="45">
        <v>203</v>
      </c>
      <c r="O70" s="205">
        <v>210</v>
      </c>
      <c r="P70" s="134">
        <v>23</v>
      </c>
      <c r="Q70" s="45">
        <v>25</v>
      </c>
      <c r="R70" s="45">
        <v>10</v>
      </c>
      <c r="S70" s="28">
        <v>9</v>
      </c>
      <c r="T70" s="45">
        <v>402</v>
      </c>
      <c r="U70" s="28">
        <v>571</v>
      </c>
      <c r="V70" s="45">
        <v>20</v>
      </c>
      <c r="W70" s="45">
        <v>36</v>
      </c>
      <c r="X70" s="529">
        <f t="shared" si="3"/>
        <v>1332</v>
      </c>
      <c r="Y70" s="134">
        <v>223</v>
      </c>
      <c r="Z70" s="45">
        <v>229</v>
      </c>
      <c r="AA70" s="45">
        <v>367</v>
      </c>
      <c r="AB70" s="424">
        <v>513</v>
      </c>
      <c r="AC70" s="134"/>
    </row>
    <row r="71" spans="1:29">
      <c r="A71" s="175">
        <v>51</v>
      </c>
      <c r="B71" s="67" t="s">
        <v>137</v>
      </c>
      <c r="C71" s="111"/>
      <c r="D71" s="490">
        <v>89</v>
      </c>
      <c r="E71" s="572">
        <v>159</v>
      </c>
      <c r="F71" s="493">
        <f t="shared" si="5"/>
        <v>163</v>
      </c>
      <c r="G71" s="479">
        <v>46</v>
      </c>
      <c r="H71" s="477">
        <v>108</v>
      </c>
      <c r="I71" s="476">
        <v>6</v>
      </c>
      <c r="J71" s="495">
        <v>3</v>
      </c>
      <c r="K71" s="21">
        <f t="shared" si="6"/>
        <v>3889</v>
      </c>
      <c r="L71" s="480">
        <v>5</v>
      </c>
      <c r="M71" s="45">
        <v>3</v>
      </c>
      <c r="N71" s="45">
        <v>1523</v>
      </c>
      <c r="O71" s="205">
        <v>1414</v>
      </c>
      <c r="P71" s="134">
        <v>180</v>
      </c>
      <c r="Q71" s="45">
        <v>163</v>
      </c>
      <c r="R71" s="45">
        <v>2</v>
      </c>
      <c r="S71" s="28">
        <v>3</v>
      </c>
      <c r="T71" s="45">
        <v>282</v>
      </c>
      <c r="U71" s="28">
        <v>291</v>
      </c>
      <c r="V71" s="45">
        <v>10</v>
      </c>
      <c r="W71" s="45">
        <v>13</v>
      </c>
      <c r="X71" s="529">
        <f t="shared" si="3"/>
        <v>3484</v>
      </c>
      <c r="Y71" s="134">
        <v>1532</v>
      </c>
      <c r="Z71" s="45">
        <v>1432</v>
      </c>
      <c r="AA71" s="45">
        <v>254</v>
      </c>
      <c r="AB71" s="424">
        <v>266</v>
      </c>
      <c r="AC71" s="134"/>
    </row>
    <row r="72" spans="1:29">
      <c r="A72" s="175">
        <v>52</v>
      </c>
      <c r="B72" s="67" t="s">
        <v>138</v>
      </c>
      <c r="C72" s="111"/>
      <c r="D72" s="490">
        <v>64</v>
      </c>
      <c r="E72" s="572">
        <v>208</v>
      </c>
      <c r="F72" s="493">
        <f t="shared" si="5"/>
        <v>205</v>
      </c>
      <c r="G72" s="479">
        <v>50</v>
      </c>
      <c r="H72" s="477">
        <v>124</v>
      </c>
      <c r="I72" s="479">
        <v>11</v>
      </c>
      <c r="J72" s="496">
        <v>20</v>
      </c>
      <c r="K72" s="21">
        <f t="shared" si="6"/>
        <v>5070</v>
      </c>
      <c r="L72" s="480">
        <v>3</v>
      </c>
      <c r="M72" s="45">
        <v>3</v>
      </c>
      <c r="N72" s="45">
        <v>934</v>
      </c>
      <c r="O72" s="205">
        <v>869</v>
      </c>
      <c r="P72" s="134">
        <v>701</v>
      </c>
      <c r="Q72" s="45">
        <v>650</v>
      </c>
      <c r="R72" s="45">
        <v>26</v>
      </c>
      <c r="S72" s="28">
        <v>22</v>
      </c>
      <c r="T72" s="45">
        <v>814</v>
      </c>
      <c r="U72" s="28">
        <v>890</v>
      </c>
      <c r="V72" s="45">
        <v>71</v>
      </c>
      <c r="W72" s="45">
        <v>87</v>
      </c>
      <c r="X72" s="529">
        <f t="shared" si="3"/>
        <v>4770</v>
      </c>
      <c r="Y72" s="134">
        <v>1556</v>
      </c>
      <c r="Z72" s="45">
        <v>1474</v>
      </c>
      <c r="AA72" s="45">
        <v>824</v>
      </c>
      <c r="AB72" s="424">
        <v>916</v>
      </c>
      <c r="AC72" s="134"/>
    </row>
    <row r="73" spans="1:29">
      <c r="A73" s="175">
        <v>53</v>
      </c>
      <c r="B73" s="67" t="s">
        <v>139</v>
      </c>
      <c r="C73" s="111"/>
      <c r="D73" s="490">
        <v>46</v>
      </c>
      <c r="E73" s="572">
        <v>51</v>
      </c>
      <c r="F73" s="493">
        <f t="shared" si="5"/>
        <v>65</v>
      </c>
      <c r="G73" s="479">
        <v>7</v>
      </c>
      <c r="H73" s="477">
        <v>17</v>
      </c>
      <c r="I73" s="479">
        <v>17</v>
      </c>
      <c r="J73" s="496">
        <v>24</v>
      </c>
      <c r="K73" s="21">
        <f t="shared" si="6"/>
        <v>1740</v>
      </c>
      <c r="L73" s="480"/>
      <c r="M73" s="45">
        <v>1</v>
      </c>
      <c r="N73" s="45">
        <v>146</v>
      </c>
      <c r="O73" s="205">
        <v>129</v>
      </c>
      <c r="P73" s="134">
        <v>28</v>
      </c>
      <c r="Q73" s="45">
        <v>17</v>
      </c>
      <c r="R73" s="45">
        <v>60</v>
      </c>
      <c r="S73" s="28">
        <v>91</v>
      </c>
      <c r="T73" s="45">
        <v>462</v>
      </c>
      <c r="U73" s="28">
        <v>619</v>
      </c>
      <c r="V73" s="45">
        <v>77</v>
      </c>
      <c r="W73" s="45">
        <v>110</v>
      </c>
      <c r="X73" s="529">
        <f t="shared" si="3"/>
        <v>1391</v>
      </c>
      <c r="Y73" s="134">
        <v>166</v>
      </c>
      <c r="Z73" s="45">
        <v>136</v>
      </c>
      <c r="AA73" s="45">
        <v>445</v>
      </c>
      <c r="AB73" s="424">
        <v>644</v>
      </c>
      <c r="AC73" s="134"/>
    </row>
    <row r="74" spans="1:29">
      <c r="A74" s="175">
        <v>54</v>
      </c>
      <c r="B74" s="67" t="s">
        <v>140</v>
      </c>
      <c r="C74" s="111"/>
      <c r="D74" s="490">
        <v>26</v>
      </c>
      <c r="E74" s="572">
        <v>37</v>
      </c>
      <c r="F74" s="493">
        <f t="shared" si="5"/>
        <v>37</v>
      </c>
      <c r="G74" s="479">
        <v>9</v>
      </c>
      <c r="H74" s="477">
        <v>28</v>
      </c>
      <c r="I74" s="479"/>
      <c r="J74" s="496"/>
      <c r="K74" s="21">
        <f t="shared" si="6"/>
        <v>507</v>
      </c>
      <c r="L74" s="480">
        <v>1</v>
      </c>
      <c r="M74" s="45">
        <v>3</v>
      </c>
      <c r="N74" s="45">
        <v>178</v>
      </c>
      <c r="O74" s="205">
        <v>180</v>
      </c>
      <c r="P74" s="134">
        <v>40</v>
      </c>
      <c r="Q74" s="45">
        <v>37</v>
      </c>
      <c r="R74" s="45"/>
      <c r="S74" s="28"/>
      <c r="T74" s="45">
        <v>40</v>
      </c>
      <c r="U74" s="28">
        <v>22</v>
      </c>
      <c r="V74" s="45">
        <v>2</v>
      </c>
      <c r="W74" s="45">
        <v>4</v>
      </c>
      <c r="X74" s="529">
        <f t="shared" si="3"/>
        <v>501</v>
      </c>
      <c r="Y74" s="134">
        <v>212</v>
      </c>
      <c r="Z74" s="45">
        <v>215</v>
      </c>
      <c r="AA74" s="45">
        <v>47</v>
      </c>
      <c r="AB74" s="424">
        <v>27</v>
      </c>
      <c r="AC74" s="134"/>
    </row>
    <row r="75" spans="1:29">
      <c r="A75" s="175">
        <v>55</v>
      </c>
      <c r="B75" s="67" t="s">
        <v>141</v>
      </c>
      <c r="C75" s="111"/>
      <c r="D75" s="490">
        <v>62</v>
      </c>
      <c r="E75" s="572">
        <v>86</v>
      </c>
      <c r="F75" s="493">
        <f t="shared" si="5"/>
        <v>87</v>
      </c>
      <c r="G75" s="479">
        <v>19</v>
      </c>
      <c r="H75" s="477">
        <v>57</v>
      </c>
      <c r="I75" s="479">
        <v>6</v>
      </c>
      <c r="J75" s="496">
        <v>5</v>
      </c>
      <c r="K75" s="21">
        <f t="shared" si="6"/>
        <v>1960</v>
      </c>
      <c r="L75" s="480">
        <v>3</v>
      </c>
      <c r="M75" s="45">
        <v>1</v>
      </c>
      <c r="N75" s="45">
        <v>583</v>
      </c>
      <c r="O75" s="205">
        <v>709</v>
      </c>
      <c r="P75" s="134">
        <v>99</v>
      </c>
      <c r="Q75" s="45">
        <v>87</v>
      </c>
      <c r="R75" s="45">
        <v>2</v>
      </c>
      <c r="S75" s="28">
        <v>4</v>
      </c>
      <c r="T75" s="45">
        <v>229</v>
      </c>
      <c r="U75" s="28">
        <v>240</v>
      </c>
      <c r="V75" s="45">
        <v>3</v>
      </c>
      <c r="W75" s="45"/>
      <c r="X75" s="529">
        <f t="shared" si="3"/>
        <v>1839</v>
      </c>
      <c r="Y75" s="134">
        <v>644</v>
      </c>
      <c r="Z75" s="45">
        <v>764</v>
      </c>
      <c r="AA75" s="45">
        <v>206</v>
      </c>
      <c r="AB75" s="424">
        <v>225</v>
      </c>
      <c r="AC75" s="134"/>
    </row>
    <row r="76" spans="1:29">
      <c r="A76" s="175">
        <v>56</v>
      </c>
      <c r="B76" s="67" t="s">
        <v>142</v>
      </c>
      <c r="C76" s="111"/>
      <c r="D76" s="490">
        <v>57</v>
      </c>
      <c r="E76" s="572">
        <v>191</v>
      </c>
      <c r="F76" s="493">
        <f t="shared" si="5"/>
        <v>227</v>
      </c>
      <c r="G76" s="479">
        <v>41</v>
      </c>
      <c r="H76" s="477">
        <v>159</v>
      </c>
      <c r="I76" s="479">
        <v>13</v>
      </c>
      <c r="J76" s="496">
        <v>14</v>
      </c>
      <c r="K76" s="21">
        <f t="shared" si="6"/>
        <v>5257</v>
      </c>
      <c r="L76" s="480">
        <v>45</v>
      </c>
      <c r="M76" s="45">
        <v>81</v>
      </c>
      <c r="N76" s="45">
        <v>1538</v>
      </c>
      <c r="O76" s="205">
        <v>1507</v>
      </c>
      <c r="P76" s="134">
        <v>156</v>
      </c>
      <c r="Q76" s="45">
        <v>192</v>
      </c>
      <c r="R76" s="45">
        <v>38</v>
      </c>
      <c r="S76" s="28">
        <v>36</v>
      </c>
      <c r="T76" s="45">
        <v>814</v>
      </c>
      <c r="U76" s="28">
        <v>782</v>
      </c>
      <c r="V76" s="45">
        <v>39</v>
      </c>
      <c r="W76" s="45">
        <v>29</v>
      </c>
      <c r="X76" s="529">
        <f t="shared" si="3"/>
        <v>4832</v>
      </c>
      <c r="Y76" s="134">
        <v>1641</v>
      </c>
      <c r="Z76" s="45">
        <v>1657</v>
      </c>
      <c r="AA76" s="45">
        <v>780</v>
      </c>
      <c r="AB76" s="424">
        <v>754</v>
      </c>
      <c r="AC76" s="134"/>
    </row>
    <row r="77" spans="1:29">
      <c r="A77" s="175">
        <v>57</v>
      </c>
      <c r="B77" s="67" t="s">
        <v>143</v>
      </c>
      <c r="C77" s="111"/>
      <c r="D77" s="490">
        <v>6</v>
      </c>
      <c r="E77" s="572">
        <v>8</v>
      </c>
      <c r="F77" s="493">
        <f t="shared" si="5"/>
        <v>10</v>
      </c>
      <c r="G77" s="479">
        <v>1</v>
      </c>
      <c r="H77" s="477">
        <v>5</v>
      </c>
      <c r="I77" s="479">
        <v>3</v>
      </c>
      <c r="J77" s="496">
        <v>1</v>
      </c>
      <c r="K77" s="21">
        <f t="shared" si="6"/>
        <v>264</v>
      </c>
      <c r="L77" s="480">
        <v>4</v>
      </c>
      <c r="M77" s="45">
        <v>5</v>
      </c>
      <c r="N77" s="45">
        <v>32</v>
      </c>
      <c r="O77" s="205">
        <v>27</v>
      </c>
      <c r="P77" s="134">
        <v>3</v>
      </c>
      <c r="Q77" s="45"/>
      <c r="R77" s="45">
        <v>8</v>
      </c>
      <c r="S77" s="28">
        <v>21</v>
      </c>
      <c r="T77" s="45">
        <v>71</v>
      </c>
      <c r="U77" s="28">
        <v>86</v>
      </c>
      <c r="V77" s="45">
        <v>3</v>
      </c>
      <c r="W77" s="45">
        <v>4</v>
      </c>
      <c r="X77" s="529">
        <f t="shared" ref="X77:X140" si="7">SUM(Y77:AB77)</f>
        <v>245</v>
      </c>
      <c r="Y77" s="134">
        <v>39</v>
      </c>
      <c r="Z77" s="45">
        <v>24</v>
      </c>
      <c r="AA77" s="45">
        <v>74</v>
      </c>
      <c r="AB77" s="424">
        <v>108</v>
      </c>
      <c r="AC77" s="134"/>
    </row>
    <row r="78" spans="1:29">
      <c r="A78" s="175">
        <v>58</v>
      </c>
      <c r="B78" s="67" t="s">
        <v>144</v>
      </c>
      <c r="C78" s="111"/>
      <c r="D78" s="490">
        <v>27</v>
      </c>
      <c r="E78" s="572">
        <v>31</v>
      </c>
      <c r="F78" s="493">
        <f t="shared" si="5"/>
        <v>31</v>
      </c>
      <c r="G78" s="479">
        <v>11</v>
      </c>
      <c r="H78" s="477">
        <v>20</v>
      </c>
      <c r="I78" s="479"/>
      <c r="J78" s="496"/>
      <c r="K78" s="21">
        <f>SUM(L78:W78)</f>
        <v>444</v>
      </c>
      <c r="L78" s="480"/>
      <c r="M78" s="45"/>
      <c r="N78" s="45">
        <v>142</v>
      </c>
      <c r="O78" s="205">
        <v>166</v>
      </c>
      <c r="P78" s="134">
        <v>31</v>
      </c>
      <c r="Q78" s="45">
        <v>30</v>
      </c>
      <c r="R78" s="45">
        <v>6</v>
      </c>
      <c r="S78" s="28">
        <v>13</v>
      </c>
      <c r="T78" s="45">
        <v>35</v>
      </c>
      <c r="U78" s="28">
        <v>14</v>
      </c>
      <c r="V78" s="45">
        <v>1</v>
      </c>
      <c r="W78" s="45">
        <v>6</v>
      </c>
      <c r="X78" s="529">
        <f t="shared" si="7"/>
        <v>414</v>
      </c>
      <c r="Y78" s="134">
        <v>163</v>
      </c>
      <c r="Z78" s="45">
        <v>188</v>
      </c>
      <c r="AA78" s="45">
        <v>36</v>
      </c>
      <c r="AB78" s="424">
        <v>27</v>
      </c>
      <c r="AC78" s="134"/>
    </row>
    <row r="79" spans="1:29">
      <c r="A79" s="175">
        <v>59</v>
      </c>
      <c r="B79" s="67" t="s">
        <v>145</v>
      </c>
      <c r="C79" s="111" t="s">
        <v>428</v>
      </c>
      <c r="D79" s="607">
        <v>18</v>
      </c>
      <c r="E79" s="572">
        <v>26</v>
      </c>
      <c r="F79" s="493">
        <f t="shared" si="5"/>
        <v>27</v>
      </c>
      <c r="G79" s="473">
        <v>7</v>
      </c>
      <c r="H79" s="479">
        <v>18</v>
      </c>
      <c r="I79" s="477">
        <v>1</v>
      </c>
      <c r="J79" s="496">
        <v>1</v>
      </c>
      <c r="K79" s="21">
        <f t="shared" ref="K79:K102" si="8">SUM(L79:W79)</f>
        <v>546</v>
      </c>
      <c r="L79" s="480">
        <v>1</v>
      </c>
      <c r="M79" s="45">
        <v>1</v>
      </c>
      <c r="N79" s="45">
        <v>179</v>
      </c>
      <c r="O79" s="205">
        <v>184</v>
      </c>
      <c r="P79" s="134">
        <v>25</v>
      </c>
      <c r="Q79" s="45">
        <v>39</v>
      </c>
      <c r="R79" s="45">
        <v>3</v>
      </c>
      <c r="S79" s="28">
        <v>1</v>
      </c>
      <c r="T79" s="45">
        <v>54</v>
      </c>
      <c r="U79" s="28">
        <v>55</v>
      </c>
      <c r="V79" s="45">
        <v>1</v>
      </c>
      <c r="W79" s="45">
        <v>3</v>
      </c>
      <c r="X79" s="529">
        <f t="shared" si="7"/>
        <v>488</v>
      </c>
      <c r="Y79" s="134">
        <v>186</v>
      </c>
      <c r="Z79" s="45">
        <v>206</v>
      </c>
      <c r="AA79" s="45">
        <v>44</v>
      </c>
      <c r="AB79" s="424">
        <v>52</v>
      </c>
      <c r="AC79" s="134"/>
    </row>
    <row r="80" spans="1:29">
      <c r="A80" s="175">
        <v>60</v>
      </c>
      <c r="B80" s="67" t="s">
        <v>146</v>
      </c>
      <c r="C80" s="111"/>
      <c r="D80" s="607">
        <v>73</v>
      </c>
      <c r="E80" s="572">
        <v>123</v>
      </c>
      <c r="F80" s="493">
        <f t="shared" si="5"/>
        <v>148</v>
      </c>
      <c r="G80" s="473">
        <v>12</v>
      </c>
      <c r="H80" s="479">
        <v>71</v>
      </c>
      <c r="I80" s="477">
        <v>28</v>
      </c>
      <c r="J80" s="496">
        <v>37</v>
      </c>
      <c r="K80" s="21">
        <f t="shared" si="8"/>
        <v>3374</v>
      </c>
      <c r="L80" s="480">
        <v>5</v>
      </c>
      <c r="M80" s="45">
        <v>5</v>
      </c>
      <c r="N80" s="45">
        <v>541</v>
      </c>
      <c r="O80" s="205">
        <v>530</v>
      </c>
      <c r="P80" s="134">
        <v>86</v>
      </c>
      <c r="Q80" s="45">
        <v>129</v>
      </c>
      <c r="R80" s="45">
        <v>55</v>
      </c>
      <c r="S80" s="28">
        <v>52</v>
      </c>
      <c r="T80" s="45">
        <v>715</v>
      </c>
      <c r="U80" s="28">
        <v>894</v>
      </c>
      <c r="V80" s="45">
        <v>168</v>
      </c>
      <c r="W80" s="45">
        <v>194</v>
      </c>
      <c r="X80" s="529">
        <f t="shared" si="7"/>
        <v>2932</v>
      </c>
      <c r="Y80" s="134">
        <v>587</v>
      </c>
      <c r="Z80" s="45">
        <v>620</v>
      </c>
      <c r="AA80" s="45">
        <v>715</v>
      </c>
      <c r="AB80" s="424">
        <v>1010</v>
      </c>
      <c r="AC80" s="134"/>
    </row>
    <row r="81" spans="1:29">
      <c r="A81" s="175">
        <v>61</v>
      </c>
      <c r="B81" s="67" t="s">
        <v>147</v>
      </c>
      <c r="C81" s="111"/>
      <c r="D81" s="607">
        <v>14</v>
      </c>
      <c r="E81" s="572">
        <v>21</v>
      </c>
      <c r="F81" s="493">
        <f t="shared" si="5"/>
        <v>23</v>
      </c>
      <c r="G81" s="473">
        <v>3</v>
      </c>
      <c r="H81" s="479">
        <v>19</v>
      </c>
      <c r="I81" s="477"/>
      <c r="J81" s="496">
        <v>1</v>
      </c>
      <c r="K81" s="21">
        <f t="shared" si="8"/>
        <v>374</v>
      </c>
      <c r="L81" s="480">
        <v>1</v>
      </c>
      <c r="M81" s="45"/>
      <c r="N81" s="45">
        <v>121</v>
      </c>
      <c r="O81" s="205">
        <v>124</v>
      </c>
      <c r="P81" s="134">
        <v>32</v>
      </c>
      <c r="Q81" s="45">
        <v>25</v>
      </c>
      <c r="R81" s="45"/>
      <c r="S81" s="28"/>
      <c r="T81" s="45">
        <v>39</v>
      </c>
      <c r="U81" s="28">
        <v>26</v>
      </c>
      <c r="V81" s="45">
        <v>2</v>
      </c>
      <c r="W81" s="45">
        <v>4</v>
      </c>
      <c r="X81" s="529">
        <f t="shared" si="7"/>
        <v>354</v>
      </c>
      <c r="Y81" s="134">
        <v>140</v>
      </c>
      <c r="Z81" s="45">
        <v>147</v>
      </c>
      <c r="AA81" s="45">
        <v>38</v>
      </c>
      <c r="AB81" s="424">
        <v>29</v>
      </c>
      <c r="AC81" s="134"/>
    </row>
    <row r="82" spans="1:29">
      <c r="A82" s="175">
        <v>62</v>
      </c>
      <c r="B82" s="67" t="s">
        <v>148</v>
      </c>
      <c r="C82" s="111"/>
      <c r="D82" s="607">
        <v>78</v>
      </c>
      <c r="E82" s="572">
        <v>96</v>
      </c>
      <c r="F82" s="493">
        <f t="shared" si="5"/>
        <v>111</v>
      </c>
      <c r="G82" s="473">
        <v>19</v>
      </c>
      <c r="H82" s="479">
        <v>81</v>
      </c>
      <c r="I82" s="477">
        <v>4</v>
      </c>
      <c r="J82" s="496">
        <v>7</v>
      </c>
      <c r="K82" s="21">
        <f t="shared" si="8"/>
        <v>1961</v>
      </c>
      <c r="L82" s="480">
        <v>1</v>
      </c>
      <c r="M82" s="45">
        <v>1</v>
      </c>
      <c r="N82" s="45">
        <v>638</v>
      </c>
      <c r="O82" s="205">
        <v>653</v>
      </c>
      <c r="P82" s="134">
        <v>85</v>
      </c>
      <c r="Q82" s="45">
        <v>77</v>
      </c>
      <c r="R82" s="45">
        <v>5</v>
      </c>
      <c r="S82" s="28">
        <v>4</v>
      </c>
      <c r="T82" s="446">
        <v>240</v>
      </c>
      <c r="U82" s="28">
        <v>235</v>
      </c>
      <c r="V82" s="45">
        <v>13</v>
      </c>
      <c r="W82" s="45">
        <v>9</v>
      </c>
      <c r="X82" s="529">
        <f t="shared" si="7"/>
        <v>1833</v>
      </c>
      <c r="Y82" s="134">
        <v>672</v>
      </c>
      <c r="Z82" s="45">
        <v>694</v>
      </c>
      <c r="AA82" s="45">
        <v>237</v>
      </c>
      <c r="AB82" s="424">
        <v>230</v>
      </c>
      <c r="AC82" s="134"/>
    </row>
    <row r="83" spans="1:29">
      <c r="A83" s="175">
        <v>63</v>
      </c>
      <c r="B83" s="67" t="s">
        <v>149</v>
      </c>
      <c r="C83" s="111"/>
      <c r="D83" s="607">
        <v>31</v>
      </c>
      <c r="E83" s="572">
        <v>59</v>
      </c>
      <c r="F83" s="493">
        <f t="shared" si="5"/>
        <v>63</v>
      </c>
      <c r="G83" s="473">
        <v>14</v>
      </c>
      <c r="H83" s="479">
        <v>43</v>
      </c>
      <c r="I83" s="477">
        <v>3</v>
      </c>
      <c r="J83" s="496">
        <v>3</v>
      </c>
      <c r="K83" s="21">
        <f t="shared" si="8"/>
        <v>1513</v>
      </c>
      <c r="L83" s="480">
        <v>2</v>
      </c>
      <c r="M83" s="45">
        <v>2</v>
      </c>
      <c r="N83" s="45">
        <v>479</v>
      </c>
      <c r="O83" s="205">
        <v>473</v>
      </c>
      <c r="P83" s="134">
        <v>153</v>
      </c>
      <c r="Q83" s="45">
        <v>81</v>
      </c>
      <c r="R83" s="45">
        <v>2</v>
      </c>
      <c r="S83" s="28"/>
      <c r="T83" s="45">
        <v>145</v>
      </c>
      <c r="U83" s="28">
        <v>168</v>
      </c>
      <c r="V83" s="45">
        <v>5</v>
      </c>
      <c r="W83" s="45">
        <v>3</v>
      </c>
      <c r="X83" s="529">
        <f t="shared" si="7"/>
        <v>1377</v>
      </c>
      <c r="Y83" s="134">
        <v>598</v>
      </c>
      <c r="Z83" s="45">
        <v>522</v>
      </c>
      <c r="AA83" s="45">
        <v>120</v>
      </c>
      <c r="AB83" s="424">
        <v>137</v>
      </c>
      <c r="AC83" s="134"/>
    </row>
    <row r="84" spans="1:29">
      <c r="A84" s="175">
        <v>64</v>
      </c>
      <c r="B84" s="67" t="s">
        <v>150</v>
      </c>
      <c r="C84" s="111"/>
      <c r="D84" s="607">
        <v>20</v>
      </c>
      <c r="E84" s="572">
        <v>40</v>
      </c>
      <c r="F84" s="493">
        <f t="shared" si="5"/>
        <v>46</v>
      </c>
      <c r="G84" s="473">
        <v>7</v>
      </c>
      <c r="H84" s="479">
        <v>36</v>
      </c>
      <c r="I84" s="477">
        <v>1</v>
      </c>
      <c r="J84" s="496">
        <v>2</v>
      </c>
      <c r="K84" s="21">
        <f t="shared" si="8"/>
        <v>1046</v>
      </c>
      <c r="L84" s="480">
        <v>12</v>
      </c>
      <c r="M84" s="45">
        <v>9</v>
      </c>
      <c r="N84" s="45">
        <v>236</v>
      </c>
      <c r="O84" s="205">
        <v>257</v>
      </c>
      <c r="P84" s="134">
        <v>7</v>
      </c>
      <c r="Q84" s="45">
        <v>30</v>
      </c>
      <c r="R84" s="45">
        <v>25</v>
      </c>
      <c r="S84" s="28">
        <v>24</v>
      </c>
      <c r="T84" s="45">
        <v>215</v>
      </c>
      <c r="U84" s="28">
        <v>228</v>
      </c>
      <c r="V84" s="45"/>
      <c r="W84" s="45">
        <v>3</v>
      </c>
      <c r="X84" s="529">
        <f t="shared" si="7"/>
        <v>952</v>
      </c>
      <c r="Y84" s="134">
        <v>238</v>
      </c>
      <c r="Z84" s="45">
        <v>284</v>
      </c>
      <c r="AA84" s="45">
        <v>211</v>
      </c>
      <c r="AB84" s="424">
        <v>219</v>
      </c>
      <c r="AC84" s="134"/>
    </row>
    <row r="85" spans="1:29">
      <c r="A85" s="175">
        <v>65</v>
      </c>
      <c r="B85" s="67" t="s">
        <v>151</v>
      </c>
      <c r="C85" s="111"/>
      <c r="D85" s="607">
        <v>89</v>
      </c>
      <c r="E85" s="572">
        <v>120</v>
      </c>
      <c r="F85" s="493">
        <f t="shared" si="5"/>
        <v>120</v>
      </c>
      <c r="G85" s="473">
        <v>29</v>
      </c>
      <c r="H85" s="479">
        <v>74</v>
      </c>
      <c r="I85" s="477">
        <v>10</v>
      </c>
      <c r="J85" s="496">
        <v>7</v>
      </c>
      <c r="K85" s="21">
        <f t="shared" si="8"/>
        <v>2037</v>
      </c>
      <c r="L85" s="480">
        <v>5</v>
      </c>
      <c r="M85" s="45">
        <v>8</v>
      </c>
      <c r="N85" s="45">
        <v>579</v>
      </c>
      <c r="O85" s="205">
        <v>568</v>
      </c>
      <c r="P85" s="134">
        <v>121</v>
      </c>
      <c r="Q85" s="446">
        <v>105</v>
      </c>
      <c r="R85" s="45">
        <v>1</v>
      </c>
      <c r="S85" s="28">
        <v>1</v>
      </c>
      <c r="T85" s="45">
        <v>238</v>
      </c>
      <c r="U85" s="28">
        <v>342</v>
      </c>
      <c r="V85" s="45">
        <v>35</v>
      </c>
      <c r="W85" s="45">
        <v>34</v>
      </c>
      <c r="X85" s="529">
        <f t="shared" si="7"/>
        <v>1872</v>
      </c>
      <c r="Y85" s="134">
        <v>651</v>
      </c>
      <c r="Z85" s="45">
        <v>631</v>
      </c>
      <c r="AA85" s="45">
        <v>250</v>
      </c>
      <c r="AB85" s="424">
        <v>340</v>
      </c>
      <c r="AC85" s="134"/>
    </row>
    <row r="86" spans="1:29">
      <c r="A86" s="175">
        <v>66</v>
      </c>
      <c r="B86" s="67" t="s">
        <v>152</v>
      </c>
      <c r="C86" s="111"/>
      <c r="D86" s="607">
        <v>36</v>
      </c>
      <c r="E86" s="572">
        <v>141</v>
      </c>
      <c r="F86" s="493">
        <f t="shared" ref="F86:F163" si="9">SUM(G86:J86)</f>
        <v>151</v>
      </c>
      <c r="G86" s="473">
        <v>54</v>
      </c>
      <c r="H86" s="479">
        <v>78</v>
      </c>
      <c r="I86" s="477">
        <v>7</v>
      </c>
      <c r="J86" s="496">
        <v>12</v>
      </c>
      <c r="K86" s="21">
        <f t="shared" si="8"/>
        <v>3294</v>
      </c>
      <c r="L86" s="480">
        <v>9</v>
      </c>
      <c r="M86" s="45">
        <v>6</v>
      </c>
      <c r="N86" s="45">
        <v>500</v>
      </c>
      <c r="O86" s="205">
        <v>507</v>
      </c>
      <c r="P86" s="134">
        <v>607</v>
      </c>
      <c r="Q86" s="45">
        <v>399</v>
      </c>
      <c r="R86" s="45">
        <v>16</v>
      </c>
      <c r="S86" s="28">
        <v>17</v>
      </c>
      <c r="T86" s="45">
        <v>586</v>
      </c>
      <c r="U86" s="28">
        <v>634</v>
      </c>
      <c r="V86" s="45">
        <v>5</v>
      </c>
      <c r="W86" s="45">
        <v>8</v>
      </c>
      <c r="X86" s="529">
        <f t="shared" si="7"/>
        <v>3060</v>
      </c>
      <c r="Y86" s="134">
        <v>1076</v>
      </c>
      <c r="Z86" s="45">
        <v>879</v>
      </c>
      <c r="AA86" s="45">
        <v>535</v>
      </c>
      <c r="AB86" s="424">
        <v>570</v>
      </c>
      <c r="AC86" s="134"/>
    </row>
    <row r="87" spans="1:29">
      <c r="A87" s="175">
        <v>67</v>
      </c>
      <c r="B87" s="67" t="s">
        <v>153</v>
      </c>
      <c r="C87" s="110"/>
      <c r="D87" s="607">
        <v>16</v>
      </c>
      <c r="E87" s="572">
        <v>26</v>
      </c>
      <c r="F87" s="493">
        <f t="shared" si="9"/>
        <v>23</v>
      </c>
      <c r="G87" s="473">
        <v>7</v>
      </c>
      <c r="H87" s="479">
        <v>13</v>
      </c>
      <c r="I87" s="477">
        <v>3</v>
      </c>
      <c r="J87" s="496"/>
      <c r="K87" s="21">
        <f t="shared" si="8"/>
        <v>514</v>
      </c>
      <c r="L87" s="480">
        <v>1</v>
      </c>
      <c r="M87" s="45">
        <v>1</v>
      </c>
      <c r="N87" s="45">
        <v>190</v>
      </c>
      <c r="O87" s="205">
        <v>159</v>
      </c>
      <c r="P87" s="134">
        <v>66</v>
      </c>
      <c r="Q87" s="45">
        <v>30</v>
      </c>
      <c r="R87" s="45"/>
      <c r="S87" s="28"/>
      <c r="T87" s="45">
        <v>40</v>
      </c>
      <c r="U87" s="28">
        <v>24</v>
      </c>
      <c r="V87" s="45">
        <v>3</v>
      </c>
      <c r="W87" s="45"/>
      <c r="X87" s="529">
        <f t="shared" si="7"/>
        <v>491</v>
      </c>
      <c r="Y87" s="134">
        <v>246</v>
      </c>
      <c r="Z87" s="45">
        <v>181</v>
      </c>
      <c r="AA87" s="45">
        <v>41</v>
      </c>
      <c r="AB87" s="424">
        <v>23</v>
      </c>
      <c r="AC87" s="134"/>
    </row>
    <row r="88" spans="1:29">
      <c r="A88" s="175">
        <v>68</v>
      </c>
      <c r="B88" s="67" t="s">
        <v>154</v>
      </c>
      <c r="C88" s="111"/>
      <c r="D88" s="607">
        <v>24</v>
      </c>
      <c r="E88" s="572">
        <v>28</v>
      </c>
      <c r="F88" s="493">
        <f t="shared" si="9"/>
        <v>28</v>
      </c>
      <c r="G88" s="473">
        <v>5</v>
      </c>
      <c r="H88" s="479">
        <v>23</v>
      </c>
      <c r="I88" s="477"/>
      <c r="J88" s="496"/>
      <c r="K88" s="21">
        <f t="shared" si="8"/>
        <v>442</v>
      </c>
      <c r="L88" s="480"/>
      <c r="M88" s="45">
        <v>2</v>
      </c>
      <c r="N88" s="45">
        <v>166</v>
      </c>
      <c r="O88" s="205">
        <v>167</v>
      </c>
      <c r="P88" s="134">
        <v>33</v>
      </c>
      <c r="Q88" s="45">
        <v>33</v>
      </c>
      <c r="R88" s="45"/>
      <c r="S88" s="28"/>
      <c r="T88" s="45">
        <v>19</v>
      </c>
      <c r="U88" s="28">
        <v>20</v>
      </c>
      <c r="V88" s="45"/>
      <c r="W88" s="45">
        <v>2</v>
      </c>
      <c r="X88" s="529">
        <f t="shared" si="7"/>
        <v>400</v>
      </c>
      <c r="Y88" s="134">
        <v>181</v>
      </c>
      <c r="Z88" s="45">
        <v>185</v>
      </c>
      <c r="AA88" s="45">
        <v>17</v>
      </c>
      <c r="AB88" s="424">
        <v>17</v>
      </c>
      <c r="AC88" s="134"/>
    </row>
    <row r="89" spans="1:29">
      <c r="A89" s="175">
        <v>69</v>
      </c>
      <c r="B89" s="67" t="s">
        <v>155</v>
      </c>
      <c r="C89" s="111"/>
      <c r="D89" s="607">
        <v>22</v>
      </c>
      <c r="E89" s="572">
        <v>27</v>
      </c>
      <c r="F89" s="493">
        <f t="shared" si="9"/>
        <v>27</v>
      </c>
      <c r="G89" s="473">
        <v>8</v>
      </c>
      <c r="H89" s="479">
        <v>12</v>
      </c>
      <c r="I89" s="477">
        <v>4</v>
      </c>
      <c r="J89" s="496">
        <v>3</v>
      </c>
      <c r="K89" s="21">
        <f t="shared" si="8"/>
        <v>676</v>
      </c>
      <c r="L89" s="480">
        <v>1</v>
      </c>
      <c r="M89" s="45"/>
      <c r="N89" s="45">
        <v>175</v>
      </c>
      <c r="O89" s="205">
        <v>158</v>
      </c>
      <c r="P89" s="134">
        <v>33</v>
      </c>
      <c r="Q89" s="45">
        <v>22</v>
      </c>
      <c r="R89" s="45"/>
      <c r="S89" s="28"/>
      <c r="T89" s="45">
        <v>110</v>
      </c>
      <c r="U89" s="28">
        <v>129</v>
      </c>
      <c r="V89" s="45">
        <v>22</v>
      </c>
      <c r="W89" s="45">
        <v>26</v>
      </c>
      <c r="X89" s="529">
        <f t="shared" si="7"/>
        <v>570</v>
      </c>
      <c r="Y89" s="134">
        <v>187</v>
      </c>
      <c r="Z89" s="45">
        <v>156</v>
      </c>
      <c r="AA89" s="45">
        <v>108</v>
      </c>
      <c r="AB89" s="424">
        <v>119</v>
      </c>
      <c r="AC89" s="134"/>
    </row>
    <row r="90" spans="1:29">
      <c r="A90" s="175">
        <v>70</v>
      </c>
      <c r="B90" s="67" t="s">
        <v>156</v>
      </c>
      <c r="C90" s="111"/>
      <c r="D90" s="607">
        <v>31</v>
      </c>
      <c r="E90" s="572">
        <v>44</v>
      </c>
      <c r="F90" s="493">
        <f t="shared" si="9"/>
        <v>53</v>
      </c>
      <c r="G90" s="473">
        <v>8</v>
      </c>
      <c r="H90" s="479">
        <v>17</v>
      </c>
      <c r="I90" s="477">
        <v>13</v>
      </c>
      <c r="J90" s="496">
        <v>15</v>
      </c>
      <c r="K90" s="21">
        <f t="shared" si="8"/>
        <v>1371</v>
      </c>
      <c r="L90" s="480">
        <v>13</v>
      </c>
      <c r="M90" s="45">
        <v>10</v>
      </c>
      <c r="N90" s="45">
        <v>148</v>
      </c>
      <c r="O90" s="205">
        <v>141</v>
      </c>
      <c r="P90" s="134">
        <v>9</v>
      </c>
      <c r="Q90" s="45">
        <v>7</v>
      </c>
      <c r="R90" s="45">
        <v>33</v>
      </c>
      <c r="S90" s="28">
        <v>35</v>
      </c>
      <c r="T90" s="45">
        <v>354</v>
      </c>
      <c r="U90" s="28">
        <v>412</v>
      </c>
      <c r="V90" s="45">
        <v>39</v>
      </c>
      <c r="W90" s="45">
        <v>170</v>
      </c>
      <c r="X90" s="529">
        <f t="shared" si="7"/>
        <v>1200</v>
      </c>
      <c r="Y90" s="134">
        <v>167</v>
      </c>
      <c r="Z90" s="45">
        <v>162</v>
      </c>
      <c r="AA90" s="45">
        <v>344</v>
      </c>
      <c r="AB90" s="424">
        <v>527</v>
      </c>
      <c r="AC90" s="134"/>
    </row>
    <row r="91" spans="1:29">
      <c r="A91" s="175">
        <v>71</v>
      </c>
      <c r="B91" s="67" t="s">
        <v>157</v>
      </c>
      <c r="C91" s="111"/>
      <c r="D91" s="607">
        <v>15</v>
      </c>
      <c r="E91" s="572">
        <v>15</v>
      </c>
      <c r="F91" s="493">
        <f t="shared" si="9"/>
        <v>19</v>
      </c>
      <c r="G91" s="473">
        <v>4</v>
      </c>
      <c r="H91" s="479">
        <v>15</v>
      </c>
      <c r="I91" s="477"/>
      <c r="J91" s="496"/>
      <c r="K91" s="21">
        <f t="shared" si="8"/>
        <v>158</v>
      </c>
      <c r="L91" s="480">
        <v>1</v>
      </c>
      <c r="M91" s="45"/>
      <c r="N91" s="45">
        <v>55</v>
      </c>
      <c r="O91" s="205">
        <v>58</v>
      </c>
      <c r="P91" s="134">
        <v>29</v>
      </c>
      <c r="Q91" s="45">
        <v>15</v>
      </c>
      <c r="R91" s="45"/>
      <c r="S91" s="28"/>
      <c r="T91" s="45"/>
      <c r="U91" s="28"/>
      <c r="V91" s="45"/>
      <c r="W91" s="45"/>
      <c r="X91" s="529">
        <f t="shared" si="7"/>
        <v>150</v>
      </c>
      <c r="Y91" s="134">
        <v>79</v>
      </c>
      <c r="Z91" s="45">
        <v>71</v>
      </c>
      <c r="AA91" s="45"/>
      <c r="AB91" s="424"/>
      <c r="AC91" s="134"/>
    </row>
    <row r="92" spans="1:29">
      <c r="A92" s="175">
        <v>72</v>
      </c>
      <c r="B92" s="67" t="s">
        <v>158</v>
      </c>
      <c r="C92" s="111"/>
      <c r="D92" s="607">
        <v>61</v>
      </c>
      <c r="E92" s="572">
        <v>84</v>
      </c>
      <c r="F92" s="493">
        <f t="shared" si="9"/>
        <v>90</v>
      </c>
      <c r="G92" s="473">
        <v>18</v>
      </c>
      <c r="H92" s="479">
        <v>65</v>
      </c>
      <c r="I92" s="477">
        <v>5</v>
      </c>
      <c r="J92" s="496">
        <v>2</v>
      </c>
      <c r="K92" s="21">
        <f t="shared" si="8"/>
        <v>1841</v>
      </c>
      <c r="L92" s="480"/>
      <c r="M92" s="45">
        <v>1</v>
      </c>
      <c r="N92" s="45">
        <v>589</v>
      </c>
      <c r="O92" s="205">
        <v>528</v>
      </c>
      <c r="P92" s="134">
        <v>83</v>
      </c>
      <c r="Q92" s="45">
        <v>109</v>
      </c>
      <c r="R92" s="45">
        <v>4</v>
      </c>
      <c r="S92" s="28">
        <v>5</v>
      </c>
      <c r="T92" s="45">
        <v>263</v>
      </c>
      <c r="U92" s="28">
        <v>247</v>
      </c>
      <c r="V92" s="45">
        <v>7</v>
      </c>
      <c r="W92" s="45">
        <v>5</v>
      </c>
      <c r="X92" s="529">
        <f t="shared" si="7"/>
        <v>1640</v>
      </c>
      <c r="Y92" s="134">
        <v>606</v>
      </c>
      <c r="Z92" s="45">
        <v>584</v>
      </c>
      <c r="AA92" s="45">
        <v>234</v>
      </c>
      <c r="AB92" s="424">
        <v>216</v>
      </c>
      <c r="AC92" s="134"/>
    </row>
    <row r="93" spans="1:29">
      <c r="A93" s="175">
        <v>73</v>
      </c>
      <c r="B93" s="67" t="s">
        <v>159</v>
      </c>
      <c r="C93" s="111"/>
      <c r="D93" s="607">
        <v>40</v>
      </c>
      <c r="E93" s="572">
        <v>53</v>
      </c>
      <c r="F93" s="493">
        <f t="shared" si="9"/>
        <v>52</v>
      </c>
      <c r="G93" s="473">
        <v>7</v>
      </c>
      <c r="H93" s="479">
        <v>36</v>
      </c>
      <c r="I93" s="477">
        <v>3</v>
      </c>
      <c r="J93" s="496">
        <v>6</v>
      </c>
      <c r="K93" s="21">
        <f t="shared" si="8"/>
        <v>743</v>
      </c>
      <c r="L93" s="480">
        <v>1</v>
      </c>
      <c r="M93" s="45">
        <v>2</v>
      </c>
      <c r="N93" s="45">
        <v>196</v>
      </c>
      <c r="O93" s="205">
        <v>195</v>
      </c>
      <c r="P93" s="134">
        <v>41</v>
      </c>
      <c r="Q93" s="45">
        <v>39</v>
      </c>
      <c r="R93" s="45">
        <v>15</v>
      </c>
      <c r="S93" s="28">
        <v>14</v>
      </c>
      <c r="T93" s="45">
        <v>98</v>
      </c>
      <c r="U93" s="28">
        <v>133</v>
      </c>
      <c r="V93" s="45">
        <v>8</v>
      </c>
      <c r="W93" s="45">
        <v>1</v>
      </c>
      <c r="X93" s="529">
        <f t="shared" si="7"/>
        <v>710</v>
      </c>
      <c r="Y93" s="134">
        <v>233</v>
      </c>
      <c r="Z93" s="45">
        <v>233</v>
      </c>
      <c r="AA93" s="45">
        <v>108</v>
      </c>
      <c r="AB93" s="424">
        <v>136</v>
      </c>
      <c r="AC93" s="134"/>
    </row>
    <row r="94" spans="1:29">
      <c r="A94" s="175">
        <v>74</v>
      </c>
      <c r="B94" s="67" t="s">
        <v>160</v>
      </c>
      <c r="C94" s="111"/>
      <c r="D94" s="607">
        <v>20</v>
      </c>
      <c r="E94" s="572">
        <v>36</v>
      </c>
      <c r="F94" s="493">
        <f t="shared" si="9"/>
        <v>34</v>
      </c>
      <c r="G94" s="473">
        <v>6</v>
      </c>
      <c r="H94" s="479">
        <v>19</v>
      </c>
      <c r="I94" s="477">
        <v>2</v>
      </c>
      <c r="J94" s="496">
        <v>7</v>
      </c>
      <c r="K94" s="21">
        <f t="shared" si="8"/>
        <v>1003</v>
      </c>
      <c r="L94" s="480"/>
      <c r="M94" s="45"/>
      <c r="N94" s="45">
        <v>178</v>
      </c>
      <c r="O94" s="205">
        <v>143</v>
      </c>
      <c r="P94" s="134">
        <v>44</v>
      </c>
      <c r="Q94" s="45">
        <v>33</v>
      </c>
      <c r="R94" s="45">
        <v>7</v>
      </c>
      <c r="S94" s="28">
        <v>3</v>
      </c>
      <c r="T94" s="45">
        <v>241</v>
      </c>
      <c r="U94" s="28">
        <v>333</v>
      </c>
      <c r="V94" s="45">
        <v>7</v>
      </c>
      <c r="W94" s="45">
        <v>14</v>
      </c>
      <c r="X94" s="529">
        <f t="shared" si="7"/>
        <v>771</v>
      </c>
      <c r="Y94" s="134">
        <v>276</v>
      </c>
      <c r="Z94" s="45">
        <v>248</v>
      </c>
      <c r="AA94" s="45">
        <v>100</v>
      </c>
      <c r="AB94" s="424">
        <v>147</v>
      </c>
      <c r="AC94" s="134"/>
    </row>
    <row r="95" spans="1:29">
      <c r="A95" s="175">
        <v>75</v>
      </c>
      <c r="B95" s="67" t="s">
        <v>161</v>
      </c>
      <c r="C95" s="111"/>
      <c r="D95" s="607">
        <v>72</v>
      </c>
      <c r="E95" s="572">
        <v>135</v>
      </c>
      <c r="F95" s="493">
        <f t="shared" si="9"/>
        <v>151</v>
      </c>
      <c r="G95" s="473">
        <v>46</v>
      </c>
      <c r="H95" s="479">
        <v>94</v>
      </c>
      <c r="I95" s="477">
        <v>4</v>
      </c>
      <c r="J95" s="496">
        <v>7</v>
      </c>
      <c r="K95" s="21">
        <f t="shared" si="8"/>
        <v>3071</v>
      </c>
      <c r="L95" s="480">
        <v>15</v>
      </c>
      <c r="M95" s="45">
        <v>21</v>
      </c>
      <c r="N95" s="45">
        <v>1034</v>
      </c>
      <c r="O95" s="205">
        <v>1030</v>
      </c>
      <c r="P95" s="134">
        <v>278</v>
      </c>
      <c r="Q95" s="45">
        <v>135</v>
      </c>
      <c r="R95" s="45">
        <v>6</v>
      </c>
      <c r="S95" s="28">
        <v>13</v>
      </c>
      <c r="T95" s="45">
        <v>249</v>
      </c>
      <c r="U95" s="28">
        <v>228</v>
      </c>
      <c r="V95" s="45">
        <v>32</v>
      </c>
      <c r="W95" s="45">
        <v>30</v>
      </c>
      <c r="X95" s="529">
        <f t="shared" si="7"/>
        <v>2819</v>
      </c>
      <c r="Y95" s="134">
        <v>1242</v>
      </c>
      <c r="Z95" s="45">
        <v>1070</v>
      </c>
      <c r="AA95" s="45">
        <v>266</v>
      </c>
      <c r="AB95" s="424">
        <v>241</v>
      </c>
      <c r="AC95" s="134"/>
    </row>
    <row r="96" spans="1:29">
      <c r="A96" s="175">
        <v>76</v>
      </c>
      <c r="B96" s="67" t="s">
        <v>162</v>
      </c>
      <c r="C96" s="111"/>
      <c r="D96" s="607">
        <v>47</v>
      </c>
      <c r="E96" s="572">
        <v>57</v>
      </c>
      <c r="F96" s="493">
        <f t="shared" si="9"/>
        <v>65</v>
      </c>
      <c r="G96" s="473">
        <v>8</v>
      </c>
      <c r="H96" s="479">
        <v>51</v>
      </c>
      <c r="I96" s="477">
        <v>2</v>
      </c>
      <c r="J96" s="496">
        <v>4</v>
      </c>
      <c r="K96" s="21">
        <f t="shared" si="8"/>
        <v>1258</v>
      </c>
      <c r="L96" s="480"/>
      <c r="M96" s="45"/>
      <c r="N96" s="45">
        <v>446</v>
      </c>
      <c r="O96" s="205">
        <v>495</v>
      </c>
      <c r="P96" s="134">
        <v>52</v>
      </c>
      <c r="Q96" s="45">
        <v>47</v>
      </c>
      <c r="R96" s="45">
        <v>1</v>
      </c>
      <c r="S96" s="28"/>
      <c r="T96" s="45">
        <v>87</v>
      </c>
      <c r="U96" s="28">
        <v>118</v>
      </c>
      <c r="V96" s="45">
        <v>5</v>
      </c>
      <c r="W96" s="45">
        <v>7</v>
      </c>
      <c r="X96" s="529">
        <f t="shared" si="7"/>
        <v>1147</v>
      </c>
      <c r="Y96" s="134">
        <v>470</v>
      </c>
      <c r="Z96" s="45">
        <v>497</v>
      </c>
      <c r="AA96" s="45">
        <v>80</v>
      </c>
      <c r="AB96" s="424">
        <v>100</v>
      </c>
      <c r="AC96" s="134"/>
    </row>
    <row r="97" spans="1:29">
      <c r="A97" s="175">
        <v>77</v>
      </c>
      <c r="B97" s="67" t="s">
        <v>163</v>
      </c>
      <c r="C97" s="111"/>
      <c r="D97" s="607">
        <v>22</v>
      </c>
      <c r="E97" s="572">
        <v>26</v>
      </c>
      <c r="F97" s="493">
        <f t="shared" si="9"/>
        <v>27</v>
      </c>
      <c r="G97" s="473">
        <v>12</v>
      </c>
      <c r="H97" s="479">
        <v>13</v>
      </c>
      <c r="I97" s="477"/>
      <c r="J97" s="496">
        <v>2</v>
      </c>
      <c r="K97" s="21">
        <f t="shared" si="8"/>
        <v>477</v>
      </c>
      <c r="L97" s="480">
        <v>6</v>
      </c>
      <c r="M97" s="45">
        <v>6</v>
      </c>
      <c r="N97" s="45">
        <v>153</v>
      </c>
      <c r="O97" s="205">
        <v>164</v>
      </c>
      <c r="P97" s="134">
        <v>25</v>
      </c>
      <c r="Q97" s="45">
        <v>26</v>
      </c>
      <c r="R97" s="45"/>
      <c r="S97" s="28"/>
      <c r="T97" s="45">
        <v>33</v>
      </c>
      <c r="U97" s="28">
        <v>53</v>
      </c>
      <c r="V97" s="45">
        <v>1</v>
      </c>
      <c r="W97" s="45">
        <v>10</v>
      </c>
      <c r="X97" s="529">
        <f t="shared" si="7"/>
        <v>431</v>
      </c>
      <c r="Y97" s="134">
        <v>166</v>
      </c>
      <c r="Z97" s="45">
        <v>181</v>
      </c>
      <c r="AA97" s="45">
        <v>31</v>
      </c>
      <c r="AB97" s="424">
        <v>53</v>
      </c>
      <c r="AC97" s="134"/>
    </row>
    <row r="98" spans="1:29">
      <c r="A98" s="175">
        <v>78</v>
      </c>
      <c r="B98" s="67" t="s">
        <v>164</v>
      </c>
      <c r="C98" s="111"/>
      <c r="D98" s="607">
        <v>35</v>
      </c>
      <c r="E98" s="572">
        <v>117</v>
      </c>
      <c r="F98" s="493">
        <f t="shared" si="9"/>
        <v>141</v>
      </c>
      <c r="G98" s="473">
        <v>56</v>
      </c>
      <c r="H98" s="479">
        <v>34</v>
      </c>
      <c r="I98" s="477">
        <v>22</v>
      </c>
      <c r="J98" s="496">
        <v>29</v>
      </c>
      <c r="K98" s="21">
        <f t="shared" si="8"/>
        <v>2866</v>
      </c>
      <c r="L98" s="480"/>
      <c r="M98" s="45">
        <v>1</v>
      </c>
      <c r="N98" s="45">
        <v>105</v>
      </c>
      <c r="O98" s="205">
        <v>98</v>
      </c>
      <c r="P98" s="134">
        <v>27</v>
      </c>
      <c r="Q98" s="45">
        <v>25</v>
      </c>
      <c r="R98" s="45">
        <v>12</v>
      </c>
      <c r="S98" s="28">
        <v>12</v>
      </c>
      <c r="T98" s="45">
        <v>524</v>
      </c>
      <c r="U98" s="28">
        <v>685</v>
      </c>
      <c r="V98" s="45">
        <v>908</v>
      </c>
      <c r="W98" s="45">
        <v>469</v>
      </c>
      <c r="X98" s="529">
        <f t="shared" si="7"/>
        <v>2600</v>
      </c>
      <c r="Y98" s="134">
        <v>124</v>
      </c>
      <c r="Z98" s="45">
        <v>117</v>
      </c>
      <c r="AA98" s="45">
        <v>1300</v>
      </c>
      <c r="AB98" s="424">
        <v>1059</v>
      </c>
      <c r="AC98" s="134"/>
    </row>
    <row r="99" spans="1:29">
      <c r="A99" s="175">
        <v>79</v>
      </c>
      <c r="B99" s="67" t="s">
        <v>165</v>
      </c>
      <c r="C99" s="111"/>
      <c r="D99" s="607">
        <v>22</v>
      </c>
      <c r="E99" s="572">
        <v>40</v>
      </c>
      <c r="F99" s="493">
        <f t="shared" si="9"/>
        <v>42</v>
      </c>
      <c r="G99" s="473">
        <v>9</v>
      </c>
      <c r="H99" s="479">
        <v>31</v>
      </c>
      <c r="I99" s="477">
        <v>2</v>
      </c>
      <c r="J99" s="496"/>
      <c r="K99" s="21">
        <f t="shared" si="8"/>
        <v>672</v>
      </c>
      <c r="L99" s="480"/>
      <c r="M99" s="45"/>
      <c r="N99" s="45">
        <v>219</v>
      </c>
      <c r="O99" s="205">
        <v>227</v>
      </c>
      <c r="P99" s="134">
        <v>50</v>
      </c>
      <c r="Q99" s="45">
        <v>53</v>
      </c>
      <c r="R99" s="45"/>
      <c r="S99" s="28"/>
      <c r="T99" s="45">
        <v>51</v>
      </c>
      <c r="U99" s="28">
        <v>53</v>
      </c>
      <c r="V99" s="45">
        <v>7</v>
      </c>
      <c r="W99" s="45">
        <v>12</v>
      </c>
      <c r="X99" s="529">
        <f t="shared" si="7"/>
        <v>653</v>
      </c>
      <c r="Y99" s="134">
        <v>264</v>
      </c>
      <c r="Z99" s="45">
        <v>273</v>
      </c>
      <c r="AA99" s="45">
        <v>54</v>
      </c>
      <c r="AB99" s="424">
        <v>62</v>
      </c>
      <c r="AC99" s="134"/>
    </row>
    <row r="100" spans="1:29">
      <c r="A100" s="175">
        <v>80</v>
      </c>
      <c r="B100" s="67" t="s">
        <v>166</v>
      </c>
      <c r="C100" s="111"/>
      <c r="D100" s="607">
        <v>41</v>
      </c>
      <c r="E100" s="572">
        <v>49</v>
      </c>
      <c r="F100" s="493">
        <f t="shared" si="9"/>
        <v>48</v>
      </c>
      <c r="G100" s="473">
        <v>12</v>
      </c>
      <c r="H100" s="479">
        <v>33</v>
      </c>
      <c r="I100" s="477">
        <v>2</v>
      </c>
      <c r="J100" s="496">
        <v>1</v>
      </c>
      <c r="K100" s="21">
        <f t="shared" si="8"/>
        <v>923</v>
      </c>
      <c r="L100" s="480"/>
      <c r="M100" s="45"/>
      <c r="N100" s="45">
        <v>325</v>
      </c>
      <c r="O100" s="205">
        <v>321</v>
      </c>
      <c r="P100" s="134">
        <v>54</v>
      </c>
      <c r="Q100" s="45">
        <v>39</v>
      </c>
      <c r="R100" s="45"/>
      <c r="S100" s="28">
        <v>3</v>
      </c>
      <c r="T100" s="45">
        <v>79</v>
      </c>
      <c r="U100" s="28">
        <v>92</v>
      </c>
      <c r="V100" s="45">
        <v>5</v>
      </c>
      <c r="W100" s="45">
        <v>5</v>
      </c>
      <c r="X100" s="529">
        <f t="shared" si="7"/>
        <v>879</v>
      </c>
      <c r="Y100" s="134">
        <v>361</v>
      </c>
      <c r="Z100" s="45">
        <v>346</v>
      </c>
      <c r="AA100" s="45">
        <v>79</v>
      </c>
      <c r="AB100" s="424">
        <v>93</v>
      </c>
      <c r="AC100" s="134"/>
    </row>
    <row r="101" spans="1:29">
      <c r="A101" s="175">
        <v>81</v>
      </c>
      <c r="B101" s="67" t="s">
        <v>167</v>
      </c>
      <c r="C101" s="111"/>
      <c r="D101" s="607">
        <v>75</v>
      </c>
      <c r="E101" s="572">
        <v>85</v>
      </c>
      <c r="F101" s="493">
        <f t="shared" si="9"/>
        <v>89</v>
      </c>
      <c r="G101" s="473">
        <v>29</v>
      </c>
      <c r="H101" s="479">
        <v>50</v>
      </c>
      <c r="I101" s="477">
        <v>7</v>
      </c>
      <c r="J101" s="496">
        <v>3</v>
      </c>
      <c r="K101" s="21">
        <f t="shared" si="8"/>
        <v>1613</v>
      </c>
      <c r="L101" s="480">
        <v>4</v>
      </c>
      <c r="M101" s="45">
        <v>6</v>
      </c>
      <c r="N101" s="45">
        <v>551</v>
      </c>
      <c r="O101" s="205">
        <v>513</v>
      </c>
      <c r="P101" s="134">
        <v>96</v>
      </c>
      <c r="Q101" s="45">
        <v>95</v>
      </c>
      <c r="R101" s="45">
        <v>7</v>
      </c>
      <c r="S101" s="28">
        <v>12</v>
      </c>
      <c r="T101" s="45">
        <v>99</v>
      </c>
      <c r="U101" s="28">
        <v>177</v>
      </c>
      <c r="V101" s="45">
        <v>20</v>
      </c>
      <c r="W101" s="45">
        <v>33</v>
      </c>
      <c r="X101" s="529">
        <f t="shared" si="7"/>
        <v>1421</v>
      </c>
      <c r="Y101" s="134">
        <v>588</v>
      </c>
      <c r="Z101" s="45">
        <v>562</v>
      </c>
      <c r="AA101" s="45">
        <v>101</v>
      </c>
      <c r="AB101" s="424">
        <v>170</v>
      </c>
      <c r="AC101" s="134"/>
    </row>
    <row r="102" spans="1:29">
      <c r="A102" s="175">
        <v>82</v>
      </c>
      <c r="B102" s="67" t="s">
        <v>168</v>
      </c>
      <c r="C102" s="97"/>
      <c r="D102" s="528">
        <v>40</v>
      </c>
      <c r="E102" s="529">
        <v>98</v>
      </c>
      <c r="F102" s="493">
        <f t="shared" si="9"/>
        <v>102</v>
      </c>
      <c r="G102" s="473">
        <v>23</v>
      </c>
      <c r="H102" s="479">
        <v>70</v>
      </c>
      <c r="I102" s="477">
        <v>4</v>
      </c>
      <c r="J102" s="496">
        <v>5</v>
      </c>
      <c r="K102" s="21">
        <f t="shared" si="8"/>
        <v>2389</v>
      </c>
      <c r="L102" s="480">
        <v>24</v>
      </c>
      <c r="M102" s="45">
        <v>25</v>
      </c>
      <c r="N102" s="45">
        <v>576</v>
      </c>
      <c r="O102" s="205">
        <v>575</v>
      </c>
      <c r="P102" s="134">
        <v>187</v>
      </c>
      <c r="Q102" s="45">
        <v>200</v>
      </c>
      <c r="R102" s="45">
        <v>4</v>
      </c>
      <c r="S102" s="28">
        <v>8</v>
      </c>
      <c r="T102" s="45">
        <v>363</v>
      </c>
      <c r="U102" s="28">
        <v>397</v>
      </c>
      <c r="V102" s="45">
        <v>14</v>
      </c>
      <c r="W102" s="45">
        <v>16</v>
      </c>
      <c r="X102" s="529">
        <f t="shared" si="7"/>
        <v>2190</v>
      </c>
      <c r="Y102" s="134">
        <v>753</v>
      </c>
      <c r="Z102" s="45">
        <v>768</v>
      </c>
      <c r="AA102" s="45">
        <v>319</v>
      </c>
      <c r="AB102" s="424">
        <v>350</v>
      </c>
      <c r="AC102" s="134"/>
    </row>
    <row r="103" spans="1:29">
      <c r="A103" s="506"/>
      <c r="B103" s="507"/>
      <c r="C103" s="333"/>
      <c r="D103" s="608"/>
      <c r="E103" s="609"/>
      <c r="F103" s="508"/>
      <c r="G103" s="509"/>
      <c r="H103" s="510"/>
      <c r="I103" s="511"/>
      <c r="J103" s="512"/>
      <c r="K103" s="513"/>
      <c r="L103" s="514"/>
      <c r="M103" s="317"/>
      <c r="N103" s="317"/>
      <c r="O103" s="515"/>
      <c r="P103" s="256"/>
      <c r="Q103" s="317"/>
      <c r="R103" s="317"/>
      <c r="S103" s="206"/>
      <c r="T103" s="317"/>
      <c r="U103" s="206"/>
      <c r="V103" s="317"/>
      <c r="W103" s="317"/>
      <c r="X103" s="609"/>
      <c r="Y103" s="256"/>
      <c r="Z103" s="317"/>
      <c r="AA103" s="317"/>
      <c r="AB103" s="516"/>
      <c r="AC103" s="134"/>
    </row>
    <row r="104" spans="1:29">
      <c r="A104" s="505" t="s">
        <v>429</v>
      </c>
      <c r="B104" s="67"/>
      <c r="C104" s="97"/>
      <c r="D104" s="504">
        <f>SUM(D21:D103)</f>
        <v>3426</v>
      </c>
      <c r="E104" s="528">
        <f>SUM(E21:E103)</f>
        <v>6131</v>
      </c>
      <c r="F104" s="529">
        <f t="shared" ref="F104:H104" si="10">SUM(F21:F103)</f>
        <v>6728</v>
      </c>
      <c r="G104" s="528">
        <f t="shared" si="10"/>
        <v>1477</v>
      </c>
      <c r="H104" s="568">
        <f t="shared" si="10"/>
        <v>4026</v>
      </c>
      <c r="I104" s="568">
        <f t="shared" ref="I104" si="11">SUM(I21:I103)</f>
        <v>586</v>
      </c>
      <c r="J104" s="528">
        <f t="shared" ref="J104" si="12">SUM(J21:J103)</f>
        <v>639</v>
      </c>
      <c r="K104" s="529">
        <f t="shared" ref="K104" si="13">SUM(K21:K103)</f>
        <v>151951</v>
      </c>
      <c r="L104" s="473">
        <f t="shared" ref="L104" si="14">SUM(L21:L103)</f>
        <v>547</v>
      </c>
      <c r="M104" s="570">
        <f t="shared" ref="M104" si="15">SUM(M21:M103)</f>
        <v>609</v>
      </c>
      <c r="N104" s="568">
        <f t="shared" ref="N104" si="16">SUM(N21:N103)</f>
        <v>37271</v>
      </c>
      <c r="O104" s="568">
        <f t="shared" ref="O104" si="17">SUM(O21:O103)</f>
        <v>36885</v>
      </c>
      <c r="P104" s="568">
        <f t="shared" ref="P104" si="18">SUM(P21:P103)</f>
        <v>8525</v>
      </c>
      <c r="Q104" s="629">
        <f t="shared" ref="Q104" si="19">SUM(Q21:Q103)</f>
        <v>7029</v>
      </c>
      <c r="R104" s="629">
        <f t="shared" ref="R104" si="20">SUM(R21:R103)</f>
        <v>1043</v>
      </c>
      <c r="S104" s="568">
        <f t="shared" ref="S104" si="21">SUM(S21:S103)</f>
        <v>1098</v>
      </c>
      <c r="T104" s="470">
        <f t="shared" ref="T104" si="22">SUM(T21:T103)</f>
        <v>23996</v>
      </c>
      <c r="U104" s="470">
        <f t="shared" ref="U104" si="23">SUM(U21:U103)</f>
        <v>27185</v>
      </c>
      <c r="V104" s="568">
        <f t="shared" ref="V104" si="24">SUM(V21:V103)</f>
        <v>4028</v>
      </c>
      <c r="W104" s="479">
        <f t="shared" ref="W104" si="25">SUM(W21:W103)</f>
        <v>3735</v>
      </c>
      <c r="X104" s="529">
        <f t="shared" si="7"/>
        <v>136756</v>
      </c>
      <c r="Y104" s="474">
        <f>SUM(Y21:Y102)</f>
        <v>43255</v>
      </c>
      <c r="Z104" s="479">
        <f t="shared" ref="Z104:AB104" si="26">SUM(Z21:Z102)</f>
        <v>41655</v>
      </c>
      <c r="AA104" s="470">
        <f t="shared" si="26"/>
        <v>24483</v>
      </c>
      <c r="AB104" s="643">
        <f t="shared" si="26"/>
        <v>27363</v>
      </c>
      <c r="AC104" s="474"/>
    </row>
    <row r="105" spans="1:29">
      <c r="A105" s="505" t="s">
        <v>430</v>
      </c>
      <c r="B105" s="67"/>
      <c r="C105" s="97"/>
      <c r="D105" s="528"/>
      <c r="E105" s="529"/>
      <c r="F105" s="493"/>
      <c r="G105" s="473"/>
      <c r="H105" s="479"/>
      <c r="I105" s="477"/>
      <c r="J105" s="496"/>
      <c r="K105" s="474"/>
      <c r="L105" s="480"/>
      <c r="M105" s="45"/>
      <c r="N105" s="45"/>
      <c r="O105" s="205"/>
      <c r="P105" s="134"/>
      <c r="Q105" s="45"/>
      <c r="R105" s="45"/>
      <c r="S105" s="28"/>
      <c r="T105" s="45"/>
      <c r="U105" s="28"/>
      <c r="V105" s="45"/>
      <c r="W105" s="45"/>
      <c r="X105" s="529"/>
      <c r="Y105" s="134"/>
      <c r="Z105" s="45"/>
      <c r="AA105" s="45"/>
      <c r="AB105" s="424"/>
      <c r="AC105" s="134"/>
    </row>
    <row r="106" spans="1:29" ht="15" thickBot="1">
      <c r="A106" s="517"/>
      <c r="B106" s="518"/>
      <c r="C106" s="519"/>
      <c r="D106" s="610"/>
      <c r="E106" s="611"/>
      <c r="F106" s="501"/>
      <c r="G106" s="520"/>
      <c r="H106" s="521"/>
      <c r="I106" s="522"/>
      <c r="J106" s="523"/>
      <c r="K106" s="524"/>
      <c r="L106" s="525"/>
      <c r="M106" s="321"/>
      <c r="N106" s="321"/>
      <c r="O106" s="526"/>
      <c r="P106" s="253"/>
      <c r="Q106" s="321"/>
      <c r="R106" s="321"/>
      <c r="S106" s="208"/>
      <c r="T106" s="321"/>
      <c r="U106" s="208"/>
      <c r="V106" s="321"/>
      <c r="W106" s="321"/>
      <c r="X106" s="611"/>
      <c r="Y106" s="253"/>
      <c r="Z106" s="321"/>
      <c r="AA106" s="321"/>
      <c r="AB106" s="527"/>
      <c r="AC106" s="134"/>
    </row>
    <row r="107" spans="1:29" ht="15" thickTop="1">
      <c r="A107" s="176" t="s">
        <v>21</v>
      </c>
      <c r="B107" s="59"/>
      <c r="C107" s="4"/>
      <c r="D107" s="463"/>
      <c r="E107" s="493"/>
      <c r="F107" s="493"/>
      <c r="G107" s="473"/>
      <c r="H107" s="479"/>
      <c r="I107" s="477"/>
      <c r="J107" s="496"/>
      <c r="K107" s="474"/>
      <c r="L107" s="480"/>
      <c r="M107" s="45"/>
      <c r="N107" s="45"/>
      <c r="O107" s="205"/>
      <c r="P107" s="134"/>
      <c r="Q107" s="45"/>
      <c r="R107" s="45"/>
      <c r="S107" s="28"/>
      <c r="T107" s="45"/>
      <c r="U107" s="28"/>
      <c r="V107" s="45"/>
      <c r="W107" s="45"/>
      <c r="X107" s="529"/>
      <c r="Y107" s="134"/>
      <c r="Z107" s="45"/>
      <c r="AA107" s="45"/>
      <c r="AB107" s="424"/>
      <c r="AC107" s="134"/>
    </row>
    <row r="108" spans="1:29">
      <c r="A108" s="146">
        <v>83</v>
      </c>
      <c r="B108" s="48" t="s">
        <v>169</v>
      </c>
      <c r="C108" s="4"/>
      <c r="D108" s="463">
        <v>11</v>
      </c>
      <c r="E108" s="493">
        <v>18</v>
      </c>
      <c r="F108" s="493">
        <f>SUM(G108:J108)</f>
        <v>27</v>
      </c>
      <c r="G108" s="473">
        <v>10</v>
      </c>
      <c r="H108" s="479">
        <v>9</v>
      </c>
      <c r="I108" s="477">
        <v>7</v>
      </c>
      <c r="J108" s="496">
        <v>1</v>
      </c>
      <c r="K108" s="474">
        <v>3</v>
      </c>
      <c r="L108" s="480">
        <v>1</v>
      </c>
      <c r="M108" s="45">
        <v>1</v>
      </c>
      <c r="N108" s="45">
        <v>103</v>
      </c>
      <c r="O108" s="205">
        <v>111</v>
      </c>
      <c r="P108" s="134">
        <v>20</v>
      </c>
      <c r="Q108" s="45">
        <v>22</v>
      </c>
      <c r="R108" s="45"/>
      <c r="S108" s="28"/>
      <c r="T108" s="45">
        <v>100</v>
      </c>
      <c r="U108" s="28">
        <v>122</v>
      </c>
      <c r="V108" s="45">
        <v>18</v>
      </c>
      <c r="W108" s="45">
        <v>20</v>
      </c>
      <c r="X108" s="529">
        <f t="shared" si="7"/>
        <v>473</v>
      </c>
      <c r="Y108" s="134">
        <v>118</v>
      </c>
      <c r="Z108" s="45">
        <v>127</v>
      </c>
      <c r="AA108" s="45">
        <v>100</v>
      </c>
      <c r="AB108" s="424">
        <v>128</v>
      </c>
      <c r="AC108" s="134"/>
    </row>
    <row r="109" spans="1:29">
      <c r="A109" s="146">
        <v>84</v>
      </c>
      <c r="B109" s="48" t="s">
        <v>170</v>
      </c>
      <c r="C109" s="4"/>
      <c r="D109" s="463">
        <v>11</v>
      </c>
      <c r="E109" s="493">
        <v>13</v>
      </c>
      <c r="F109" s="493">
        <f>SUM(G109:J109)</f>
        <v>16</v>
      </c>
      <c r="G109" s="473">
        <v>3</v>
      </c>
      <c r="H109" s="479">
        <v>9</v>
      </c>
      <c r="I109" s="477">
        <v>3</v>
      </c>
      <c r="J109" s="496">
        <v>1</v>
      </c>
      <c r="K109" s="474"/>
      <c r="L109" s="480">
        <v>2</v>
      </c>
      <c r="M109" s="45"/>
      <c r="N109" s="45">
        <v>46</v>
      </c>
      <c r="O109" s="205">
        <v>59</v>
      </c>
      <c r="P109" s="134">
        <v>10</v>
      </c>
      <c r="Q109" s="45">
        <v>12</v>
      </c>
      <c r="R109" s="45"/>
      <c r="S109" s="28"/>
      <c r="T109" s="45">
        <v>31</v>
      </c>
      <c r="U109" s="28">
        <v>44</v>
      </c>
      <c r="V109" s="45">
        <v>14</v>
      </c>
      <c r="W109" s="45">
        <v>31</v>
      </c>
      <c r="X109" s="529">
        <f t="shared" si="7"/>
        <v>224</v>
      </c>
      <c r="Y109" s="134">
        <v>56</v>
      </c>
      <c r="Z109" s="45">
        <v>66</v>
      </c>
      <c r="AA109" s="45">
        <v>38</v>
      </c>
      <c r="AB109" s="424">
        <v>64</v>
      </c>
      <c r="AC109" s="134"/>
    </row>
    <row r="110" spans="1:29">
      <c r="A110" s="146">
        <v>85</v>
      </c>
      <c r="B110" s="48" t="s">
        <v>171</v>
      </c>
      <c r="C110" s="4"/>
      <c r="D110" s="463">
        <v>24</v>
      </c>
      <c r="E110" s="493">
        <v>31</v>
      </c>
      <c r="F110" s="493">
        <f>SUM(G110:K110)</f>
        <v>78</v>
      </c>
      <c r="G110" s="473">
        <v>30</v>
      </c>
      <c r="H110" s="479">
        <v>5</v>
      </c>
      <c r="I110" s="477">
        <v>26</v>
      </c>
      <c r="J110" s="496">
        <v>13</v>
      </c>
      <c r="K110" s="474">
        <v>4</v>
      </c>
      <c r="L110" s="480">
        <v>4</v>
      </c>
      <c r="M110" s="45">
        <v>2</v>
      </c>
      <c r="N110" s="45">
        <v>166</v>
      </c>
      <c r="O110" s="205">
        <v>160</v>
      </c>
      <c r="P110" s="134">
        <v>20</v>
      </c>
      <c r="Q110" s="45">
        <v>13</v>
      </c>
      <c r="R110" s="45">
        <v>29</v>
      </c>
      <c r="S110" s="28">
        <v>38</v>
      </c>
      <c r="T110" s="45">
        <v>123</v>
      </c>
      <c r="U110" s="28">
        <v>230</v>
      </c>
      <c r="V110" s="45">
        <v>44</v>
      </c>
      <c r="W110" s="45">
        <v>34</v>
      </c>
      <c r="X110" s="529">
        <f t="shared" si="7"/>
        <v>799</v>
      </c>
      <c r="Y110" s="134">
        <v>179</v>
      </c>
      <c r="Z110" s="45">
        <v>168</v>
      </c>
      <c r="AA110" s="45">
        <v>179</v>
      </c>
      <c r="AB110" s="424">
        <v>273</v>
      </c>
      <c r="AC110" s="134"/>
    </row>
    <row r="111" spans="1:29">
      <c r="A111" s="146">
        <v>86</v>
      </c>
      <c r="B111" s="48" t="s">
        <v>172</v>
      </c>
      <c r="C111" s="4"/>
      <c r="D111" s="463">
        <v>10</v>
      </c>
      <c r="E111" s="493">
        <v>12</v>
      </c>
      <c r="F111" s="493">
        <f>SUM(G111:J111)</f>
        <v>20</v>
      </c>
      <c r="G111" s="473">
        <v>8</v>
      </c>
      <c r="H111" s="479">
        <v>1</v>
      </c>
      <c r="I111" s="477">
        <v>7</v>
      </c>
      <c r="J111" s="496">
        <v>4</v>
      </c>
      <c r="K111" s="474">
        <v>1</v>
      </c>
      <c r="L111" s="480"/>
      <c r="M111" s="45"/>
      <c r="N111" s="45">
        <v>18</v>
      </c>
      <c r="O111" s="205">
        <v>34</v>
      </c>
      <c r="P111" s="134">
        <v>5</v>
      </c>
      <c r="Q111" s="45">
        <v>1</v>
      </c>
      <c r="R111" s="45"/>
      <c r="S111" s="28"/>
      <c r="T111" s="45">
        <v>73</v>
      </c>
      <c r="U111" s="28">
        <v>129</v>
      </c>
      <c r="V111" s="45">
        <v>19</v>
      </c>
      <c r="W111" s="45">
        <v>66</v>
      </c>
      <c r="X111" s="529">
        <f t="shared" si="7"/>
        <v>305</v>
      </c>
      <c r="Y111" s="134">
        <v>19</v>
      </c>
      <c r="Z111" s="45">
        <v>34</v>
      </c>
      <c r="AA111" s="45">
        <v>81</v>
      </c>
      <c r="AB111" s="424">
        <v>171</v>
      </c>
      <c r="AC111" s="134"/>
    </row>
    <row r="112" spans="1:29">
      <c r="A112" s="146">
        <v>87</v>
      </c>
      <c r="B112" s="48" t="s">
        <v>173</v>
      </c>
      <c r="C112" s="112"/>
      <c r="D112" s="528">
        <v>38</v>
      </c>
      <c r="E112" s="529">
        <v>48</v>
      </c>
      <c r="F112" s="493">
        <f>SUM(G112:J112)</f>
        <v>88</v>
      </c>
      <c r="G112" s="473">
        <v>35</v>
      </c>
      <c r="H112" s="479">
        <v>15</v>
      </c>
      <c r="I112" s="477">
        <v>32</v>
      </c>
      <c r="J112" s="496">
        <v>6</v>
      </c>
      <c r="K112" s="474">
        <v>3</v>
      </c>
      <c r="L112" s="480">
        <v>2</v>
      </c>
      <c r="M112" s="45">
        <v>1</v>
      </c>
      <c r="N112" s="45">
        <v>247</v>
      </c>
      <c r="O112" s="205">
        <v>214</v>
      </c>
      <c r="P112" s="134">
        <v>43</v>
      </c>
      <c r="Q112" s="45">
        <v>33</v>
      </c>
      <c r="R112" s="45">
        <v>6</v>
      </c>
      <c r="S112" s="28">
        <v>5</v>
      </c>
      <c r="T112" s="45">
        <v>110</v>
      </c>
      <c r="U112" s="28">
        <v>129</v>
      </c>
      <c r="V112" s="45">
        <v>149</v>
      </c>
      <c r="W112" s="45">
        <v>52</v>
      </c>
      <c r="X112" s="529">
        <f t="shared" si="7"/>
        <v>928</v>
      </c>
      <c r="Y112" s="134">
        <v>271</v>
      </c>
      <c r="Z112" s="45">
        <v>234</v>
      </c>
      <c r="AA112" s="45">
        <v>251</v>
      </c>
      <c r="AB112" s="424">
        <v>172</v>
      </c>
      <c r="AC112" s="134"/>
    </row>
    <row r="113" spans="1:29">
      <c r="A113" s="530"/>
      <c r="B113" s="437"/>
      <c r="C113" s="531"/>
      <c r="D113" s="612"/>
      <c r="E113" s="613"/>
      <c r="F113" s="508"/>
      <c r="G113" s="532"/>
      <c r="H113" s="533"/>
      <c r="I113" s="534"/>
      <c r="J113" s="535"/>
      <c r="K113" s="536"/>
      <c r="L113" s="537"/>
      <c r="M113" s="538"/>
      <c r="N113" s="538"/>
      <c r="O113" s="539"/>
      <c r="P113" s="540"/>
      <c r="Q113" s="538"/>
      <c r="R113" s="538"/>
      <c r="S113" s="541"/>
      <c r="T113" s="538"/>
      <c r="U113" s="541"/>
      <c r="V113" s="538"/>
      <c r="W113" s="538"/>
      <c r="X113" s="609"/>
      <c r="Y113" s="540"/>
      <c r="Z113" s="538"/>
      <c r="AA113" s="538"/>
      <c r="AB113" s="542"/>
      <c r="AC113" s="456"/>
    </row>
    <row r="114" spans="1:29">
      <c r="A114" s="146" t="s">
        <v>293</v>
      </c>
      <c r="B114" s="48"/>
      <c r="C114" s="112"/>
      <c r="D114" s="528">
        <f>SUM(D108:D112)</f>
        <v>94</v>
      </c>
      <c r="E114" s="529">
        <f>SUM(E108:E112)</f>
        <v>122</v>
      </c>
      <c r="F114" s="529">
        <f>SUM(F108:F112)</f>
        <v>229</v>
      </c>
      <c r="G114" s="309">
        <f t="shared" ref="G114:W114" si="27">SUM(G108:G112)</f>
        <v>86</v>
      </c>
      <c r="H114" s="568">
        <f t="shared" si="27"/>
        <v>39</v>
      </c>
      <c r="I114" s="568">
        <f t="shared" si="27"/>
        <v>75</v>
      </c>
      <c r="J114" s="575">
        <f t="shared" si="27"/>
        <v>25</v>
      </c>
      <c r="K114" s="529">
        <f t="shared" si="27"/>
        <v>11</v>
      </c>
      <c r="L114" s="309">
        <f t="shared" si="27"/>
        <v>9</v>
      </c>
      <c r="M114" s="568">
        <f t="shared" si="27"/>
        <v>4</v>
      </c>
      <c r="N114" s="568">
        <f t="shared" si="27"/>
        <v>580</v>
      </c>
      <c r="O114" s="568">
        <f t="shared" si="27"/>
        <v>578</v>
      </c>
      <c r="P114" s="568">
        <f t="shared" si="27"/>
        <v>98</v>
      </c>
      <c r="Q114" s="528">
        <f t="shared" si="27"/>
        <v>81</v>
      </c>
      <c r="R114" s="629">
        <f t="shared" si="27"/>
        <v>35</v>
      </c>
      <c r="S114" s="568">
        <f t="shared" si="27"/>
        <v>43</v>
      </c>
      <c r="T114" s="568">
        <f t="shared" si="27"/>
        <v>437</v>
      </c>
      <c r="U114" s="568">
        <f t="shared" si="27"/>
        <v>654</v>
      </c>
      <c r="V114" s="568">
        <f t="shared" si="27"/>
        <v>244</v>
      </c>
      <c r="W114" s="629">
        <f t="shared" si="27"/>
        <v>203</v>
      </c>
      <c r="X114" s="529">
        <f t="shared" si="7"/>
        <v>2729</v>
      </c>
      <c r="Y114" s="528">
        <f>SUM(Y108:Y112)</f>
        <v>643</v>
      </c>
      <c r="Z114" s="568">
        <f t="shared" ref="Z114:AB114" si="28">SUM(Z108:Z112)</f>
        <v>629</v>
      </c>
      <c r="AA114" s="568">
        <f t="shared" si="28"/>
        <v>649</v>
      </c>
      <c r="AB114" s="569">
        <f t="shared" si="28"/>
        <v>808</v>
      </c>
      <c r="AC114" s="528"/>
    </row>
    <row r="115" spans="1:29" ht="15" thickBot="1">
      <c r="A115" s="543"/>
      <c r="B115" s="184"/>
      <c r="C115" s="544"/>
      <c r="D115" s="614"/>
      <c r="E115" s="615"/>
      <c r="F115" s="501"/>
      <c r="G115" s="545"/>
      <c r="H115" s="546"/>
      <c r="I115" s="547"/>
      <c r="J115" s="548"/>
      <c r="K115" s="549"/>
      <c r="L115" s="550"/>
      <c r="M115" s="551"/>
      <c r="N115" s="551"/>
      <c r="O115" s="552"/>
      <c r="P115" s="553"/>
      <c r="Q115" s="551"/>
      <c r="R115" s="551"/>
      <c r="S115" s="554"/>
      <c r="T115" s="551"/>
      <c r="U115" s="554"/>
      <c r="V115" s="551"/>
      <c r="W115" s="551"/>
      <c r="X115" s="611"/>
      <c r="Y115" s="553"/>
      <c r="Z115" s="551"/>
      <c r="AA115" s="551"/>
      <c r="AB115" s="555"/>
      <c r="AC115" s="456"/>
    </row>
    <row r="116" spans="1:29" ht="15" thickTop="1">
      <c r="A116" s="177" t="s">
        <v>22</v>
      </c>
      <c r="B116" s="84"/>
      <c r="C116" s="97"/>
      <c r="D116" s="616"/>
      <c r="E116" s="617"/>
      <c r="F116" s="493"/>
      <c r="G116" s="481"/>
      <c r="H116" s="482"/>
      <c r="I116" s="483"/>
      <c r="J116" s="497"/>
      <c r="K116" s="492"/>
      <c r="L116" s="484"/>
      <c r="M116" s="447"/>
      <c r="N116" s="447"/>
      <c r="O116" s="444"/>
      <c r="P116" s="456"/>
      <c r="Q116" s="447"/>
      <c r="R116" s="447"/>
      <c r="S116" s="270"/>
      <c r="T116" s="447"/>
      <c r="U116" s="270"/>
      <c r="V116" s="447"/>
      <c r="W116" s="447"/>
      <c r="X116" s="529"/>
      <c r="Y116" s="456"/>
      <c r="Z116" s="447"/>
      <c r="AA116" s="447"/>
      <c r="AB116" s="457"/>
      <c r="AC116" s="456"/>
    </row>
    <row r="117" spans="1:29">
      <c r="A117" s="176" t="s">
        <v>23</v>
      </c>
      <c r="B117" s="59"/>
      <c r="C117" s="8"/>
      <c r="D117" s="463"/>
      <c r="E117" s="493"/>
      <c r="F117" s="493"/>
      <c r="G117" s="473"/>
      <c r="H117" s="479"/>
      <c r="I117" s="477"/>
      <c r="J117" s="496"/>
      <c r="K117" s="474"/>
      <c r="L117" s="480"/>
      <c r="M117" s="45"/>
      <c r="N117" s="45"/>
      <c r="O117" s="205"/>
      <c r="P117" s="134"/>
      <c r="Q117" s="45"/>
      <c r="R117" s="45"/>
      <c r="S117" s="28"/>
      <c r="T117" s="45"/>
      <c r="U117" s="28"/>
      <c r="V117" s="45"/>
      <c r="W117" s="45"/>
      <c r="X117" s="529"/>
      <c r="Y117" s="134"/>
      <c r="Z117" s="45"/>
      <c r="AA117" s="45"/>
      <c r="AB117" s="424"/>
      <c r="AC117" s="134"/>
    </row>
    <row r="118" spans="1:29">
      <c r="A118" s="146">
        <v>88</v>
      </c>
      <c r="B118" s="48" t="s">
        <v>174</v>
      </c>
      <c r="C118" s="4"/>
      <c r="D118" s="463">
        <v>21</v>
      </c>
      <c r="E118" s="493">
        <v>25</v>
      </c>
      <c r="F118" s="493">
        <f t="shared" si="9"/>
        <v>44</v>
      </c>
      <c r="G118" s="473">
        <v>18</v>
      </c>
      <c r="H118" s="479">
        <v>6</v>
      </c>
      <c r="I118" s="477">
        <v>16</v>
      </c>
      <c r="J118" s="496">
        <v>4</v>
      </c>
      <c r="K118" s="474">
        <v>2</v>
      </c>
      <c r="L118" s="480">
        <v>1</v>
      </c>
      <c r="M118" s="45">
        <v>1</v>
      </c>
      <c r="N118" s="45">
        <v>113</v>
      </c>
      <c r="O118" s="205">
        <v>124</v>
      </c>
      <c r="P118" s="134">
        <v>20</v>
      </c>
      <c r="Q118" s="45">
        <v>17</v>
      </c>
      <c r="R118" s="45">
        <v>6</v>
      </c>
      <c r="S118" s="28">
        <v>21</v>
      </c>
      <c r="T118" s="45">
        <v>82</v>
      </c>
      <c r="U118" s="28">
        <v>74</v>
      </c>
      <c r="V118" s="45">
        <v>3</v>
      </c>
      <c r="W118" s="45">
        <v>8</v>
      </c>
      <c r="X118" s="529">
        <f t="shared" si="7"/>
        <v>419</v>
      </c>
      <c r="Y118" s="134">
        <v>120</v>
      </c>
      <c r="Z118" s="45">
        <v>132</v>
      </c>
      <c r="AA118" s="45">
        <v>73</v>
      </c>
      <c r="AB118" s="424">
        <v>94</v>
      </c>
      <c r="AC118" s="134"/>
    </row>
    <row r="119" spans="1:29">
      <c r="A119" s="146">
        <v>89</v>
      </c>
      <c r="B119" s="48" t="s">
        <v>175</v>
      </c>
      <c r="C119" s="4"/>
      <c r="D119" s="463">
        <v>43</v>
      </c>
      <c r="E119" s="493">
        <v>64</v>
      </c>
      <c r="F119" s="493">
        <f t="shared" si="9"/>
        <v>100</v>
      </c>
      <c r="G119" s="473">
        <v>40</v>
      </c>
      <c r="H119" s="479">
        <v>6</v>
      </c>
      <c r="I119" s="477">
        <v>13</v>
      </c>
      <c r="J119" s="496">
        <v>41</v>
      </c>
      <c r="K119" s="474">
        <v>27</v>
      </c>
      <c r="L119" s="480">
        <v>1</v>
      </c>
      <c r="M119" s="45">
        <v>1</v>
      </c>
      <c r="N119" s="45">
        <v>66</v>
      </c>
      <c r="O119" s="205">
        <v>63</v>
      </c>
      <c r="P119" s="134">
        <v>7</v>
      </c>
      <c r="Q119" s="45">
        <v>5</v>
      </c>
      <c r="R119" s="45">
        <v>11</v>
      </c>
      <c r="S119" s="28">
        <v>23</v>
      </c>
      <c r="T119" s="45">
        <v>843</v>
      </c>
      <c r="U119" s="28">
        <v>1086</v>
      </c>
      <c r="V119" s="45">
        <v>267</v>
      </c>
      <c r="W119" s="45">
        <v>154</v>
      </c>
      <c r="X119" s="529">
        <f t="shared" si="7"/>
        <v>2288</v>
      </c>
      <c r="Y119" s="134">
        <v>70</v>
      </c>
      <c r="Z119" s="45">
        <v>68</v>
      </c>
      <c r="AA119" s="45">
        <v>1000</v>
      </c>
      <c r="AB119" s="424">
        <v>1150</v>
      </c>
      <c r="AC119" s="134"/>
    </row>
    <row r="120" spans="1:29">
      <c r="A120" s="146">
        <v>90</v>
      </c>
      <c r="B120" s="48" t="s">
        <v>176</v>
      </c>
      <c r="C120" s="4"/>
      <c r="D120" s="463">
        <v>23</v>
      </c>
      <c r="E120" s="493">
        <v>27</v>
      </c>
      <c r="F120" s="493">
        <f t="shared" si="9"/>
        <v>40</v>
      </c>
      <c r="G120" s="473">
        <v>19</v>
      </c>
      <c r="H120" s="479"/>
      <c r="I120" s="477">
        <v>3</v>
      </c>
      <c r="J120" s="496">
        <v>18</v>
      </c>
      <c r="K120" s="474">
        <v>16</v>
      </c>
      <c r="L120" s="480"/>
      <c r="M120" s="45"/>
      <c r="N120" s="45">
        <v>15</v>
      </c>
      <c r="O120" s="205">
        <v>14</v>
      </c>
      <c r="P120" s="134">
        <v>1</v>
      </c>
      <c r="Q120" s="45"/>
      <c r="R120" s="45">
        <v>10</v>
      </c>
      <c r="S120" s="28">
        <v>10</v>
      </c>
      <c r="T120" s="45">
        <v>422</v>
      </c>
      <c r="U120" s="28">
        <v>439</v>
      </c>
      <c r="V120" s="45">
        <v>129</v>
      </c>
      <c r="W120" s="45">
        <v>143</v>
      </c>
      <c r="X120" s="529">
        <f t="shared" si="7"/>
        <v>954</v>
      </c>
      <c r="Y120" s="134">
        <v>13</v>
      </c>
      <c r="Z120" s="45">
        <v>11</v>
      </c>
      <c r="AA120" s="45">
        <v>441</v>
      </c>
      <c r="AB120" s="424">
        <v>489</v>
      </c>
      <c r="AC120" s="134"/>
    </row>
    <row r="121" spans="1:29">
      <c r="A121" s="146">
        <v>91</v>
      </c>
      <c r="B121" s="48" t="s">
        <v>177</v>
      </c>
      <c r="C121" s="4"/>
      <c r="D121" s="463">
        <v>24</v>
      </c>
      <c r="E121" s="493">
        <v>32</v>
      </c>
      <c r="F121" s="493">
        <f t="shared" si="9"/>
        <v>54</v>
      </c>
      <c r="G121" s="473">
        <v>20</v>
      </c>
      <c r="H121" s="479">
        <v>5</v>
      </c>
      <c r="I121" s="477">
        <v>15</v>
      </c>
      <c r="J121" s="496">
        <v>14</v>
      </c>
      <c r="K121" s="474">
        <v>5</v>
      </c>
      <c r="L121" s="480">
        <v>1</v>
      </c>
      <c r="M121" s="45">
        <v>5</v>
      </c>
      <c r="N121" s="45">
        <v>135</v>
      </c>
      <c r="O121" s="205">
        <v>150</v>
      </c>
      <c r="P121" s="134">
        <v>20</v>
      </c>
      <c r="Q121" s="45">
        <v>31</v>
      </c>
      <c r="R121" s="45">
        <v>10</v>
      </c>
      <c r="S121" s="28">
        <v>3</v>
      </c>
      <c r="T121" s="45">
        <v>242</v>
      </c>
      <c r="U121" s="28">
        <v>251</v>
      </c>
      <c r="V121" s="45">
        <v>14</v>
      </c>
      <c r="W121" s="45">
        <v>15</v>
      </c>
      <c r="X121" s="529">
        <f t="shared" si="7"/>
        <v>778</v>
      </c>
      <c r="Y121" s="134">
        <v>135</v>
      </c>
      <c r="Z121" s="45">
        <v>161</v>
      </c>
      <c r="AA121" s="45">
        <v>237</v>
      </c>
      <c r="AB121" s="424">
        <v>245</v>
      </c>
      <c r="AC121" s="134"/>
    </row>
    <row r="122" spans="1:29">
      <c r="A122" s="146">
        <v>92</v>
      </c>
      <c r="B122" s="48" t="s">
        <v>178</v>
      </c>
      <c r="C122" s="4"/>
      <c r="D122" s="463">
        <v>45</v>
      </c>
      <c r="E122" s="493">
        <v>50</v>
      </c>
      <c r="F122" s="493">
        <f t="shared" si="9"/>
        <v>68</v>
      </c>
      <c r="G122" s="473">
        <v>21</v>
      </c>
      <c r="H122" s="479"/>
      <c r="I122" s="477">
        <v>3</v>
      </c>
      <c r="J122" s="496">
        <v>44</v>
      </c>
      <c r="K122" s="474">
        <v>18</v>
      </c>
      <c r="L122" s="480">
        <v>1</v>
      </c>
      <c r="M122" s="45">
        <v>1</v>
      </c>
      <c r="N122" s="45">
        <v>18</v>
      </c>
      <c r="O122" s="205">
        <v>13</v>
      </c>
      <c r="P122" s="134"/>
      <c r="Q122" s="45"/>
      <c r="R122" s="45">
        <v>24</v>
      </c>
      <c r="S122" s="28">
        <v>40</v>
      </c>
      <c r="T122" s="45">
        <v>783</v>
      </c>
      <c r="U122" s="28">
        <v>728</v>
      </c>
      <c r="V122" s="45">
        <v>265</v>
      </c>
      <c r="W122" s="45">
        <v>126</v>
      </c>
      <c r="X122" s="529">
        <f t="shared" si="7"/>
        <v>1775</v>
      </c>
      <c r="Y122" s="134">
        <v>19</v>
      </c>
      <c r="Z122" s="45">
        <v>13</v>
      </c>
      <c r="AA122" s="45">
        <v>951</v>
      </c>
      <c r="AB122" s="424">
        <v>792</v>
      </c>
      <c r="AC122" s="134"/>
    </row>
    <row r="123" spans="1:29">
      <c r="A123" s="146">
        <v>93</v>
      </c>
      <c r="B123" s="48" t="s">
        <v>179</v>
      </c>
      <c r="C123" s="4"/>
      <c r="D123" s="463">
        <v>52</v>
      </c>
      <c r="E123" s="493">
        <v>66</v>
      </c>
      <c r="F123" s="493">
        <f t="shared" si="9"/>
        <v>116</v>
      </c>
      <c r="G123" s="473">
        <v>49</v>
      </c>
      <c r="H123" s="479"/>
      <c r="I123" s="477">
        <v>2</v>
      </c>
      <c r="J123" s="496">
        <v>65</v>
      </c>
      <c r="K123" s="474">
        <v>47</v>
      </c>
      <c r="L123" s="480"/>
      <c r="M123" s="45"/>
      <c r="N123" s="45">
        <v>10</v>
      </c>
      <c r="O123" s="205">
        <v>13</v>
      </c>
      <c r="P123" s="134">
        <v>1</v>
      </c>
      <c r="Q123" s="45">
        <v>3</v>
      </c>
      <c r="R123" s="45">
        <v>52</v>
      </c>
      <c r="S123" s="28">
        <v>42</v>
      </c>
      <c r="T123" s="45">
        <v>1270</v>
      </c>
      <c r="U123" s="28">
        <v>1264</v>
      </c>
      <c r="V123" s="45">
        <v>401</v>
      </c>
      <c r="W123" s="45">
        <v>341</v>
      </c>
      <c r="X123" s="529">
        <f t="shared" si="7"/>
        <v>2749</v>
      </c>
      <c r="Y123" s="134">
        <v>11</v>
      </c>
      <c r="Z123" s="45">
        <v>14</v>
      </c>
      <c r="AA123" s="45">
        <v>1341</v>
      </c>
      <c r="AB123" s="424">
        <v>1383</v>
      </c>
      <c r="AC123" s="134"/>
    </row>
    <row r="124" spans="1:29">
      <c r="A124" s="146">
        <v>94</v>
      </c>
      <c r="B124" s="48" t="s">
        <v>180</v>
      </c>
      <c r="C124" s="4"/>
      <c r="D124" s="463">
        <v>57</v>
      </c>
      <c r="E124" s="493">
        <v>73</v>
      </c>
      <c r="F124" s="493">
        <f t="shared" si="9"/>
        <v>115</v>
      </c>
      <c r="G124" s="473">
        <v>47</v>
      </c>
      <c r="H124" s="479"/>
      <c r="I124" s="477">
        <v>6</v>
      </c>
      <c r="J124" s="496">
        <v>62</v>
      </c>
      <c r="K124" s="474">
        <v>41</v>
      </c>
      <c r="L124" s="480"/>
      <c r="M124" s="45">
        <v>1</v>
      </c>
      <c r="N124" s="45">
        <v>10</v>
      </c>
      <c r="O124" s="205">
        <v>10</v>
      </c>
      <c r="P124" s="134"/>
      <c r="Q124" s="45">
        <v>1</v>
      </c>
      <c r="R124" s="45">
        <v>19</v>
      </c>
      <c r="S124" s="28">
        <v>33</v>
      </c>
      <c r="T124" s="45">
        <v>1267</v>
      </c>
      <c r="U124" s="28">
        <v>1438</v>
      </c>
      <c r="V124" s="45">
        <v>260</v>
      </c>
      <c r="W124" s="45">
        <v>335</v>
      </c>
      <c r="X124" s="529">
        <f t="shared" si="7"/>
        <v>2884</v>
      </c>
      <c r="Y124" s="134">
        <v>9</v>
      </c>
      <c r="Z124" s="45">
        <v>11</v>
      </c>
      <c r="AA124" s="45">
        <v>1263</v>
      </c>
      <c r="AB124" s="424">
        <v>1601</v>
      </c>
      <c r="AC124" s="134"/>
    </row>
    <row r="125" spans="1:29">
      <c r="A125" s="146">
        <v>95</v>
      </c>
      <c r="B125" s="48" t="s">
        <v>181</v>
      </c>
      <c r="C125" s="4"/>
      <c r="D125" s="463">
        <v>53</v>
      </c>
      <c r="E125" s="493">
        <v>62</v>
      </c>
      <c r="F125" s="493">
        <f t="shared" si="9"/>
        <v>97</v>
      </c>
      <c r="G125" s="473">
        <v>47</v>
      </c>
      <c r="H125" s="479">
        <v>1</v>
      </c>
      <c r="I125" s="477">
        <v>2</v>
      </c>
      <c r="J125" s="496">
        <v>47</v>
      </c>
      <c r="K125" s="474">
        <v>45</v>
      </c>
      <c r="L125" s="480"/>
      <c r="M125" s="45"/>
      <c r="N125" s="45">
        <v>17</v>
      </c>
      <c r="O125" s="205">
        <v>10</v>
      </c>
      <c r="P125" s="134"/>
      <c r="Q125" s="45"/>
      <c r="R125" s="45">
        <v>28</v>
      </c>
      <c r="S125" s="28">
        <v>45</v>
      </c>
      <c r="T125" s="45">
        <v>1111</v>
      </c>
      <c r="U125" s="28">
        <v>1063</v>
      </c>
      <c r="V125" s="45">
        <v>306</v>
      </c>
      <c r="W125" s="45">
        <v>275</v>
      </c>
      <c r="X125" s="529">
        <f t="shared" si="7"/>
        <v>2465</v>
      </c>
      <c r="Y125" s="134">
        <v>16</v>
      </c>
      <c r="Z125" s="45">
        <v>10</v>
      </c>
      <c r="AA125" s="45">
        <v>1215</v>
      </c>
      <c r="AB125" s="424">
        <v>1224</v>
      </c>
      <c r="AC125" s="134"/>
    </row>
    <row r="126" spans="1:29">
      <c r="A126" s="146">
        <v>96</v>
      </c>
      <c r="B126" s="48" t="s">
        <v>182</v>
      </c>
      <c r="C126" s="97"/>
      <c r="D126" s="528">
        <v>55</v>
      </c>
      <c r="E126" s="529">
        <v>63</v>
      </c>
      <c r="F126" s="493">
        <f t="shared" si="9"/>
        <v>95</v>
      </c>
      <c r="G126" s="473">
        <v>48</v>
      </c>
      <c r="H126" s="479">
        <v>2</v>
      </c>
      <c r="I126" s="477">
        <v>4</v>
      </c>
      <c r="J126" s="496">
        <v>41</v>
      </c>
      <c r="K126" s="474">
        <v>44</v>
      </c>
      <c r="L126" s="480">
        <v>1</v>
      </c>
      <c r="M126" s="45">
        <v>1</v>
      </c>
      <c r="N126" s="45">
        <v>9</v>
      </c>
      <c r="O126" s="205">
        <v>14</v>
      </c>
      <c r="P126" s="134"/>
      <c r="Q126" s="45"/>
      <c r="R126" s="45">
        <v>63</v>
      </c>
      <c r="S126" s="28">
        <v>54</v>
      </c>
      <c r="T126" s="45">
        <v>1115</v>
      </c>
      <c r="U126" s="28">
        <v>951</v>
      </c>
      <c r="V126" s="45">
        <v>308</v>
      </c>
      <c r="W126" s="45">
        <v>339</v>
      </c>
      <c r="X126" s="529">
        <f t="shared" si="7"/>
        <v>2578</v>
      </c>
      <c r="Y126" s="134">
        <v>8</v>
      </c>
      <c r="Z126" s="45">
        <v>7</v>
      </c>
      <c r="AA126" s="45">
        <v>1319</v>
      </c>
      <c r="AB126" s="424">
        <v>1244</v>
      </c>
      <c r="AC126" s="134"/>
    </row>
    <row r="127" spans="1:29">
      <c r="A127" s="176" t="s">
        <v>24</v>
      </c>
      <c r="B127" s="59"/>
      <c r="C127" s="113"/>
      <c r="D127" s="528"/>
      <c r="E127" s="529"/>
      <c r="F127" s="493"/>
      <c r="G127" s="473"/>
      <c r="H127" s="479"/>
      <c r="I127" s="477"/>
      <c r="J127" s="496"/>
      <c r="K127" s="474"/>
      <c r="L127" s="480"/>
      <c r="M127" s="45"/>
      <c r="N127" s="45"/>
      <c r="O127" s="205"/>
      <c r="P127" s="134"/>
      <c r="Q127" s="45"/>
      <c r="R127" s="45"/>
      <c r="S127" s="28"/>
      <c r="T127" s="45"/>
      <c r="U127" s="28"/>
      <c r="V127" s="45"/>
      <c r="W127" s="45"/>
      <c r="X127" s="529"/>
      <c r="Y127" s="134"/>
      <c r="Z127" s="45"/>
      <c r="AA127" s="45"/>
      <c r="AB127" s="424"/>
      <c r="AC127" s="134"/>
    </row>
    <row r="128" spans="1:29">
      <c r="A128" s="178">
        <v>97</v>
      </c>
      <c r="B128" s="85" t="s">
        <v>183</v>
      </c>
      <c r="C128" s="4"/>
      <c r="D128" s="463">
        <v>29</v>
      </c>
      <c r="E128" s="493">
        <v>36</v>
      </c>
      <c r="F128" s="493">
        <f t="shared" si="9"/>
        <v>51</v>
      </c>
      <c r="G128" s="473">
        <v>17</v>
      </c>
      <c r="H128" s="479">
        <v>15</v>
      </c>
      <c r="I128" s="477">
        <v>17</v>
      </c>
      <c r="J128" s="496">
        <v>2</v>
      </c>
      <c r="K128" s="474"/>
      <c r="L128" s="480"/>
      <c r="M128" s="45">
        <v>2</v>
      </c>
      <c r="N128" s="45">
        <v>258</v>
      </c>
      <c r="O128" s="205">
        <v>248</v>
      </c>
      <c r="P128" s="134">
        <v>21</v>
      </c>
      <c r="Q128" s="45">
        <v>21</v>
      </c>
      <c r="R128" s="45"/>
      <c r="S128" s="28"/>
      <c r="T128" s="45">
        <v>36</v>
      </c>
      <c r="U128" s="28">
        <v>48</v>
      </c>
      <c r="V128" s="45">
        <v>3</v>
      </c>
      <c r="W128" s="45">
        <v>7</v>
      </c>
      <c r="X128" s="529">
        <f t="shared" si="7"/>
        <v>547</v>
      </c>
      <c r="Y128" s="134">
        <v>237</v>
      </c>
      <c r="Z128" s="45">
        <v>231</v>
      </c>
      <c r="AA128" s="45">
        <v>31</v>
      </c>
      <c r="AB128" s="424">
        <v>48</v>
      </c>
      <c r="AC128" s="134"/>
    </row>
    <row r="129" spans="1:29">
      <c r="A129" s="146">
        <v>98</v>
      </c>
      <c r="B129" s="48" t="s">
        <v>184</v>
      </c>
      <c r="C129" s="4"/>
      <c r="D129" s="463">
        <v>6</v>
      </c>
      <c r="E129" s="493">
        <v>6</v>
      </c>
      <c r="F129" s="493">
        <f>SUM(G129:J129)</f>
        <v>7</v>
      </c>
      <c r="G129" s="473">
        <v>1</v>
      </c>
      <c r="H129" s="479"/>
      <c r="I129" s="477"/>
      <c r="J129" s="496">
        <v>6</v>
      </c>
      <c r="K129" s="474">
        <v>1</v>
      </c>
      <c r="L129" s="480"/>
      <c r="M129" s="45"/>
      <c r="N129" s="45"/>
      <c r="O129" s="205"/>
      <c r="P129" s="134"/>
      <c r="Q129" s="45"/>
      <c r="R129" s="45">
        <v>8</v>
      </c>
      <c r="S129" s="28">
        <v>4</v>
      </c>
      <c r="T129" s="45">
        <v>101</v>
      </c>
      <c r="U129" s="28">
        <v>62</v>
      </c>
      <c r="V129" s="45">
        <v>20</v>
      </c>
      <c r="W129" s="45">
        <v>9</v>
      </c>
      <c r="X129" s="529">
        <f t="shared" si="7"/>
        <v>155</v>
      </c>
      <c r="Y129" s="134"/>
      <c r="Z129" s="45"/>
      <c r="AA129" s="45">
        <v>94</v>
      </c>
      <c r="AB129" s="424">
        <v>61</v>
      </c>
      <c r="AC129" s="134"/>
    </row>
    <row r="130" spans="1:29">
      <c r="A130" s="146">
        <v>99</v>
      </c>
      <c r="B130" s="48" t="s">
        <v>185</v>
      </c>
      <c r="C130" s="4"/>
      <c r="D130" s="463">
        <v>55</v>
      </c>
      <c r="E130" s="493">
        <v>77</v>
      </c>
      <c r="F130" s="493">
        <f t="shared" si="9"/>
        <v>114</v>
      </c>
      <c r="G130" s="473">
        <v>45</v>
      </c>
      <c r="H130" s="479">
        <v>4</v>
      </c>
      <c r="I130" s="477">
        <v>6</v>
      </c>
      <c r="J130" s="496">
        <v>59</v>
      </c>
      <c r="K130" s="474">
        <v>39</v>
      </c>
      <c r="L130" s="480"/>
      <c r="M130" s="45"/>
      <c r="N130" s="45">
        <v>8</v>
      </c>
      <c r="O130" s="205">
        <v>1</v>
      </c>
      <c r="P130" s="134">
        <v>1</v>
      </c>
      <c r="Q130" s="45"/>
      <c r="R130" s="45">
        <v>22</v>
      </c>
      <c r="S130" s="28">
        <v>39</v>
      </c>
      <c r="T130" s="45">
        <v>1398</v>
      </c>
      <c r="U130" s="28">
        <v>1161</v>
      </c>
      <c r="V130" s="45">
        <v>490</v>
      </c>
      <c r="W130" s="45">
        <v>315</v>
      </c>
      <c r="X130" s="529">
        <f t="shared" si="7"/>
        <v>2890</v>
      </c>
      <c r="Y130" s="134">
        <v>8</v>
      </c>
      <c r="Z130" s="45">
        <v>1</v>
      </c>
      <c r="AA130" s="45">
        <v>1559</v>
      </c>
      <c r="AB130" s="424">
        <v>1322</v>
      </c>
      <c r="AC130" s="134"/>
    </row>
    <row r="131" spans="1:29">
      <c r="A131" s="146">
        <v>100</v>
      </c>
      <c r="B131" s="48" t="s">
        <v>186</v>
      </c>
      <c r="C131" s="4"/>
      <c r="D131" s="463">
        <v>39</v>
      </c>
      <c r="E131" s="493">
        <v>41</v>
      </c>
      <c r="F131" s="493">
        <f t="shared" si="9"/>
        <v>62</v>
      </c>
      <c r="G131" s="473">
        <v>22</v>
      </c>
      <c r="H131" s="479">
        <v>1</v>
      </c>
      <c r="I131" s="477">
        <v>5</v>
      </c>
      <c r="J131" s="496">
        <v>34</v>
      </c>
      <c r="K131" s="474">
        <v>17</v>
      </c>
      <c r="L131" s="480"/>
      <c r="M131" s="45"/>
      <c r="N131" s="45">
        <v>21</v>
      </c>
      <c r="O131" s="205">
        <v>17</v>
      </c>
      <c r="P131" s="134"/>
      <c r="Q131" s="45">
        <v>2</v>
      </c>
      <c r="R131" s="45">
        <v>20</v>
      </c>
      <c r="S131" s="28">
        <v>7</v>
      </c>
      <c r="T131" s="45">
        <v>703</v>
      </c>
      <c r="U131" s="28">
        <v>412</v>
      </c>
      <c r="V131" s="45">
        <v>185</v>
      </c>
      <c r="W131" s="45">
        <v>112</v>
      </c>
      <c r="X131" s="529">
        <f t="shared" si="7"/>
        <v>1202</v>
      </c>
      <c r="Y131" s="134">
        <v>20</v>
      </c>
      <c r="Z131" s="45">
        <v>19</v>
      </c>
      <c r="AA131" s="45">
        <v>716</v>
      </c>
      <c r="AB131" s="424">
        <v>447</v>
      </c>
      <c r="AC131" s="134"/>
    </row>
    <row r="132" spans="1:29">
      <c r="A132" s="146">
        <v>101</v>
      </c>
      <c r="B132" s="48" t="s">
        <v>291</v>
      </c>
      <c r="C132" s="4"/>
      <c r="D132" s="463">
        <v>42</v>
      </c>
      <c r="E132" s="493">
        <v>47</v>
      </c>
      <c r="F132" s="493">
        <f t="shared" si="9"/>
        <v>70</v>
      </c>
      <c r="G132" s="473">
        <v>31</v>
      </c>
      <c r="H132" s="479"/>
      <c r="I132" s="477">
        <v>2</v>
      </c>
      <c r="J132" s="496">
        <v>37</v>
      </c>
      <c r="K132" s="474">
        <v>29</v>
      </c>
      <c r="L132" s="480"/>
      <c r="M132" s="45"/>
      <c r="N132" s="45">
        <v>8</v>
      </c>
      <c r="O132" s="205">
        <v>12</v>
      </c>
      <c r="P132" s="134"/>
      <c r="Q132" s="45">
        <v>1</v>
      </c>
      <c r="R132" s="45">
        <v>17</v>
      </c>
      <c r="S132" s="28">
        <v>20</v>
      </c>
      <c r="T132" s="45">
        <v>927</v>
      </c>
      <c r="U132" s="28">
        <v>976</v>
      </c>
      <c r="V132" s="45">
        <v>185</v>
      </c>
      <c r="W132" s="45">
        <v>262</v>
      </c>
      <c r="X132" s="529">
        <f t="shared" si="7"/>
        <v>1997</v>
      </c>
      <c r="Y132" s="134">
        <v>8</v>
      </c>
      <c r="Z132" s="45">
        <v>13</v>
      </c>
      <c r="AA132" s="45">
        <v>895</v>
      </c>
      <c r="AB132" s="424">
        <v>1081</v>
      </c>
      <c r="AC132" s="134"/>
    </row>
    <row r="133" spans="1:29">
      <c r="A133" s="146">
        <v>102</v>
      </c>
      <c r="B133" s="48" t="s">
        <v>187</v>
      </c>
      <c r="C133" s="4"/>
      <c r="D133" s="463">
        <v>58</v>
      </c>
      <c r="E133" s="493">
        <v>86</v>
      </c>
      <c r="F133" s="493">
        <f t="shared" si="9"/>
        <v>125</v>
      </c>
      <c r="G133" s="473">
        <v>48</v>
      </c>
      <c r="H133" s="479">
        <v>8</v>
      </c>
      <c r="I133" s="477">
        <v>21</v>
      </c>
      <c r="J133" s="496">
        <v>48</v>
      </c>
      <c r="K133" s="474">
        <v>27</v>
      </c>
      <c r="L133" s="480">
        <v>5</v>
      </c>
      <c r="M133" s="45">
        <v>6</v>
      </c>
      <c r="N133" s="45">
        <v>152</v>
      </c>
      <c r="O133" s="205">
        <v>160</v>
      </c>
      <c r="P133" s="134">
        <v>42</v>
      </c>
      <c r="Q133" s="45">
        <v>27</v>
      </c>
      <c r="R133" s="45">
        <v>46</v>
      </c>
      <c r="S133" s="28">
        <v>34</v>
      </c>
      <c r="T133" s="45">
        <v>976</v>
      </c>
      <c r="U133" s="28">
        <v>826</v>
      </c>
      <c r="V133" s="45">
        <v>423</v>
      </c>
      <c r="W133" s="45">
        <v>246</v>
      </c>
      <c r="X133" s="529">
        <f t="shared" si="7"/>
        <v>2588</v>
      </c>
      <c r="Y133" s="134">
        <v>183</v>
      </c>
      <c r="Z133" s="45">
        <v>171</v>
      </c>
      <c r="AA133" s="45">
        <v>1247</v>
      </c>
      <c r="AB133" s="424">
        <v>987</v>
      </c>
      <c r="AC133" s="134"/>
    </row>
    <row r="134" spans="1:29">
      <c r="A134" s="146">
        <v>103</v>
      </c>
      <c r="B134" s="48" t="s">
        <v>188</v>
      </c>
      <c r="C134" s="97"/>
      <c r="D134" s="528">
        <v>29</v>
      </c>
      <c r="E134" s="529">
        <v>48</v>
      </c>
      <c r="F134" s="493">
        <f t="shared" si="9"/>
        <v>80</v>
      </c>
      <c r="G134" s="473">
        <v>34</v>
      </c>
      <c r="H134" s="479">
        <v>10</v>
      </c>
      <c r="I134" s="477">
        <v>14</v>
      </c>
      <c r="J134" s="496">
        <v>22</v>
      </c>
      <c r="K134" s="474">
        <v>20</v>
      </c>
      <c r="L134" s="480">
        <v>4</v>
      </c>
      <c r="M134" s="45">
        <v>3</v>
      </c>
      <c r="N134" s="45">
        <v>78</v>
      </c>
      <c r="O134" s="205">
        <v>64</v>
      </c>
      <c r="P134" s="134">
        <v>17</v>
      </c>
      <c r="Q134" s="45">
        <v>20</v>
      </c>
      <c r="R134" s="45">
        <v>7</v>
      </c>
      <c r="S134" s="28">
        <v>11</v>
      </c>
      <c r="T134" s="45">
        <v>593</v>
      </c>
      <c r="U134" s="28">
        <v>828</v>
      </c>
      <c r="V134" s="45">
        <v>160</v>
      </c>
      <c r="W134" s="45">
        <v>176</v>
      </c>
      <c r="X134" s="529">
        <f t="shared" si="7"/>
        <v>1635</v>
      </c>
      <c r="Y134" s="134">
        <v>96</v>
      </c>
      <c r="Z134" s="45">
        <v>78</v>
      </c>
      <c r="AA134" s="45">
        <v>618</v>
      </c>
      <c r="AB134" s="424">
        <v>843</v>
      </c>
      <c r="AC134" s="134"/>
    </row>
    <row r="135" spans="1:29">
      <c r="A135" s="176" t="s">
        <v>25</v>
      </c>
      <c r="B135" s="59"/>
      <c r="C135" s="4"/>
      <c r="D135" s="463"/>
      <c r="E135" s="493"/>
      <c r="F135" s="493"/>
      <c r="G135" s="473"/>
      <c r="H135" s="479"/>
      <c r="I135" s="477"/>
      <c r="J135" s="496"/>
      <c r="K135" s="474"/>
      <c r="L135" s="480"/>
      <c r="M135" s="45"/>
      <c r="N135" s="45"/>
      <c r="O135" s="205"/>
      <c r="P135" s="134"/>
      <c r="Q135" s="45"/>
      <c r="R135" s="45"/>
      <c r="S135" s="28"/>
      <c r="T135" s="45"/>
      <c r="U135" s="28"/>
      <c r="V135" s="45"/>
      <c r="W135" s="45"/>
      <c r="X135" s="529"/>
      <c r="Y135" s="134"/>
      <c r="Z135" s="45"/>
      <c r="AA135" s="45"/>
      <c r="AB135" s="424"/>
      <c r="AC135" s="134"/>
    </row>
    <row r="136" spans="1:29">
      <c r="A136" s="146">
        <v>104</v>
      </c>
      <c r="B136" s="48" t="s">
        <v>189</v>
      </c>
      <c r="C136" s="4"/>
      <c r="D136" s="463">
        <v>27</v>
      </c>
      <c r="E136" s="493">
        <v>35</v>
      </c>
      <c r="F136" s="493">
        <f t="shared" si="9"/>
        <v>89</v>
      </c>
      <c r="G136" s="473">
        <v>50</v>
      </c>
      <c r="H136" s="479">
        <v>2</v>
      </c>
      <c r="I136" s="477">
        <v>10</v>
      </c>
      <c r="J136" s="496">
        <v>27</v>
      </c>
      <c r="K136" s="474">
        <v>40</v>
      </c>
      <c r="L136" s="480">
        <v>1</v>
      </c>
      <c r="M136" s="45">
        <v>1</v>
      </c>
      <c r="N136" s="45">
        <v>66</v>
      </c>
      <c r="O136" s="205">
        <v>53</v>
      </c>
      <c r="P136" s="134">
        <v>7</v>
      </c>
      <c r="Q136" s="45">
        <v>10</v>
      </c>
      <c r="R136" s="45">
        <v>70</v>
      </c>
      <c r="S136" s="28">
        <v>57</v>
      </c>
      <c r="T136" s="45">
        <v>595</v>
      </c>
      <c r="U136" s="28">
        <v>929</v>
      </c>
      <c r="V136" s="45">
        <v>198</v>
      </c>
      <c r="W136" s="45">
        <v>312</v>
      </c>
      <c r="X136" s="529">
        <f t="shared" si="7"/>
        <v>1860</v>
      </c>
      <c r="Y136" s="134">
        <v>71</v>
      </c>
      <c r="Z136" s="45">
        <v>58</v>
      </c>
      <c r="AA136" s="45">
        <v>676</v>
      </c>
      <c r="AB136" s="424">
        <v>1055</v>
      </c>
      <c r="AC136" s="134"/>
    </row>
    <row r="137" spans="1:29">
      <c r="A137" s="146">
        <v>105</v>
      </c>
      <c r="B137" s="48" t="s">
        <v>190</v>
      </c>
      <c r="C137" s="4"/>
      <c r="D137" s="463">
        <v>35</v>
      </c>
      <c r="E137" s="493">
        <v>40</v>
      </c>
      <c r="F137" s="493">
        <f t="shared" si="9"/>
        <v>66</v>
      </c>
      <c r="G137" s="473">
        <v>35</v>
      </c>
      <c r="H137" s="479">
        <v>1</v>
      </c>
      <c r="I137" s="477">
        <v>5</v>
      </c>
      <c r="J137" s="496">
        <v>25</v>
      </c>
      <c r="K137" s="474">
        <v>30</v>
      </c>
      <c r="L137" s="480">
        <v>6</v>
      </c>
      <c r="M137" s="45"/>
      <c r="N137" s="45">
        <v>32</v>
      </c>
      <c r="O137" s="205">
        <v>36</v>
      </c>
      <c r="P137" s="134">
        <v>1</v>
      </c>
      <c r="Q137" s="45">
        <v>4</v>
      </c>
      <c r="R137" s="45">
        <v>55</v>
      </c>
      <c r="S137" s="28">
        <v>77</v>
      </c>
      <c r="T137" s="45">
        <v>774</v>
      </c>
      <c r="U137" s="28">
        <v>731</v>
      </c>
      <c r="V137" s="45">
        <v>239</v>
      </c>
      <c r="W137" s="45">
        <v>232</v>
      </c>
      <c r="X137" s="529">
        <f t="shared" si="7"/>
        <v>1842</v>
      </c>
      <c r="Y137" s="134">
        <v>36</v>
      </c>
      <c r="Z137" s="45">
        <v>37</v>
      </c>
      <c r="AA137" s="45">
        <v>871</v>
      </c>
      <c r="AB137" s="424">
        <v>898</v>
      </c>
      <c r="AC137" s="134"/>
    </row>
    <row r="138" spans="1:29">
      <c r="A138" s="146">
        <v>106</v>
      </c>
      <c r="B138" s="48" t="s">
        <v>191</v>
      </c>
      <c r="C138" s="4"/>
      <c r="D138" s="463">
        <v>45</v>
      </c>
      <c r="E138" s="493">
        <v>46</v>
      </c>
      <c r="F138" s="493">
        <f t="shared" si="9"/>
        <v>67</v>
      </c>
      <c r="G138" s="473">
        <v>22</v>
      </c>
      <c r="H138" s="479"/>
      <c r="I138" s="477">
        <v>3</v>
      </c>
      <c r="J138" s="496">
        <v>42</v>
      </c>
      <c r="K138" s="474">
        <v>19</v>
      </c>
      <c r="L138" s="480"/>
      <c r="M138" s="45">
        <v>1</v>
      </c>
      <c r="N138" s="45">
        <v>11</v>
      </c>
      <c r="O138" s="205">
        <v>8</v>
      </c>
      <c r="P138" s="134">
        <v>1</v>
      </c>
      <c r="Q138" s="45">
        <v>2</v>
      </c>
      <c r="R138" s="45">
        <v>18</v>
      </c>
      <c r="S138" s="28">
        <v>22</v>
      </c>
      <c r="T138" s="45">
        <v>928</v>
      </c>
      <c r="U138" s="28">
        <v>555</v>
      </c>
      <c r="V138" s="45">
        <v>142</v>
      </c>
      <c r="W138" s="45">
        <v>80</v>
      </c>
      <c r="X138" s="529">
        <f t="shared" si="7"/>
        <v>1334</v>
      </c>
      <c r="Y138" s="134">
        <v>11</v>
      </c>
      <c r="Z138" s="45">
        <v>11</v>
      </c>
      <c r="AA138" s="45">
        <v>798</v>
      </c>
      <c r="AB138" s="424">
        <v>514</v>
      </c>
      <c r="AC138" s="134"/>
    </row>
    <row r="139" spans="1:29">
      <c r="A139" s="146">
        <v>107</v>
      </c>
      <c r="B139" s="48" t="s">
        <v>192</v>
      </c>
      <c r="C139" s="4"/>
      <c r="D139" s="463">
        <v>66</v>
      </c>
      <c r="E139" s="493">
        <v>80</v>
      </c>
      <c r="F139" s="493">
        <f t="shared" si="9"/>
        <v>172</v>
      </c>
      <c r="G139" s="473">
        <v>89</v>
      </c>
      <c r="H139" s="479">
        <v>6</v>
      </c>
      <c r="I139" s="477">
        <v>8</v>
      </c>
      <c r="J139" s="496">
        <v>69</v>
      </c>
      <c r="K139" s="474">
        <v>81</v>
      </c>
      <c r="L139" s="480"/>
      <c r="M139" s="45"/>
      <c r="N139" s="45">
        <v>7</v>
      </c>
      <c r="O139" s="205">
        <v>17</v>
      </c>
      <c r="P139" s="134">
        <v>1</v>
      </c>
      <c r="Q139" s="45">
        <v>1</v>
      </c>
      <c r="R139" s="45">
        <v>43</v>
      </c>
      <c r="S139" s="28">
        <v>41</v>
      </c>
      <c r="T139" s="45">
        <v>1310</v>
      </c>
      <c r="U139" s="28">
        <v>2306</v>
      </c>
      <c r="V139" s="45">
        <v>518</v>
      </c>
      <c r="W139" s="45">
        <v>670</v>
      </c>
      <c r="X139" s="529">
        <f t="shared" si="7"/>
        <v>4153</v>
      </c>
      <c r="Y139" s="134">
        <v>9</v>
      </c>
      <c r="Z139" s="45">
        <v>16</v>
      </c>
      <c r="AA139" s="45">
        <v>1517</v>
      </c>
      <c r="AB139" s="424">
        <v>2611</v>
      </c>
      <c r="AC139" s="134"/>
    </row>
    <row r="140" spans="1:29">
      <c r="A140" s="146">
        <v>108</v>
      </c>
      <c r="B140" s="48" t="s">
        <v>193</v>
      </c>
      <c r="C140" s="4"/>
      <c r="D140" s="463">
        <v>35</v>
      </c>
      <c r="E140" s="493">
        <v>38</v>
      </c>
      <c r="F140" s="493">
        <f t="shared" si="9"/>
        <v>87</v>
      </c>
      <c r="G140" s="473">
        <v>50</v>
      </c>
      <c r="H140" s="479"/>
      <c r="I140" s="477">
        <v>1</v>
      </c>
      <c r="J140" s="496">
        <v>36</v>
      </c>
      <c r="K140" s="474">
        <v>49</v>
      </c>
      <c r="L140" s="480"/>
      <c r="M140" s="45"/>
      <c r="N140" s="45">
        <v>9</v>
      </c>
      <c r="O140" s="205">
        <v>6</v>
      </c>
      <c r="P140" s="134">
        <v>2</v>
      </c>
      <c r="Q140" s="45">
        <v>3</v>
      </c>
      <c r="R140" s="45">
        <v>34</v>
      </c>
      <c r="S140" s="28">
        <v>51</v>
      </c>
      <c r="T140" s="45">
        <v>729</v>
      </c>
      <c r="U140" s="28">
        <v>1171</v>
      </c>
      <c r="V140" s="45">
        <v>212</v>
      </c>
      <c r="W140" s="45">
        <v>394</v>
      </c>
      <c r="X140" s="529">
        <f t="shared" si="7"/>
        <v>2042</v>
      </c>
      <c r="Y140" s="134">
        <v>8</v>
      </c>
      <c r="Z140" s="45">
        <v>8</v>
      </c>
      <c r="AA140" s="45">
        <v>722</v>
      </c>
      <c r="AB140" s="424">
        <v>1304</v>
      </c>
      <c r="AC140" s="134"/>
    </row>
    <row r="141" spans="1:29">
      <c r="A141" s="146">
        <v>109</v>
      </c>
      <c r="B141" s="48" t="s">
        <v>194</v>
      </c>
      <c r="C141" s="97"/>
      <c r="D141" s="528">
        <v>48</v>
      </c>
      <c r="E141" s="529">
        <v>50</v>
      </c>
      <c r="F141" s="493">
        <f t="shared" si="9"/>
        <v>91</v>
      </c>
      <c r="G141" s="473">
        <v>41</v>
      </c>
      <c r="H141" s="479"/>
      <c r="I141" s="477">
        <v>1</v>
      </c>
      <c r="J141" s="496">
        <v>49</v>
      </c>
      <c r="K141" s="474">
        <v>40</v>
      </c>
      <c r="L141" s="480"/>
      <c r="M141" s="45"/>
      <c r="N141" s="45">
        <v>9</v>
      </c>
      <c r="O141" s="205">
        <v>7</v>
      </c>
      <c r="P141" s="134"/>
      <c r="Q141" s="45"/>
      <c r="R141" s="45">
        <v>57</v>
      </c>
      <c r="S141" s="28">
        <v>37</v>
      </c>
      <c r="T141" s="45">
        <v>970</v>
      </c>
      <c r="U141" s="28">
        <v>981</v>
      </c>
      <c r="V141" s="45">
        <v>280</v>
      </c>
      <c r="W141" s="45">
        <v>246</v>
      </c>
      <c r="X141" s="529">
        <f t="shared" ref="X141:X204" si="29">SUM(Y141:AB141)</f>
        <v>2048</v>
      </c>
      <c r="Y141" s="134">
        <v>9</v>
      </c>
      <c r="Z141" s="45">
        <v>6</v>
      </c>
      <c r="AA141" s="45">
        <v>1002</v>
      </c>
      <c r="AB141" s="424">
        <v>1031</v>
      </c>
      <c r="AC141" s="134"/>
    </row>
    <row r="142" spans="1:29">
      <c r="A142" s="176" t="s">
        <v>26</v>
      </c>
      <c r="B142" s="59"/>
      <c r="C142" s="8" t="s">
        <v>432</v>
      </c>
      <c r="D142" s="463"/>
      <c r="E142" s="493"/>
      <c r="F142" s="493"/>
      <c r="G142" s="473"/>
      <c r="H142" s="479"/>
      <c r="I142" s="477"/>
      <c r="J142" s="496"/>
      <c r="K142" s="474"/>
      <c r="L142" s="480"/>
      <c r="M142" s="45"/>
      <c r="N142" s="45"/>
      <c r="O142" s="205"/>
      <c r="P142" s="134"/>
      <c r="Q142" s="45"/>
      <c r="R142" s="45"/>
      <c r="S142" s="28"/>
      <c r="T142" s="45"/>
      <c r="U142" s="28"/>
      <c r="V142" s="45"/>
      <c r="W142" s="45"/>
      <c r="X142" s="529"/>
      <c r="Y142" s="134"/>
      <c r="Z142" s="45"/>
      <c r="AA142" s="45"/>
      <c r="AB142" s="424"/>
      <c r="AC142" s="134"/>
    </row>
    <row r="143" spans="1:29">
      <c r="A143" s="146">
        <v>110</v>
      </c>
      <c r="B143" s="48" t="s">
        <v>195</v>
      </c>
      <c r="C143" s="4"/>
      <c r="D143" s="463">
        <v>18</v>
      </c>
      <c r="E143" s="493">
        <v>18</v>
      </c>
      <c r="F143" s="493">
        <f t="shared" si="9"/>
        <v>23</v>
      </c>
      <c r="G143" s="473"/>
      <c r="H143" s="479">
        <v>2</v>
      </c>
      <c r="I143" s="477">
        <v>7</v>
      </c>
      <c r="J143" s="496">
        <v>14</v>
      </c>
      <c r="K143" s="474">
        <f>SUM(L143:W143)</f>
        <v>601</v>
      </c>
      <c r="L143" s="480"/>
      <c r="M143" s="45"/>
      <c r="N143" s="45">
        <v>10</v>
      </c>
      <c r="O143" s="205">
        <v>11</v>
      </c>
      <c r="P143" s="134">
        <v>2</v>
      </c>
      <c r="Q143" s="45"/>
      <c r="R143" s="45">
        <v>13</v>
      </c>
      <c r="S143" s="28">
        <v>11</v>
      </c>
      <c r="T143" s="45">
        <v>249</v>
      </c>
      <c r="U143" s="28">
        <v>213</v>
      </c>
      <c r="V143" s="45">
        <v>50</v>
      </c>
      <c r="W143" s="45">
        <v>42</v>
      </c>
      <c r="X143" s="529">
        <f t="shared" si="29"/>
        <v>525</v>
      </c>
      <c r="Y143" s="134">
        <v>12</v>
      </c>
      <c r="Z143" s="45">
        <v>11</v>
      </c>
      <c r="AA143" s="45">
        <v>264</v>
      </c>
      <c r="AB143" s="424">
        <v>238</v>
      </c>
      <c r="AC143" s="134"/>
    </row>
    <row r="144" spans="1:29">
      <c r="A144" s="146">
        <v>111</v>
      </c>
      <c r="B144" s="48" t="s">
        <v>196</v>
      </c>
      <c r="C144" s="4"/>
      <c r="D144" s="463">
        <v>19</v>
      </c>
      <c r="E144" s="493">
        <v>22</v>
      </c>
      <c r="F144" s="493">
        <f t="shared" si="9"/>
        <v>28</v>
      </c>
      <c r="G144" s="473"/>
      <c r="H144" s="479"/>
      <c r="I144" s="477">
        <v>18</v>
      </c>
      <c r="J144" s="496">
        <v>10</v>
      </c>
      <c r="K144" s="474">
        <f t="shared" ref="K144:K149" si="30">SUM(L144:W144)</f>
        <v>974</v>
      </c>
      <c r="L144" s="480"/>
      <c r="M144" s="45"/>
      <c r="N144" s="45"/>
      <c r="O144" s="205"/>
      <c r="P144" s="134"/>
      <c r="Q144" s="45"/>
      <c r="R144" s="45"/>
      <c r="S144" s="22"/>
      <c r="T144" s="45">
        <v>380</v>
      </c>
      <c r="U144" s="28">
        <v>431</v>
      </c>
      <c r="V144" s="45">
        <v>79</v>
      </c>
      <c r="W144" s="45">
        <v>84</v>
      </c>
      <c r="X144" s="529">
        <f t="shared" si="29"/>
        <v>828</v>
      </c>
      <c r="Y144" s="134"/>
      <c r="Z144" s="45"/>
      <c r="AA144" s="45">
        <v>379</v>
      </c>
      <c r="AB144" s="424">
        <v>449</v>
      </c>
      <c r="AC144" s="134"/>
    </row>
    <row r="145" spans="1:29">
      <c r="A145" s="146">
        <v>112</v>
      </c>
      <c r="B145" s="48" t="s">
        <v>197</v>
      </c>
      <c r="C145" s="4"/>
      <c r="D145" s="463">
        <v>17</v>
      </c>
      <c r="E145" s="493">
        <v>18</v>
      </c>
      <c r="F145" s="493">
        <f t="shared" si="9"/>
        <v>19</v>
      </c>
      <c r="G145" s="473"/>
      <c r="H145" s="479"/>
      <c r="I145" s="477">
        <v>13</v>
      </c>
      <c r="J145" s="496">
        <v>6</v>
      </c>
      <c r="K145" s="474">
        <f t="shared" si="30"/>
        <v>425</v>
      </c>
      <c r="L145" s="480"/>
      <c r="M145" s="45"/>
      <c r="N145" s="45">
        <v>5</v>
      </c>
      <c r="O145" s="205">
        <v>1</v>
      </c>
      <c r="P145" s="134"/>
      <c r="Q145" s="45">
        <v>1</v>
      </c>
      <c r="R145" s="45">
        <v>11</v>
      </c>
      <c r="S145" s="28">
        <v>9</v>
      </c>
      <c r="T145" s="45">
        <v>172</v>
      </c>
      <c r="U145" s="28">
        <v>168</v>
      </c>
      <c r="V145" s="45">
        <v>22</v>
      </c>
      <c r="W145" s="45">
        <v>36</v>
      </c>
      <c r="X145" s="529">
        <f t="shared" si="29"/>
        <v>344</v>
      </c>
      <c r="Y145" s="134">
        <v>5</v>
      </c>
      <c r="Z145" s="45">
        <v>1</v>
      </c>
      <c r="AA145" s="45">
        <v>159</v>
      </c>
      <c r="AB145" s="424">
        <v>179</v>
      </c>
      <c r="AC145" s="134"/>
    </row>
    <row r="146" spans="1:29">
      <c r="A146" s="146">
        <v>113</v>
      </c>
      <c r="B146" s="48" t="s">
        <v>198</v>
      </c>
      <c r="C146" s="4"/>
      <c r="D146" s="463">
        <v>22</v>
      </c>
      <c r="E146" s="493">
        <v>24</v>
      </c>
      <c r="F146" s="493">
        <f t="shared" si="9"/>
        <v>30</v>
      </c>
      <c r="G146" s="473">
        <v>1</v>
      </c>
      <c r="H146" s="479">
        <v>3</v>
      </c>
      <c r="I146" s="477">
        <v>14</v>
      </c>
      <c r="J146" s="496">
        <v>12</v>
      </c>
      <c r="K146" s="474">
        <f t="shared" si="30"/>
        <v>570</v>
      </c>
      <c r="L146" s="480"/>
      <c r="M146" s="45"/>
      <c r="N146" s="45">
        <v>9</v>
      </c>
      <c r="O146" s="205">
        <v>9</v>
      </c>
      <c r="P146" s="134"/>
      <c r="Q146" s="45"/>
      <c r="R146" s="45">
        <v>10</v>
      </c>
      <c r="S146" s="28">
        <v>14</v>
      </c>
      <c r="T146" s="45">
        <v>198</v>
      </c>
      <c r="U146" s="28">
        <v>229</v>
      </c>
      <c r="V146" s="45">
        <v>45</v>
      </c>
      <c r="W146" s="45">
        <v>56</v>
      </c>
      <c r="X146" s="529">
        <f t="shared" si="29"/>
        <v>504</v>
      </c>
      <c r="Y146" s="134">
        <v>9</v>
      </c>
      <c r="Z146" s="45">
        <v>9</v>
      </c>
      <c r="AA146" s="45">
        <v>206</v>
      </c>
      <c r="AB146" s="424">
        <v>280</v>
      </c>
      <c r="AC146" s="134"/>
    </row>
    <row r="147" spans="1:29">
      <c r="A147" s="146">
        <v>114</v>
      </c>
      <c r="B147" s="48" t="s">
        <v>199</v>
      </c>
      <c r="C147" s="4"/>
      <c r="D147" s="463">
        <v>32</v>
      </c>
      <c r="E147" s="493">
        <v>35</v>
      </c>
      <c r="F147" s="493">
        <f t="shared" si="9"/>
        <v>36</v>
      </c>
      <c r="G147" s="473">
        <v>3</v>
      </c>
      <c r="H147" s="479">
        <v>1</v>
      </c>
      <c r="I147" s="477">
        <v>26</v>
      </c>
      <c r="J147" s="496">
        <v>6</v>
      </c>
      <c r="K147" s="474">
        <f t="shared" si="30"/>
        <v>917</v>
      </c>
      <c r="L147" s="480"/>
      <c r="M147" s="45"/>
      <c r="N147" s="45">
        <v>4</v>
      </c>
      <c r="O147" s="205">
        <v>7</v>
      </c>
      <c r="P147" s="134">
        <v>2</v>
      </c>
      <c r="Q147" s="45">
        <v>2</v>
      </c>
      <c r="R147" s="45">
        <v>40</v>
      </c>
      <c r="S147" s="28">
        <v>27</v>
      </c>
      <c r="T147" s="45">
        <v>387</v>
      </c>
      <c r="U147" s="28">
        <v>300</v>
      </c>
      <c r="V147" s="45">
        <v>102</v>
      </c>
      <c r="W147" s="45">
        <v>46</v>
      </c>
      <c r="X147" s="529">
        <f t="shared" si="29"/>
        <v>764</v>
      </c>
      <c r="Y147" s="134">
        <v>4</v>
      </c>
      <c r="Z147" s="45">
        <v>8</v>
      </c>
      <c r="AA147" s="45">
        <v>442</v>
      </c>
      <c r="AB147" s="424">
        <v>310</v>
      </c>
      <c r="AC147" s="134"/>
    </row>
    <row r="148" spans="1:29">
      <c r="A148" s="146">
        <v>115</v>
      </c>
      <c r="B148" s="48" t="s">
        <v>292</v>
      </c>
      <c r="C148" s="4"/>
      <c r="D148" s="463">
        <v>11</v>
      </c>
      <c r="E148" s="493">
        <v>12</v>
      </c>
      <c r="F148" s="493">
        <f t="shared" si="9"/>
        <v>12</v>
      </c>
      <c r="G148" s="473">
        <v>1</v>
      </c>
      <c r="H148" s="479">
        <v>1</v>
      </c>
      <c r="I148" s="477">
        <v>7</v>
      </c>
      <c r="J148" s="496">
        <v>3</v>
      </c>
      <c r="K148" s="474">
        <f t="shared" si="30"/>
        <v>319</v>
      </c>
      <c r="L148" s="480"/>
      <c r="M148" s="45"/>
      <c r="N148" s="45">
        <v>18</v>
      </c>
      <c r="O148" s="205">
        <v>16</v>
      </c>
      <c r="P148" s="134"/>
      <c r="Q148" s="45"/>
      <c r="R148" s="45">
        <v>4</v>
      </c>
      <c r="S148" s="28">
        <v>9</v>
      </c>
      <c r="T148" s="45">
        <v>136</v>
      </c>
      <c r="U148" s="28">
        <v>105</v>
      </c>
      <c r="V148" s="45">
        <v>16</v>
      </c>
      <c r="W148" s="45">
        <v>15</v>
      </c>
      <c r="X148" s="529">
        <f t="shared" si="29"/>
        <v>296</v>
      </c>
      <c r="Y148" s="134">
        <v>20</v>
      </c>
      <c r="Z148" s="45">
        <v>16</v>
      </c>
      <c r="AA148" s="45">
        <v>146</v>
      </c>
      <c r="AB148" s="424">
        <v>114</v>
      </c>
      <c r="AC148" s="134"/>
    </row>
    <row r="149" spans="1:29">
      <c r="A149" s="146">
        <v>116</v>
      </c>
      <c r="B149" s="48" t="s">
        <v>200</v>
      </c>
      <c r="C149" s="111"/>
      <c r="D149" s="607">
        <v>18</v>
      </c>
      <c r="E149" s="572">
        <v>19</v>
      </c>
      <c r="F149" s="493">
        <f t="shared" si="9"/>
        <v>26</v>
      </c>
      <c r="G149" s="473"/>
      <c r="H149" s="479"/>
      <c r="I149" s="477">
        <v>17</v>
      </c>
      <c r="J149" s="496">
        <v>9</v>
      </c>
      <c r="K149" s="474">
        <f t="shared" si="30"/>
        <v>789</v>
      </c>
      <c r="L149" s="480"/>
      <c r="M149" s="45"/>
      <c r="N149" s="45"/>
      <c r="O149" s="205"/>
      <c r="P149" s="134"/>
      <c r="Q149" s="45"/>
      <c r="R149" s="45">
        <v>9</v>
      </c>
      <c r="S149" s="28">
        <v>9</v>
      </c>
      <c r="T149" s="45">
        <v>270</v>
      </c>
      <c r="U149" s="28">
        <v>358</v>
      </c>
      <c r="V149" s="45">
        <v>64</v>
      </c>
      <c r="W149" s="45">
        <v>79</v>
      </c>
      <c r="X149" s="529">
        <f t="shared" si="29"/>
        <v>628</v>
      </c>
      <c r="Y149" s="134"/>
      <c r="Z149" s="45"/>
      <c r="AA149" s="45">
        <v>253</v>
      </c>
      <c r="AB149" s="424">
        <v>375</v>
      </c>
      <c r="AC149" s="134"/>
    </row>
    <row r="150" spans="1:29">
      <c r="A150" s="530"/>
      <c r="B150" s="437"/>
      <c r="C150" s="240"/>
      <c r="D150" s="618"/>
      <c r="E150" s="619"/>
      <c r="F150" s="508"/>
      <c r="G150" s="509"/>
      <c r="H150" s="510"/>
      <c r="I150" s="511"/>
      <c r="J150" s="512"/>
      <c r="K150" s="513"/>
      <c r="L150" s="514"/>
      <c r="M150" s="317"/>
      <c r="N150" s="317"/>
      <c r="O150" s="515"/>
      <c r="P150" s="256"/>
      <c r="Q150" s="317"/>
      <c r="R150" s="317"/>
      <c r="S150" s="206"/>
      <c r="T150" s="317"/>
      <c r="U150" s="206"/>
      <c r="V150" s="317"/>
      <c r="W150" s="317"/>
      <c r="X150" s="609"/>
      <c r="Y150" s="256"/>
      <c r="Z150" s="317"/>
      <c r="AA150" s="317"/>
      <c r="AB150" s="516"/>
      <c r="AC150" s="134"/>
    </row>
    <row r="151" spans="1:29">
      <c r="A151" s="146" t="s">
        <v>431</v>
      </c>
      <c r="B151" s="48"/>
      <c r="C151" s="111"/>
      <c r="D151" s="490">
        <f t="shared" ref="D151:K151" si="31">SUM(D118:D149)</f>
        <v>1024</v>
      </c>
      <c r="E151" s="572">
        <f t="shared" si="31"/>
        <v>1240</v>
      </c>
      <c r="F151" s="572">
        <f t="shared" si="31"/>
        <v>1984</v>
      </c>
      <c r="G151" s="480">
        <f t="shared" si="31"/>
        <v>799</v>
      </c>
      <c r="H151" s="470">
        <f t="shared" si="31"/>
        <v>74</v>
      </c>
      <c r="I151" s="470">
        <f t="shared" si="31"/>
        <v>259</v>
      </c>
      <c r="J151" s="573">
        <f t="shared" si="31"/>
        <v>852</v>
      </c>
      <c r="K151" s="480">
        <f t="shared" si="31"/>
        <v>5232</v>
      </c>
      <c r="L151" s="473">
        <f t="shared" ref="L151:N151" si="32">SUM(L118:L149)</f>
        <v>21</v>
      </c>
      <c r="M151" s="470">
        <f t="shared" si="32"/>
        <v>23</v>
      </c>
      <c r="N151" s="470">
        <f t="shared" si="32"/>
        <v>1098</v>
      </c>
      <c r="O151" s="470">
        <f>SUM(O118:O149)</f>
        <v>1084</v>
      </c>
      <c r="P151" s="470">
        <f t="shared" ref="P151:W151" si="33">SUM(P118:P149)</f>
        <v>146</v>
      </c>
      <c r="Q151" s="479">
        <f t="shared" si="33"/>
        <v>151</v>
      </c>
      <c r="R151" s="470">
        <f t="shared" si="33"/>
        <v>707</v>
      </c>
      <c r="S151" s="470">
        <f>SUM(S118:S149)</f>
        <v>750</v>
      </c>
      <c r="T151" s="470">
        <f t="shared" si="33"/>
        <v>18967</v>
      </c>
      <c r="U151" s="470">
        <f t="shared" si="33"/>
        <v>20084</v>
      </c>
      <c r="V151" s="470">
        <f t="shared" si="33"/>
        <v>5386</v>
      </c>
      <c r="W151" s="479">
        <f t="shared" si="33"/>
        <v>5155</v>
      </c>
      <c r="X151" s="529">
        <f t="shared" si="29"/>
        <v>45072</v>
      </c>
      <c r="Y151" s="474">
        <f>SUM(Y118:Y149)</f>
        <v>1147</v>
      </c>
      <c r="Z151" s="470">
        <f t="shared" ref="Z151:AB151" si="34">SUM(Z118:Z149)</f>
        <v>1121</v>
      </c>
      <c r="AA151" s="470">
        <f t="shared" si="34"/>
        <v>20435</v>
      </c>
      <c r="AB151" s="574">
        <f t="shared" si="34"/>
        <v>22369</v>
      </c>
      <c r="AC151" s="474"/>
    </row>
    <row r="152" spans="1:29" ht="15" thickBot="1">
      <c r="A152" s="543"/>
      <c r="B152" s="184"/>
      <c r="C152" s="234"/>
      <c r="D152" s="620"/>
      <c r="E152" s="621"/>
      <c r="F152" s="501"/>
      <c r="G152" s="520"/>
      <c r="H152" s="521"/>
      <c r="I152" s="522"/>
      <c r="J152" s="523"/>
      <c r="K152" s="524"/>
      <c r="L152" s="525"/>
      <c r="M152" s="321"/>
      <c r="N152" s="321"/>
      <c r="O152" s="526"/>
      <c r="P152" s="253"/>
      <c r="Q152" s="321"/>
      <c r="R152" s="321"/>
      <c r="S152" s="208"/>
      <c r="T152" s="321"/>
      <c r="U152" s="208"/>
      <c r="V152" s="321"/>
      <c r="W152" s="321"/>
      <c r="X152" s="611"/>
      <c r="Y152" s="253"/>
      <c r="Z152" s="321"/>
      <c r="AA152" s="321"/>
      <c r="AB152" s="527"/>
      <c r="AC152" s="134"/>
    </row>
    <row r="153" spans="1:29" ht="15" thickTop="1">
      <c r="A153" s="146"/>
      <c r="B153" s="48"/>
      <c r="C153" s="111"/>
      <c r="D153" s="607"/>
      <c r="E153" s="572"/>
      <c r="F153" s="493"/>
      <c r="G153" s="473"/>
      <c r="H153" s="479"/>
      <c r="I153" s="477"/>
      <c r="J153" s="496"/>
      <c r="K153" s="474"/>
      <c r="L153" s="480"/>
      <c r="M153" s="45"/>
      <c r="N153" s="45"/>
      <c r="O153" s="205"/>
      <c r="P153" s="134"/>
      <c r="Q153" s="45"/>
      <c r="R153" s="45"/>
      <c r="S153" s="28"/>
      <c r="T153" s="45"/>
      <c r="U153" s="28"/>
      <c r="V153" s="45"/>
      <c r="W153" s="45"/>
      <c r="X153" s="529"/>
      <c r="Y153" s="134"/>
      <c r="Z153" s="45"/>
      <c r="AA153" s="45"/>
      <c r="AB153" s="424"/>
      <c r="AC153" s="134"/>
    </row>
    <row r="154" spans="1:29">
      <c r="A154" s="175">
        <v>117</v>
      </c>
      <c r="B154" s="67" t="s">
        <v>201</v>
      </c>
      <c r="C154" s="111"/>
      <c r="D154" s="607">
        <v>1</v>
      </c>
      <c r="E154" s="572">
        <v>2</v>
      </c>
      <c r="F154" s="493">
        <v>1</v>
      </c>
      <c r="G154" s="473">
        <v>1</v>
      </c>
      <c r="H154" s="479"/>
      <c r="I154" s="477"/>
      <c r="J154" s="496"/>
      <c r="K154" s="474">
        <v>34</v>
      </c>
      <c r="L154" s="480"/>
      <c r="M154" s="45"/>
      <c r="N154" s="45"/>
      <c r="O154" s="205"/>
      <c r="P154" s="134"/>
      <c r="Q154" s="45"/>
      <c r="R154" s="45"/>
      <c r="S154" s="28"/>
      <c r="T154" s="45">
        <v>17</v>
      </c>
      <c r="U154" s="28">
        <v>17</v>
      </c>
      <c r="V154" s="45"/>
      <c r="W154" s="45"/>
      <c r="X154" s="529">
        <f t="shared" si="29"/>
        <v>30</v>
      </c>
      <c r="Y154" s="134"/>
      <c r="Z154" s="45"/>
      <c r="AA154" s="45">
        <v>16</v>
      </c>
      <c r="AB154" s="424">
        <v>14</v>
      </c>
      <c r="AC154" s="134"/>
    </row>
    <row r="155" spans="1:29">
      <c r="A155" s="44"/>
      <c r="C155" s="111"/>
      <c r="D155" s="607"/>
      <c r="E155" s="572"/>
      <c r="F155" s="21"/>
      <c r="G155" s="485"/>
      <c r="H155" s="486"/>
      <c r="I155" s="477"/>
      <c r="J155" s="496"/>
      <c r="K155" s="474"/>
      <c r="L155" s="480"/>
      <c r="M155" s="45"/>
      <c r="N155" s="45"/>
      <c r="O155" s="205"/>
      <c r="P155" s="134"/>
      <c r="Q155" s="45"/>
      <c r="R155" s="45"/>
      <c r="S155" s="28"/>
      <c r="T155" s="45"/>
      <c r="U155" s="28"/>
      <c r="V155" s="45"/>
      <c r="W155" s="45"/>
      <c r="X155" s="529"/>
      <c r="Y155" s="134"/>
      <c r="Z155" s="45"/>
      <c r="AA155" s="45"/>
      <c r="AB155" s="424"/>
      <c r="AC155" s="134"/>
    </row>
    <row r="156" spans="1:29" ht="15">
      <c r="A156" s="506"/>
      <c r="B156" s="507"/>
      <c r="C156" s="556"/>
      <c r="D156" s="622"/>
      <c r="E156" s="623"/>
      <c r="F156" s="508"/>
      <c r="G156" s="557"/>
      <c r="H156" s="558"/>
      <c r="I156" s="559"/>
      <c r="J156" s="560"/>
      <c r="K156" s="561"/>
      <c r="L156" s="537"/>
      <c r="M156" s="538"/>
      <c r="N156" s="538"/>
      <c r="O156" s="539"/>
      <c r="P156" s="540"/>
      <c r="Q156" s="538"/>
      <c r="R156" s="538"/>
      <c r="S156" s="541"/>
      <c r="T156" s="538"/>
      <c r="U156" s="541"/>
      <c r="V156" s="538"/>
      <c r="W156" s="538"/>
      <c r="X156" s="609"/>
      <c r="Y156" s="540"/>
      <c r="Z156" s="538"/>
      <c r="AA156" s="538"/>
      <c r="AB156" s="542"/>
      <c r="AC156" s="456"/>
    </row>
    <row r="157" spans="1:29" ht="15">
      <c r="A157" s="175" t="s">
        <v>86</v>
      </c>
      <c r="B157" s="67"/>
      <c r="C157" s="94"/>
      <c r="D157" s="529">
        <f>D154+D151+D114+D104</f>
        <v>4545</v>
      </c>
      <c r="E157" s="529">
        <f t="shared" ref="E157:W157" si="35">E154+E151+E114+E104</f>
        <v>7495</v>
      </c>
      <c r="F157" s="529">
        <f t="shared" si="35"/>
        <v>8942</v>
      </c>
      <c r="G157" s="309">
        <f t="shared" si="35"/>
        <v>2363</v>
      </c>
      <c r="H157" s="568">
        <f t="shared" si="35"/>
        <v>4139</v>
      </c>
      <c r="I157" s="568">
        <f t="shared" si="35"/>
        <v>920</v>
      </c>
      <c r="J157" s="575">
        <f t="shared" si="35"/>
        <v>1516</v>
      </c>
      <c r="K157" s="529">
        <f t="shared" si="35"/>
        <v>157228</v>
      </c>
      <c r="L157" s="480">
        <f t="shared" si="35"/>
        <v>577</v>
      </c>
      <c r="M157" s="568">
        <f t="shared" si="35"/>
        <v>636</v>
      </c>
      <c r="N157" s="470">
        <f t="shared" si="35"/>
        <v>38949</v>
      </c>
      <c r="O157" s="568">
        <f t="shared" si="35"/>
        <v>38547</v>
      </c>
      <c r="P157" s="568">
        <f t="shared" si="35"/>
        <v>8769</v>
      </c>
      <c r="Q157" s="629">
        <f t="shared" si="35"/>
        <v>7261</v>
      </c>
      <c r="R157" s="629">
        <f t="shared" si="35"/>
        <v>1785</v>
      </c>
      <c r="S157" s="568">
        <f t="shared" si="35"/>
        <v>1891</v>
      </c>
      <c r="T157" s="568">
        <f t="shared" si="35"/>
        <v>43417</v>
      </c>
      <c r="U157" s="568">
        <f t="shared" si="35"/>
        <v>47940</v>
      </c>
      <c r="V157" s="568">
        <f t="shared" si="35"/>
        <v>9658</v>
      </c>
      <c r="W157" s="629">
        <f t="shared" si="35"/>
        <v>9093</v>
      </c>
      <c r="X157" s="529">
        <f t="shared" si="29"/>
        <v>184587</v>
      </c>
      <c r="Y157" s="528">
        <f>SUM(Y154+Y151+Y114+Y104)</f>
        <v>45045</v>
      </c>
      <c r="Z157" s="568">
        <f t="shared" ref="Z157:AB157" si="36">SUM(Z154+Z151+Z114+Z104)</f>
        <v>43405</v>
      </c>
      <c r="AA157" s="470">
        <f t="shared" si="36"/>
        <v>45583</v>
      </c>
      <c r="AB157" s="569">
        <f t="shared" si="36"/>
        <v>50554</v>
      </c>
      <c r="AC157" s="528"/>
    </row>
    <row r="158" spans="1:29" ht="16" thickBot="1">
      <c r="A158" s="517"/>
      <c r="B158" s="518"/>
      <c r="C158" s="562"/>
      <c r="D158" s="610"/>
      <c r="E158" s="624"/>
      <c r="F158" s="501"/>
      <c r="G158" s="563"/>
      <c r="H158" s="564"/>
      <c r="I158" s="565"/>
      <c r="J158" s="566"/>
      <c r="K158" s="567"/>
      <c r="L158" s="550"/>
      <c r="M158" s="551"/>
      <c r="N158" s="551"/>
      <c r="O158" s="552"/>
      <c r="P158" s="553"/>
      <c r="Q158" s="551"/>
      <c r="R158" s="551"/>
      <c r="S158" s="554"/>
      <c r="T158" s="551"/>
      <c r="U158" s="554"/>
      <c r="V158" s="551"/>
      <c r="W158" s="551"/>
      <c r="X158" s="611"/>
      <c r="Y158" s="553"/>
      <c r="Z158" s="551"/>
      <c r="AA158" s="551"/>
      <c r="AB158" s="555"/>
      <c r="AC158" s="456"/>
    </row>
    <row r="159" spans="1:29" ht="17" thickTop="1" thickBot="1">
      <c r="A159" s="179" t="s">
        <v>27</v>
      </c>
      <c r="B159" s="173"/>
      <c r="C159" s="4"/>
      <c r="D159" s="463"/>
      <c r="E159" s="493"/>
      <c r="F159" s="493"/>
      <c r="G159" s="473"/>
      <c r="H159" s="479"/>
      <c r="I159" s="477"/>
      <c r="J159" s="496"/>
      <c r="K159" s="474"/>
      <c r="L159" s="480"/>
      <c r="M159" s="45"/>
      <c r="N159" s="45"/>
      <c r="O159" s="205"/>
      <c r="P159" s="134"/>
      <c r="Q159" s="45"/>
      <c r="R159" s="45"/>
      <c r="S159" s="28"/>
      <c r="T159" s="45"/>
      <c r="U159" s="28"/>
      <c r="V159" s="45"/>
      <c r="W159" s="45"/>
      <c r="X159" s="529"/>
      <c r="Y159" s="134"/>
      <c r="Z159" s="45"/>
      <c r="AA159" s="45"/>
      <c r="AB159" s="424"/>
      <c r="AC159" s="134"/>
    </row>
    <row r="160" spans="1:29">
      <c r="A160" s="180">
        <v>1</v>
      </c>
      <c r="B160" t="s">
        <v>203</v>
      </c>
      <c r="C160" s="4"/>
      <c r="D160" s="463">
        <v>20</v>
      </c>
      <c r="E160" s="493">
        <v>38</v>
      </c>
      <c r="F160" s="493">
        <f t="shared" si="9"/>
        <v>53</v>
      </c>
      <c r="G160" s="473">
        <v>5</v>
      </c>
      <c r="H160" s="479">
        <v>20</v>
      </c>
      <c r="I160" s="477">
        <v>6</v>
      </c>
      <c r="J160" s="496">
        <v>22</v>
      </c>
      <c r="K160" s="474">
        <f>SUM(L160:W160)</f>
        <v>1324</v>
      </c>
      <c r="L160" s="480">
        <v>1</v>
      </c>
      <c r="M160" s="45">
        <v>4</v>
      </c>
      <c r="N160" s="45">
        <v>52</v>
      </c>
      <c r="O160" s="205">
        <v>59</v>
      </c>
      <c r="P160" s="134">
        <v>1</v>
      </c>
      <c r="Q160" s="45">
        <v>25</v>
      </c>
      <c r="R160" s="45">
        <v>2</v>
      </c>
      <c r="S160" s="28">
        <v>12</v>
      </c>
      <c r="T160" s="45">
        <v>461</v>
      </c>
      <c r="U160" s="28">
        <v>524</v>
      </c>
      <c r="V160" s="45">
        <v>26</v>
      </c>
      <c r="W160" s="45">
        <v>157</v>
      </c>
      <c r="X160" s="529">
        <f t="shared" si="29"/>
        <v>1230</v>
      </c>
      <c r="Y160" s="134">
        <v>45</v>
      </c>
      <c r="Z160" s="45">
        <v>73</v>
      </c>
      <c r="AA160" s="45">
        <v>471</v>
      </c>
      <c r="AB160" s="424">
        <v>641</v>
      </c>
      <c r="AC160" s="134"/>
    </row>
    <row r="161" spans="1:29">
      <c r="A161" s="146">
        <v>2</v>
      </c>
      <c r="B161" t="s">
        <v>204</v>
      </c>
      <c r="C161" s="4"/>
      <c r="D161" s="463">
        <v>11</v>
      </c>
      <c r="E161" s="493">
        <v>14</v>
      </c>
      <c r="F161" s="493">
        <f t="shared" si="9"/>
        <v>20</v>
      </c>
      <c r="G161" s="473">
        <v>3</v>
      </c>
      <c r="H161" s="479">
        <v>9</v>
      </c>
      <c r="I161" s="477">
        <v>3</v>
      </c>
      <c r="J161" s="496">
        <v>5</v>
      </c>
      <c r="K161" s="474">
        <f t="shared" ref="K161:K190" si="37">SUM(L161:W161)</f>
        <v>341</v>
      </c>
      <c r="L161" s="480"/>
      <c r="M161" s="45"/>
      <c r="N161" s="45">
        <v>30</v>
      </c>
      <c r="O161" s="205">
        <v>21</v>
      </c>
      <c r="P161" s="134">
        <v>1</v>
      </c>
      <c r="Q161" s="45">
        <v>2</v>
      </c>
      <c r="R161" s="45"/>
      <c r="S161" s="28"/>
      <c r="T161" s="45">
        <v>125</v>
      </c>
      <c r="U161" s="28">
        <v>152</v>
      </c>
      <c r="V161" s="45">
        <v>6</v>
      </c>
      <c r="W161" s="45">
        <v>4</v>
      </c>
      <c r="X161" s="529">
        <f t="shared" si="29"/>
        <v>311</v>
      </c>
      <c r="Y161" s="134">
        <v>30</v>
      </c>
      <c r="Z161" s="45">
        <v>21</v>
      </c>
      <c r="AA161" s="45">
        <v>116</v>
      </c>
      <c r="AB161" s="424">
        <v>144</v>
      </c>
      <c r="AC161" s="134"/>
    </row>
    <row r="162" spans="1:29">
      <c r="A162" s="146">
        <v>3</v>
      </c>
      <c r="B162" t="s">
        <v>205</v>
      </c>
      <c r="C162" s="4"/>
      <c r="D162" s="463">
        <v>15</v>
      </c>
      <c r="E162" s="493">
        <v>23</v>
      </c>
      <c r="F162" s="493">
        <f t="shared" si="9"/>
        <v>22</v>
      </c>
      <c r="G162" s="473">
        <v>3</v>
      </c>
      <c r="H162" s="479">
        <v>7</v>
      </c>
      <c r="I162" s="477">
        <v>5</v>
      </c>
      <c r="J162" s="496">
        <v>7</v>
      </c>
      <c r="K162" s="474">
        <f t="shared" si="37"/>
        <v>382</v>
      </c>
      <c r="L162" s="480">
        <v>1</v>
      </c>
      <c r="M162" s="45"/>
      <c r="N162" s="45">
        <v>18</v>
      </c>
      <c r="O162" s="205">
        <v>11</v>
      </c>
      <c r="P162" s="134">
        <v>1</v>
      </c>
      <c r="Q162" s="45"/>
      <c r="R162" s="45">
        <v>2</v>
      </c>
      <c r="S162" s="28">
        <v>1</v>
      </c>
      <c r="T162" s="45">
        <v>145</v>
      </c>
      <c r="U162" s="28">
        <v>181</v>
      </c>
      <c r="V162" s="45">
        <v>10</v>
      </c>
      <c r="W162" s="45">
        <v>12</v>
      </c>
      <c r="X162" s="529">
        <f t="shared" si="29"/>
        <v>353</v>
      </c>
      <c r="Y162" s="134">
        <v>20</v>
      </c>
      <c r="Z162" s="45">
        <v>11</v>
      </c>
      <c r="AA162" s="45">
        <v>138</v>
      </c>
      <c r="AB162" s="424">
        <v>184</v>
      </c>
      <c r="AC162" s="134"/>
    </row>
    <row r="163" spans="1:29">
      <c r="A163" s="146">
        <v>4</v>
      </c>
      <c r="B163" t="s">
        <v>206</v>
      </c>
      <c r="C163" s="4"/>
      <c r="D163" s="463">
        <v>5</v>
      </c>
      <c r="E163" s="493">
        <v>8</v>
      </c>
      <c r="F163" s="493">
        <f t="shared" si="9"/>
        <v>12</v>
      </c>
      <c r="G163" s="473">
        <v>2</v>
      </c>
      <c r="H163" s="479">
        <v>6</v>
      </c>
      <c r="I163" s="477">
        <v>1</v>
      </c>
      <c r="J163" s="496">
        <v>3</v>
      </c>
      <c r="K163" s="474">
        <f t="shared" si="37"/>
        <v>285</v>
      </c>
      <c r="L163" s="480"/>
      <c r="M163" s="45"/>
      <c r="N163" s="45">
        <v>47</v>
      </c>
      <c r="O163" s="205">
        <v>45</v>
      </c>
      <c r="P163" s="134">
        <v>3</v>
      </c>
      <c r="Q163" s="45">
        <v>3</v>
      </c>
      <c r="R163" s="45"/>
      <c r="S163" s="28"/>
      <c r="T163" s="45">
        <v>70</v>
      </c>
      <c r="U163" s="28">
        <v>102</v>
      </c>
      <c r="V163" s="45">
        <v>8</v>
      </c>
      <c r="W163" s="45">
        <v>7</v>
      </c>
      <c r="X163" s="529">
        <f t="shared" si="29"/>
        <v>258</v>
      </c>
      <c r="Y163" s="134">
        <v>46</v>
      </c>
      <c r="Z163" s="45">
        <v>45</v>
      </c>
      <c r="AA163" s="45">
        <v>68</v>
      </c>
      <c r="AB163" s="424">
        <v>99</v>
      </c>
      <c r="AC163" s="134"/>
    </row>
    <row r="164" spans="1:29">
      <c r="A164" s="146">
        <v>5</v>
      </c>
      <c r="B164" t="s">
        <v>207</v>
      </c>
      <c r="C164" s="4"/>
      <c r="D164" s="463">
        <v>33</v>
      </c>
      <c r="E164" s="493">
        <v>174</v>
      </c>
      <c r="F164" s="493">
        <f t="shared" ref="F164:F235" si="38">SUM(G164:J164)</f>
        <v>210</v>
      </c>
      <c r="G164" s="473">
        <v>39</v>
      </c>
      <c r="H164" s="479">
        <v>152</v>
      </c>
      <c r="I164" s="477">
        <v>7</v>
      </c>
      <c r="J164" s="496">
        <v>12</v>
      </c>
      <c r="K164" s="474">
        <f t="shared" si="37"/>
        <v>4389</v>
      </c>
      <c r="L164" s="480">
        <v>6</v>
      </c>
      <c r="M164" s="45">
        <v>20</v>
      </c>
      <c r="N164" s="45">
        <v>1265</v>
      </c>
      <c r="O164" s="205">
        <v>1323</v>
      </c>
      <c r="P164" s="134">
        <v>199</v>
      </c>
      <c r="Q164" s="45">
        <v>407</v>
      </c>
      <c r="R164" s="45">
        <v>7</v>
      </c>
      <c r="S164" s="28">
        <v>9</v>
      </c>
      <c r="T164" s="45">
        <v>645</v>
      </c>
      <c r="U164" s="28">
        <v>461</v>
      </c>
      <c r="V164" s="45">
        <v>28</v>
      </c>
      <c r="W164" s="45">
        <v>19</v>
      </c>
      <c r="X164" s="529">
        <f t="shared" si="29"/>
        <v>4012</v>
      </c>
      <c r="Y164" s="134">
        <v>1378</v>
      </c>
      <c r="Z164" s="45">
        <v>1573</v>
      </c>
      <c r="AA164" s="45">
        <v>615</v>
      </c>
      <c r="AB164" s="424">
        <v>446</v>
      </c>
      <c r="AC164" s="134"/>
    </row>
    <row r="165" spans="1:29">
      <c r="A165" s="146">
        <v>6</v>
      </c>
      <c r="B165" t="s">
        <v>208</v>
      </c>
      <c r="C165" s="4"/>
      <c r="D165" s="463">
        <v>19</v>
      </c>
      <c r="E165" s="493">
        <v>46</v>
      </c>
      <c r="F165" s="493">
        <f t="shared" si="38"/>
        <v>57</v>
      </c>
      <c r="G165" s="473">
        <v>6</v>
      </c>
      <c r="H165" s="479">
        <v>27</v>
      </c>
      <c r="I165" s="477">
        <v>7</v>
      </c>
      <c r="J165" s="496">
        <v>17</v>
      </c>
      <c r="K165" s="474">
        <f t="shared" si="37"/>
        <v>1439</v>
      </c>
      <c r="L165" s="480">
        <v>1</v>
      </c>
      <c r="M165" s="45">
        <v>2</v>
      </c>
      <c r="N165" s="45">
        <v>206</v>
      </c>
      <c r="O165" s="205">
        <v>207</v>
      </c>
      <c r="P165" s="134">
        <v>7</v>
      </c>
      <c r="Q165" s="45">
        <v>30</v>
      </c>
      <c r="R165" s="45"/>
      <c r="S165" s="28">
        <v>1</v>
      </c>
      <c r="T165" s="45">
        <v>404</v>
      </c>
      <c r="U165" s="28">
        <v>492</v>
      </c>
      <c r="V165" s="45">
        <v>35</v>
      </c>
      <c r="W165" s="45">
        <v>54</v>
      </c>
      <c r="X165" s="529">
        <f t="shared" si="29"/>
        <v>1361</v>
      </c>
      <c r="Y165" s="134">
        <v>201</v>
      </c>
      <c r="Z165" s="45">
        <v>237</v>
      </c>
      <c r="AA165" s="45">
        <v>407</v>
      </c>
      <c r="AB165" s="424">
        <v>516</v>
      </c>
      <c r="AC165" s="134"/>
    </row>
    <row r="166" spans="1:29">
      <c r="A166" s="146">
        <v>7</v>
      </c>
      <c r="B166" t="s">
        <v>209</v>
      </c>
      <c r="C166" s="4"/>
      <c r="D166" s="463">
        <v>55</v>
      </c>
      <c r="E166" s="493">
        <v>216</v>
      </c>
      <c r="F166" s="493">
        <f t="shared" si="38"/>
        <v>308</v>
      </c>
      <c r="G166" s="473">
        <v>60</v>
      </c>
      <c r="H166" s="479">
        <v>203</v>
      </c>
      <c r="I166" s="477">
        <v>37</v>
      </c>
      <c r="J166" s="496">
        <v>8</v>
      </c>
      <c r="K166" s="474">
        <f t="shared" si="37"/>
        <v>7523</v>
      </c>
      <c r="L166" s="480">
        <v>31</v>
      </c>
      <c r="M166" s="45">
        <v>28</v>
      </c>
      <c r="N166" s="45">
        <v>2492</v>
      </c>
      <c r="O166" s="205">
        <v>2464</v>
      </c>
      <c r="P166" s="134">
        <v>104</v>
      </c>
      <c r="Q166" s="45">
        <v>283</v>
      </c>
      <c r="R166" s="45">
        <v>3</v>
      </c>
      <c r="S166" s="28">
        <v>8</v>
      </c>
      <c r="T166" s="45">
        <v>1238</v>
      </c>
      <c r="U166" s="28">
        <v>390</v>
      </c>
      <c r="V166" s="45">
        <v>371</v>
      </c>
      <c r="W166" s="45">
        <v>111</v>
      </c>
      <c r="X166" s="529">
        <f t="shared" si="29"/>
        <v>6954</v>
      </c>
      <c r="Y166" s="134">
        <v>2511</v>
      </c>
      <c r="Z166" s="45">
        <v>2620</v>
      </c>
      <c r="AA166" s="45">
        <v>1349</v>
      </c>
      <c r="AB166" s="424">
        <v>474</v>
      </c>
      <c r="AC166" s="134"/>
    </row>
    <row r="167" spans="1:29">
      <c r="A167" s="146">
        <v>8</v>
      </c>
      <c r="B167" t="s">
        <v>210</v>
      </c>
      <c r="C167" s="4"/>
      <c r="D167" s="463">
        <v>24</v>
      </c>
      <c r="E167" s="493">
        <v>40</v>
      </c>
      <c r="F167" s="493">
        <f t="shared" si="38"/>
        <v>51</v>
      </c>
      <c r="G167" s="473">
        <v>17</v>
      </c>
      <c r="H167" s="479">
        <v>20</v>
      </c>
      <c r="I167" s="477">
        <v>7</v>
      </c>
      <c r="J167" s="496">
        <v>7</v>
      </c>
      <c r="K167" s="474">
        <f t="shared" si="37"/>
        <v>1095</v>
      </c>
      <c r="L167" s="480"/>
      <c r="M167" s="45">
        <v>7</v>
      </c>
      <c r="N167" s="45">
        <v>207</v>
      </c>
      <c r="O167" s="205">
        <v>152</v>
      </c>
      <c r="P167" s="134">
        <v>29</v>
      </c>
      <c r="Q167" s="45">
        <v>18</v>
      </c>
      <c r="R167" s="45">
        <v>3</v>
      </c>
      <c r="S167" s="28">
        <v>3</v>
      </c>
      <c r="T167" s="45">
        <v>263</v>
      </c>
      <c r="U167" s="28">
        <v>293</v>
      </c>
      <c r="V167" s="45">
        <v>53</v>
      </c>
      <c r="W167" s="45">
        <v>67</v>
      </c>
      <c r="X167" s="529">
        <f t="shared" si="29"/>
        <v>747</v>
      </c>
      <c r="Y167" s="134">
        <v>224</v>
      </c>
      <c r="Z167" s="45">
        <v>159</v>
      </c>
      <c r="AA167" s="45">
        <v>170</v>
      </c>
      <c r="AB167" s="424">
        <v>194</v>
      </c>
      <c r="AC167" s="134"/>
    </row>
    <row r="168" spans="1:29">
      <c r="A168" s="146">
        <v>9</v>
      </c>
      <c r="B168" t="s">
        <v>211</v>
      </c>
      <c r="C168" s="4"/>
      <c r="D168" s="463">
        <v>18</v>
      </c>
      <c r="E168" s="493">
        <v>21</v>
      </c>
      <c r="F168" s="493">
        <f t="shared" si="38"/>
        <v>25</v>
      </c>
      <c r="G168" s="473">
        <v>1</v>
      </c>
      <c r="H168" s="479">
        <v>9</v>
      </c>
      <c r="I168" s="477">
        <v>5</v>
      </c>
      <c r="J168" s="496">
        <v>10</v>
      </c>
      <c r="K168" s="474">
        <f t="shared" si="37"/>
        <v>460</v>
      </c>
      <c r="L168" s="480">
        <v>2</v>
      </c>
      <c r="M168" s="45"/>
      <c r="N168" s="45">
        <v>31</v>
      </c>
      <c r="O168" s="205">
        <v>28</v>
      </c>
      <c r="P168" s="134">
        <v>7</v>
      </c>
      <c r="Q168" s="45">
        <v>3</v>
      </c>
      <c r="R168" s="45">
        <v>14</v>
      </c>
      <c r="S168" s="28">
        <v>17</v>
      </c>
      <c r="T168" s="45">
        <v>124</v>
      </c>
      <c r="U168" s="28">
        <v>197</v>
      </c>
      <c r="V168" s="45">
        <v>9</v>
      </c>
      <c r="W168" s="45">
        <v>28</v>
      </c>
      <c r="X168" s="529">
        <f t="shared" si="29"/>
        <v>385</v>
      </c>
      <c r="Y168" s="134">
        <v>39</v>
      </c>
      <c r="Z168" s="45">
        <v>31</v>
      </c>
      <c r="AA168" s="45">
        <v>117</v>
      </c>
      <c r="AB168" s="424">
        <v>198</v>
      </c>
      <c r="AC168" s="134"/>
    </row>
    <row r="169" spans="1:29">
      <c r="A169" s="146">
        <v>10</v>
      </c>
      <c r="B169" t="s">
        <v>212</v>
      </c>
      <c r="C169" s="8"/>
      <c r="D169" s="463">
        <v>4</v>
      </c>
      <c r="E169" s="493">
        <v>6</v>
      </c>
      <c r="F169" s="493">
        <f t="shared" si="38"/>
        <v>5</v>
      </c>
      <c r="G169" s="473"/>
      <c r="H169" s="479">
        <v>1</v>
      </c>
      <c r="I169" s="477">
        <v>2</v>
      </c>
      <c r="J169" s="496">
        <v>2</v>
      </c>
      <c r="K169" s="474">
        <f t="shared" si="37"/>
        <v>176</v>
      </c>
      <c r="L169" s="480"/>
      <c r="M169" s="45"/>
      <c r="N169" s="45">
        <v>36</v>
      </c>
      <c r="O169" s="205">
        <v>36</v>
      </c>
      <c r="P169" s="134">
        <v>3</v>
      </c>
      <c r="Q169" s="45">
        <v>13</v>
      </c>
      <c r="R169" s="45"/>
      <c r="S169" s="28"/>
      <c r="T169" s="45">
        <v>26</v>
      </c>
      <c r="U169" s="28">
        <v>56</v>
      </c>
      <c r="V169" s="45">
        <v>1</v>
      </c>
      <c r="W169" s="45">
        <v>5</v>
      </c>
      <c r="X169" s="529">
        <f t="shared" si="29"/>
        <v>166</v>
      </c>
      <c r="Y169" s="134">
        <v>39</v>
      </c>
      <c r="Z169" s="45">
        <v>49</v>
      </c>
      <c r="AA169" s="45">
        <v>25</v>
      </c>
      <c r="AB169" s="424">
        <v>53</v>
      </c>
      <c r="AC169" s="134"/>
    </row>
    <row r="170" spans="1:29">
      <c r="A170" s="146">
        <v>11</v>
      </c>
      <c r="B170" t="s">
        <v>213</v>
      </c>
      <c r="C170" s="4"/>
      <c r="D170" s="463">
        <v>4</v>
      </c>
      <c r="E170" s="493">
        <v>4</v>
      </c>
      <c r="F170" s="493">
        <f t="shared" si="38"/>
        <v>5</v>
      </c>
      <c r="G170" s="473"/>
      <c r="H170" s="479"/>
      <c r="I170" s="477">
        <v>3</v>
      </c>
      <c r="J170" s="496">
        <v>2</v>
      </c>
      <c r="K170" s="474">
        <f t="shared" si="37"/>
        <v>148</v>
      </c>
      <c r="L170" s="480"/>
      <c r="M170" s="45"/>
      <c r="N170" s="45"/>
      <c r="O170" s="205"/>
      <c r="P170" s="134"/>
      <c r="Q170" s="45"/>
      <c r="R170" s="45"/>
      <c r="S170" s="28">
        <v>1</v>
      </c>
      <c r="T170" s="45">
        <v>32</v>
      </c>
      <c r="U170" s="205">
        <v>76</v>
      </c>
      <c r="V170" s="45">
        <v>12</v>
      </c>
      <c r="W170" s="45">
        <v>27</v>
      </c>
      <c r="X170" s="529">
        <f t="shared" si="29"/>
        <v>106</v>
      </c>
      <c r="Y170" s="134"/>
      <c r="Z170" s="45"/>
      <c r="AA170" s="45">
        <v>35</v>
      </c>
      <c r="AB170" s="424">
        <v>71</v>
      </c>
      <c r="AC170" s="134"/>
    </row>
    <row r="171" spans="1:29">
      <c r="A171" s="146">
        <v>12</v>
      </c>
      <c r="B171" t="s">
        <v>214</v>
      </c>
      <c r="C171" s="4"/>
      <c r="D171" s="463">
        <v>38</v>
      </c>
      <c r="E171" s="493">
        <v>71</v>
      </c>
      <c r="F171" s="493">
        <f t="shared" si="38"/>
        <v>101</v>
      </c>
      <c r="G171" s="473">
        <v>5</v>
      </c>
      <c r="H171" s="479">
        <v>46</v>
      </c>
      <c r="I171" s="477">
        <v>25</v>
      </c>
      <c r="J171" s="496">
        <v>25</v>
      </c>
      <c r="K171" s="474">
        <f t="shared" si="37"/>
        <v>2250</v>
      </c>
      <c r="L171" s="480">
        <v>8</v>
      </c>
      <c r="M171" s="45">
        <v>5</v>
      </c>
      <c r="N171" s="45">
        <v>201</v>
      </c>
      <c r="O171" s="205">
        <v>228</v>
      </c>
      <c r="P171" s="134">
        <v>4</v>
      </c>
      <c r="Q171" s="45">
        <v>32</v>
      </c>
      <c r="R171" s="45">
        <v>4</v>
      </c>
      <c r="S171" s="28">
        <v>7</v>
      </c>
      <c r="T171" s="45">
        <v>921</v>
      </c>
      <c r="U171" s="28">
        <v>657</v>
      </c>
      <c r="V171" s="45">
        <v>19</v>
      </c>
      <c r="W171" s="45">
        <v>164</v>
      </c>
      <c r="X171" s="529">
        <f t="shared" si="29"/>
        <v>2050</v>
      </c>
      <c r="Y171" s="134">
        <v>194</v>
      </c>
      <c r="Z171" s="45">
        <v>254</v>
      </c>
      <c r="AA171" s="45">
        <v>819</v>
      </c>
      <c r="AB171" s="424">
        <v>783</v>
      </c>
      <c r="AC171" s="134"/>
    </row>
    <row r="172" spans="1:29">
      <c r="A172" s="146">
        <v>13</v>
      </c>
      <c r="B172" t="s">
        <v>215</v>
      </c>
      <c r="C172" s="4"/>
      <c r="D172" s="463">
        <v>12</v>
      </c>
      <c r="E172" s="493">
        <v>23</v>
      </c>
      <c r="F172" s="493">
        <f t="shared" si="38"/>
        <v>29</v>
      </c>
      <c r="G172" s="473">
        <v>4</v>
      </c>
      <c r="H172" s="479">
        <v>12</v>
      </c>
      <c r="I172" s="477">
        <v>4</v>
      </c>
      <c r="J172" s="496">
        <v>9</v>
      </c>
      <c r="K172" s="474">
        <f t="shared" si="37"/>
        <v>738</v>
      </c>
      <c r="L172" s="480"/>
      <c r="M172" s="45"/>
      <c r="N172" s="45">
        <v>27</v>
      </c>
      <c r="O172" s="205">
        <v>30</v>
      </c>
      <c r="P172" s="134">
        <v>1</v>
      </c>
      <c r="Q172" s="45">
        <v>2</v>
      </c>
      <c r="R172" s="45">
        <v>2</v>
      </c>
      <c r="S172" s="28">
        <v>4</v>
      </c>
      <c r="T172" s="45">
        <v>270</v>
      </c>
      <c r="U172" s="28">
        <v>276</v>
      </c>
      <c r="V172" s="45">
        <v>24</v>
      </c>
      <c r="W172" s="45">
        <v>102</v>
      </c>
      <c r="X172" s="529">
        <f t="shared" si="29"/>
        <v>685</v>
      </c>
      <c r="Y172" s="134">
        <v>27</v>
      </c>
      <c r="Z172" s="45">
        <v>30</v>
      </c>
      <c r="AA172" s="45">
        <v>266</v>
      </c>
      <c r="AB172" s="424">
        <v>362</v>
      </c>
      <c r="AC172" s="134"/>
    </row>
    <row r="173" spans="1:29">
      <c r="A173" s="146">
        <v>14</v>
      </c>
      <c r="B173" t="s">
        <v>216</v>
      </c>
      <c r="C173" s="4"/>
      <c r="D173" s="463">
        <v>11</v>
      </c>
      <c r="E173" s="493">
        <v>17</v>
      </c>
      <c r="F173" s="493">
        <f t="shared" si="38"/>
        <v>23</v>
      </c>
      <c r="G173" s="473">
        <v>6</v>
      </c>
      <c r="H173" s="479">
        <v>8</v>
      </c>
      <c r="I173" s="477">
        <v>1</v>
      </c>
      <c r="J173" s="496">
        <v>8</v>
      </c>
      <c r="K173" s="474">
        <f t="shared" si="37"/>
        <v>479</v>
      </c>
      <c r="L173" s="480"/>
      <c r="M173" s="45"/>
      <c r="N173" s="45">
        <v>43</v>
      </c>
      <c r="O173" s="205">
        <v>48</v>
      </c>
      <c r="P173" s="134">
        <v>5</v>
      </c>
      <c r="Q173" s="45">
        <v>4</v>
      </c>
      <c r="R173" s="45"/>
      <c r="S173" s="28">
        <v>1</v>
      </c>
      <c r="T173" s="45">
        <v>136</v>
      </c>
      <c r="U173" s="28">
        <v>151</v>
      </c>
      <c r="V173" s="45">
        <v>21</v>
      </c>
      <c r="W173" s="45">
        <v>70</v>
      </c>
      <c r="X173" s="529">
        <f t="shared" si="29"/>
        <v>419</v>
      </c>
      <c r="Y173" s="134">
        <v>48</v>
      </c>
      <c r="Z173" s="45">
        <v>52</v>
      </c>
      <c r="AA173" s="45">
        <v>134</v>
      </c>
      <c r="AB173" s="424">
        <v>185</v>
      </c>
      <c r="AC173" s="134"/>
    </row>
    <row r="174" spans="1:29">
      <c r="A174" s="146">
        <v>15</v>
      </c>
      <c r="B174" t="s">
        <v>217</v>
      </c>
      <c r="C174" s="4"/>
      <c r="D174" s="463">
        <v>29</v>
      </c>
      <c r="E174" s="493">
        <v>34</v>
      </c>
      <c r="F174" s="493">
        <f t="shared" si="38"/>
        <v>75</v>
      </c>
      <c r="G174" s="473">
        <v>4</v>
      </c>
      <c r="H174" s="479">
        <v>20</v>
      </c>
      <c r="I174" s="477">
        <v>17</v>
      </c>
      <c r="J174" s="496">
        <v>34</v>
      </c>
      <c r="K174" s="474">
        <f t="shared" si="37"/>
        <v>2214</v>
      </c>
      <c r="L174" s="480">
        <v>8</v>
      </c>
      <c r="M174" s="45">
        <v>2</v>
      </c>
      <c r="N174" s="45">
        <v>194</v>
      </c>
      <c r="O174" s="205">
        <v>218</v>
      </c>
      <c r="P174" s="134">
        <v>15</v>
      </c>
      <c r="Q174" s="45">
        <v>14</v>
      </c>
      <c r="R174" s="45"/>
      <c r="S174" s="28"/>
      <c r="T174" s="45">
        <v>679</v>
      </c>
      <c r="U174" s="28">
        <v>936</v>
      </c>
      <c r="V174" s="45">
        <v>55</v>
      </c>
      <c r="W174" s="45">
        <v>93</v>
      </c>
      <c r="X174" s="529">
        <f t="shared" si="29"/>
        <v>2033</v>
      </c>
      <c r="Y174" s="134">
        <v>208</v>
      </c>
      <c r="Z174" s="45">
        <v>222</v>
      </c>
      <c r="AA174" s="45">
        <v>643</v>
      </c>
      <c r="AB174" s="424">
        <v>960</v>
      </c>
      <c r="AC174" s="134"/>
    </row>
    <row r="175" spans="1:29">
      <c r="A175" s="146">
        <v>16</v>
      </c>
      <c r="B175" t="s">
        <v>218</v>
      </c>
      <c r="C175" s="4"/>
      <c r="D175" s="463">
        <v>8</v>
      </c>
      <c r="E175" s="493">
        <v>12</v>
      </c>
      <c r="F175" s="493">
        <f t="shared" si="38"/>
        <v>12</v>
      </c>
      <c r="G175" s="473">
        <v>2</v>
      </c>
      <c r="H175" s="479"/>
      <c r="I175" s="477">
        <v>7</v>
      </c>
      <c r="J175" s="496">
        <v>3</v>
      </c>
      <c r="K175" s="474">
        <f t="shared" si="37"/>
        <v>465</v>
      </c>
      <c r="L175" s="480"/>
      <c r="M175" s="45"/>
      <c r="N175" s="45">
        <v>6</v>
      </c>
      <c r="O175" s="205">
        <v>3</v>
      </c>
      <c r="P175" s="134">
        <v>2</v>
      </c>
      <c r="Q175" s="45">
        <v>2</v>
      </c>
      <c r="R175" s="45">
        <v>4</v>
      </c>
      <c r="S175" s="28">
        <v>9</v>
      </c>
      <c r="T175" s="45">
        <v>86</v>
      </c>
      <c r="U175" s="28">
        <v>147</v>
      </c>
      <c r="V175" s="45">
        <v>47</v>
      </c>
      <c r="W175" s="45">
        <v>159</v>
      </c>
      <c r="X175" s="529">
        <f t="shared" si="29"/>
        <v>383</v>
      </c>
      <c r="Y175" s="134">
        <v>8</v>
      </c>
      <c r="Z175" s="45">
        <v>5</v>
      </c>
      <c r="AA175" s="45">
        <v>115</v>
      </c>
      <c r="AB175" s="424">
        <v>255</v>
      </c>
      <c r="AC175" s="134"/>
    </row>
    <row r="176" spans="1:29">
      <c r="A176" s="146">
        <v>17</v>
      </c>
      <c r="B176" t="s">
        <v>219</v>
      </c>
      <c r="C176" s="4"/>
      <c r="D176" s="463">
        <v>6</v>
      </c>
      <c r="E176" s="493">
        <v>30</v>
      </c>
      <c r="F176" s="493">
        <f t="shared" si="38"/>
        <v>26</v>
      </c>
      <c r="G176" s="473">
        <v>17</v>
      </c>
      <c r="H176" s="479">
        <v>9</v>
      </c>
      <c r="I176" s="477"/>
      <c r="J176" s="496"/>
      <c r="K176" s="474">
        <f t="shared" si="37"/>
        <v>334</v>
      </c>
      <c r="L176" s="480"/>
      <c r="M176" s="45"/>
      <c r="N176" s="45">
        <v>170</v>
      </c>
      <c r="O176" s="205">
        <v>71</v>
      </c>
      <c r="P176" s="134">
        <v>75</v>
      </c>
      <c r="Q176" s="45">
        <v>18</v>
      </c>
      <c r="R176" s="45"/>
      <c r="S176" s="28"/>
      <c r="T176" s="45"/>
      <c r="U176" s="28"/>
      <c r="V176" s="45"/>
      <c r="W176" s="45"/>
      <c r="X176" s="529">
        <f t="shared" si="29"/>
        <v>329</v>
      </c>
      <c r="Y176" s="134">
        <v>241</v>
      </c>
      <c r="Z176" s="45">
        <v>88</v>
      </c>
      <c r="AA176" s="45"/>
      <c r="AB176" s="424"/>
      <c r="AC176" s="134"/>
    </row>
    <row r="177" spans="1:29">
      <c r="A177" s="146">
        <v>18</v>
      </c>
      <c r="B177" t="s">
        <v>220</v>
      </c>
      <c r="C177" s="4"/>
      <c r="D177" s="463">
        <v>34</v>
      </c>
      <c r="E177" s="493">
        <v>42</v>
      </c>
      <c r="F177" s="493">
        <f t="shared" si="38"/>
        <v>51</v>
      </c>
      <c r="G177" s="473">
        <v>7</v>
      </c>
      <c r="H177" s="479">
        <v>6</v>
      </c>
      <c r="I177" s="477">
        <v>10</v>
      </c>
      <c r="J177" s="496">
        <v>28</v>
      </c>
      <c r="K177" s="474">
        <f t="shared" si="37"/>
        <v>1268</v>
      </c>
      <c r="L177" s="480"/>
      <c r="M177" s="45"/>
      <c r="N177" s="45">
        <v>42</v>
      </c>
      <c r="O177" s="205">
        <v>44</v>
      </c>
      <c r="P177" s="134">
        <v>1</v>
      </c>
      <c r="Q177" s="45">
        <v>2</v>
      </c>
      <c r="R177" s="45">
        <v>28</v>
      </c>
      <c r="S177" s="28">
        <v>28</v>
      </c>
      <c r="T177" s="45">
        <v>475</v>
      </c>
      <c r="U177" s="28">
        <v>485</v>
      </c>
      <c r="V177" s="45">
        <v>37</v>
      </c>
      <c r="W177" s="45">
        <v>126</v>
      </c>
      <c r="X177" s="529">
        <f t="shared" si="29"/>
        <v>1114</v>
      </c>
      <c r="Y177" s="134">
        <v>42</v>
      </c>
      <c r="Z177" s="45">
        <v>44</v>
      </c>
      <c r="AA177" s="45">
        <v>482</v>
      </c>
      <c r="AB177" s="424">
        <v>546</v>
      </c>
      <c r="AC177" s="134"/>
    </row>
    <row r="178" spans="1:29">
      <c r="A178" s="146">
        <v>19</v>
      </c>
      <c r="B178" t="s">
        <v>221</v>
      </c>
      <c r="C178" s="4"/>
      <c r="D178" s="463">
        <v>19</v>
      </c>
      <c r="E178" s="493">
        <v>35</v>
      </c>
      <c r="F178" s="493">
        <f t="shared" si="38"/>
        <v>38</v>
      </c>
      <c r="G178" s="473">
        <v>5</v>
      </c>
      <c r="H178" s="479">
        <v>18</v>
      </c>
      <c r="I178" s="477">
        <v>5</v>
      </c>
      <c r="J178" s="496">
        <v>10</v>
      </c>
      <c r="K178" s="474">
        <f t="shared" si="37"/>
        <v>721</v>
      </c>
      <c r="L178" s="480"/>
      <c r="M178" s="45"/>
      <c r="N178" s="45">
        <v>52</v>
      </c>
      <c r="O178" s="205">
        <v>44</v>
      </c>
      <c r="P178" s="134">
        <v>3</v>
      </c>
      <c r="Q178" s="45">
        <v>1</v>
      </c>
      <c r="R178" s="45">
        <v>5</v>
      </c>
      <c r="S178" s="28">
        <v>23</v>
      </c>
      <c r="T178" s="45">
        <v>211</v>
      </c>
      <c r="U178" s="28">
        <v>266</v>
      </c>
      <c r="V178" s="45">
        <v>32</v>
      </c>
      <c r="W178" s="45">
        <v>84</v>
      </c>
      <c r="X178" s="529">
        <f t="shared" si="29"/>
        <v>681</v>
      </c>
      <c r="Y178" s="134">
        <v>51</v>
      </c>
      <c r="Z178" s="45">
        <v>41</v>
      </c>
      <c r="AA178" s="45">
        <v>241</v>
      </c>
      <c r="AB178" s="424">
        <v>348</v>
      </c>
      <c r="AC178" s="134"/>
    </row>
    <row r="179" spans="1:29">
      <c r="A179" s="146">
        <v>20</v>
      </c>
      <c r="B179" t="s">
        <v>222</v>
      </c>
      <c r="C179" s="4"/>
      <c r="D179" s="463">
        <v>4</v>
      </c>
      <c r="E179" s="493">
        <v>9</v>
      </c>
      <c r="F179" s="493">
        <f t="shared" si="38"/>
        <v>10</v>
      </c>
      <c r="G179" s="473">
        <v>1</v>
      </c>
      <c r="H179" s="479">
        <v>1</v>
      </c>
      <c r="I179" s="477">
        <v>1</v>
      </c>
      <c r="J179" s="496">
        <v>7</v>
      </c>
      <c r="K179" s="474">
        <f t="shared" si="37"/>
        <v>288</v>
      </c>
      <c r="L179" s="480"/>
      <c r="M179" s="45"/>
      <c r="N179" s="45"/>
      <c r="O179" s="205"/>
      <c r="P179" s="134"/>
      <c r="Q179" s="45"/>
      <c r="R179" s="45"/>
      <c r="S179" s="28"/>
      <c r="T179" s="45">
        <v>97</v>
      </c>
      <c r="U179" s="28">
        <v>138</v>
      </c>
      <c r="V179" s="45">
        <v>30</v>
      </c>
      <c r="W179" s="45">
        <v>23</v>
      </c>
      <c r="X179" s="529">
        <f t="shared" si="29"/>
        <v>255</v>
      </c>
      <c r="Y179" s="134"/>
      <c r="Z179" s="45"/>
      <c r="AA179" s="45">
        <v>119</v>
      </c>
      <c r="AB179" s="424">
        <v>136</v>
      </c>
      <c r="AC179" s="134"/>
    </row>
    <row r="180" spans="1:29">
      <c r="A180" s="146">
        <v>21</v>
      </c>
      <c r="B180" t="s">
        <v>223</v>
      </c>
      <c r="C180" s="4"/>
      <c r="D180" s="463">
        <v>15</v>
      </c>
      <c r="E180" s="493">
        <v>29</v>
      </c>
      <c r="F180" s="493">
        <f t="shared" si="38"/>
        <v>34</v>
      </c>
      <c r="G180" s="473">
        <v>14</v>
      </c>
      <c r="H180" s="479">
        <v>9</v>
      </c>
      <c r="I180" s="477">
        <v>2</v>
      </c>
      <c r="J180" s="496">
        <v>9</v>
      </c>
      <c r="K180" s="474">
        <f t="shared" si="37"/>
        <v>723</v>
      </c>
      <c r="L180" s="480"/>
      <c r="M180" s="45"/>
      <c r="N180" s="45">
        <v>155</v>
      </c>
      <c r="O180" s="205">
        <v>126</v>
      </c>
      <c r="P180" s="134">
        <v>10</v>
      </c>
      <c r="Q180" s="45">
        <v>1</v>
      </c>
      <c r="R180" s="45"/>
      <c r="S180" s="28"/>
      <c r="T180" s="45">
        <v>165</v>
      </c>
      <c r="U180" s="28">
        <v>226</v>
      </c>
      <c r="V180" s="45">
        <v>22</v>
      </c>
      <c r="W180" s="45">
        <v>18</v>
      </c>
      <c r="X180" s="529">
        <f t="shared" si="29"/>
        <v>680</v>
      </c>
      <c r="Y180" s="134">
        <v>160</v>
      </c>
      <c r="Z180" s="45">
        <v>121</v>
      </c>
      <c r="AA180" s="45">
        <v>174</v>
      </c>
      <c r="AB180" s="424">
        <v>225</v>
      </c>
      <c r="AC180" s="134"/>
    </row>
    <row r="181" spans="1:29">
      <c r="A181" s="146">
        <v>22</v>
      </c>
      <c r="B181" t="s">
        <v>224</v>
      </c>
      <c r="C181" s="4"/>
      <c r="D181" s="463">
        <v>46</v>
      </c>
      <c r="E181" s="493">
        <v>93</v>
      </c>
      <c r="F181" s="493">
        <f t="shared" si="38"/>
        <v>97</v>
      </c>
      <c r="G181" s="473">
        <v>11</v>
      </c>
      <c r="H181" s="479">
        <v>55</v>
      </c>
      <c r="I181" s="477">
        <v>9</v>
      </c>
      <c r="J181" s="496">
        <v>22</v>
      </c>
      <c r="K181" s="474">
        <f t="shared" si="37"/>
        <v>2056</v>
      </c>
      <c r="L181" s="480">
        <v>8</v>
      </c>
      <c r="M181" s="45">
        <v>2</v>
      </c>
      <c r="N181" s="45">
        <v>395</v>
      </c>
      <c r="O181" s="205">
        <v>444</v>
      </c>
      <c r="P181" s="134">
        <v>28</v>
      </c>
      <c r="Q181" s="45">
        <v>84</v>
      </c>
      <c r="R181" s="45">
        <v>15</v>
      </c>
      <c r="S181" s="28">
        <v>17</v>
      </c>
      <c r="T181" s="45">
        <v>418</v>
      </c>
      <c r="U181" s="28">
        <v>563</v>
      </c>
      <c r="V181" s="45">
        <v>46</v>
      </c>
      <c r="W181" s="45">
        <v>36</v>
      </c>
      <c r="X181" s="529">
        <f t="shared" si="29"/>
        <v>1902</v>
      </c>
      <c r="Y181" s="134">
        <v>490</v>
      </c>
      <c r="Z181" s="45">
        <v>522</v>
      </c>
      <c r="AA181" s="45">
        <v>351</v>
      </c>
      <c r="AB181" s="424">
        <v>539</v>
      </c>
      <c r="AC181" s="134"/>
    </row>
    <row r="182" spans="1:29">
      <c r="A182" s="146">
        <v>23</v>
      </c>
      <c r="B182" t="s">
        <v>225</v>
      </c>
      <c r="C182" s="4"/>
      <c r="D182" s="463">
        <v>6</v>
      </c>
      <c r="E182" s="493">
        <v>6</v>
      </c>
      <c r="F182" s="493">
        <f t="shared" si="38"/>
        <v>7</v>
      </c>
      <c r="G182" s="473">
        <v>5</v>
      </c>
      <c r="H182" s="479">
        <v>1</v>
      </c>
      <c r="I182" s="477"/>
      <c r="J182" s="496">
        <v>1</v>
      </c>
      <c r="K182" s="474">
        <f t="shared" si="37"/>
        <v>188</v>
      </c>
      <c r="L182" s="480"/>
      <c r="M182" s="45"/>
      <c r="N182" s="45">
        <v>15</v>
      </c>
      <c r="O182" s="205">
        <v>17</v>
      </c>
      <c r="P182" s="134">
        <v>5</v>
      </c>
      <c r="Q182" s="45">
        <v>2</v>
      </c>
      <c r="R182" s="45">
        <v>3</v>
      </c>
      <c r="S182" s="28">
        <v>2</v>
      </c>
      <c r="T182" s="45">
        <v>28</v>
      </c>
      <c r="U182" s="28">
        <v>19</v>
      </c>
      <c r="V182" s="45">
        <v>46</v>
      </c>
      <c r="W182" s="45">
        <v>51</v>
      </c>
      <c r="X182" s="529">
        <f t="shared" si="29"/>
        <v>167</v>
      </c>
      <c r="Y182" s="134">
        <v>18</v>
      </c>
      <c r="Z182" s="45">
        <v>19</v>
      </c>
      <c r="AA182" s="45">
        <v>71</v>
      </c>
      <c r="AB182" s="424">
        <v>59</v>
      </c>
      <c r="AC182" s="134"/>
    </row>
    <row r="183" spans="1:29">
      <c r="A183" s="146">
        <v>24</v>
      </c>
      <c r="B183" t="s">
        <v>226</v>
      </c>
      <c r="C183" s="4"/>
      <c r="D183" s="463">
        <v>9</v>
      </c>
      <c r="E183" s="493">
        <v>14</v>
      </c>
      <c r="F183" s="493">
        <f t="shared" si="38"/>
        <v>12</v>
      </c>
      <c r="G183" s="473">
        <v>4</v>
      </c>
      <c r="H183" s="479">
        <v>7</v>
      </c>
      <c r="I183" s="477">
        <v>1</v>
      </c>
      <c r="J183" s="496"/>
      <c r="K183" s="474">
        <f t="shared" si="37"/>
        <v>220</v>
      </c>
      <c r="L183" s="480">
        <v>1</v>
      </c>
      <c r="M183" s="45">
        <v>1</v>
      </c>
      <c r="N183" s="45">
        <v>71</v>
      </c>
      <c r="O183" s="205">
        <v>93</v>
      </c>
      <c r="P183" s="134">
        <v>26</v>
      </c>
      <c r="Q183" s="45">
        <v>8</v>
      </c>
      <c r="R183" s="45"/>
      <c r="S183" s="28"/>
      <c r="T183" s="45">
        <v>11</v>
      </c>
      <c r="U183" s="28">
        <v>9</v>
      </c>
      <c r="V183" s="45"/>
      <c r="W183" s="45"/>
      <c r="X183" s="529">
        <f t="shared" si="29"/>
        <v>215</v>
      </c>
      <c r="Y183" s="134">
        <v>107</v>
      </c>
      <c r="Z183" s="45">
        <v>108</v>
      </c>
      <c r="AA183" s="45"/>
      <c r="AB183" s="424"/>
      <c r="AC183" s="134"/>
    </row>
    <row r="184" spans="1:29">
      <c r="A184" s="146">
        <v>25</v>
      </c>
      <c r="B184" t="s">
        <v>147</v>
      </c>
      <c r="C184" s="4"/>
      <c r="D184" s="463">
        <v>6</v>
      </c>
      <c r="E184" s="493">
        <v>14</v>
      </c>
      <c r="F184" s="493">
        <f t="shared" si="38"/>
        <v>13</v>
      </c>
      <c r="G184" s="473">
        <v>1</v>
      </c>
      <c r="H184" s="479">
        <v>6</v>
      </c>
      <c r="I184" s="477">
        <v>1</v>
      </c>
      <c r="J184" s="496">
        <v>5</v>
      </c>
      <c r="K184" s="474">
        <f t="shared" si="37"/>
        <v>273</v>
      </c>
      <c r="L184" s="480"/>
      <c r="M184" s="45"/>
      <c r="N184" s="45">
        <v>38</v>
      </c>
      <c r="O184" s="205">
        <v>33</v>
      </c>
      <c r="P184" s="134">
        <v>1</v>
      </c>
      <c r="Q184" s="45">
        <v>1</v>
      </c>
      <c r="R184" s="45"/>
      <c r="S184" s="28"/>
      <c r="T184" s="45">
        <v>73</v>
      </c>
      <c r="U184" s="28">
        <v>88</v>
      </c>
      <c r="V184" s="45">
        <v>3</v>
      </c>
      <c r="W184" s="45">
        <v>36</v>
      </c>
      <c r="X184" s="529">
        <f t="shared" si="29"/>
        <v>247</v>
      </c>
      <c r="Y184" s="134">
        <v>33</v>
      </c>
      <c r="Z184" s="45">
        <v>31</v>
      </c>
      <c r="AA184" s="45">
        <v>67</v>
      </c>
      <c r="AB184" s="424">
        <v>116</v>
      </c>
      <c r="AC184" s="134"/>
    </row>
    <row r="185" spans="1:29">
      <c r="A185" s="146">
        <v>26</v>
      </c>
      <c r="B185" t="s">
        <v>227</v>
      </c>
      <c r="C185" s="4"/>
      <c r="D185" s="463">
        <v>18</v>
      </c>
      <c r="E185" s="493">
        <v>25</v>
      </c>
      <c r="F185" s="493">
        <f t="shared" si="38"/>
        <v>36</v>
      </c>
      <c r="G185" s="473">
        <v>2</v>
      </c>
      <c r="H185" s="479">
        <v>18</v>
      </c>
      <c r="I185" s="477">
        <v>7</v>
      </c>
      <c r="J185" s="496">
        <v>9</v>
      </c>
      <c r="K185" s="474">
        <f t="shared" si="37"/>
        <v>734</v>
      </c>
      <c r="L185" s="480"/>
      <c r="M185" s="45"/>
      <c r="N185" s="45">
        <v>45</v>
      </c>
      <c r="O185" s="205">
        <v>67</v>
      </c>
      <c r="P185" s="134">
        <v>2</v>
      </c>
      <c r="Q185" s="45">
        <v>42</v>
      </c>
      <c r="R185" s="45"/>
      <c r="S185" s="28"/>
      <c r="T185" s="45">
        <v>240</v>
      </c>
      <c r="U185" s="28">
        <v>301</v>
      </c>
      <c r="V185" s="45">
        <v>12</v>
      </c>
      <c r="W185" s="45">
        <v>25</v>
      </c>
      <c r="X185" s="529">
        <f t="shared" si="29"/>
        <v>679</v>
      </c>
      <c r="Y185" s="134">
        <v>46</v>
      </c>
      <c r="Z185" s="45">
        <v>108</v>
      </c>
      <c r="AA185" s="45">
        <v>230</v>
      </c>
      <c r="AB185" s="424">
        <v>295</v>
      </c>
      <c r="AC185" s="134"/>
    </row>
    <row r="186" spans="1:29">
      <c r="A186" s="146">
        <v>27</v>
      </c>
      <c r="B186" t="s">
        <v>228</v>
      </c>
      <c r="C186" s="4"/>
      <c r="D186" s="463">
        <v>43</v>
      </c>
      <c r="E186" s="493">
        <v>88</v>
      </c>
      <c r="F186" s="493">
        <f t="shared" si="38"/>
        <v>112</v>
      </c>
      <c r="G186" s="473">
        <v>12</v>
      </c>
      <c r="H186" s="479">
        <v>45</v>
      </c>
      <c r="I186" s="477">
        <v>52</v>
      </c>
      <c r="J186" s="496">
        <v>3</v>
      </c>
      <c r="K186" s="474">
        <f t="shared" si="37"/>
        <v>2848</v>
      </c>
      <c r="L186" s="480">
        <v>7</v>
      </c>
      <c r="M186" s="45">
        <v>12</v>
      </c>
      <c r="N186" s="45">
        <v>526</v>
      </c>
      <c r="O186" s="205">
        <v>426</v>
      </c>
      <c r="P186" s="134">
        <v>12</v>
      </c>
      <c r="Q186" s="45">
        <v>25</v>
      </c>
      <c r="R186" s="45">
        <v>34</v>
      </c>
      <c r="S186" s="28">
        <v>18</v>
      </c>
      <c r="T186" s="45">
        <v>1370</v>
      </c>
      <c r="U186" s="28">
        <v>272</v>
      </c>
      <c r="V186" s="45">
        <v>80</v>
      </c>
      <c r="W186" s="45">
        <v>66</v>
      </c>
      <c r="X186" s="529">
        <f t="shared" si="29"/>
        <v>2603</v>
      </c>
      <c r="Y186" s="134">
        <v>522</v>
      </c>
      <c r="Z186" s="45">
        <v>434</v>
      </c>
      <c r="AA186" s="45">
        <v>1328</v>
      </c>
      <c r="AB186" s="424">
        <v>319</v>
      </c>
      <c r="AC186" s="134"/>
    </row>
    <row r="187" spans="1:29">
      <c r="A187" s="146">
        <v>28</v>
      </c>
      <c r="B187" t="s">
        <v>229</v>
      </c>
      <c r="C187" s="4"/>
      <c r="D187" s="463">
        <v>13</v>
      </c>
      <c r="E187" s="493">
        <v>26</v>
      </c>
      <c r="F187" s="493">
        <f t="shared" si="38"/>
        <v>31</v>
      </c>
      <c r="G187" s="473">
        <v>9</v>
      </c>
      <c r="H187" s="479">
        <v>16</v>
      </c>
      <c r="I187" s="477">
        <v>5</v>
      </c>
      <c r="J187" s="496">
        <v>1</v>
      </c>
      <c r="K187" s="474">
        <f t="shared" si="37"/>
        <v>553</v>
      </c>
      <c r="L187" s="480"/>
      <c r="M187" s="45"/>
      <c r="N187" s="45">
        <v>144</v>
      </c>
      <c r="O187" s="205">
        <v>115</v>
      </c>
      <c r="P187" s="134">
        <v>21</v>
      </c>
      <c r="Q187" s="45">
        <v>11</v>
      </c>
      <c r="R187" s="45"/>
      <c r="S187" s="28"/>
      <c r="T187" s="45">
        <v>94</v>
      </c>
      <c r="U187" s="28">
        <v>109</v>
      </c>
      <c r="V187" s="45">
        <v>21</v>
      </c>
      <c r="W187" s="45">
        <v>38</v>
      </c>
      <c r="X187" s="529">
        <f t="shared" si="29"/>
        <v>524</v>
      </c>
      <c r="Y187" s="134">
        <v>161</v>
      </c>
      <c r="Z187" s="45">
        <v>124</v>
      </c>
      <c r="AA187" s="45">
        <v>113</v>
      </c>
      <c r="AB187" s="424">
        <v>126</v>
      </c>
      <c r="AC187" s="134"/>
    </row>
    <row r="188" spans="1:29">
      <c r="A188" s="146">
        <v>29</v>
      </c>
      <c r="B188" t="s">
        <v>230</v>
      </c>
      <c r="C188" s="4"/>
      <c r="D188" s="463">
        <v>27</v>
      </c>
      <c r="E188" s="493">
        <v>35</v>
      </c>
      <c r="F188" s="493">
        <f t="shared" si="38"/>
        <v>37</v>
      </c>
      <c r="G188" s="473">
        <v>13</v>
      </c>
      <c r="H188" s="479">
        <v>23</v>
      </c>
      <c r="I188" s="477">
        <v>1</v>
      </c>
      <c r="J188" s="496"/>
      <c r="K188" s="474">
        <f t="shared" si="37"/>
        <v>547</v>
      </c>
      <c r="L188" s="480">
        <v>2</v>
      </c>
      <c r="M188" s="45">
        <v>6</v>
      </c>
      <c r="N188" s="45">
        <v>168</v>
      </c>
      <c r="O188" s="205">
        <v>175</v>
      </c>
      <c r="P188" s="134">
        <v>52</v>
      </c>
      <c r="Q188" s="45">
        <v>19</v>
      </c>
      <c r="R188" s="45"/>
      <c r="S188" s="28"/>
      <c r="T188" s="45">
        <v>42</v>
      </c>
      <c r="U188" s="28">
        <v>58</v>
      </c>
      <c r="V188" s="45">
        <v>6</v>
      </c>
      <c r="W188" s="45">
        <v>19</v>
      </c>
      <c r="X188" s="529">
        <f t="shared" si="29"/>
        <v>519</v>
      </c>
      <c r="Y188" s="134">
        <v>209</v>
      </c>
      <c r="Z188" s="45">
        <v>192</v>
      </c>
      <c r="AA188" s="45">
        <v>45</v>
      </c>
      <c r="AB188" s="424">
        <v>73</v>
      </c>
      <c r="AC188" s="134"/>
    </row>
    <row r="189" spans="1:29">
      <c r="A189" s="146">
        <v>30</v>
      </c>
      <c r="B189" t="s">
        <v>231</v>
      </c>
      <c r="C189" s="4"/>
      <c r="D189" s="463">
        <v>21</v>
      </c>
      <c r="E189" s="493">
        <v>35</v>
      </c>
      <c r="F189" s="493">
        <f t="shared" si="38"/>
        <v>38</v>
      </c>
      <c r="G189" s="480">
        <v>17</v>
      </c>
      <c r="H189" s="479">
        <v>15</v>
      </c>
      <c r="I189" s="477">
        <v>3</v>
      </c>
      <c r="J189" s="496">
        <v>3</v>
      </c>
      <c r="K189" s="474">
        <f t="shared" si="37"/>
        <v>734</v>
      </c>
      <c r="L189" s="473">
        <v>1</v>
      </c>
      <c r="M189" s="134"/>
      <c r="N189" s="28">
        <v>227</v>
      </c>
      <c r="O189" s="396">
        <v>201</v>
      </c>
      <c r="P189" s="134">
        <v>53</v>
      </c>
      <c r="Q189" s="45">
        <v>28</v>
      </c>
      <c r="R189" s="45"/>
      <c r="S189" s="28"/>
      <c r="T189" s="45">
        <v>99</v>
      </c>
      <c r="U189" s="28">
        <v>97</v>
      </c>
      <c r="V189" s="45">
        <v>19</v>
      </c>
      <c r="W189" s="45">
        <v>9</v>
      </c>
      <c r="X189" s="529">
        <f t="shared" si="29"/>
        <v>680</v>
      </c>
      <c r="Y189" s="134">
        <v>285</v>
      </c>
      <c r="Z189" s="45">
        <v>232</v>
      </c>
      <c r="AA189" s="45">
        <v>79</v>
      </c>
      <c r="AB189" s="424">
        <v>84</v>
      </c>
      <c r="AC189" s="134"/>
    </row>
    <row r="190" spans="1:29" s="25" customFormat="1">
      <c r="A190" s="146">
        <v>31</v>
      </c>
      <c r="B190" t="s">
        <v>232</v>
      </c>
      <c r="C190" s="96"/>
      <c r="D190" s="480">
        <v>7</v>
      </c>
      <c r="E190" s="504">
        <v>9</v>
      </c>
      <c r="F190" s="493">
        <f t="shared" si="38"/>
        <v>12</v>
      </c>
      <c r="G190" s="474">
        <v>2</v>
      </c>
      <c r="H190" s="479">
        <v>4</v>
      </c>
      <c r="I190" s="477"/>
      <c r="J190" s="496">
        <v>6</v>
      </c>
      <c r="K190" s="474">
        <f t="shared" si="37"/>
        <v>259</v>
      </c>
      <c r="L190" s="488"/>
      <c r="M190" s="134">
        <v>1</v>
      </c>
      <c r="N190" s="28">
        <v>47</v>
      </c>
      <c r="O190" s="396">
        <v>53</v>
      </c>
      <c r="P190" s="123">
        <v>8</v>
      </c>
      <c r="Q190" s="134">
        <v>3</v>
      </c>
      <c r="R190" s="28">
        <v>7</v>
      </c>
      <c r="S190" s="28">
        <v>10</v>
      </c>
      <c r="T190" s="28">
        <v>57</v>
      </c>
      <c r="U190" s="28">
        <v>64</v>
      </c>
      <c r="V190" s="28">
        <v>2</v>
      </c>
      <c r="W190" s="45">
        <v>7</v>
      </c>
      <c r="X190" s="529">
        <f t="shared" si="29"/>
        <v>232</v>
      </c>
      <c r="Y190" s="134">
        <v>47</v>
      </c>
      <c r="Z190" s="28">
        <v>40</v>
      </c>
      <c r="AA190" s="45">
        <v>63</v>
      </c>
      <c r="AB190" s="424">
        <v>82</v>
      </c>
      <c r="AC190" s="134"/>
    </row>
    <row r="191" spans="1:29" s="25" customFormat="1">
      <c r="A191" s="530"/>
      <c r="B191" s="11"/>
      <c r="C191" s="576"/>
      <c r="D191" s="514"/>
      <c r="E191" s="625"/>
      <c r="F191" s="508"/>
      <c r="G191" s="577"/>
      <c r="H191" s="578"/>
      <c r="I191" s="511"/>
      <c r="J191" s="512"/>
      <c r="K191" s="513"/>
      <c r="L191" s="579"/>
      <c r="M191" s="580"/>
      <c r="N191" s="206"/>
      <c r="O191" s="581"/>
      <c r="P191" s="582"/>
      <c r="Q191" s="580"/>
      <c r="R191" s="206"/>
      <c r="S191" s="206"/>
      <c r="T191" s="206"/>
      <c r="U191" s="206"/>
      <c r="V191" s="206"/>
      <c r="W191" s="317"/>
      <c r="X191" s="609"/>
      <c r="Y191" s="256"/>
      <c r="Z191" s="206"/>
      <c r="AA191" s="317"/>
      <c r="AB191" s="516"/>
      <c r="AC191" s="134"/>
    </row>
    <row r="192" spans="1:29" s="25" customFormat="1">
      <c r="A192" s="146" t="s">
        <v>433</v>
      </c>
      <c r="B192" s="31"/>
      <c r="C192" s="96"/>
      <c r="D192" s="480">
        <f>SUM(D160:D191)</f>
        <v>580</v>
      </c>
      <c r="E192" s="480">
        <f t="shared" ref="E192:W192" si="39">SUM(E160:E191)</f>
        <v>1237</v>
      </c>
      <c r="F192" s="480">
        <f>SUM(F160:F191)</f>
        <v>1562</v>
      </c>
      <c r="G192" s="473">
        <f t="shared" si="39"/>
        <v>277</v>
      </c>
      <c r="H192" s="470">
        <f t="shared" si="39"/>
        <v>773</v>
      </c>
      <c r="I192" s="470">
        <f t="shared" si="39"/>
        <v>234</v>
      </c>
      <c r="J192" s="474">
        <f t="shared" si="39"/>
        <v>278</v>
      </c>
      <c r="K192" s="480">
        <f>SUM(K160:K191)</f>
        <v>35454</v>
      </c>
      <c r="L192" s="480">
        <f t="shared" si="39"/>
        <v>77</v>
      </c>
      <c r="M192" s="470">
        <f t="shared" si="39"/>
        <v>90</v>
      </c>
      <c r="N192" s="470">
        <f t="shared" si="39"/>
        <v>6950</v>
      </c>
      <c r="O192" s="470">
        <f t="shared" si="39"/>
        <v>6782</v>
      </c>
      <c r="P192" s="470">
        <f t="shared" si="39"/>
        <v>679</v>
      </c>
      <c r="Q192" s="474">
        <f t="shared" si="39"/>
        <v>1083</v>
      </c>
      <c r="R192" s="479">
        <f t="shared" si="39"/>
        <v>133</v>
      </c>
      <c r="S192" s="470">
        <f t="shared" si="39"/>
        <v>171</v>
      </c>
      <c r="T192" s="470">
        <f t="shared" si="39"/>
        <v>9005</v>
      </c>
      <c r="U192" s="470">
        <f t="shared" si="39"/>
        <v>7786</v>
      </c>
      <c r="V192" s="470">
        <f t="shared" si="39"/>
        <v>1081</v>
      </c>
      <c r="W192" s="479">
        <f t="shared" si="39"/>
        <v>1617</v>
      </c>
      <c r="X192" s="529">
        <f t="shared" si="29"/>
        <v>32280</v>
      </c>
      <c r="Y192" s="474">
        <f>SUM(Y160:Y190)</f>
        <v>7430</v>
      </c>
      <c r="Z192" s="470">
        <f t="shared" ref="Z192:AB192" si="40">SUM(Z160:Z190)</f>
        <v>7486</v>
      </c>
      <c r="AA192" s="470">
        <f t="shared" si="40"/>
        <v>8851</v>
      </c>
      <c r="AB192" s="574">
        <f t="shared" si="40"/>
        <v>8513</v>
      </c>
      <c r="AC192" s="474"/>
    </row>
    <row r="193" spans="1:29" s="25" customFormat="1" ht="15" thickBot="1">
      <c r="A193" s="543"/>
      <c r="B193" s="6"/>
      <c r="C193" s="583"/>
      <c r="D193" s="525"/>
      <c r="E193" s="626"/>
      <c r="F193" s="501"/>
      <c r="G193" s="584"/>
      <c r="H193" s="585"/>
      <c r="I193" s="522"/>
      <c r="J193" s="523"/>
      <c r="K193" s="524"/>
      <c r="L193" s="586"/>
      <c r="M193" s="105"/>
      <c r="N193" s="208"/>
      <c r="O193" s="587"/>
      <c r="P193" s="443"/>
      <c r="Q193" s="105"/>
      <c r="R193" s="208"/>
      <c r="S193" s="208"/>
      <c r="T193" s="208"/>
      <c r="U193" s="208"/>
      <c r="V193" s="208"/>
      <c r="W193" s="321"/>
      <c r="X193" s="611"/>
      <c r="Y193" s="253"/>
      <c r="Z193" s="208"/>
      <c r="AA193" s="321"/>
      <c r="AB193" s="527"/>
      <c r="AC193" s="134"/>
    </row>
    <row r="194" spans="1:29" ht="15" thickTop="1">
      <c r="A194" s="176" t="s">
        <v>28</v>
      </c>
      <c r="B194" s="59"/>
      <c r="C194" s="8"/>
      <c r="D194" s="461"/>
      <c r="E194" s="493"/>
      <c r="F194" s="493"/>
      <c r="G194" s="489"/>
      <c r="H194" s="479"/>
      <c r="I194" s="477"/>
      <c r="J194" s="495"/>
      <c r="K194" s="490"/>
      <c r="L194" s="473"/>
      <c r="M194" s="134"/>
      <c r="N194" s="28"/>
      <c r="O194" s="396"/>
      <c r="P194" s="123"/>
      <c r="Q194" s="134"/>
      <c r="R194" s="28"/>
      <c r="S194" s="28"/>
      <c r="T194" s="28"/>
      <c r="U194" s="28"/>
      <c r="V194" s="28"/>
      <c r="W194" s="45"/>
      <c r="X194" s="529"/>
      <c r="Y194" s="134"/>
      <c r="Z194" s="28"/>
      <c r="AA194" s="45"/>
      <c r="AB194" s="424"/>
      <c r="AC194" s="134"/>
    </row>
    <row r="195" spans="1:29">
      <c r="A195" s="181">
        <v>33</v>
      </c>
      <c r="B195" s="100" t="s">
        <v>233</v>
      </c>
      <c r="C195" s="4" t="s">
        <v>435</v>
      </c>
      <c r="D195" s="461">
        <v>8</v>
      </c>
      <c r="E195" s="493">
        <v>14</v>
      </c>
      <c r="F195" s="493">
        <f t="shared" si="38"/>
        <v>18</v>
      </c>
      <c r="G195" s="489">
        <v>1</v>
      </c>
      <c r="H195" s="479">
        <v>6</v>
      </c>
      <c r="I195" s="477">
        <v>7</v>
      </c>
      <c r="J195" s="495">
        <v>4</v>
      </c>
      <c r="K195" s="490">
        <f>SUM(L195:W195)</f>
        <v>385</v>
      </c>
      <c r="L195" s="473"/>
      <c r="M195" s="29"/>
      <c r="N195" s="28">
        <v>45</v>
      </c>
      <c r="O195" s="396">
        <v>39</v>
      </c>
      <c r="P195" s="123">
        <v>6</v>
      </c>
      <c r="Q195" s="134">
        <v>5</v>
      </c>
      <c r="R195" s="28">
        <v>2</v>
      </c>
      <c r="S195" s="28">
        <v>1</v>
      </c>
      <c r="T195" s="28">
        <v>109</v>
      </c>
      <c r="U195" s="28">
        <v>139</v>
      </c>
      <c r="V195" s="28">
        <v>19</v>
      </c>
      <c r="W195" s="45">
        <v>20</v>
      </c>
      <c r="X195" s="529">
        <f t="shared" si="29"/>
        <v>337</v>
      </c>
      <c r="Y195" s="134">
        <v>49</v>
      </c>
      <c r="Z195" s="28">
        <v>42</v>
      </c>
      <c r="AA195" s="45">
        <v>107</v>
      </c>
      <c r="AB195" s="424">
        <v>139</v>
      </c>
      <c r="AC195" s="134"/>
    </row>
    <row r="196" spans="1:29">
      <c r="A196" s="146">
        <v>34</v>
      </c>
      <c r="B196" t="s">
        <v>234</v>
      </c>
      <c r="C196" s="4"/>
      <c r="D196" s="461">
        <v>24</v>
      </c>
      <c r="E196" s="493">
        <v>32</v>
      </c>
      <c r="F196" s="493">
        <f>SUM(G196:J196)</f>
        <v>43</v>
      </c>
      <c r="G196" s="489">
        <v>5</v>
      </c>
      <c r="H196" s="479">
        <v>7</v>
      </c>
      <c r="I196" s="477">
        <v>18</v>
      </c>
      <c r="J196" s="495">
        <v>13</v>
      </c>
      <c r="K196" s="490">
        <f t="shared" ref="K196:K205" si="41">SUM(L196:W196)</f>
        <v>1031</v>
      </c>
      <c r="L196" s="473"/>
      <c r="M196" s="134"/>
      <c r="N196" s="28">
        <v>54</v>
      </c>
      <c r="O196" s="396">
        <v>42</v>
      </c>
      <c r="P196" s="123"/>
      <c r="Q196" s="134">
        <v>3</v>
      </c>
      <c r="R196" s="28"/>
      <c r="S196" s="28"/>
      <c r="T196" s="28">
        <v>348</v>
      </c>
      <c r="U196" s="28">
        <v>409</v>
      </c>
      <c r="V196" s="28">
        <v>61</v>
      </c>
      <c r="W196" s="45">
        <v>114</v>
      </c>
      <c r="X196" s="529">
        <f t="shared" si="29"/>
        <v>872</v>
      </c>
      <c r="Y196" s="134">
        <v>54</v>
      </c>
      <c r="Z196" s="28">
        <v>36</v>
      </c>
      <c r="AA196" s="45">
        <v>343</v>
      </c>
      <c r="AB196" s="424">
        <v>439</v>
      </c>
      <c r="AC196" s="134"/>
    </row>
    <row r="197" spans="1:29">
      <c r="A197" s="146">
        <v>35</v>
      </c>
      <c r="B197" t="s">
        <v>235</v>
      </c>
      <c r="C197" s="4"/>
      <c r="D197" s="461">
        <v>9</v>
      </c>
      <c r="E197" s="493">
        <v>9</v>
      </c>
      <c r="F197" s="493">
        <f t="shared" si="38"/>
        <v>17</v>
      </c>
      <c r="G197" s="489">
        <v>4</v>
      </c>
      <c r="H197" s="479">
        <v>4</v>
      </c>
      <c r="I197" s="477">
        <v>5</v>
      </c>
      <c r="J197" s="496">
        <v>4</v>
      </c>
      <c r="K197" s="490">
        <f t="shared" si="41"/>
        <v>233</v>
      </c>
      <c r="L197" s="473"/>
      <c r="M197" s="134"/>
      <c r="N197" s="28"/>
      <c r="O197" s="396"/>
      <c r="P197" s="123"/>
      <c r="Q197" s="134"/>
      <c r="R197" s="28">
        <v>5</v>
      </c>
      <c r="S197" s="28">
        <v>4</v>
      </c>
      <c r="T197" s="28">
        <v>73</v>
      </c>
      <c r="U197" s="28">
        <v>74</v>
      </c>
      <c r="V197" s="28">
        <v>44</v>
      </c>
      <c r="W197" s="45">
        <v>33</v>
      </c>
      <c r="X197" s="529">
        <f t="shared" si="29"/>
        <v>200</v>
      </c>
      <c r="Y197" s="134"/>
      <c r="Z197" s="28"/>
      <c r="AA197" s="45">
        <v>107</v>
      </c>
      <c r="AB197" s="424">
        <v>93</v>
      </c>
      <c r="AC197" s="134"/>
    </row>
    <row r="198" spans="1:29">
      <c r="A198" s="146">
        <v>36</v>
      </c>
      <c r="B198" t="s">
        <v>236</v>
      </c>
      <c r="C198" s="4"/>
      <c r="D198" s="461">
        <v>2</v>
      </c>
      <c r="E198" s="493">
        <v>2</v>
      </c>
      <c r="F198" s="493">
        <f t="shared" si="38"/>
        <v>3</v>
      </c>
      <c r="G198" s="489"/>
      <c r="H198" s="479">
        <v>1</v>
      </c>
      <c r="I198" s="477">
        <v>2</v>
      </c>
      <c r="J198" s="496"/>
      <c r="K198" s="490">
        <f t="shared" si="41"/>
        <v>56</v>
      </c>
      <c r="L198" s="473"/>
      <c r="M198" s="134"/>
      <c r="N198" s="28"/>
      <c r="O198" s="396"/>
      <c r="P198" s="123"/>
      <c r="Q198" s="134"/>
      <c r="R198" s="28">
        <v>5</v>
      </c>
      <c r="S198" s="28">
        <v>1</v>
      </c>
      <c r="T198" s="28">
        <v>17</v>
      </c>
      <c r="U198" s="28">
        <v>21</v>
      </c>
      <c r="V198" s="28">
        <v>5</v>
      </c>
      <c r="W198" s="45">
        <v>7</v>
      </c>
      <c r="X198" s="529">
        <f t="shared" si="29"/>
        <v>53</v>
      </c>
      <c r="Y198" s="134"/>
      <c r="Z198" s="28"/>
      <c r="AA198" s="45">
        <v>25</v>
      </c>
      <c r="AB198" s="424">
        <v>28</v>
      </c>
      <c r="AC198" s="134"/>
    </row>
    <row r="199" spans="1:29">
      <c r="A199" s="146">
        <v>37</v>
      </c>
      <c r="B199" t="s">
        <v>237</v>
      </c>
      <c r="C199" s="4"/>
      <c r="D199" s="461">
        <v>2</v>
      </c>
      <c r="E199" s="493">
        <v>3</v>
      </c>
      <c r="F199" s="493">
        <f t="shared" si="38"/>
        <v>4</v>
      </c>
      <c r="G199" s="489">
        <v>1</v>
      </c>
      <c r="H199" s="479">
        <v>1</v>
      </c>
      <c r="I199" s="477">
        <v>1</v>
      </c>
      <c r="J199" s="496">
        <v>1</v>
      </c>
      <c r="K199" s="490">
        <f t="shared" si="41"/>
        <v>80</v>
      </c>
      <c r="L199" s="473"/>
      <c r="M199" s="134"/>
      <c r="N199" s="28"/>
      <c r="O199" s="396"/>
      <c r="P199" s="123"/>
      <c r="Q199" s="134"/>
      <c r="R199" s="28"/>
      <c r="S199" s="28"/>
      <c r="T199" s="28">
        <v>31</v>
      </c>
      <c r="U199" s="28">
        <v>33</v>
      </c>
      <c r="V199" s="28">
        <v>10</v>
      </c>
      <c r="W199" s="45">
        <v>6</v>
      </c>
      <c r="X199" s="529">
        <f t="shared" si="29"/>
        <v>72</v>
      </c>
      <c r="Y199" s="134"/>
      <c r="Z199" s="28"/>
      <c r="AA199" s="45">
        <v>38</v>
      </c>
      <c r="AB199" s="424">
        <v>34</v>
      </c>
      <c r="AC199" s="134"/>
    </row>
    <row r="200" spans="1:29">
      <c r="A200" s="146">
        <v>38</v>
      </c>
      <c r="B200" t="s">
        <v>238</v>
      </c>
      <c r="C200" s="4"/>
      <c r="D200" s="461">
        <v>6</v>
      </c>
      <c r="E200" s="493">
        <v>11</v>
      </c>
      <c r="F200" s="493">
        <f t="shared" si="38"/>
        <v>17</v>
      </c>
      <c r="G200" s="489">
        <v>5</v>
      </c>
      <c r="H200" s="479">
        <v>2</v>
      </c>
      <c r="I200" s="477">
        <v>6</v>
      </c>
      <c r="J200" s="496">
        <v>4</v>
      </c>
      <c r="K200" s="490">
        <f t="shared" si="41"/>
        <v>341</v>
      </c>
      <c r="L200" s="488"/>
      <c r="M200" s="92"/>
      <c r="N200" s="28">
        <v>10</v>
      </c>
      <c r="O200" s="396">
        <v>11</v>
      </c>
      <c r="P200" s="123">
        <v>1</v>
      </c>
      <c r="Q200" s="92"/>
      <c r="R200" s="28"/>
      <c r="S200" s="28"/>
      <c r="T200" s="28">
        <v>102</v>
      </c>
      <c r="U200" s="28">
        <v>161</v>
      </c>
      <c r="V200" s="28">
        <v>23</v>
      </c>
      <c r="W200" s="45">
        <v>33</v>
      </c>
      <c r="X200" s="529">
        <f t="shared" si="29"/>
        <v>287</v>
      </c>
      <c r="Y200" s="134">
        <v>11</v>
      </c>
      <c r="Z200" s="28">
        <v>11</v>
      </c>
      <c r="AA200" s="45">
        <v>98</v>
      </c>
      <c r="AB200" s="424">
        <v>167</v>
      </c>
      <c r="AC200" s="134"/>
    </row>
    <row r="201" spans="1:29">
      <c r="A201" s="146">
        <v>39</v>
      </c>
      <c r="B201" t="s">
        <v>239</v>
      </c>
      <c r="C201" s="4"/>
      <c r="D201" s="461">
        <v>3</v>
      </c>
      <c r="E201" s="493">
        <v>3</v>
      </c>
      <c r="F201" s="493">
        <f t="shared" si="38"/>
        <v>3</v>
      </c>
      <c r="G201" s="489"/>
      <c r="H201" s="479"/>
      <c r="I201" s="477">
        <v>3</v>
      </c>
      <c r="J201" s="496"/>
      <c r="K201" s="490">
        <f t="shared" si="41"/>
        <v>75</v>
      </c>
      <c r="L201" s="473"/>
      <c r="M201" s="134"/>
      <c r="N201" s="28"/>
      <c r="O201" s="396"/>
      <c r="P201" s="123"/>
      <c r="Q201" s="134"/>
      <c r="R201" s="28"/>
      <c r="S201" s="28"/>
      <c r="T201" s="28">
        <v>38</v>
      </c>
      <c r="U201" s="28">
        <v>37</v>
      </c>
      <c r="V201" s="28"/>
      <c r="W201" s="45"/>
      <c r="X201" s="529">
        <f t="shared" si="29"/>
        <v>46</v>
      </c>
      <c r="Y201" s="134"/>
      <c r="Z201" s="28"/>
      <c r="AA201" s="45">
        <v>20</v>
      </c>
      <c r="AB201" s="424">
        <v>26</v>
      </c>
      <c r="AC201" s="134"/>
    </row>
    <row r="202" spans="1:29">
      <c r="A202" s="146">
        <v>40</v>
      </c>
      <c r="B202" t="s">
        <v>240</v>
      </c>
      <c r="C202" s="4"/>
      <c r="D202" s="461">
        <v>13</v>
      </c>
      <c r="E202" s="493">
        <v>15</v>
      </c>
      <c r="F202" s="493">
        <f t="shared" si="38"/>
        <v>19</v>
      </c>
      <c r="G202" s="489"/>
      <c r="H202" s="479">
        <v>1</v>
      </c>
      <c r="I202" s="477">
        <v>14</v>
      </c>
      <c r="J202" s="496">
        <v>4</v>
      </c>
      <c r="K202" s="490">
        <f t="shared" si="41"/>
        <v>512</v>
      </c>
      <c r="L202" s="473"/>
      <c r="M202" s="134"/>
      <c r="N202" s="28"/>
      <c r="O202" s="396"/>
      <c r="P202" s="123"/>
      <c r="Q202" s="134"/>
      <c r="R202" s="28">
        <v>4</v>
      </c>
      <c r="S202" s="28">
        <v>4</v>
      </c>
      <c r="T202" s="28">
        <v>165</v>
      </c>
      <c r="U202" s="28">
        <v>216</v>
      </c>
      <c r="V202" s="28">
        <v>26</v>
      </c>
      <c r="W202" s="45">
        <v>97</v>
      </c>
      <c r="X202" s="529">
        <f t="shared" si="29"/>
        <v>446</v>
      </c>
      <c r="Y202" s="134"/>
      <c r="Z202" s="28"/>
      <c r="AA202" s="45">
        <v>163</v>
      </c>
      <c r="AB202" s="424">
        <v>283</v>
      </c>
      <c r="AC202" s="134"/>
    </row>
    <row r="203" spans="1:29">
      <c r="A203" s="146">
        <v>41</v>
      </c>
      <c r="B203" t="s">
        <v>241</v>
      </c>
      <c r="C203" s="4"/>
      <c r="D203" s="461">
        <v>22</v>
      </c>
      <c r="E203" s="493">
        <v>28</v>
      </c>
      <c r="F203" s="493">
        <f t="shared" si="38"/>
        <v>42</v>
      </c>
      <c r="G203" s="489">
        <v>4</v>
      </c>
      <c r="H203" s="479">
        <v>1</v>
      </c>
      <c r="I203" s="477">
        <v>24</v>
      </c>
      <c r="J203" s="496">
        <v>13</v>
      </c>
      <c r="K203" s="490">
        <f t="shared" si="41"/>
        <v>934</v>
      </c>
      <c r="L203" s="488"/>
      <c r="M203" s="92"/>
      <c r="N203" s="28"/>
      <c r="O203" s="396"/>
      <c r="P203" s="442"/>
      <c r="Q203" s="92"/>
      <c r="R203" s="28"/>
      <c r="S203" s="28"/>
      <c r="T203" s="28">
        <v>271</v>
      </c>
      <c r="U203" s="28">
        <v>453</v>
      </c>
      <c r="V203" s="28">
        <v>61</v>
      </c>
      <c r="W203" s="45">
        <v>149</v>
      </c>
      <c r="X203" s="529">
        <f t="shared" si="29"/>
        <v>849</v>
      </c>
      <c r="Y203" s="134"/>
      <c r="Z203" s="28"/>
      <c r="AA203" s="45">
        <v>297</v>
      </c>
      <c r="AB203" s="424">
        <v>552</v>
      </c>
      <c r="AC203" s="134"/>
    </row>
    <row r="204" spans="1:29">
      <c r="A204" s="146">
        <v>42</v>
      </c>
      <c r="B204" t="s">
        <v>242</v>
      </c>
      <c r="C204" s="4"/>
      <c r="D204" s="461">
        <v>1</v>
      </c>
      <c r="E204" s="493">
        <v>1</v>
      </c>
      <c r="F204" s="493">
        <f t="shared" si="38"/>
        <v>2</v>
      </c>
      <c r="G204" s="489"/>
      <c r="H204" s="479">
        <v>1</v>
      </c>
      <c r="I204" s="477">
        <v>1</v>
      </c>
      <c r="J204" s="496"/>
      <c r="K204" s="490">
        <f t="shared" si="41"/>
        <v>21</v>
      </c>
      <c r="L204" s="473"/>
      <c r="M204" s="134"/>
      <c r="N204" s="28"/>
      <c r="O204" s="396"/>
      <c r="P204" s="123"/>
      <c r="Q204" s="134"/>
      <c r="R204" s="28">
        <v>15</v>
      </c>
      <c r="S204" s="28">
        <v>3</v>
      </c>
      <c r="T204" s="28"/>
      <c r="U204" s="28"/>
      <c r="V204" s="28">
        <v>2</v>
      </c>
      <c r="W204" s="45">
        <v>1</v>
      </c>
      <c r="X204" s="529">
        <f t="shared" si="29"/>
        <v>16</v>
      </c>
      <c r="Y204" s="134"/>
      <c r="Z204" s="28"/>
      <c r="AA204" s="45">
        <v>14</v>
      </c>
      <c r="AB204" s="424">
        <v>2</v>
      </c>
      <c r="AC204" s="134"/>
    </row>
    <row r="205" spans="1:29">
      <c r="A205" s="146">
        <v>43</v>
      </c>
      <c r="B205" t="s">
        <v>243</v>
      </c>
      <c r="C205" s="4"/>
      <c r="D205" s="461">
        <v>2</v>
      </c>
      <c r="E205" s="493">
        <v>3</v>
      </c>
      <c r="F205" s="493">
        <f t="shared" si="38"/>
        <v>6</v>
      </c>
      <c r="G205" s="489"/>
      <c r="H205" s="479">
        <v>2</v>
      </c>
      <c r="I205" s="477">
        <v>2</v>
      </c>
      <c r="J205" s="496">
        <v>2</v>
      </c>
      <c r="K205" s="490">
        <f t="shared" si="41"/>
        <v>116</v>
      </c>
      <c r="L205" s="488"/>
      <c r="M205" s="92"/>
      <c r="N205" s="170"/>
      <c r="O205" s="449"/>
      <c r="P205" s="442"/>
      <c r="Q205" s="92"/>
      <c r="R205" s="28">
        <v>1</v>
      </c>
      <c r="S205" s="28">
        <v>2</v>
      </c>
      <c r="T205" s="28">
        <v>58</v>
      </c>
      <c r="U205" s="28">
        <v>40</v>
      </c>
      <c r="V205" s="28">
        <v>5</v>
      </c>
      <c r="W205" s="45">
        <v>10</v>
      </c>
      <c r="X205" s="529">
        <f t="shared" ref="X205:X265" si="42">SUM(Y205:AB205)</f>
        <v>105</v>
      </c>
      <c r="Y205" s="134"/>
      <c r="Z205" s="28"/>
      <c r="AA205" s="45">
        <v>57</v>
      </c>
      <c r="AB205" s="424">
        <v>48</v>
      </c>
      <c r="AC205" s="134"/>
    </row>
    <row r="206" spans="1:29">
      <c r="A206" s="530"/>
      <c r="B206" s="11"/>
      <c r="C206" s="203"/>
      <c r="D206" s="627"/>
      <c r="E206" s="508"/>
      <c r="F206" s="508"/>
      <c r="G206" s="577"/>
      <c r="H206" s="578"/>
      <c r="I206" s="588"/>
      <c r="J206" s="589"/>
      <c r="K206" s="577"/>
      <c r="L206" s="579"/>
      <c r="M206" s="580"/>
      <c r="N206" s="201"/>
      <c r="O206" s="590"/>
      <c r="P206" s="582"/>
      <c r="Q206" s="580"/>
      <c r="R206" s="201"/>
      <c r="S206" s="201"/>
      <c r="T206" s="201"/>
      <c r="U206" s="201"/>
      <c r="V206" s="201"/>
      <c r="W206" s="631"/>
      <c r="X206" s="609"/>
      <c r="Y206" s="580"/>
      <c r="Z206" s="201"/>
      <c r="AA206" s="631"/>
      <c r="AB206" s="591"/>
      <c r="AC206" s="92"/>
    </row>
    <row r="207" spans="1:29">
      <c r="A207" s="146" t="s">
        <v>298</v>
      </c>
      <c r="B207" s="31"/>
      <c r="C207" s="4"/>
      <c r="D207" s="461">
        <f>SUM(D195:D206)</f>
        <v>92</v>
      </c>
      <c r="E207" s="461">
        <f t="shared" ref="E207:W207" si="43">SUM(E195:E206)</f>
        <v>121</v>
      </c>
      <c r="F207" s="461">
        <f t="shared" si="43"/>
        <v>174</v>
      </c>
      <c r="G207" s="461">
        <f t="shared" si="43"/>
        <v>20</v>
      </c>
      <c r="H207" s="462">
        <f t="shared" si="43"/>
        <v>26</v>
      </c>
      <c r="I207" s="462">
        <f t="shared" si="43"/>
        <v>83</v>
      </c>
      <c r="J207" s="474">
        <f t="shared" si="43"/>
        <v>45</v>
      </c>
      <c r="K207" s="461">
        <f t="shared" si="43"/>
        <v>3784</v>
      </c>
      <c r="L207" s="461">
        <f t="shared" si="43"/>
        <v>0</v>
      </c>
      <c r="M207" s="462">
        <f t="shared" si="43"/>
        <v>0</v>
      </c>
      <c r="N207" s="462">
        <f t="shared" si="43"/>
        <v>109</v>
      </c>
      <c r="O207" s="462">
        <f t="shared" si="43"/>
        <v>92</v>
      </c>
      <c r="P207" s="462">
        <f t="shared" si="43"/>
        <v>7</v>
      </c>
      <c r="Q207" s="463">
        <f t="shared" si="43"/>
        <v>8</v>
      </c>
      <c r="R207" s="503">
        <f t="shared" si="43"/>
        <v>32</v>
      </c>
      <c r="S207" s="462">
        <f t="shared" si="43"/>
        <v>15</v>
      </c>
      <c r="T207" s="462">
        <f t="shared" si="43"/>
        <v>1212</v>
      </c>
      <c r="U207" s="462">
        <f t="shared" si="43"/>
        <v>1583</v>
      </c>
      <c r="V207" s="462">
        <f t="shared" si="43"/>
        <v>256</v>
      </c>
      <c r="W207" s="503">
        <f t="shared" si="43"/>
        <v>470</v>
      </c>
      <c r="X207" s="529">
        <f t="shared" si="42"/>
        <v>3283</v>
      </c>
      <c r="Y207" s="463">
        <f>SUM(Y195:Y205)</f>
        <v>114</v>
      </c>
      <c r="Z207" s="462">
        <f t="shared" ref="Z207:AB207" si="44">SUM(Z195:Z205)</f>
        <v>89</v>
      </c>
      <c r="AA207" s="462">
        <f t="shared" si="44"/>
        <v>1269</v>
      </c>
      <c r="AB207" s="464">
        <f t="shared" si="44"/>
        <v>1811</v>
      </c>
      <c r="AC207" s="463"/>
    </row>
    <row r="208" spans="1:29" ht="15" thickBot="1">
      <c r="A208" s="543"/>
      <c r="B208" s="6"/>
      <c r="C208" s="104"/>
      <c r="D208" s="628"/>
      <c r="E208" s="501"/>
      <c r="F208" s="501"/>
      <c r="G208" s="584"/>
      <c r="H208" s="585"/>
      <c r="I208" s="593"/>
      <c r="J208" s="594"/>
      <c r="K208" s="584"/>
      <c r="L208" s="586"/>
      <c r="M208" s="105"/>
      <c r="N208" s="322"/>
      <c r="O208" s="450"/>
      <c r="P208" s="443"/>
      <c r="Q208" s="105"/>
      <c r="R208" s="322"/>
      <c r="S208" s="322"/>
      <c r="T208" s="322"/>
      <c r="U208" s="322"/>
      <c r="V208" s="322"/>
      <c r="W208" s="323"/>
      <c r="X208" s="529"/>
      <c r="Y208" s="105"/>
      <c r="Z208" s="322"/>
      <c r="AA208" s="323"/>
      <c r="AB208" s="459"/>
      <c r="AC208" s="92"/>
    </row>
    <row r="209" spans="1:29" ht="15" thickTop="1">
      <c r="A209" s="146"/>
      <c r="B209" s="31"/>
      <c r="C209" s="4"/>
      <c r="D209" s="461"/>
      <c r="E209" s="493"/>
      <c r="F209" s="493"/>
      <c r="G209" s="592"/>
      <c r="H209" s="487"/>
      <c r="I209" s="491"/>
      <c r="J209" s="498"/>
      <c r="K209" s="592"/>
      <c r="L209" s="488"/>
      <c r="M209" s="92"/>
      <c r="N209" s="170"/>
      <c r="O209" s="449"/>
      <c r="P209" s="442"/>
      <c r="Q209" s="92"/>
      <c r="R209" s="170"/>
      <c r="S209" s="170"/>
      <c r="T209" s="170"/>
      <c r="U209" s="170"/>
      <c r="V209" s="170"/>
      <c r="W209" s="632"/>
      <c r="X209" s="641"/>
      <c r="Y209" s="92"/>
      <c r="Z209" s="170"/>
      <c r="AA209" s="632"/>
      <c r="AB209" s="458"/>
      <c r="AC209" s="92"/>
    </row>
    <row r="210" spans="1:29">
      <c r="A210" s="146" t="s">
        <v>434</v>
      </c>
      <c r="B210" s="31"/>
      <c r="C210" s="4"/>
      <c r="D210" s="461">
        <f>D207+D192</f>
        <v>672</v>
      </c>
      <c r="E210" s="461">
        <f t="shared" ref="E210:W210" si="45">E207+E192</f>
        <v>1358</v>
      </c>
      <c r="F210" s="461">
        <f t="shared" si="45"/>
        <v>1736</v>
      </c>
      <c r="G210" s="461">
        <f t="shared" si="45"/>
        <v>297</v>
      </c>
      <c r="H210" s="462">
        <f t="shared" si="45"/>
        <v>799</v>
      </c>
      <c r="I210" s="462">
        <f t="shared" si="45"/>
        <v>317</v>
      </c>
      <c r="J210" s="463">
        <f t="shared" si="45"/>
        <v>323</v>
      </c>
      <c r="K210" s="461">
        <f t="shared" si="45"/>
        <v>39238</v>
      </c>
      <c r="L210" s="461">
        <f t="shared" si="45"/>
        <v>77</v>
      </c>
      <c r="M210" s="462">
        <f t="shared" si="45"/>
        <v>90</v>
      </c>
      <c r="N210" s="462">
        <f t="shared" si="45"/>
        <v>7059</v>
      </c>
      <c r="O210" s="462">
        <f t="shared" si="45"/>
        <v>6874</v>
      </c>
      <c r="P210" s="462">
        <f t="shared" si="45"/>
        <v>686</v>
      </c>
      <c r="Q210" s="463">
        <f t="shared" si="45"/>
        <v>1091</v>
      </c>
      <c r="R210" s="503">
        <f t="shared" si="45"/>
        <v>165</v>
      </c>
      <c r="S210" s="462">
        <f t="shared" si="45"/>
        <v>186</v>
      </c>
      <c r="T210" s="462">
        <f t="shared" si="45"/>
        <v>10217</v>
      </c>
      <c r="U210" s="462">
        <f t="shared" si="45"/>
        <v>9369</v>
      </c>
      <c r="V210" s="462">
        <f t="shared" si="45"/>
        <v>1337</v>
      </c>
      <c r="W210" s="503">
        <f t="shared" si="45"/>
        <v>2087</v>
      </c>
      <c r="X210" s="529">
        <f t="shared" si="42"/>
        <v>35563</v>
      </c>
      <c r="Y210" s="463">
        <f>Y207+Y192</f>
        <v>7544</v>
      </c>
      <c r="Z210" s="462">
        <f t="shared" ref="Z210:AB210" si="46">Z207+Z192</f>
        <v>7575</v>
      </c>
      <c r="AA210" s="462">
        <f t="shared" si="46"/>
        <v>10120</v>
      </c>
      <c r="AB210" s="464">
        <f t="shared" si="46"/>
        <v>10324</v>
      </c>
      <c r="AC210" s="463"/>
    </row>
    <row r="211" spans="1:29" ht="15" thickBot="1">
      <c r="A211" s="543"/>
      <c r="B211" s="6"/>
      <c r="C211" s="104"/>
      <c r="D211" s="628"/>
      <c r="E211" s="501"/>
      <c r="F211" s="501"/>
      <c r="G211" s="584"/>
      <c r="H211" s="585"/>
      <c r="I211" s="593"/>
      <c r="J211" s="594"/>
      <c r="K211" s="584"/>
      <c r="L211" s="586"/>
      <c r="M211" s="105"/>
      <c r="N211" s="322"/>
      <c r="O211" s="450"/>
      <c r="P211" s="443"/>
      <c r="Q211" s="105"/>
      <c r="R211" s="322"/>
      <c r="S211" s="322"/>
      <c r="T211" s="322"/>
      <c r="U211" s="322"/>
      <c r="V211" s="322"/>
      <c r="W211" s="323"/>
      <c r="X211" s="611"/>
      <c r="Y211" s="105"/>
      <c r="Z211" s="322"/>
      <c r="AA211" s="323"/>
      <c r="AB211" s="459"/>
      <c r="AC211" s="92"/>
    </row>
    <row r="212" spans="1:29" ht="17" thickTop="1" thickBot="1">
      <c r="A212" s="179" t="s">
        <v>38</v>
      </c>
      <c r="B212" s="173"/>
      <c r="C212" s="8"/>
      <c r="D212" s="461"/>
      <c r="E212" s="493"/>
      <c r="F212" s="493"/>
      <c r="G212" s="489"/>
      <c r="H212" s="479"/>
      <c r="I212" s="477"/>
      <c r="J212" s="496"/>
      <c r="K212" s="489"/>
      <c r="L212" s="473"/>
      <c r="M212" s="134"/>
      <c r="N212" s="28"/>
      <c r="O212" s="396"/>
      <c r="P212" s="123"/>
      <c r="Q212" s="134"/>
      <c r="R212" s="28"/>
      <c r="S212" s="28"/>
      <c r="T212" s="28"/>
      <c r="U212" s="28"/>
      <c r="V212" s="28"/>
      <c r="W212" s="45"/>
      <c r="X212" s="529"/>
      <c r="Y212" s="134"/>
      <c r="Z212" s="28"/>
      <c r="AA212" s="45"/>
      <c r="AB212" s="424"/>
      <c r="AC212" s="134"/>
    </row>
    <row r="213" spans="1:29">
      <c r="A213" s="146">
        <v>1</v>
      </c>
      <c r="B213" s="48" t="s">
        <v>244</v>
      </c>
      <c r="D213" s="461">
        <v>7</v>
      </c>
      <c r="E213" s="493">
        <v>17</v>
      </c>
      <c r="F213" s="493">
        <f t="shared" si="38"/>
        <v>15</v>
      </c>
      <c r="G213" s="489">
        <v>7</v>
      </c>
      <c r="H213" s="479">
        <v>7</v>
      </c>
      <c r="I213" s="477">
        <v>1</v>
      </c>
      <c r="J213" s="496"/>
      <c r="K213" s="489">
        <f>SUM(L213:W213)</f>
        <v>363</v>
      </c>
      <c r="L213" s="473">
        <v>2</v>
      </c>
      <c r="M213" s="134"/>
      <c r="N213" s="28">
        <v>124</v>
      </c>
      <c r="O213" s="396">
        <v>170</v>
      </c>
      <c r="P213" s="123">
        <v>12</v>
      </c>
      <c r="Q213" s="134">
        <v>10</v>
      </c>
      <c r="R213" s="28">
        <v>5</v>
      </c>
      <c r="S213" s="28">
        <v>3</v>
      </c>
      <c r="T213" s="28">
        <v>17</v>
      </c>
      <c r="U213" s="28">
        <v>18</v>
      </c>
      <c r="V213" s="28">
        <v>2</v>
      </c>
      <c r="W213" s="45"/>
      <c r="X213" s="529">
        <f t="shared" si="42"/>
        <v>348</v>
      </c>
      <c r="Y213" s="134">
        <v>132</v>
      </c>
      <c r="Z213" s="28">
        <v>174</v>
      </c>
      <c r="AA213" s="45">
        <v>22</v>
      </c>
      <c r="AB213" s="424">
        <v>20</v>
      </c>
      <c r="AC213" s="134"/>
    </row>
    <row r="214" spans="1:29">
      <c r="A214" s="146">
        <v>2</v>
      </c>
      <c r="B214" t="s">
        <v>245</v>
      </c>
      <c r="C214" s="4"/>
      <c r="D214" s="461">
        <v>20</v>
      </c>
      <c r="E214" s="493">
        <v>34</v>
      </c>
      <c r="F214" s="493">
        <f t="shared" si="38"/>
        <v>34</v>
      </c>
      <c r="G214" s="489">
        <v>25</v>
      </c>
      <c r="H214" s="479">
        <v>9</v>
      </c>
      <c r="I214" s="477"/>
      <c r="J214" s="496"/>
      <c r="K214" s="489">
        <f t="shared" ref="K214:K235" si="47">SUM(L214:W214)</f>
        <v>887</v>
      </c>
      <c r="L214" s="473"/>
      <c r="M214" s="134"/>
      <c r="N214" s="28">
        <v>402</v>
      </c>
      <c r="O214" s="396">
        <v>351</v>
      </c>
      <c r="P214" s="123">
        <v>84</v>
      </c>
      <c r="Q214" s="134">
        <v>50</v>
      </c>
      <c r="R214" s="28"/>
      <c r="S214" s="28"/>
      <c r="T214" s="28"/>
      <c r="U214" s="28"/>
      <c r="V214" s="28"/>
      <c r="W214" s="45"/>
      <c r="X214" s="529">
        <f t="shared" si="42"/>
        <v>791</v>
      </c>
      <c r="Y214" s="134">
        <v>429</v>
      </c>
      <c r="Z214" s="28">
        <v>362</v>
      </c>
      <c r="AA214" s="45"/>
      <c r="AB214" s="424"/>
      <c r="AC214" s="134"/>
    </row>
    <row r="215" spans="1:29">
      <c r="A215" s="146">
        <v>3</v>
      </c>
      <c r="B215" t="s">
        <v>246</v>
      </c>
      <c r="C215" s="4"/>
      <c r="D215" s="461">
        <v>15</v>
      </c>
      <c r="E215" s="493">
        <v>34</v>
      </c>
      <c r="F215" s="493">
        <f t="shared" si="38"/>
        <v>35</v>
      </c>
      <c r="G215" s="489">
        <v>20</v>
      </c>
      <c r="H215" s="479">
        <v>15</v>
      </c>
      <c r="I215" s="477"/>
      <c r="J215" s="496"/>
      <c r="K215" s="489">
        <f t="shared" si="47"/>
        <v>822</v>
      </c>
      <c r="L215" s="473">
        <v>2</v>
      </c>
      <c r="M215" s="134">
        <v>3</v>
      </c>
      <c r="N215" s="205">
        <v>351</v>
      </c>
      <c r="O215" s="396">
        <v>335</v>
      </c>
      <c r="P215" s="123">
        <v>84</v>
      </c>
      <c r="Q215" s="134">
        <v>47</v>
      </c>
      <c r="R215" s="28"/>
      <c r="S215" s="28"/>
      <c r="T215" s="28"/>
      <c r="U215" s="28"/>
      <c r="V215" s="28"/>
      <c r="W215" s="45"/>
      <c r="X215" s="529">
        <f t="shared" si="42"/>
        <v>698</v>
      </c>
      <c r="Y215" s="134">
        <v>370</v>
      </c>
      <c r="Z215" s="28">
        <v>328</v>
      </c>
      <c r="AA215" s="45"/>
      <c r="AB215" s="424"/>
      <c r="AC215" s="134"/>
    </row>
    <row r="216" spans="1:29">
      <c r="A216" s="146">
        <v>4</v>
      </c>
      <c r="B216" t="s">
        <v>247</v>
      </c>
      <c r="C216" s="4"/>
      <c r="D216" s="461">
        <v>30</v>
      </c>
      <c r="E216" s="493">
        <v>88</v>
      </c>
      <c r="F216" s="493">
        <f t="shared" si="38"/>
        <v>93</v>
      </c>
      <c r="G216" s="489">
        <v>21</v>
      </c>
      <c r="H216" s="479">
        <v>59</v>
      </c>
      <c r="I216" s="477">
        <v>7</v>
      </c>
      <c r="J216" s="496">
        <v>6</v>
      </c>
      <c r="K216" s="489">
        <f t="shared" si="47"/>
        <v>2963</v>
      </c>
      <c r="L216" s="473">
        <v>8</v>
      </c>
      <c r="M216" s="134">
        <v>10</v>
      </c>
      <c r="N216" s="28">
        <v>1232</v>
      </c>
      <c r="O216" s="396">
        <v>1235</v>
      </c>
      <c r="P216" s="123">
        <v>25</v>
      </c>
      <c r="Q216" s="134">
        <v>22</v>
      </c>
      <c r="R216" s="28">
        <v>7</v>
      </c>
      <c r="S216" s="28">
        <v>8</v>
      </c>
      <c r="T216" s="28">
        <v>176</v>
      </c>
      <c r="U216" s="28">
        <v>164</v>
      </c>
      <c r="V216" s="28">
        <v>68</v>
      </c>
      <c r="W216" s="45">
        <v>8</v>
      </c>
      <c r="X216" s="529">
        <f t="shared" si="42"/>
        <v>2715</v>
      </c>
      <c r="Y216" s="134">
        <v>1226</v>
      </c>
      <c r="Z216" s="28">
        <v>1197</v>
      </c>
      <c r="AA216" s="45">
        <v>167</v>
      </c>
      <c r="AB216" s="424">
        <v>125</v>
      </c>
      <c r="AC216" s="134"/>
    </row>
    <row r="217" spans="1:29">
      <c r="A217" s="146">
        <v>5</v>
      </c>
      <c r="B217" t="s">
        <v>248</v>
      </c>
      <c r="C217" s="4"/>
      <c r="D217" s="461">
        <v>16</v>
      </c>
      <c r="E217" s="493">
        <v>25</v>
      </c>
      <c r="F217" s="493">
        <f t="shared" si="38"/>
        <v>23</v>
      </c>
      <c r="G217" s="489">
        <v>15</v>
      </c>
      <c r="H217" s="479">
        <v>5</v>
      </c>
      <c r="I217" s="477">
        <v>1</v>
      </c>
      <c r="J217" s="496">
        <v>2</v>
      </c>
      <c r="K217" s="489">
        <f t="shared" si="47"/>
        <v>546</v>
      </c>
      <c r="L217" s="473"/>
      <c r="M217" s="134"/>
      <c r="N217" s="28">
        <v>209</v>
      </c>
      <c r="O217" s="396">
        <v>200</v>
      </c>
      <c r="P217" s="123">
        <v>37</v>
      </c>
      <c r="Q217" s="134">
        <v>27</v>
      </c>
      <c r="R217" s="28">
        <v>5</v>
      </c>
      <c r="S217" s="28">
        <v>6</v>
      </c>
      <c r="T217" s="28">
        <v>17</v>
      </c>
      <c r="U217" s="28">
        <v>30</v>
      </c>
      <c r="V217" s="28">
        <v>3</v>
      </c>
      <c r="W217" s="45">
        <v>12</v>
      </c>
      <c r="X217" s="529">
        <f t="shared" si="42"/>
        <v>506</v>
      </c>
      <c r="Y217" s="134">
        <v>230</v>
      </c>
      <c r="Z217" s="28">
        <v>213</v>
      </c>
      <c r="AA217" s="45">
        <v>20</v>
      </c>
      <c r="AB217" s="424">
        <v>43</v>
      </c>
      <c r="AC217" s="134"/>
    </row>
    <row r="218" spans="1:29">
      <c r="A218" s="146">
        <v>6</v>
      </c>
      <c r="B218" t="s">
        <v>249</v>
      </c>
      <c r="C218" s="4"/>
      <c r="D218" s="461">
        <v>19</v>
      </c>
      <c r="E218" s="493">
        <v>42</v>
      </c>
      <c r="F218" s="493">
        <f t="shared" si="38"/>
        <v>43</v>
      </c>
      <c r="G218" s="489">
        <v>22</v>
      </c>
      <c r="H218" s="479">
        <v>17</v>
      </c>
      <c r="I218" s="477">
        <v>2</v>
      </c>
      <c r="J218" s="496">
        <v>2</v>
      </c>
      <c r="K218" s="489">
        <f t="shared" si="47"/>
        <v>957</v>
      </c>
      <c r="L218" s="473"/>
      <c r="M218" s="134"/>
      <c r="N218" s="28">
        <v>348</v>
      </c>
      <c r="O218" s="396">
        <v>326</v>
      </c>
      <c r="P218" s="123">
        <v>127</v>
      </c>
      <c r="Q218" s="134">
        <v>44</v>
      </c>
      <c r="R218" s="28">
        <v>1</v>
      </c>
      <c r="S218" s="28">
        <v>3</v>
      </c>
      <c r="T218" s="28">
        <v>39</v>
      </c>
      <c r="U218" s="28">
        <v>52</v>
      </c>
      <c r="V218" s="28">
        <v>8</v>
      </c>
      <c r="W218" s="45">
        <v>9</v>
      </c>
      <c r="X218" s="529">
        <f t="shared" si="42"/>
        <v>894</v>
      </c>
      <c r="Y218" s="134">
        <v>442</v>
      </c>
      <c r="Z218" s="28">
        <v>346</v>
      </c>
      <c r="AA218" s="45">
        <v>45</v>
      </c>
      <c r="AB218" s="424">
        <v>61</v>
      </c>
      <c r="AC218" s="134"/>
    </row>
    <row r="219" spans="1:29">
      <c r="A219" s="146">
        <v>7</v>
      </c>
      <c r="B219" t="s">
        <v>250</v>
      </c>
      <c r="C219" s="8"/>
      <c r="D219" s="461">
        <v>22</v>
      </c>
      <c r="E219" s="493">
        <v>81</v>
      </c>
      <c r="F219" s="493">
        <f t="shared" si="38"/>
        <v>92</v>
      </c>
      <c r="G219" s="489">
        <v>24</v>
      </c>
      <c r="H219" s="479">
        <v>65</v>
      </c>
      <c r="I219" s="477">
        <v>2</v>
      </c>
      <c r="J219" s="496">
        <v>1</v>
      </c>
      <c r="K219" s="489">
        <f t="shared" si="47"/>
        <v>2961</v>
      </c>
      <c r="L219" s="473">
        <v>15</v>
      </c>
      <c r="M219" s="134">
        <v>25</v>
      </c>
      <c r="N219" s="28">
        <v>1319</v>
      </c>
      <c r="O219" s="396">
        <v>1330</v>
      </c>
      <c r="P219" s="123">
        <v>86</v>
      </c>
      <c r="Q219" s="134">
        <v>75</v>
      </c>
      <c r="R219" s="28"/>
      <c r="S219" s="28">
        <v>6</v>
      </c>
      <c r="T219" s="28">
        <v>28</v>
      </c>
      <c r="U219" s="28">
        <v>17</v>
      </c>
      <c r="V219" s="28">
        <v>60</v>
      </c>
      <c r="W219" s="45"/>
      <c r="X219" s="529">
        <f t="shared" si="42"/>
        <v>2548</v>
      </c>
      <c r="Y219" s="134">
        <v>1226</v>
      </c>
      <c r="Z219" s="28">
        <v>1256</v>
      </c>
      <c r="AA219" s="45">
        <v>42</v>
      </c>
      <c r="AB219" s="424">
        <v>24</v>
      </c>
      <c r="AC219" s="134"/>
    </row>
    <row r="220" spans="1:29">
      <c r="A220" s="178">
        <v>8</v>
      </c>
      <c r="B220" s="102" t="s">
        <v>251</v>
      </c>
      <c r="C220" s="4"/>
      <c r="D220" s="461">
        <v>61</v>
      </c>
      <c r="E220" s="493">
        <v>112</v>
      </c>
      <c r="F220" s="493">
        <f t="shared" si="38"/>
        <v>123</v>
      </c>
      <c r="G220" s="489">
        <v>56</v>
      </c>
      <c r="H220" s="479">
        <v>44</v>
      </c>
      <c r="I220" s="477">
        <v>18</v>
      </c>
      <c r="J220" s="496">
        <v>5</v>
      </c>
      <c r="K220" s="489">
        <f t="shared" si="47"/>
        <v>2755</v>
      </c>
      <c r="L220" s="473">
        <v>1</v>
      </c>
      <c r="M220" s="134">
        <v>1</v>
      </c>
      <c r="N220" s="28">
        <v>885</v>
      </c>
      <c r="O220" s="396">
        <v>872</v>
      </c>
      <c r="P220" s="123">
        <v>170</v>
      </c>
      <c r="Q220" s="134">
        <v>104</v>
      </c>
      <c r="R220" s="28"/>
      <c r="S220" s="28"/>
      <c r="T220" s="28">
        <v>272</v>
      </c>
      <c r="U220" s="28">
        <v>361</v>
      </c>
      <c r="V220" s="28">
        <v>50</v>
      </c>
      <c r="W220" s="45">
        <v>39</v>
      </c>
      <c r="X220" s="529">
        <f t="shared" si="42"/>
        <v>2457</v>
      </c>
      <c r="Y220" s="134">
        <v>963</v>
      </c>
      <c r="Z220" s="28">
        <v>903</v>
      </c>
      <c r="AA220" s="45">
        <v>261</v>
      </c>
      <c r="AB220" s="424">
        <v>330</v>
      </c>
      <c r="AC220" s="134"/>
    </row>
    <row r="221" spans="1:29">
      <c r="A221" s="178">
        <v>9</v>
      </c>
      <c r="B221" s="102" t="s">
        <v>252</v>
      </c>
      <c r="C221" s="4"/>
      <c r="D221" s="461">
        <v>76</v>
      </c>
      <c r="E221" s="493">
        <v>456</v>
      </c>
      <c r="F221" s="493">
        <f t="shared" si="38"/>
        <v>554</v>
      </c>
      <c r="G221" s="489">
        <v>150</v>
      </c>
      <c r="H221" s="479">
        <v>392</v>
      </c>
      <c r="I221" s="477">
        <v>10</v>
      </c>
      <c r="J221" s="496">
        <v>2</v>
      </c>
      <c r="K221" s="489">
        <f t="shared" si="47"/>
        <v>16523</v>
      </c>
      <c r="L221" s="473">
        <v>42</v>
      </c>
      <c r="M221" s="134">
        <v>43</v>
      </c>
      <c r="N221" s="28">
        <v>7277</v>
      </c>
      <c r="O221" s="396">
        <v>6965</v>
      </c>
      <c r="P221" s="123">
        <v>266</v>
      </c>
      <c r="Q221" s="134">
        <v>407</v>
      </c>
      <c r="R221" s="28"/>
      <c r="S221" s="28">
        <v>1</v>
      </c>
      <c r="T221" s="28">
        <v>655</v>
      </c>
      <c r="U221" s="28">
        <v>621</v>
      </c>
      <c r="V221" s="28">
        <v>181</v>
      </c>
      <c r="W221" s="45">
        <v>65</v>
      </c>
      <c r="X221" s="529">
        <f t="shared" si="42"/>
        <v>15365</v>
      </c>
      <c r="Y221" s="134">
        <v>7100</v>
      </c>
      <c r="Z221" s="28">
        <v>6917</v>
      </c>
      <c r="AA221" s="45">
        <v>759</v>
      </c>
      <c r="AB221" s="424">
        <v>589</v>
      </c>
      <c r="AC221" s="134"/>
    </row>
    <row r="222" spans="1:29">
      <c r="A222" s="178">
        <v>10</v>
      </c>
      <c r="B222" s="102" t="s">
        <v>253</v>
      </c>
      <c r="C222" s="4"/>
      <c r="D222" s="461">
        <v>43</v>
      </c>
      <c r="E222" s="493">
        <v>135</v>
      </c>
      <c r="F222" s="493">
        <f t="shared" si="38"/>
        <v>137</v>
      </c>
      <c r="G222" s="489">
        <v>54</v>
      </c>
      <c r="H222" s="479">
        <v>77</v>
      </c>
      <c r="I222" s="477">
        <v>4</v>
      </c>
      <c r="J222" s="496">
        <v>2</v>
      </c>
      <c r="K222" s="489">
        <f t="shared" si="47"/>
        <v>4122</v>
      </c>
      <c r="L222" s="473">
        <v>3</v>
      </c>
      <c r="M222" s="134">
        <v>1</v>
      </c>
      <c r="N222" s="28">
        <v>2028</v>
      </c>
      <c r="O222" s="396">
        <v>1595</v>
      </c>
      <c r="P222" s="123">
        <v>140</v>
      </c>
      <c r="Q222" s="134">
        <v>178</v>
      </c>
      <c r="R222" s="28"/>
      <c r="S222" s="28"/>
      <c r="T222" s="28">
        <v>94</v>
      </c>
      <c r="U222" s="28">
        <v>80</v>
      </c>
      <c r="V222" s="28">
        <v>2</v>
      </c>
      <c r="W222" s="45">
        <v>1</v>
      </c>
      <c r="X222" s="529">
        <f t="shared" si="42"/>
        <v>3695</v>
      </c>
      <c r="Y222" s="134">
        <v>1995</v>
      </c>
      <c r="Z222" s="28">
        <v>1546</v>
      </c>
      <c r="AA222" s="45">
        <v>81</v>
      </c>
      <c r="AB222" s="424">
        <v>73</v>
      </c>
      <c r="AC222" s="134"/>
    </row>
    <row r="223" spans="1:29">
      <c r="A223" s="182">
        <v>11</v>
      </c>
      <c r="B223" s="103" t="s">
        <v>254</v>
      </c>
      <c r="C223" s="4"/>
      <c r="D223" s="461">
        <v>55</v>
      </c>
      <c r="E223" s="493">
        <v>90</v>
      </c>
      <c r="F223" s="493">
        <f t="shared" si="38"/>
        <v>98</v>
      </c>
      <c r="G223" s="489">
        <v>62</v>
      </c>
      <c r="H223" s="479">
        <v>28</v>
      </c>
      <c r="I223" s="477">
        <v>8</v>
      </c>
      <c r="J223" s="496"/>
      <c r="K223" s="489">
        <f t="shared" si="47"/>
        <v>2241</v>
      </c>
      <c r="L223" s="473">
        <v>1</v>
      </c>
      <c r="M223" s="134"/>
      <c r="N223" s="28">
        <v>852</v>
      </c>
      <c r="O223" s="123">
        <v>775</v>
      </c>
      <c r="P223" s="123">
        <v>150</v>
      </c>
      <c r="Q223" s="134">
        <v>111</v>
      </c>
      <c r="R223" s="28"/>
      <c r="S223" s="28"/>
      <c r="T223" s="28">
        <v>86</v>
      </c>
      <c r="U223" s="28">
        <v>198</v>
      </c>
      <c r="V223" s="28">
        <v>30</v>
      </c>
      <c r="W223" s="45">
        <v>38</v>
      </c>
      <c r="X223" s="529">
        <f t="shared" si="42"/>
        <v>2012</v>
      </c>
      <c r="Y223" s="134">
        <v>922</v>
      </c>
      <c r="Z223" s="28">
        <v>820</v>
      </c>
      <c r="AA223" s="45">
        <v>84</v>
      </c>
      <c r="AB223" s="424">
        <v>186</v>
      </c>
      <c r="AC223" s="134"/>
    </row>
    <row r="224" spans="1:29">
      <c r="A224" s="182">
        <v>12</v>
      </c>
      <c r="B224" s="103" t="s">
        <v>255</v>
      </c>
      <c r="C224" s="4"/>
      <c r="D224" s="461">
        <v>46</v>
      </c>
      <c r="E224" s="493">
        <v>69</v>
      </c>
      <c r="F224" s="493">
        <f t="shared" si="38"/>
        <v>74</v>
      </c>
      <c r="G224" s="489">
        <v>40</v>
      </c>
      <c r="H224" s="479">
        <v>18</v>
      </c>
      <c r="I224" s="477">
        <v>16</v>
      </c>
      <c r="J224" s="496"/>
      <c r="K224" s="489">
        <f t="shared" si="47"/>
        <v>1693</v>
      </c>
      <c r="L224" s="475">
        <v>3</v>
      </c>
      <c r="M224" s="134">
        <v>3</v>
      </c>
      <c r="N224" s="28">
        <v>530</v>
      </c>
      <c r="O224" s="396">
        <v>513</v>
      </c>
      <c r="P224" s="123">
        <v>103</v>
      </c>
      <c r="Q224" s="134">
        <v>47</v>
      </c>
      <c r="R224" s="28">
        <v>3</v>
      </c>
      <c r="S224" s="28">
        <v>7</v>
      </c>
      <c r="T224" s="28">
        <v>200</v>
      </c>
      <c r="U224" s="28">
        <v>223</v>
      </c>
      <c r="V224" s="28">
        <v>28</v>
      </c>
      <c r="W224" s="45">
        <v>33</v>
      </c>
      <c r="X224" s="529">
        <f t="shared" si="42"/>
        <v>1532</v>
      </c>
      <c r="Y224" s="134">
        <v>598</v>
      </c>
      <c r="Z224" s="28">
        <v>539</v>
      </c>
      <c r="AA224" s="45">
        <v>177</v>
      </c>
      <c r="AB224" s="424">
        <v>218</v>
      </c>
      <c r="AC224" s="134"/>
    </row>
    <row r="225" spans="1:29">
      <c r="A225" s="182">
        <v>13</v>
      </c>
      <c r="B225" s="103" t="s">
        <v>256</v>
      </c>
      <c r="C225" s="4"/>
      <c r="D225" s="461">
        <v>35</v>
      </c>
      <c r="E225" s="493">
        <v>63</v>
      </c>
      <c r="F225" s="493">
        <f t="shared" si="38"/>
        <v>67</v>
      </c>
      <c r="G225" s="489">
        <v>44</v>
      </c>
      <c r="H225" s="479">
        <v>18</v>
      </c>
      <c r="I225" s="477">
        <v>5</v>
      </c>
      <c r="J225" s="496"/>
      <c r="K225" s="489">
        <f t="shared" si="47"/>
        <v>1555</v>
      </c>
      <c r="L225" s="473">
        <v>1</v>
      </c>
      <c r="M225" s="134">
        <v>2</v>
      </c>
      <c r="N225" s="28">
        <v>582</v>
      </c>
      <c r="O225" s="396">
        <v>571</v>
      </c>
      <c r="P225" s="123">
        <v>106</v>
      </c>
      <c r="Q225" s="134">
        <v>61</v>
      </c>
      <c r="R225" s="28"/>
      <c r="S225" s="28"/>
      <c r="T225" s="28">
        <v>62</v>
      </c>
      <c r="U225" s="28">
        <v>84</v>
      </c>
      <c r="V225" s="28">
        <v>32</v>
      </c>
      <c r="W225" s="45">
        <v>54</v>
      </c>
      <c r="X225" s="529">
        <f t="shared" si="42"/>
        <v>1346</v>
      </c>
      <c r="Y225" s="134">
        <v>611</v>
      </c>
      <c r="Z225" s="28">
        <v>579</v>
      </c>
      <c r="AA225" s="45">
        <v>62</v>
      </c>
      <c r="AB225" s="424">
        <v>94</v>
      </c>
      <c r="AC225" s="134"/>
    </row>
    <row r="226" spans="1:29">
      <c r="A226" s="182">
        <v>14</v>
      </c>
      <c r="B226" s="103" t="s">
        <v>257</v>
      </c>
      <c r="C226" s="4"/>
      <c r="D226" s="461">
        <v>53</v>
      </c>
      <c r="E226" s="493">
        <v>80</v>
      </c>
      <c r="F226" s="493">
        <f t="shared" si="38"/>
        <v>102</v>
      </c>
      <c r="G226" s="489">
        <v>52</v>
      </c>
      <c r="H226" s="479">
        <v>29</v>
      </c>
      <c r="I226" s="477">
        <v>18</v>
      </c>
      <c r="J226" s="496">
        <v>3</v>
      </c>
      <c r="K226" s="489">
        <f t="shared" si="47"/>
        <v>2652</v>
      </c>
      <c r="L226" s="473">
        <v>2</v>
      </c>
      <c r="M226" s="134">
        <v>2</v>
      </c>
      <c r="N226" s="28">
        <v>741</v>
      </c>
      <c r="O226" s="396">
        <v>666</v>
      </c>
      <c r="P226" s="123">
        <v>145</v>
      </c>
      <c r="Q226" s="134">
        <v>64</v>
      </c>
      <c r="R226" s="28">
        <v>4</v>
      </c>
      <c r="S226" s="28">
        <v>6</v>
      </c>
      <c r="T226" s="28">
        <v>326</v>
      </c>
      <c r="U226" s="28">
        <v>400</v>
      </c>
      <c r="V226" s="28">
        <v>206</v>
      </c>
      <c r="W226" s="45">
        <v>90</v>
      </c>
      <c r="X226" s="529">
        <f t="shared" si="42"/>
        <v>2436</v>
      </c>
      <c r="Y226" s="134">
        <v>827</v>
      </c>
      <c r="Z226" s="28">
        <v>683</v>
      </c>
      <c r="AA226" s="45">
        <v>475</v>
      </c>
      <c r="AB226" s="424">
        <v>451</v>
      </c>
      <c r="AC226" s="134"/>
    </row>
    <row r="227" spans="1:29">
      <c r="A227" s="182">
        <v>15</v>
      </c>
      <c r="B227" s="103" t="s">
        <v>258</v>
      </c>
      <c r="C227" s="4"/>
      <c r="D227" s="461">
        <v>16</v>
      </c>
      <c r="E227" s="493">
        <v>28</v>
      </c>
      <c r="F227" s="493">
        <f t="shared" si="38"/>
        <v>31</v>
      </c>
      <c r="G227" s="489">
        <v>10</v>
      </c>
      <c r="H227" s="479">
        <v>7</v>
      </c>
      <c r="I227" s="477">
        <v>8</v>
      </c>
      <c r="J227" s="496">
        <v>6</v>
      </c>
      <c r="K227" s="489">
        <f t="shared" si="47"/>
        <v>723</v>
      </c>
      <c r="L227" s="473"/>
      <c r="M227" s="134"/>
      <c r="N227" s="28">
        <v>117</v>
      </c>
      <c r="O227" s="396">
        <v>86</v>
      </c>
      <c r="P227" s="123">
        <v>15</v>
      </c>
      <c r="Q227" s="134">
        <v>11</v>
      </c>
      <c r="R227" s="28"/>
      <c r="S227" s="28"/>
      <c r="T227" s="28">
        <v>194</v>
      </c>
      <c r="U227" s="28">
        <v>194</v>
      </c>
      <c r="V227" s="28">
        <v>38</v>
      </c>
      <c r="W227" s="45">
        <v>68</v>
      </c>
      <c r="X227" s="529">
        <f t="shared" si="42"/>
        <v>629</v>
      </c>
      <c r="Y227" s="134">
        <v>127</v>
      </c>
      <c r="Z227" s="28">
        <v>94</v>
      </c>
      <c r="AA227" s="45">
        <v>179</v>
      </c>
      <c r="AB227" s="424">
        <v>229</v>
      </c>
      <c r="AC227" s="134"/>
    </row>
    <row r="228" spans="1:29">
      <c r="A228" s="182">
        <v>16</v>
      </c>
      <c r="B228" s="103" t="s">
        <v>259</v>
      </c>
      <c r="C228" s="4"/>
      <c r="D228" s="461">
        <v>100</v>
      </c>
      <c r="E228" s="493">
        <v>189</v>
      </c>
      <c r="F228" s="493">
        <f t="shared" si="38"/>
        <v>246</v>
      </c>
      <c r="G228" s="489">
        <v>120</v>
      </c>
      <c r="H228" s="479">
        <v>102</v>
      </c>
      <c r="I228" s="477">
        <v>17</v>
      </c>
      <c r="J228" s="496">
        <v>7</v>
      </c>
      <c r="K228" s="489">
        <f t="shared" si="47"/>
        <v>5859</v>
      </c>
      <c r="L228" s="473">
        <v>2</v>
      </c>
      <c r="M228" s="134">
        <v>11</v>
      </c>
      <c r="N228" s="28">
        <v>2054</v>
      </c>
      <c r="O228" s="396">
        <v>2038</v>
      </c>
      <c r="P228" s="123">
        <v>402</v>
      </c>
      <c r="Q228" s="134">
        <v>293</v>
      </c>
      <c r="R228" s="28">
        <v>13</v>
      </c>
      <c r="S228" s="28">
        <v>15</v>
      </c>
      <c r="T228" s="28">
        <v>298</v>
      </c>
      <c r="U228" s="28">
        <v>474</v>
      </c>
      <c r="V228" s="28">
        <v>105</v>
      </c>
      <c r="W228" s="45">
        <v>154</v>
      </c>
      <c r="X228" s="529">
        <f t="shared" si="42"/>
        <v>5199</v>
      </c>
      <c r="Y228" s="134">
        <v>2223</v>
      </c>
      <c r="Z228" s="28">
        <v>2171</v>
      </c>
      <c r="AA228" s="45">
        <v>314</v>
      </c>
      <c r="AB228" s="424">
        <v>491</v>
      </c>
      <c r="AC228" s="134"/>
    </row>
    <row r="229" spans="1:29">
      <c r="A229" s="182">
        <v>17</v>
      </c>
      <c r="B229" s="103" t="s">
        <v>260</v>
      </c>
      <c r="C229" s="4"/>
      <c r="D229" s="461">
        <v>62</v>
      </c>
      <c r="E229" s="493">
        <v>208</v>
      </c>
      <c r="F229" s="493">
        <f t="shared" si="38"/>
        <v>207</v>
      </c>
      <c r="G229" s="489">
        <v>88</v>
      </c>
      <c r="H229" s="479">
        <v>119</v>
      </c>
      <c r="I229" s="477"/>
      <c r="J229" s="496"/>
      <c r="K229" s="489">
        <f t="shared" si="47"/>
        <v>5938</v>
      </c>
      <c r="L229" s="473"/>
      <c r="M229" s="134">
        <v>1</v>
      </c>
      <c r="N229" s="28">
        <v>2910</v>
      </c>
      <c r="O229" s="396">
        <v>2641</v>
      </c>
      <c r="P229" s="123">
        <v>227</v>
      </c>
      <c r="Q229" s="134">
        <v>159</v>
      </c>
      <c r="R229" s="28"/>
      <c r="S229" s="28"/>
      <c r="T229" s="28"/>
      <c r="U229" s="28"/>
      <c r="W229" s="45"/>
      <c r="X229" s="529">
        <f t="shared" si="42"/>
        <v>5374</v>
      </c>
      <c r="Y229" s="134">
        <v>2826</v>
      </c>
      <c r="Z229" s="13">
        <v>2548</v>
      </c>
      <c r="AA229" s="28"/>
      <c r="AB229" s="636"/>
      <c r="AC229" s="134"/>
    </row>
    <row r="230" spans="1:29">
      <c r="A230" s="182">
        <v>18</v>
      </c>
      <c r="B230" s="103" t="s">
        <v>261</v>
      </c>
      <c r="C230" s="4"/>
      <c r="D230" s="461">
        <v>111</v>
      </c>
      <c r="E230" s="493">
        <v>158</v>
      </c>
      <c r="F230" s="493">
        <f t="shared" si="38"/>
        <v>180</v>
      </c>
      <c r="G230" s="489">
        <v>80</v>
      </c>
      <c r="H230" s="479">
        <v>31</v>
      </c>
      <c r="I230" s="477">
        <v>64</v>
      </c>
      <c r="J230" s="496">
        <v>5</v>
      </c>
      <c r="K230" s="489">
        <f t="shared" si="47"/>
        <v>4650</v>
      </c>
      <c r="L230" s="473">
        <v>1</v>
      </c>
      <c r="M230" s="134"/>
      <c r="N230" s="28">
        <v>1062</v>
      </c>
      <c r="O230" s="396">
        <v>946</v>
      </c>
      <c r="P230" s="123">
        <v>202</v>
      </c>
      <c r="Q230" s="134">
        <v>78</v>
      </c>
      <c r="R230" s="28">
        <v>1</v>
      </c>
      <c r="S230" s="28">
        <v>7</v>
      </c>
      <c r="T230" s="28">
        <v>404</v>
      </c>
      <c r="U230" s="28">
        <v>1008</v>
      </c>
      <c r="V230" s="28">
        <v>275</v>
      </c>
      <c r="W230" s="45">
        <v>666</v>
      </c>
      <c r="X230" s="529">
        <f t="shared" si="42"/>
        <v>4134</v>
      </c>
      <c r="Y230" s="134">
        <v>1157</v>
      </c>
      <c r="Z230" s="28">
        <v>964</v>
      </c>
      <c r="AA230" s="45">
        <v>568</v>
      </c>
      <c r="AB230" s="424">
        <v>1445</v>
      </c>
      <c r="AC230" s="134"/>
    </row>
    <row r="231" spans="1:29">
      <c r="A231" s="182">
        <v>19</v>
      </c>
      <c r="B231" s="103" t="s">
        <v>262</v>
      </c>
      <c r="C231" s="4"/>
      <c r="D231" s="461">
        <v>25</v>
      </c>
      <c r="E231" s="493">
        <v>54</v>
      </c>
      <c r="F231" s="493">
        <f t="shared" si="38"/>
        <v>49</v>
      </c>
      <c r="G231" s="489">
        <v>36</v>
      </c>
      <c r="H231" s="479">
        <v>11</v>
      </c>
      <c r="I231" s="477">
        <v>2</v>
      </c>
      <c r="J231" s="496"/>
      <c r="K231" s="489">
        <f t="shared" si="47"/>
        <v>1115</v>
      </c>
      <c r="L231" s="473">
        <v>1</v>
      </c>
      <c r="M231" s="134">
        <v>1</v>
      </c>
      <c r="N231" s="28">
        <v>458</v>
      </c>
      <c r="O231" s="396">
        <v>447</v>
      </c>
      <c r="P231" s="123">
        <v>93</v>
      </c>
      <c r="Q231" s="134">
        <v>57</v>
      </c>
      <c r="R231" s="28"/>
      <c r="S231" s="28"/>
      <c r="T231" s="28">
        <v>24</v>
      </c>
      <c r="U231" s="28">
        <v>27</v>
      </c>
      <c r="V231" s="28">
        <v>3</v>
      </c>
      <c r="W231" s="45">
        <v>4</v>
      </c>
      <c r="X231" s="529">
        <f t="shared" si="42"/>
        <v>1003</v>
      </c>
      <c r="Y231" s="134">
        <v>504</v>
      </c>
      <c r="Z231" s="28">
        <v>447</v>
      </c>
      <c r="AA231" s="45">
        <v>24</v>
      </c>
      <c r="AB231" s="424">
        <v>28</v>
      </c>
      <c r="AC231" s="134"/>
    </row>
    <row r="232" spans="1:29">
      <c r="A232" s="182">
        <v>20</v>
      </c>
      <c r="B232" s="103" t="s">
        <v>263</v>
      </c>
      <c r="C232" s="4"/>
      <c r="D232" s="461">
        <v>26</v>
      </c>
      <c r="E232" s="493">
        <v>49</v>
      </c>
      <c r="F232" s="493">
        <f t="shared" si="38"/>
        <v>50</v>
      </c>
      <c r="G232" s="489">
        <v>32</v>
      </c>
      <c r="H232" s="479">
        <v>18</v>
      </c>
      <c r="I232" s="477"/>
      <c r="J232" s="496"/>
      <c r="K232" s="489">
        <f t="shared" si="47"/>
        <v>1112</v>
      </c>
      <c r="L232" s="473"/>
      <c r="M232" s="134"/>
      <c r="N232" s="28">
        <v>493</v>
      </c>
      <c r="O232" s="396">
        <v>473</v>
      </c>
      <c r="P232" s="123">
        <v>104</v>
      </c>
      <c r="Q232" s="134">
        <v>42</v>
      </c>
      <c r="R232" s="28"/>
      <c r="S232" s="28"/>
      <c r="T232" s="28"/>
      <c r="U232" s="28"/>
      <c r="V232" s="28"/>
      <c r="W232" s="45"/>
      <c r="X232" s="529">
        <f t="shared" si="42"/>
        <v>1027</v>
      </c>
      <c r="Y232" s="134">
        <v>553</v>
      </c>
      <c r="Z232" s="28">
        <v>474</v>
      </c>
      <c r="AA232" s="45"/>
      <c r="AB232" s="424"/>
      <c r="AC232" s="134"/>
    </row>
    <row r="233" spans="1:29">
      <c r="A233" s="182">
        <v>21</v>
      </c>
      <c r="B233" s="103" t="s">
        <v>264</v>
      </c>
      <c r="C233" s="4"/>
      <c r="D233" s="461">
        <v>58</v>
      </c>
      <c r="E233" s="493">
        <v>79</v>
      </c>
      <c r="F233" s="493">
        <f t="shared" si="38"/>
        <v>79</v>
      </c>
      <c r="G233" s="489">
        <v>25</v>
      </c>
      <c r="H233" s="479">
        <v>12</v>
      </c>
      <c r="I233" s="477">
        <v>36</v>
      </c>
      <c r="J233" s="496">
        <v>6</v>
      </c>
      <c r="K233" s="489">
        <f t="shared" si="47"/>
        <v>2091</v>
      </c>
      <c r="L233" s="473"/>
      <c r="M233" s="134"/>
      <c r="N233" s="28">
        <v>341</v>
      </c>
      <c r="O233" s="396">
        <v>311</v>
      </c>
      <c r="P233" s="123">
        <v>81</v>
      </c>
      <c r="Q233" s="134">
        <v>43</v>
      </c>
      <c r="R233" s="28">
        <v>14</v>
      </c>
      <c r="S233" s="28">
        <v>16</v>
      </c>
      <c r="T233" s="28">
        <v>472</v>
      </c>
      <c r="U233" s="28">
        <v>622</v>
      </c>
      <c r="V233" s="28">
        <v>105</v>
      </c>
      <c r="W233" s="45">
        <v>86</v>
      </c>
      <c r="X233" s="529">
        <f t="shared" si="42"/>
        <v>1876</v>
      </c>
      <c r="Y233" s="134">
        <v>384</v>
      </c>
      <c r="Z233" s="28">
        <v>321</v>
      </c>
      <c r="AA233" s="45">
        <v>513</v>
      </c>
      <c r="AB233" s="424">
        <v>658</v>
      </c>
      <c r="AC233" s="134"/>
    </row>
    <row r="234" spans="1:29">
      <c r="A234" s="182">
        <v>22</v>
      </c>
      <c r="B234" s="103" t="s">
        <v>265</v>
      </c>
      <c r="C234" s="4"/>
      <c r="D234" s="461">
        <v>23</v>
      </c>
      <c r="E234" s="493">
        <v>36</v>
      </c>
      <c r="F234" s="493">
        <f t="shared" si="38"/>
        <v>33</v>
      </c>
      <c r="G234" s="489">
        <v>27</v>
      </c>
      <c r="H234" s="479">
        <v>6</v>
      </c>
      <c r="I234" s="477"/>
      <c r="J234" s="496"/>
      <c r="K234" s="489">
        <f t="shared" si="47"/>
        <v>872</v>
      </c>
      <c r="L234" s="473">
        <v>2</v>
      </c>
      <c r="M234" s="134"/>
      <c r="N234" s="28">
        <v>366</v>
      </c>
      <c r="O234" s="396">
        <v>370</v>
      </c>
      <c r="P234" s="123">
        <v>92</v>
      </c>
      <c r="Q234" s="134">
        <v>42</v>
      </c>
      <c r="R234" s="28"/>
      <c r="S234" s="28"/>
      <c r="T234" s="28"/>
      <c r="U234" s="28"/>
      <c r="V234" s="28"/>
      <c r="W234" s="45"/>
      <c r="X234" s="529">
        <f t="shared" si="42"/>
        <v>787</v>
      </c>
      <c r="Y234" s="134">
        <v>410</v>
      </c>
      <c r="Z234" s="28">
        <v>377</v>
      </c>
      <c r="AA234" s="45"/>
      <c r="AB234" s="424"/>
      <c r="AC234" s="134"/>
    </row>
    <row r="235" spans="1:29">
      <c r="A235" s="182">
        <v>23</v>
      </c>
      <c r="B235" s="103" t="s">
        <v>266</v>
      </c>
      <c r="C235" s="4"/>
      <c r="D235" s="461">
        <v>113</v>
      </c>
      <c r="E235" s="493">
        <v>125</v>
      </c>
      <c r="F235" s="493">
        <f t="shared" si="38"/>
        <v>187</v>
      </c>
      <c r="G235" s="489">
        <v>34</v>
      </c>
      <c r="H235" s="479">
        <v>30</v>
      </c>
      <c r="I235" s="477">
        <v>85</v>
      </c>
      <c r="J235" s="496">
        <v>38</v>
      </c>
      <c r="K235" s="489">
        <f t="shared" si="47"/>
        <v>4689</v>
      </c>
      <c r="L235" s="473">
        <v>2</v>
      </c>
      <c r="M235" s="134">
        <v>8</v>
      </c>
      <c r="N235" s="28">
        <v>520</v>
      </c>
      <c r="O235" s="396">
        <v>490</v>
      </c>
      <c r="P235" s="123">
        <v>121</v>
      </c>
      <c r="Q235" s="134">
        <v>55</v>
      </c>
      <c r="R235" s="28">
        <v>51</v>
      </c>
      <c r="S235" s="28">
        <v>76</v>
      </c>
      <c r="T235" s="28">
        <v>1398</v>
      </c>
      <c r="U235" s="28">
        <v>1291</v>
      </c>
      <c r="V235" s="28">
        <v>350</v>
      </c>
      <c r="W235" s="45">
        <v>327</v>
      </c>
      <c r="X235" s="529">
        <f t="shared" si="42"/>
        <v>4271</v>
      </c>
      <c r="Y235" s="134">
        <v>601</v>
      </c>
      <c r="Z235" s="28">
        <v>519</v>
      </c>
      <c r="AA235" s="45">
        <v>1566</v>
      </c>
      <c r="AB235" s="424">
        <v>1585</v>
      </c>
      <c r="AC235" s="134"/>
    </row>
    <row r="236" spans="1:29">
      <c r="A236" s="595"/>
      <c r="B236" s="596"/>
      <c r="C236" s="203"/>
      <c r="D236" s="627"/>
      <c r="E236" s="508"/>
      <c r="F236" s="508"/>
      <c r="G236" s="513"/>
      <c r="H236" s="510"/>
      <c r="I236" s="511"/>
      <c r="J236" s="512"/>
      <c r="K236" s="513"/>
      <c r="L236" s="509"/>
      <c r="M236" s="256"/>
      <c r="N236" s="206"/>
      <c r="O236" s="581"/>
      <c r="P236" s="210"/>
      <c r="Q236" s="256"/>
      <c r="R236" s="206"/>
      <c r="S236" s="206"/>
      <c r="T236" s="206"/>
      <c r="U236" s="206"/>
      <c r="V236" s="206"/>
      <c r="W236" s="317"/>
      <c r="X236" s="609"/>
      <c r="Y236" s="256"/>
      <c r="Z236" s="206"/>
      <c r="AA236" s="317"/>
      <c r="AB236" s="516"/>
      <c r="AC236" s="134"/>
    </row>
    <row r="237" spans="1:29">
      <c r="A237" s="182" t="s">
        <v>296</v>
      </c>
      <c r="B237" s="103"/>
      <c r="C237" s="4"/>
      <c r="D237" s="461">
        <f>SUM(D213:D236)</f>
        <v>1032</v>
      </c>
      <c r="E237" s="461">
        <f t="shared" ref="E237:W237" si="48">SUM(E213:E236)</f>
        <v>2252</v>
      </c>
      <c r="F237" s="461">
        <f t="shared" si="48"/>
        <v>2552</v>
      </c>
      <c r="G237" s="461">
        <f t="shared" si="48"/>
        <v>1044</v>
      </c>
      <c r="H237" s="462">
        <f t="shared" si="48"/>
        <v>1119</v>
      </c>
      <c r="I237" s="462">
        <f t="shared" si="48"/>
        <v>304</v>
      </c>
      <c r="J237" s="463">
        <f t="shared" si="48"/>
        <v>85</v>
      </c>
      <c r="K237" s="461">
        <f t="shared" si="48"/>
        <v>68089</v>
      </c>
      <c r="L237" s="461">
        <f t="shared" si="48"/>
        <v>88</v>
      </c>
      <c r="M237" s="462">
        <f t="shared" si="48"/>
        <v>111</v>
      </c>
      <c r="N237" s="462">
        <f t="shared" si="48"/>
        <v>25201</v>
      </c>
      <c r="O237" s="462">
        <f t="shared" si="48"/>
        <v>23706</v>
      </c>
      <c r="P237" s="462">
        <f t="shared" si="48"/>
        <v>2872</v>
      </c>
      <c r="Q237" s="463">
        <f t="shared" si="48"/>
        <v>2027</v>
      </c>
      <c r="R237" s="503">
        <f t="shared" si="48"/>
        <v>104</v>
      </c>
      <c r="S237" s="462">
        <f t="shared" si="48"/>
        <v>154</v>
      </c>
      <c r="T237" s="462">
        <f t="shared" si="48"/>
        <v>4762</v>
      </c>
      <c r="U237" s="462">
        <f t="shared" si="48"/>
        <v>5864</v>
      </c>
      <c r="V237" s="462">
        <f t="shared" si="48"/>
        <v>1546</v>
      </c>
      <c r="W237" s="503">
        <f t="shared" si="48"/>
        <v>1654</v>
      </c>
      <c r="X237" s="529">
        <f t="shared" si="42"/>
        <v>61643</v>
      </c>
      <c r="Y237" s="463">
        <f>SUM(Y213:Y235)</f>
        <v>25856</v>
      </c>
      <c r="Z237" s="462">
        <f t="shared" ref="Z237:AB237" si="49">SUM(Z213:Z235)</f>
        <v>23778</v>
      </c>
      <c r="AA237" s="462">
        <f t="shared" si="49"/>
        <v>5359</v>
      </c>
      <c r="AB237" s="464">
        <f t="shared" si="49"/>
        <v>6650</v>
      </c>
      <c r="AC237" s="463"/>
    </row>
    <row r="238" spans="1:29" ht="15" thickBot="1">
      <c r="A238" s="597"/>
      <c r="B238" s="598"/>
      <c r="C238" s="104"/>
      <c r="D238" s="628"/>
      <c r="E238" s="501"/>
      <c r="F238" s="501"/>
      <c r="G238" s="524"/>
      <c r="H238" s="521"/>
      <c r="I238" s="522"/>
      <c r="J238" s="523"/>
      <c r="K238" s="524"/>
      <c r="L238" s="520"/>
      <c r="M238" s="253"/>
      <c r="N238" s="208"/>
      <c r="O238" s="587"/>
      <c r="P238" s="209"/>
      <c r="Q238" s="253"/>
      <c r="R238" s="208"/>
      <c r="S238" s="208"/>
      <c r="T238" s="208"/>
      <c r="U238" s="208"/>
      <c r="V238" s="208"/>
      <c r="W238" s="321"/>
      <c r="X238" s="611"/>
      <c r="Y238" s="253"/>
      <c r="Z238" s="208"/>
      <c r="AA238" s="321"/>
      <c r="AB238" s="527"/>
      <c r="AC238" s="134"/>
    </row>
    <row r="239" spans="1:29" ht="17" thickTop="1" thickBot="1">
      <c r="A239" s="179" t="s">
        <v>40</v>
      </c>
      <c r="B239" s="173"/>
      <c r="C239" s="4"/>
      <c r="D239" s="461"/>
      <c r="E239" s="493"/>
      <c r="F239" s="493"/>
      <c r="G239" s="489"/>
      <c r="H239" s="479"/>
      <c r="I239" s="477"/>
      <c r="J239" s="496"/>
      <c r="K239" s="489"/>
      <c r="L239" s="473"/>
      <c r="M239" s="134"/>
      <c r="N239" s="28"/>
      <c r="O239" s="396"/>
      <c r="P239" s="123"/>
      <c r="Q239" s="134"/>
      <c r="R239" s="28"/>
      <c r="S239" s="28"/>
      <c r="T239" s="28"/>
      <c r="U239" s="28"/>
      <c r="V239" s="28"/>
      <c r="W239" s="45"/>
      <c r="X239" s="529"/>
      <c r="Y239" s="134"/>
      <c r="Z239" s="28"/>
      <c r="AA239" s="45"/>
      <c r="AB239" s="424"/>
      <c r="AC239" s="134"/>
    </row>
    <row r="240" spans="1:29">
      <c r="A240" s="183">
        <v>1</v>
      </c>
      <c r="B240" s="103" t="s">
        <v>267</v>
      </c>
      <c r="C240" s="4"/>
      <c r="D240" s="461">
        <v>48</v>
      </c>
      <c r="E240" s="493">
        <v>73</v>
      </c>
      <c r="F240" s="493">
        <f t="shared" ref="F240:F263" si="50">SUM(G240:J240)</f>
        <v>78</v>
      </c>
      <c r="G240" s="489">
        <v>24</v>
      </c>
      <c r="H240" s="479">
        <v>46</v>
      </c>
      <c r="I240" s="477">
        <v>8</v>
      </c>
      <c r="J240" s="496"/>
      <c r="K240" s="489">
        <f>SUM(L240:W240)</f>
        <v>1372</v>
      </c>
      <c r="L240" s="473">
        <v>6</v>
      </c>
      <c r="M240" s="134">
        <v>7</v>
      </c>
      <c r="N240" s="28">
        <v>482</v>
      </c>
      <c r="O240" s="396">
        <v>477</v>
      </c>
      <c r="P240" s="123">
        <v>164</v>
      </c>
      <c r="Q240" s="134">
        <v>103</v>
      </c>
      <c r="R240" s="28"/>
      <c r="S240" s="28"/>
      <c r="T240" s="28">
        <v>45</v>
      </c>
      <c r="U240" s="28">
        <v>59</v>
      </c>
      <c r="V240" s="28">
        <v>16</v>
      </c>
      <c r="W240" s="45">
        <v>13</v>
      </c>
      <c r="X240" s="529">
        <f t="shared" si="42"/>
        <v>1313</v>
      </c>
      <c r="Y240" s="134">
        <v>628</v>
      </c>
      <c r="Z240" s="28">
        <v>557</v>
      </c>
      <c r="AA240" s="45">
        <v>58</v>
      </c>
      <c r="AB240" s="424">
        <v>70</v>
      </c>
      <c r="AC240" s="134"/>
    </row>
    <row r="241" spans="1:29">
      <c r="A241" s="182">
        <v>2</v>
      </c>
      <c r="B241" s="103" t="s">
        <v>268</v>
      </c>
      <c r="C241" s="4"/>
      <c r="D241" s="461">
        <v>10</v>
      </c>
      <c r="E241" s="493">
        <v>21</v>
      </c>
      <c r="F241" s="493">
        <f t="shared" si="50"/>
        <v>20</v>
      </c>
      <c r="G241" s="489">
        <v>11</v>
      </c>
      <c r="H241" s="479">
        <v>9</v>
      </c>
      <c r="I241" s="477"/>
      <c r="J241" s="496"/>
      <c r="K241" s="489">
        <f t="shared" ref="K241:K263" si="51">SUM(L241:W241)</f>
        <v>477</v>
      </c>
      <c r="L241" s="473"/>
      <c r="M241" s="134">
        <v>4</v>
      </c>
      <c r="N241" s="28">
        <v>186</v>
      </c>
      <c r="O241" s="396">
        <v>203</v>
      </c>
      <c r="P241" s="123">
        <v>44</v>
      </c>
      <c r="Q241" s="134">
        <v>40</v>
      </c>
      <c r="R241" s="28"/>
      <c r="S241" s="28"/>
      <c r="T241" s="28"/>
      <c r="U241" s="28"/>
      <c r="V241" s="28"/>
      <c r="W241" s="45"/>
      <c r="X241" s="529">
        <f t="shared" si="42"/>
        <v>447</v>
      </c>
      <c r="Y241" s="134">
        <v>220</v>
      </c>
      <c r="Z241" s="28">
        <v>227</v>
      </c>
      <c r="AA241" s="45"/>
      <c r="AB241" s="424"/>
      <c r="AC241" s="134"/>
    </row>
    <row r="242" spans="1:29">
      <c r="A242" s="182">
        <v>3</v>
      </c>
      <c r="B242" s="103" t="s">
        <v>269</v>
      </c>
      <c r="C242" s="4"/>
      <c r="D242" s="461">
        <v>82</v>
      </c>
      <c r="E242" s="493">
        <v>214</v>
      </c>
      <c r="F242" s="493">
        <f t="shared" si="50"/>
        <v>254</v>
      </c>
      <c r="G242" s="489">
        <v>83</v>
      </c>
      <c r="H242" s="479">
        <v>139</v>
      </c>
      <c r="I242" s="477">
        <v>17</v>
      </c>
      <c r="J242" s="496">
        <v>15</v>
      </c>
      <c r="K242" s="489">
        <f t="shared" si="51"/>
        <v>5131</v>
      </c>
      <c r="L242" s="473">
        <v>35</v>
      </c>
      <c r="M242" s="134">
        <v>37</v>
      </c>
      <c r="N242" s="28">
        <v>1422</v>
      </c>
      <c r="O242" s="396">
        <v>1390</v>
      </c>
      <c r="P242" s="123">
        <v>377</v>
      </c>
      <c r="Q242" s="134">
        <v>507</v>
      </c>
      <c r="R242" s="28">
        <v>40</v>
      </c>
      <c r="S242" s="28">
        <v>49</v>
      </c>
      <c r="T242" s="28">
        <v>436</v>
      </c>
      <c r="U242" s="28">
        <v>607</v>
      </c>
      <c r="V242" s="28">
        <v>117</v>
      </c>
      <c r="W242" s="45">
        <v>114</v>
      </c>
      <c r="X242" s="529">
        <f t="shared" si="42"/>
        <v>4634</v>
      </c>
      <c r="Y242" s="134">
        <v>1675</v>
      </c>
      <c r="Z242" s="28">
        <v>1781</v>
      </c>
      <c r="AA242" s="45">
        <v>516</v>
      </c>
      <c r="AB242" s="424">
        <v>662</v>
      </c>
      <c r="AC242" s="134"/>
    </row>
    <row r="243" spans="1:29">
      <c r="A243" s="182">
        <v>4</v>
      </c>
      <c r="B243" s="103" t="s">
        <v>270</v>
      </c>
      <c r="C243" s="8"/>
      <c r="D243" s="461">
        <v>31</v>
      </c>
      <c r="E243" s="493">
        <v>39</v>
      </c>
      <c r="F243" s="493">
        <f t="shared" si="50"/>
        <v>42</v>
      </c>
      <c r="G243" s="489">
        <v>24</v>
      </c>
      <c r="H243" s="479">
        <v>18</v>
      </c>
      <c r="I243" s="477"/>
      <c r="J243" s="496"/>
      <c r="K243" s="489">
        <f t="shared" si="51"/>
        <v>893</v>
      </c>
      <c r="L243" s="473">
        <v>3</v>
      </c>
      <c r="M243" s="134">
        <v>14</v>
      </c>
      <c r="N243" s="28">
        <v>326</v>
      </c>
      <c r="O243" s="396">
        <v>337</v>
      </c>
      <c r="P243" s="123">
        <v>111</v>
      </c>
      <c r="Q243" s="134">
        <v>102</v>
      </c>
      <c r="R243" s="28"/>
      <c r="S243" s="28"/>
      <c r="T243" s="28"/>
      <c r="U243" s="28"/>
      <c r="V243" s="28"/>
      <c r="W243" s="45"/>
      <c r="X243" s="529">
        <f t="shared" si="42"/>
        <v>850</v>
      </c>
      <c r="Y243" s="134">
        <v>418</v>
      </c>
      <c r="Z243" s="28">
        <v>432</v>
      </c>
      <c r="AA243" s="45"/>
      <c r="AB243" s="424"/>
      <c r="AC243" s="134"/>
    </row>
    <row r="244" spans="1:29">
      <c r="A244" s="182">
        <v>5</v>
      </c>
      <c r="B244" s="103" t="s">
        <v>271</v>
      </c>
      <c r="C244" s="4"/>
      <c r="D244" s="461">
        <v>20</v>
      </c>
      <c r="E244" s="493">
        <v>32</v>
      </c>
      <c r="F244" s="493">
        <f t="shared" si="50"/>
        <v>34</v>
      </c>
      <c r="G244" s="489">
        <v>10</v>
      </c>
      <c r="H244" s="479">
        <v>17</v>
      </c>
      <c r="I244" s="477">
        <v>5</v>
      </c>
      <c r="J244" s="496">
        <v>2</v>
      </c>
      <c r="K244" s="489">
        <f t="shared" si="51"/>
        <v>854</v>
      </c>
      <c r="L244" s="473">
        <v>2</v>
      </c>
      <c r="M244" s="134">
        <v>3</v>
      </c>
      <c r="N244" s="28">
        <v>201</v>
      </c>
      <c r="O244" s="396">
        <v>190</v>
      </c>
      <c r="P244" s="123">
        <v>50</v>
      </c>
      <c r="Q244" s="134">
        <v>49</v>
      </c>
      <c r="R244" s="28"/>
      <c r="S244" s="28"/>
      <c r="T244" s="28">
        <v>158</v>
      </c>
      <c r="U244" s="28">
        <v>153</v>
      </c>
      <c r="V244" s="28">
        <v>23</v>
      </c>
      <c r="W244" s="45">
        <v>25</v>
      </c>
      <c r="X244" s="529">
        <f t="shared" si="42"/>
        <v>640</v>
      </c>
      <c r="Y244" s="134">
        <v>232</v>
      </c>
      <c r="Z244" s="28">
        <v>223</v>
      </c>
      <c r="AA244" s="45">
        <v>86</v>
      </c>
      <c r="AB244" s="424">
        <v>99</v>
      </c>
      <c r="AC244" s="134"/>
    </row>
    <row r="245" spans="1:29">
      <c r="A245" s="182">
        <v>6</v>
      </c>
      <c r="B245" s="103" t="s">
        <v>272</v>
      </c>
      <c r="C245" s="4"/>
      <c r="D245" s="461">
        <v>36</v>
      </c>
      <c r="E245" s="493">
        <v>66</v>
      </c>
      <c r="F245" s="493">
        <f t="shared" si="50"/>
        <v>68</v>
      </c>
      <c r="G245" s="489">
        <v>22</v>
      </c>
      <c r="H245" s="479">
        <v>34</v>
      </c>
      <c r="I245" s="477">
        <v>8</v>
      </c>
      <c r="J245" s="496">
        <v>4</v>
      </c>
      <c r="K245" s="489">
        <f t="shared" si="51"/>
        <v>1583</v>
      </c>
      <c r="L245" s="473">
        <v>11</v>
      </c>
      <c r="M245" s="134">
        <v>10</v>
      </c>
      <c r="N245" s="28">
        <v>476</v>
      </c>
      <c r="O245" s="396">
        <v>412</v>
      </c>
      <c r="P245" s="123">
        <v>104</v>
      </c>
      <c r="Q245" s="134">
        <v>71</v>
      </c>
      <c r="R245" s="28">
        <v>9</v>
      </c>
      <c r="S245" s="28">
        <v>13</v>
      </c>
      <c r="T245" s="28">
        <v>189</v>
      </c>
      <c r="U245" s="28">
        <v>240</v>
      </c>
      <c r="V245" s="28">
        <v>18</v>
      </c>
      <c r="W245" s="45">
        <v>30</v>
      </c>
      <c r="X245" s="529">
        <f t="shared" si="42"/>
        <v>1377</v>
      </c>
      <c r="Y245" s="134">
        <v>526</v>
      </c>
      <c r="Z245" s="28">
        <v>466</v>
      </c>
      <c r="AA245" s="45">
        <v>167</v>
      </c>
      <c r="AB245" s="424">
        <v>218</v>
      </c>
      <c r="AC245" s="134"/>
    </row>
    <row r="246" spans="1:29">
      <c r="A246" s="182">
        <v>7</v>
      </c>
      <c r="B246" s="103" t="s">
        <v>273</v>
      </c>
      <c r="C246" s="4"/>
      <c r="D246" s="461">
        <v>23</v>
      </c>
      <c r="E246" s="493">
        <v>39</v>
      </c>
      <c r="F246" s="493">
        <f t="shared" si="50"/>
        <v>40</v>
      </c>
      <c r="G246" s="489">
        <v>19</v>
      </c>
      <c r="H246" s="479">
        <v>20</v>
      </c>
      <c r="I246" s="477">
        <v>1</v>
      </c>
      <c r="J246" s="496"/>
      <c r="K246" s="489">
        <f t="shared" si="51"/>
        <v>808</v>
      </c>
      <c r="L246" s="473">
        <v>3</v>
      </c>
      <c r="M246" s="134">
        <v>3</v>
      </c>
      <c r="N246" s="28">
        <v>307</v>
      </c>
      <c r="O246" s="396">
        <v>310</v>
      </c>
      <c r="P246" s="123">
        <v>89</v>
      </c>
      <c r="Q246" s="134">
        <v>70</v>
      </c>
      <c r="R246" s="28"/>
      <c r="S246" s="28"/>
      <c r="T246" s="28">
        <v>8</v>
      </c>
      <c r="U246" s="28">
        <v>15</v>
      </c>
      <c r="V246" s="28">
        <v>2</v>
      </c>
      <c r="W246" s="45">
        <v>1</v>
      </c>
      <c r="X246" s="529">
        <f t="shared" si="42"/>
        <v>711</v>
      </c>
      <c r="Y246" s="134">
        <v>349</v>
      </c>
      <c r="Z246" s="28">
        <v>340</v>
      </c>
      <c r="AA246" s="45">
        <v>8</v>
      </c>
      <c r="AB246" s="424">
        <v>14</v>
      </c>
      <c r="AC246" s="134"/>
    </row>
    <row r="247" spans="1:29">
      <c r="A247" s="182">
        <v>8</v>
      </c>
      <c r="B247" s="103" t="s">
        <v>274</v>
      </c>
      <c r="C247" s="4"/>
      <c r="D247" s="461">
        <v>23</v>
      </c>
      <c r="E247" s="493">
        <v>32</v>
      </c>
      <c r="F247" s="493">
        <f t="shared" si="50"/>
        <v>31</v>
      </c>
      <c r="G247" s="489">
        <v>16</v>
      </c>
      <c r="H247" s="479">
        <v>10</v>
      </c>
      <c r="I247" s="477">
        <v>5</v>
      </c>
      <c r="J247" s="496"/>
      <c r="K247" s="489">
        <f t="shared" si="51"/>
        <v>716</v>
      </c>
      <c r="L247" s="473">
        <v>2</v>
      </c>
      <c r="M247" s="134">
        <v>10</v>
      </c>
      <c r="N247" s="28">
        <v>226</v>
      </c>
      <c r="O247" s="396">
        <v>240</v>
      </c>
      <c r="P247" s="123">
        <v>56</v>
      </c>
      <c r="Q247" s="134">
        <v>51</v>
      </c>
      <c r="R247" s="28"/>
      <c r="S247" s="28">
        <v>3</v>
      </c>
      <c r="T247" s="28">
        <v>31</v>
      </c>
      <c r="U247" s="28">
        <v>54</v>
      </c>
      <c r="V247" s="28">
        <v>27</v>
      </c>
      <c r="W247" s="45">
        <v>16</v>
      </c>
      <c r="X247" s="529">
        <f t="shared" si="42"/>
        <v>661</v>
      </c>
      <c r="Y247" s="134">
        <v>268</v>
      </c>
      <c r="Z247" s="28">
        <v>277</v>
      </c>
      <c r="AA247" s="45">
        <v>46</v>
      </c>
      <c r="AB247" s="424">
        <v>70</v>
      </c>
      <c r="AC247" s="134"/>
    </row>
    <row r="248" spans="1:29">
      <c r="A248" s="182">
        <v>9</v>
      </c>
      <c r="B248" s="103" t="s">
        <v>275</v>
      </c>
      <c r="C248" s="4"/>
      <c r="D248" s="461">
        <v>29</v>
      </c>
      <c r="E248" s="493">
        <v>54</v>
      </c>
      <c r="F248" s="493">
        <f t="shared" si="50"/>
        <v>51</v>
      </c>
      <c r="G248" s="489">
        <v>22</v>
      </c>
      <c r="H248" s="479">
        <v>24</v>
      </c>
      <c r="I248" s="477">
        <v>4</v>
      </c>
      <c r="J248" s="496">
        <v>1</v>
      </c>
      <c r="K248" s="489">
        <f t="shared" si="51"/>
        <v>919</v>
      </c>
      <c r="L248" s="473">
        <v>3</v>
      </c>
      <c r="M248" s="134">
        <v>5</v>
      </c>
      <c r="N248" s="28">
        <v>334</v>
      </c>
      <c r="O248" s="396">
        <v>291</v>
      </c>
      <c r="P248" s="123">
        <v>76</v>
      </c>
      <c r="Q248" s="134">
        <v>58</v>
      </c>
      <c r="R248" s="28"/>
      <c r="S248" s="28">
        <v>1</v>
      </c>
      <c r="T248" s="28">
        <v>54</v>
      </c>
      <c r="U248" s="28">
        <v>87</v>
      </c>
      <c r="V248" s="28">
        <v>3</v>
      </c>
      <c r="W248" s="45">
        <v>7</v>
      </c>
      <c r="X248" s="529">
        <f t="shared" si="42"/>
        <v>839</v>
      </c>
      <c r="Y248" s="134">
        <v>440</v>
      </c>
      <c r="Z248" s="28">
        <v>399</v>
      </c>
      <c r="AA248" s="45"/>
      <c r="AB248" s="424"/>
      <c r="AC248" s="134"/>
    </row>
    <row r="249" spans="1:29">
      <c r="A249" s="182">
        <v>10</v>
      </c>
      <c r="B249" s="103" t="s">
        <v>276</v>
      </c>
      <c r="C249" s="4"/>
      <c r="D249" s="461">
        <v>36</v>
      </c>
      <c r="E249" s="493">
        <v>48</v>
      </c>
      <c r="F249" s="493">
        <f t="shared" si="50"/>
        <v>52</v>
      </c>
      <c r="G249" s="489">
        <v>27</v>
      </c>
      <c r="H249" s="479">
        <v>18</v>
      </c>
      <c r="I249" s="477">
        <v>6</v>
      </c>
      <c r="J249" s="496">
        <v>1</v>
      </c>
      <c r="K249" s="489">
        <f t="shared" si="51"/>
        <v>1331</v>
      </c>
      <c r="L249" s="473">
        <v>7</v>
      </c>
      <c r="M249" s="134">
        <v>12</v>
      </c>
      <c r="N249" s="28">
        <v>447</v>
      </c>
      <c r="O249" s="396">
        <v>404</v>
      </c>
      <c r="P249" s="123">
        <v>102</v>
      </c>
      <c r="Q249" s="134">
        <v>71</v>
      </c>
      <c r="R249" s="28"/>
      <c r="S249" s="28"/>
      <c r="T249" s="28">
        <v>96</v>
      </c>
      <c r="U249" s="28">
        <v>98</v>
      </c>
      <c r="V249" s="28">
        <v>68</v>
      </c>
      <c r="W249" s="45">
        <v>26</v>
      </c>
      <c r="X249" s="529">
        <f t="shared" si="42"/>
        <v>1217</v>
      </c>
      <c r="Y249" s="134">
        <v>505</v>
      </c>
      <c r="Z249" s="28">
        <v>452</v>
      </c>
      <c r="AA249" s="45">
        <v>149</v>
      </c>
      <c r="AB249" s="424">
        <v>111</v>
      </c>
      <c r="AC249" s="134"/>
    </row>
    <row r="250" spans="1:29">
      <c r="A250" s="182">
        <v>11</v>
      </c>
      <c r="B250" s="103" t="s">
        <v>277</v>
      </c>
      <c r="C250" s="4"/>
      <c r="D250" s="461">
        <v>17</v>
      </c>
      <c r="E250" s="493">
        <v>23</v>
      </c>
      <c r="F250" s="493">
        <f t="shared" si="50"/>
        <v>22</v>
      </c>
      <c r="G250" s="489">
        <v>16</v>
      </c>
      <c r="H250" s="479">
        <v>6</v>
      </c>
      <c r="I250" s="477"/>
      <c r="J250" s="496"/>
      <c r="K250" s="489">
        <f t="shared" si="51"/>
        <v>495</v>
      </c>
      <c r="L250" s="473">
        <v>1</v>
      </c>
      <c r="M250" s="134">
        <v>1</v>
      </c>
      <c r="N250" s="28">
        <v>202</v>
      </c>
      <c r="O250" s="396">
        <v>190</v>
      </c>
      <c r="P250" s="123">
        <v>58</v>
      </c>
      <c r="Q250" s="134">
        <v>43</v>
      </c>
      <c r="R250" s="28"/>
      <c r="S250" s="28"/>
      <c r="T250" s="28"/>
      <c r="U250" s="28"/>
      <c r="V250" s="28"/>
      <c r="W250" s="45"/>
      <c r="X250" s="529">
        <f t="shared" si="42"/>
        <v>448</v>
      </c>
      <c r="Y250" s="134">
        <v>230</v>
      </c>
      <c r="Z250" s="28">
        <v>218</v>
      </c>
      <c r="AA250" s="45"/>
      <c r="AB250" s="424"/>
      <c r="AC250" s="134"/>
    </row>
    <row r="251" spans="1:29">
      <c r="A251" s="182">
        <v>12</v>
      </c>
      <c r="B251" s="103" t="s">
        <v>278</v>
      </c>
      <c r="C251" s="4"/>
      <c r="D251" s="461">
        <v>21</v>
      </c>
      <c r="E251" s="493">
        <v>22</v>
      </c>
      <c r="F251" s="493">
        <f t="shared" si="50"/>
        <v>22</v>
      </c>
      <c r="G251" s="489">
        <v>11</v>
      </c>
      <c r="H251" s="479">
        <v>7</v>
      </c>
      <c r="I251" s="477">
        <v>4</v>
      </c>
      <c r="J251" s="496"/>
      <c r="K251" s="489">
        <f t="shared" si="51"/>
        <v>435</v>
      </c>
      <c r="L251" s="473">
        <v>7</v>
      </c>
      <c r="M251" s="134">
        <v>8</v>
      </c>
      <c r="N251" s="28">
        <v>120</v>
      </c>
      <c r="O251" s="396">
        <v>122</v>
      </c>
      <c r="P251" s="123">
        <v>38</v>
      </c>
      <c r="Q251" s="134">
        <v>46</v>
      </c>
      <c r="R251" s="28">
        <v>8</v>
      </c>
      <c r="S251" s="28">
        <v>5</v>
      </c>
      <c r="T251" s="28">
        <v>33</v>
      </c>
      <c r="U251" s="28">
        <v>39</v>
      </c>
      <c r="V251" s="28">
        <v>6</v>
      </c>
      <c r="W251" s="45">
        <v>3</v>
      </c>
      <c r="X251" s="529">
        <f t="shared" si="42"/>
        <v>389</v>
      </c>
      <c r="Y251" s="134">
        <v>144</v>
      </c>
      <c r="Z251" s="28">
        <v>156</v>
      </c>
      <c r="AA251" s="45">
        <v>44</v>
      </c>
      <c r="AB251" s="424">
        <v>45</v>
      </c>
      <c r="AC251" s="134"/>
    </row>
    <row r="252" spans="1:29">
      <c r="A252" s="182">
        <v>13</v>
      </c>
      <c r="B252" s="103" t="s">
        <v>279</v>
      </c>
      <c r="C252" s="4"/>
      <c r="D252" s="461">
        <v>45</v>
      </c>
      <c r="E252" s="493">
        <v>78</v>
      </c>
      <c r="F252" s="493">
        <f t="shared" si="50"/>
        <v>80</v>
      </c>
      <c r="G252" s="489">
        <v>34</v>
      </c>
      <c r="H252" s="479">
        <v>34</v>
      </c>
      <c r="I252" s="477">
        <v>8</v>
      </c>
      <c r="J252" s="496">
        <v>4</v>
      </c>
      <c r="K252" s="489">
        <f t="shared" si="51"/>
        <v>1850</v>
      </c>
      <c r="L252" s="473">
        <v>11</v>
      </c>
      <c r="M252" s="134">
        <v>8</v>
      </c>
      <c r="N252" s="28">
        <v>607</v>
      </c>
      <c r="O252" s="396">
        <v>548</v>
      </c>
      <c r="P252" s="123">
        <v>127</v>
      </c>
      <c r="Q252" s="134">
        <v>97</v>
      </c>
      <c r="R252" s="28">
        <v>22</v>
      </c>
      <c r="S252" s="28">
        <v>23</v>
      </c>
      <c r="T252" s="28">
        <v>125</v>
      </c>
      <c r="U252" s="28">
        <v>176</v>
      </c>
      <c r="V252" s="28">
        <v>42</v>
      </c>
      <c r="W252" s="45">
        <v>64</v>
      </c>
      <c r="X252" s="529">
        <f t="shared" si="42"/>
        <v>1632</v>
      </c>
      <c r="Y252" s="134">
        <v>667</v>
      </c>
      <c r="Z252" s="28">
        <v>595</v>
      </c>
      <c r="AA252" s="45">
        <v>151</v>
      </c>
      <c r="AB252" s="424">
        <v>219</v>
      </c>
      <c r="AC252" s="134"/>
    </row>
    <row r="253" spans="1:29">
      <c r="A253" s="182">
        <v>14</v>
      </c>
      <c r="B253" s="103" t="s">
        <v>280</v>
      </c>
      <c r="C253" s="4"/>
      <c r="D253" s="461">
        <v>34</v>
      </c>
      <c r="E253" s="493">
        <v>61</v>
      </c>
      <c r="F253" s="493">
        <f t="shared" si="50"/>
        <v>60</v>
      </c>
      <c r="G253" s="489">
        <v>25</v>
      </c>
      <c r="H253" s="479">
        <v>32</v>
      </c>
      <c r="I253" s="477">
        <v>2</v>
      </c>
      <c r="J253" s="496">
        <v>1</v>
      </c>
      <c r="K253" s="489">
        <f t="shared" si="51"/>
        <v>1283</v>
      </c>
      <c r="L253" s="473">
        <v>4</v>
      </c>
      <c r="M253" s="134">
        <v>6</v>
      </c>
      <c r="N253" s="28">
        <v>495</v>
      </c>
      <c r="O253" s="396">
        <v>498</v>
      </c>
      <c r="P253" s="123">
        <v>141</v>
      </c>
      <c r="Q253" s="134">
        <v>86</v>
      </c>
      <c r="R253" s="28">
        <v>3</v>
      </c>
      <c r="S253" s="28">
        <v>3</v>
      </c>
      <c r="T253" s="28">
        <v>24</v>
      </c>
      <c r="U253" s="28">
        <v>23</v>
      </c>
      <c r="V253" s="28"/>
      <c r="W253" s="45"/>
      <c r="X253" s="529">
        <f t="shared" si="42"/>
        <v>1082</v>
      </c>
      <c r="Y253" s="134">
        <v>526</v>
      </c>
      <c r="Z253" s="28">
        <v>509</v>
      </c>
      <c r="AA253" s="45">
        <v>24</v>
      </c>
      <c r="AB253" s="424">
        <v>23</v>
      </c>
      <c r="AC253" s="134"/>
    </row>
    <row r="254" spans="1:29">
      <c r="A254" s="182">
        <v>15</v>
      </c>
      <c r="B254" s="103" t="s">
        <v>281</v>
      </c>
      <c r="C254" s="4"/>
      <c r="D254" s="461">
        <v>22</v>
      </c>
      <c r="E254" s="493">
        <v>32</v>
      </c>
      <c r="F254" s="493">
        <f t="shared" si="50"/>
        <v>33</v>
      </c>
      <c r="G254" s="489">
        <v>18</v>
      </c>
      <c r="H254" s="479">
        <v>12</v>
      </c>
      <c r="I254" s="477">
        <v>1</v>
      </c>
      <c r="J254" s="496">
        <v>2</v>
      </c>
      <c r="K254" s="489">
        <f t="shared" si="51"/>
        <v>721</v>
      </c>
      <c r="L254" s="473">
        <v>3</v>
      </c>
      <c r="M254" s="134">
        <v>2</v>
      </c>
      <c r="N254" s="28">
        <v>251</v>
      </c>
      <c r="O254" s="396">
        <v>262</v>
      </c>
      <c r="P254" s="123">
        <v>69</v>
      </c>
      <c r="Q254" s="134">
        <v>37</v>
      </c>
      <c r="R254" s="28">
        <v>2</v>
      </c>
      <c r="S254" s="28">
        <v>1</v>
      </c>
      <c r="T254" s="28">
        <v>42</v>
      </c>
      <c r="U254" s="28">
        <v>43</v>
      </c>
      <c r="V254" s="28">
        <v>6</v>
      </c>
      <c r="W254" s="45">
        <v>3</v>
      </c>
      <c r="X254" s="529">
        <f t="shared" si="42"/>
        <v>669</v>
      </c>
      <c r="Y254" s="134">
        <v>300</v>
      </c>
      <c r="Z254" s="28">
        <v>284</v>
      </c>
      <c r="AA254" s="45">
        <v>42</v>
      </c>
      <c r="AB254" s="424">
        <v>43</v>
      </c>
      <c r="AC254" s="134"/>
    </row>
    <row r="255" spans="1:29">
      <c r="A255" s="182">
        <v>16</v>
      </c>
      <c r="B255" s="103" t="s">
        <v>282</v>
      </c>
      <c r="C255" s="4"/>
      <c r="D255" s="461">
        <v>7</v>
      </c>
      <c r="E255" s="493">
        <v>14</v>
      </c>
      <c r="F255" s="493">
        <f t="shared" si="50"/>
        <v>14</v>
      </c>
      <c r="G255" s="489">
        <v>6</v>
      </c>
      <c r="H255" s="479">
        <v>8</v>
      </c>
      <c r="I255" s="477"/>
      <c r="J255" s="496"/>
      <c r="K255" s="489">
        <f t="shared" si="51"/>
        <v>339</v>
      </c>
      <c r="L255" s="473">
        <v>1</v>
      </c>
      <c r="M255" s="134"/>
      <c r="N255" s="28">
        <v>128</v>
      </c>
      <c r="O255" s="396">
        <v>126</v>
      </c>
      <c r="P255" s="123">
        <v>55</v>
      </c>
      <c r="Q255" s="134">
        <v>29</v>
      </c>
      <c r="R255" s="28"/>
      <c r="S255" s="28"/>
      <c r="T255" s="28"/>
      <c r="U255" s="28"/>
      <c r="V255" s="28"/>
      <c r="W255" s="45"/>
      <c r="X255" s="529">
        <f t="shared" si="42"/>
        <v>319</v>
      </c>
      <c r="Y255" s="134">
        <v>175</v>
      </c>
      <c r="Z255" s="28">
        <v>144</v>
      </c>
      <c r="AA255" s="45"/>
      <c r="AB255" s="424"/>
      <c r="AC255" s="134"/>
    </row>
    <row r="256" spans="1:29">
      <c r="A256" s="182">
        <v>17</v>
      </c>
      <c r="B256" s="103" t="s">
        <v>283</v>
      </c>
      <c r="C256" s="4"/>
      <c r="D256" s="461">
        <v>44</v>
      </c>
      <c r="E256" s="493">
        <v>60</v>
      </c>
      <c r="F256" s="493">
        <f t="shared" si="50"/>
        <v>57</v>
      </c>
      <c r="G256" s="489">
        <v>24</v>
      </c>
      <c r="H256" s="479">
        <v>32</v>
      </c>
      <c r="I256" s="477">
        <v>1</v>
      </c>
      <c r="J256" s="496"/>
      <c r="K256" s="489">
        <f t="shared" si="51"/>
        <v>838</v>
      </c>
      <c r="L256" s="473">
        <v>5</v>
      </c>
      <c r="M256" s="134">
        <v>7</v>
      </c>
      <c r="N256" s="28">
        <v>332</v>
      </c>
      <c r="O256" s="396">
        <v>291</v>
      </c>
      <c r="P256" s="123">
        <v>101</v>
      </c>
      <c r="Q256" s="134">
        <v>62</v>
      </c>
      <c r="R256" s="28">
        <v>11</v>
      </c>
      <c r="S256" s="28">
        <v>4</v>
      </c>
      <c r="T256" s="28">
        <v>10</v>
      </c>
      <c r="U256" s="28">
        <v>15</v>
      </c>
      <c r="V256" s="28"/>
      <c r="W256" s="45"/>
      <c r="X256" s="529">
        <f t="shared" si="42"/>
        <v>768</v>
      </c>
      <c r="Y256" s="134">
        <v>409</v>
      </c>
      <c r="Z256" s="28">
        <v>328</v>
      </c>
      <c r="AA256" s="45">
        <v>20</v>
      </c>
      <c r="AB256" s="424">
        <v>11</v>
      </c>
      <c r="AC256" s="134"/>
    </row>
    <row r="257" spans="1:29">
      <c r="A257" s="182">
        <v>18</v>
      </c>
      <c r="B257" s="103" t="s">
        <v>284</v>
      </c>
      <c r="C257" s="4"/>
      <c r="D257" s="461">
        <v>36</v>
      </c>
      <c r="E257" s="493">
        <v>49</v>
      </c>
      <c r="F257" s="493">
        <f t="shared" si="50"/>
        <v>49</v>
      </c>
      <c r="G257" s="489">
        <v>21</v>
      </c>
      <c r="H257" s="479">
        <v>24</v>
      </c>
      <c r="I257" s="477">
        <v>4</v>
      </c>
      <c r="J257" s="496"/>
      <c r="K257" s="489">
        <f t="shared" si="51"/>
        <v>995</v>
      </c>
      <c r="L257" s="473">
        <v>4</v>
      </c>
      <c r="M257" s="134">
        <v>1</v>
      </c>
      <c r="N257" s="28">
        <v>369</v>
      </c>
      <c r="O257" s="396">
        <v>346</v>
      </c>
      <c r="P257" s="123">
        <v>86</v>
      </c>
      <c r="Q257" s="134">
        <v>76</v>
      </c>
      <c r="R257" s="28">
        <v>6</v>
      </c>
      <c r="S257" s="28">
        <v>4</v>
      </c>
      <c r="T257" s="28">
        <v>42</v>
      </c>
      <c r="U257" s="28">
        <v>59</v>
      </c>
      <c r="V257" s="28"/>
      <c r="W257" s="45">
        <v>2</v>
      </c>
      <c r="X257" s="529">
        <f t="shared" si="42"/>
        <v>931</v>
      </c>
      <c r="Y257" s="134">
        <v>438</v>
      </c>
      <c r="Z257" s="28">
        <v>404</v>
      </c>
      <c r="AA257" s="45">
        <v>38</v>
      </c>
      <c r="AB257" s="424">
        <v>51</v>
      </c>
      <c r="AC257" s="134"/>
    </row>
    <row r="258" spans="1:29">
      <c r="A258" s="182">
        <v>19</v>
      </c>
      <c r="B258" s="103" t="s">
        <v>285</v>
      </c>
      <c r="C258" s="4"/>
      <c r="D258" s="461">
        <v>19</v>
      </c>
      <c r="E258" s="493">
        <v>30</v>
      </c>
      <c r="F258" s="493">
        <f t="shared" si="50"/>
        <v>27</v>
      </c>
      <c r="G258" s="489">
        <v>12</v>
      </c>
      <c r="H258" s="479">
        <v>12</v>
      </c>
      <c r="I258" s="477">
        <v>3</v>
      </c>
      <c r="J258" s="496"/>
      <c r="K258" s="489">
        <f t="shared" si="51"/>
        <v>603</v>
      </c>
      <c r="L258" s="473">
        <v>1</v>
      </c>
      <c r="M258" s="134">
        <v>1</v>
      </c>
      <c r="N258" s="28">
        <v>217</v>
      </c>
      <c r="O258" s="396">
        <v>192</v>
      </c>
      <c r="P258" s="123">
        <v>65</v>
      </c>
      <c r="Q258" s="134">
        <v>41</v>
      </c>
      <c r="R258" s="28">
        <v>9</v>
      </c>
      <c r="S258" s="28">
        <v>7</v>
      </c>
      <c r="T258" s="28">
        <v>30</v>
      </c>
      <c r="U258" s="28">
        <v>36</v>
      </c>
      <c r="V258" s="28"/>
      <c r="W258" s="45">
        <v>4</v>
      </c>
      <c r="X258" s="529">
        <f t="shared" si="42"/>
        <v>548</v>
      </c>
      <c r="Y258" s="134">
        <v>261</v>
      </c>
      <c r="Z258" s="28">
        <v>207</v>
      </c>
      <c r="AA258" s="45">
        <v>38</v>
      </c>
      <c r="AB258" s="424">
        <v>42</v>
      </c>
      <c r="AC258" s="134"/>
    </row>
    <row r="259" spans="1:29">
      <c r="A259" s="182">
        <v>20</v>
      </c>
      <c r="B259" s="103" t="s">
        <v>286</v>
      </c>
      <c r="C259" s="4"/>
      <c r="D259" s="461">
        <v>45</v>
      </c>
      <c r="E259" s="493">
        <v>58</v>
      </c>
      <c r="F259" s="493">
        <f t="shared" si="50"/>
        <v>71</v>
      </c>
      <c r="G259" s="489">
        <v>7</v>
      </c>
      <c r="H259" s="479">
        <v>10</v>
      </c>
      <c r="I259" s="477">
        <v>38</v>
      </c>
      <c r="J259" s="496">
        <v>16</v>
      </c>
      <c r="K259" s="489">
        <f t="shared" si="51"/>
        <v>2231</v>
      </c>
      <c r="L259" s="473"/>
      <c r="M259" s="134">
        <v>6</v>
      </c>
      <c r="N259" s="28">
        <v>118</v>
      </c>
      <c r="O259" s="396">
        <v>118</v>
      </c>
      <c r="P259" s="123">
        <v>25</v>
      </c>
      <c r="Q259" s="134">
        <v>27</v>
      </c>
      <c r="R259" s="28">
        <v>44</v>
      </c>
      <c r="S259" s="28">
        <v>64</v>
      </c>
      <c r="T259" s="28">
        <v>394</v>
      </c>
      <c r="U259" s="28">
        <v>756</v>
      </c>
      <c r="V259" s="28">
        <v>282</v>
      </c>
      <c r="W259" s="45">
        <v>397</v>
      </c>
      <c r="X259" s="529">
        <f t="shared" si="42"/>
        <v>2034</v>
      </c>
      <c r="Y259" s="134">
        <v>124</v>
      </c>
      <c r="Z259" s="28">
        <v>133</v>
      </c>
      <c r="AA259" s="45">
        <v>663</v>
      </c>
      <c r="AB259" s="424">
        <v>1114</v>
      </c>
      <c r="AC259" s="134"/>
    </row>
    <row r="260" spans="1:29">
      <c r="A260" s="182">
        <v>21</v>
      </c>
      <c r="B260" s="103" t="s">
        <v>287</v>
      </c>
      <c r="C260" s="4"/>
      <c r="D260" s="461">
        <v>10</v>
      </c>
      <c r="E260" s="493">
        <v>15</v>
      </c>
      <c r="F260" s="493">
        <f t="shared" si="50"/>
        <v>16</v>
      </c>
      <c r="G260" s="489">
        <v>10</v>
      </c>
      <c r="H260" s="479">
        <v>6</v>
      </c>
      <c r="I260" s="477"/>
      <c r="J260" s="496"/>
      <c r="K260" s="489">
        <f t="shared" si="51"/>
        <v>314</v>
      </c>
      <c r="L260" s="473">
        <v>1</v>
      </c>
      <c r="M260" s="134">
        <v>2</v>
      </c>
      <c r="N260" s="28">
        <v>130</v>
      </c>
      <c r="O260" s="396">
        <v>126</v>
      </c>
      <c r="P260" s="123">
        <v>32</v>
      </c>
      <c r="Q260" s="134">
        <v>23</v>
      </c>
      <c r="R260" s="28"/>
      <c r="S260" s="28"/>
      <c r="T260" s="28"/>
      <c r="U260" s="28"/>
      <c r="V260" s="28"/>
      <c r="W260" s="45"/>
      <c r="X260" s="529">
        <f t="shared" si="42"/>
        <v>280</v>
      </c>
      <c r="Y260" s="134">
        <v>147</v>
      </c>
      <c r="Z260" s="28">
        <v>133</v>
      </c>
      <c r="AA260" s="45"/>
      <c r="AB260" s="424"/>
      <c r="AC260" s="134"/>
    </row>
    <row r="261" spans="1:29">
      <c r="A261" s="182">
        <v>22</v>
      </c>
      <c r="B261" s="103" t="s">
        <v>288</v>
      </c>
      <c r="C261" s="4"/>
      <c r="D261" s="461">
        <v>24</v>
      </c>
      <c r="E261" s="493">
        <v>38</v>
      </c>
      <c r="F261" s="493">
        <f t="shared" si="50"/>
        <v>44</v>
      </c>
      <c r="G261" s="489">
        <v>17</v>
      </c>
      <c r="H261" s="479">
        <v>19</v>
      </c>
      <c r="I261" s="477">
        <v>4</v>
      </c>
      <c r="J261" s="496">
        <v>4</v>
      </c>
      <c r="K261" s="489">
        <f t="shared" si="51"/>
        <v>1183</v>
      </c>
      <c r="L261" s="473">
        <v>3</v>
      </c>
      <c r="M261" s="134">
        <v>1</v>
      </c>
      <c r="N261" s="28">
        <v>400</v>
      </c>
      <c r="O261" s="396">
        <v>403</v>
      </c>
      <c r="P261" s="123">
        <v>83</v>
      </c>
      <c r="Q261" s="134">
        <v>59</v>
      </c>
      <c r="R261" s="28">
        <v>6</v>
      </c>
      <c r="S261" s="28">
        <v>8</v>
      </c>
      <c r="T261" s="28">
        <v>89</v>
      </c>
      <c r="U261" s="28">
        <v>97</v>
      </c>
      <c r="V261" s="28">
        <v>20</v>
      </c>
      <c r="W261" s="45">
        <v>14</v>
      </c>
      <c r="X261" s="529">
        <f t="shared" si="42"/>
        <v>982</v>
      </c>
      <c r="Y261" s="134">
        <v>391</v>
      </c>
      <c r="Z261" s="28">
        <v>377</v>
      </c>
      <c r="AA261" s="45">
        <v>104</v>
      </c>
      <c r="AB261" s="424">
        <v>110</v>
      </c>
      <c r="AC261" s="134"/>
    </row>
    <row r="262" spans="1:29">
      <c r="A262" s="182">
        <v>23</v>
      </c>
      <c r="B262" s="103" t="s">
        <v>289</v>
      </c>
      <c r="C262" s="4"/>
      <c r="D262" s="461">
        <v>14</v>
      </c>
      <c r="E262" s="493">
        <v>21</v>
      </c>
      <c r="F262" s="493">
        <f t="shared" si="50"/>
        <v>22</v>
      </c>
      <c r="G262" s="489">
        <v>9</v>
      </c>
      <c r="H262" s="479">
        <v>10</v>
      </c>
      <c r="I262" s="477">
        <v>3</v>
      </c>
      <c r="J262" s="496"/>
      <c r="K262" s="489">
        <f t="shared" si="51"/>
        <v>512</v>
      </c>
      <c r="L262" s="473">
        <v>3</v>
      </c>
      <c r="M262" s="134">
        <v>2</v>
      </c>
      <c r="N262" s="28">
        <v>141</v>
      </c>
      <c r="O262" s="396">
        <v>159</v>
      </c>
      <c r="P262" s="123">
        <v>48</v>
      </c>
      <c r="Q262" s="29">
        <v>42</v>
      </c>
      <c r="R262" s="28">
        <v>5</v>
      </c>
      <c r="S262" s="28">
        <v>5</v>
      </c>
      <c r="T262" s="28">
        <v>35</v>
      </c>
      <c r="U262" s="28">
        <v>53</v>
      </c>
      <c r="V262" s="28">
        <v>8</v>
      </c>
      <c r="W262" s="45">
        <v>11</v>
      </c>
      <c r="X262" s="529">
        <f t="shared" si="42"/>
        <v>459</v>
      </c>
      <c r="Y262" s="134">
        <v>173</v>
      </c>
      <c r="Z262" s="28">
        <v>187</v>
      </c>
      <c r="AA262" s="45">
        <v>40</v>
      </c>
      <c r="AB262" s="424">
        <v>59</v>
      </c>
      <c r="AC262" s="134"/>
    </row>
    <row r="263" spans="1:29">
      <c r="A263" s="182">
        <v>24</v>
      </c>
      <c r="B263" s="103" t="s">
        <v>290</v>
      </c>
      <c r="C263" s="4"/>
      <c r="D263" s="461">
        <v>45</v>
      </c>
      <c r="E263" s="493">
        <v>45</v>
      </c>
      <c r="F263" s="493">
        <f t="shared" si="50"/>
        <v>72</v>
      </c>
      <c r="G263" s="489">
        <v>28</v>
      </c>
      <c r="H263" s="479">
        <v>31</v>
      </c>
      <c r="I263" s="477">
        <v>10</v>
      </c>
      <c r="J263" s="496">
        <v>3</v>
      </c>
      <c r="K263" s="489">
        <f t="shared" si="51"/>
        <v>1852</v>
      </c>
      <c r="L263" s="473">
        <v>5</v>
      </c>
      <c r="M263" s="134">
        <v>14</v>
      </c>
      <c r="N263" s="28">
        <v>546</v>
      </c>
      <c r="O263" s="396">
        <v>482</v>
      </c>
      <c r="P263" s="123">
        <v>194</v>
      </c>
      <c r="Q263" s="134">
        <v>119</v>
      </c>
      <c r="R263" s="28">
        <v>2</v>
      </c>
      <c r="S263" s="28">
        <v>2</v>
      </c>
      <c r="T263" s="28">
        <v>131</v>
      </c>
      <c r="U263" s="28">
        <v>212</v>
      </c>
      <c r="V263" s="28">
        <v>69</v>
      </c>
      <c r="W263" s="45">
        <v>76</v>
      </c>
      <c r="X263" s="529">
        <f t="shared" si="42"/>
        <v>1712</v>
      </c>
      <c r="Y263" s="134">
        <v>693</v>
      </c>
      <c r="Z263" s="28">
        <v>575</v>
      </c>
      <c r="AA263" s="45">
        <v>174</v>
      </c>
      <c r="AB263" s="424">
        <v>270</v>
      </c>
      <c r="AC263" s="134"/>
    </row>
    <row r="264" spans="1:29">
      <c r="A264" s="595"/>
      <c r="B264" s="596"/>
      <c r="C264" s="203"/>
      <c r="D264" s="627"/>
      <c r="E264" s="508"/>
      <c r="F264" s="508"/>
      <c r="G264" s="577"/>
      <c r="H264" s="578"/>
      <c r="I264" s="511"/>
      <c r="J264" s="512"/>
      <c r="K264" s="513"/>
      <c r="L264" s="579"/>
      <c r="M264" s="580"/>
      <c r="N264" s="206"/>
      <c r="O264" s="581"/>
      <c r="P264" s="210"/>
      <c r="Q264" s="256"/>
      <c r="R264" s="206"/>
      <c r="S264" s="206"/>
      <c r="T264" s="206"/>
      <c r="U264" s="206"/>
      <c r="V264" s="206"/>
      <c r="W264" s="317"/>
      <c r="X264" s="609"/>
      <c r="Y264" s="256"/>
      <c r="Z264" s="206"/>
      <c r="AA264" s="317"/>
      <c r="AB264" s="516"/>
      <c r="AC264" s="134"/>
    </row>
    <row r="265" spans="1:29">
      <c r="A265" s="182" t="s">
        <v>295</v>
      </c>
      <c r="B265" s="103"/>
      <c r="C265" s="4"/>
      <c r="D265" s="461">
        <f>SUM(D240:D264)</f>
        <v>721</v>
      </c>
      <c r="E265" s="480">
        <f t="shared" ref="E265:W265" si="52">SUM(E240:E264)</f>
        <v>1164</v>
      </c>
      <c r="F265" s="461">
        <f t="shared" si="52"/>
        <v>1259</v>
      </c>
      <c r="G265" s="461">
        <f t="shared" si="52"/>
        <v>496</v>
      </c>
      <c r="H265" s="462">
        <f t="shared" si="52"/>
        <v>578</v>
      </c>
      <c r="I265" s="462">
        <f t="shared" si="52"/>
        <v>132</v>
      </c>
      <c r="J265" s="463">
        <f t="shared" si="52"/>
        <v>53</v>
      </c>
      <c r="K265" s="461">
        <f t="shared" si="52"/>
        <v>27735</v>
      </c>
      <c r="L265" s="461">
        <f t="shared" si="52"/>
        <v>121</v>
      </c>
      <c r="M265" s="462">
        <f t="shared" si="52"/>
        <v>164</v>
      </c>
      <c r="N265" s="462">
        <f t="shared" si="52"/>
        <v>8463</v>
      </c>
      <c r="O265" s="462">
        <f t="shared" si="52"/>
        <v>8117</v>
      </c>
      <c r="P265" s="462">
        <f t="shared" si="52"/>
        <v>2295</v>
      </c>
      <c r="Q265" s="463">
        <f t="shared" si="52"/>
        <v>1909</v>
      </c>
      <c r="R265" s="503">
        <f t="shared" si="52"/>
        <v>167</v>
      </c>
      <c r="S265" s="462">
        <f t="shared" si="52"/>
        <v>192</v>
      </c>
      <c r="T265" s="462">
        <f t="shared" si="52"/>
        <v>1972</v>
      </c>
      <c r="U265" s="462">
        <f t="shared" si="52"/>
        <v>2822</v>
      </c>
      <c r="V265" s="462">
        <f t="shared" si="52"/>
        <v>707</v>
      </c>
      <c r="W265" s="503">
        <f t="shared" si="52"/>
        <v>806</v>
      </c>
      <c r="X265" s="529">
        <f t="shared" si="42"/>
        <v>24942</v>
      </c>
      <c r="Y265" s="463">
        <f>SUM(Y240:Y263)</f>
        <v>9939</v>
      </c>
      <c r="Z265" s="462">
        <f t="shared" ref="Z265:AB265" si="53">SUM(Z240:Z263)</f>
        <v>9404</v>
      </c>
      <c r="AA265" s="462">
        <f t="shared" si="53"/>
        <v>2368</v>
      </c>
      <c r="AB265" s="464">
        <f t="shared" si="53"/>
        <v>3231</v>
      </c>
      <c r="AC265" s="463"/>
    </row>
    <row r="266" spans="1:29" ht="15" thickBot="1">
      <c r="A266" s="182"/>
      <c r="B266" s="103"/>
      <c r="C266" s="104"/>
      <c r="D266" s="252"/>
      <c r="E266" s="119"/>
      <c r="F266" s="501"/>
      <c r="G266" s="105"/>
      <c r="H266" s="323"/>
      <c r="I266" s="445"/>
      <c r="J266" s="106"/>
      <c r="K266" s="105"/>
      <c r="L266" s="108"/>
      <c r="M266" s="105"/>
      <c r="N266" s="322"/>
      <c r="O266" s="450"/>
      <c r="P266" s="443"/>
      <c r="Q266" s="105"/>
      <c r="R266" s="322"/>
      <c r="S266" s="322"/>
      <c r="T266" s="322"/>
      <c r="U266" s="322"/>
      <c r="V266" s="322"/>
      <c r="W266" s="323"/>
      <c r="X266" s="611"/>
      <c r="Y266" s="105"/>
      <c r="Z266" s="322"/>
      <c r="AA266" s="323"/>
      <c r="AB266" s="459"/>
      <c r="AC266" s="92"/>
    </row>
    <row r="267" spans="1:29" ht="15" thickTop="1">
      <c r="A267" s="33"/>
      <c r="B267" s="33"/>
    </row>
  </sheetData>
  <mergeCells count="36">
    <mergeCell ref="T7:U8"/>
    <mergeCell ref="T9:T10"/>
    <mergeCell ref="U9:U10"/>
    <mergeCell ref="L7:M8"/>
    <mergeCell ref="N7:O8"/>
    <mergeCell ref="P7:Q8"/>
    <mergeCell ref="R7:S8"/>
    <mergeCell ref="K7:K10"/>
    <mergeCell ref="R9:R10"/>
    <mergeCell ref="S9:S10"/>
    <mergeCell ref="M9:M10"/>
    <mergeCell ref="N9:N10"/>
    <mergeCell ref="O9:O10"/>
    <mergeCell ref="P9:P10"/>
    <mergeCell ref="Q9:Q10"/>
    <mergeCell ref="AC7:AC10"/>
    <mergeCell ref="X5:AB6"/>
    <mergeCell ref="K5:W6"/>
    <mergeCell ref="C5:C10"/>
    <mergeCell ref="F5:J6"/>
    <mergeCell ref="G7:G10"/>
    <mergeCell ref="H7:H10"/>
    <mergeCell ref="I7:I10"/>
    <mergeCell ref="J7:J10"/>
    <mergeCell ref="F7:F10"/>
    <mergeCell ref="D5:D10"/>
    <mergeCell ref="E5:E10"/>
    <mergeCell ref="V7:W8"/>
    <mergeCell ref="V9:V10"/>
    <mergeCell ref="W9:W10"/>
    <mergeCell ref="L9:L10"/>
    <mergeCell ref="X7:X10"/>
    <mergeCell ref="Y7:Y10"/>
    <mergeCell ref="Z7:Z10"/>
    <mergeCell ref="AA7:AA10"/>
    <mergeCell ref="AB7:AB10"/>
  </mergeCells>
  <pageMargins left="0.75" right="0.75" top="1" bottom="1" header="0.5" footer="0.5"/>
  <pageSetup paperSize="9" orientation="portrait"/>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1"/>
  </sheetPr>
  <dimension ref="A2:AC267"/>
  <sheetViews>
    <sheetView topLeftCell="R1" workbookViewId="0">
      <selection activeCell="B2" sqref="B2"/>
    </sheetView>
  </sheetViews>
  <sheetFormatPr baseColWidth="10" defaultColWidth="11.5" defaultRowHeight="14" x14ac:dyDescent="0"/>
  <cols>
    <col min="1" max="1" width="34.6640625" customWidth="1"/>
    <col min="2" max="2" width="21.5" customWidth="1"/>
    <col min="3" max="5" width="10.1640625" customWidth="1"/>
    <col min="6" max="6" width="9.33203125" customWidth="1"/>
    <col min="7" max="7" width="12.1640625" customWidth="1"/>
    <col min="8" max="8" width="13.5" customWidth="1"/>
    <col min="9" max="9" width="12" style="68" customWidth="1"/>
    <col min="10" max="11" width="13.5" customWidth="1"/>
    <col min="12" max="12" width="12.5" customWidth="1"/>
    <col min="13" max="13" width="13.6640625" customWidth="1"/>
    <col min="14" max="14" width="13.1640625" customWidth="1"/>
    <col min="15" max="15" width="13.5" style="73" customWidth="1"/>
    <col min="16" max="16" width="15.6640625" customWidth="1"/>
    <col min="17" max="17" width="15.1640625" customWidth="1"/>
    <col min="18" max="18" width="13.83203125" customWidth="1"/>
    <col min="19" max="19" width="15" customWidth="1"/>
    <col min="20" max="20" width="11.33203125" customWidth="1"/>
    <col min="21" max="21" width="13" customWidth="1"/>
    <col min="23" max="23" width="13.1640625" customWidth="1"/>
    <col min="25" max="25" width="12.6640625" customWidth="1"/>
    <col min="26" max="26" width="13" customWidth="1"/>
    <col min="27" max="27" width="12.6640625" customWidth="1"/>
    <col min="28" max="28" width="12.5" style="31" customWidth="1"/>
    <col min="29" max="29" width="12.6640625" style="31" customWidth="1"/>
  </cols>
  <sheetData>
    <row r="2" spans="1:29" ht="18">
      <c r="A2" s="1" t="s">
        <v>438</v>
      </c>
      <c r="B2" s="696" t="s">
        <v>480</v>
      </c>
      <c r="C2" s="644"/>
      <c r="D2" s="644"/>
      <c r="E2" s="644"/>
      <c r="F2" s="644"/>
      <c r="G2" s="644"/>
      <c r="H2" s="644"/>
      <c r="I2" s="645"/>
      <c r="J2" s="644"/>
      <c r="K2" s="644"/>
      <c r="L2" s="644"/>
      <c r="M2" s="644"/>
      <c r="N2" s="644"/>
      <c r="O2" s="646"/>
      <c r="P2" s="264"/>
      <c r="Q2" s="264"/>
      <c r="Y2" s="262"/>
      <c r="Z2" s="262"/>
      <c r="AA2" s="262"/>
    </row>
    <row r="3" spans="1:29" s="31" customFormat="1" ht="15">
      <c r="A3" s="31" t="s">
        <v>478</v>
      </c>
      <c r="B3" s="644"/>
      <c r="C3" s="644"/>
      <c r="D3" s="644"/>
      <c r="E3" s="644"/>
      <c r="F3" s="644"/>
      <c r="G3" s="644"/>
      <c r="H3" s="644"/>
      <c r="I3" s="644"/>
      <c r="J3" s="644"/>
      <c r="K3" s="644"/>
      <c r="L3" s="647"/>
      <c r="M3" s="647"/>
      <c r="N3" s="647"/>
      <c r="O3" s="648"/>
      <c r="P3" s="68"/>
      <c r="Q3" s="68"/>
    </row>
    <row r="4" spans="1:29" s="31" customFormat="1" ht="16" thickBot="1">
      <c r="B4" s="262"/>
      <c r="C4" s="262"/>
      <c r="D4" s="262"/>
      <c r="E4" s="262"/>
      <c r="F4" s="262"/>
      <c r="G4" s="262"/>
      <c r="H4" s="262"/>
      <c r="I4" s="262"/>
      <c r="J4" s="262"/>
      <c r="K4" s="262"/>
      <c r="O4" s="68"/>
      <c r="P4" s="68"/>
      <c r="Q4" s="68"/>
    </row>
    <row r="5" spans="1:29" s="31" customFormat="1" ht="15" thickTop="1">
      <c r="A5" s="64"/>
      <c r="B5" s="64"/>
      <c r="C5" s="710" t="s">
        <v>35</v>
      </c>
      <c r="D5" s="759" t="s">
        <v>418</v>
      </c>
      <c r="E5" s="759" t="s">
        <v>426</v>
      </c>
      <c r="F5" s="721" t="s">
        <v>419</v>
      </c>
      <c r="G5" s="727"/>
      <c r="H5" s="727"/>
      <c r="I5" s="727"/>
      <c r="J5" s="722"/>
      <c r="K5" s="721" t="s">
        <v>422</v>
      </c>
      <c r="L5" s="727"/>
      <c r="M5" s="727"/>
      <c r="N5" s="727"/>
      <c r="O5" s="727"/>
      <c r="P5" s="727"/>
      <c r="Q5" s="727"/>
      <c r="R5" s="727"/>
      <c r="S5" s="727"/>
      <c r="T5" s="727"/>
      <c r="U5" s="727"/>
      <c r="V5" s="727"/>
      <c r="W5" s="727"/>
      <c r="X5" s="721" t="s">
        <v>436</v>
      </c>
      <c r="Y5" s="727"/>
      <c r="Z5" s="727"/>
      <c r="AA5" s="727"/>
      <c r="AB5" s="725"/>
      <c r="AC5" s="634"/>
    </row>
    <row r="6" spans="1:29">
      <c r="A6" s="48"/>
      <c r="B6" s="59"/>
      <c r="C6" s="711"/>
      <c r="D6" s="760"/>
      <c r="E6" s="760"/>
      <c r="F6" s="723"/>
      <c r="G6" s="728"/>
      <c r="H6" s="728"/>
      <c r="I6" s="728"/>
      <c r="J6" s="724"/>
      <c r="K6" s="723"/>
      <c r="L6" s="728"/>
      <c r="M6" s="728"/>
      <c r="N6" s="728"/>
      <c r="O6" s="728"/>
      <c r="P6" s="728"/>
      <c r="Q6" s="728"/>
      <c r="R6" s="728"/>
      <c r="S6" s="728"/>
      <c r="T6" s="728"/>
      <c r="U6" s="728"/>
      <c r="V6" s="728"/>
      <c r="W6" s="728"/>
      <c r="X6" s="723"/>
      <c r="Y6" s="728"/>
      <c r="Z6" s="728"/>
      <c r="AA6" s="728"/>
      <c r="AB6" s="726"/>
      <c r="AC6" s="634"/>
    </row>
    <row r="7" spans="1:29">
      <c r="A7" s="59" t="s">
        <v>42</v>
      </c>
      <c r="B7" s="138"/>
      <c r="C7" s="711"/>
      <c r="D7" s="760"/>
      <c r="E7" s="760"/>
      <c r="F7" s="758" t="s">
        <v>44</v>
      </c>
      <c r="G7" s="749" t="s">
        <v>8</v>
      </c>
      <c r="H7" s="742" t="s">
        <v>7</v>
      </c>
      <c r="I7" s="752" t="s">
        <v>421</v>
      </c>
      <c r="J7" s="755" t="s">
        <v>420</v>
      </c>
      <c r="K7" s="758" t="s">
        <v>427</v>
      </c>
      <c r="L7" s="768" t="s">
        <v>423</v>
      </c>
      <c r="M7" s="769"/>
      <c r="N7" s="762" t="s">
        <v>425</v>
      </c>
      <c r="O7" s="767"/>
      <c r="P7" s="772" t="s">
        <v>424</v>
      </c>
      <c r="Q7" s="769"/>
      <c r="R7" s="762" t="s">
        <v>423</v>
      </c>
      <c r="S7" s="767"/>
      <c r="T7" s="762" t="s">
        <v>425</v>
      </c>
      <c r="U7" s="767"/>
      <c r="V7" s="762" t="s">
        <v>424</v>
      </c>
      <c r="W7" s="763"/>
      <c r="X7" s="736" t="s">
        <v>389</v>
      </c>
      <c r="Y7" s="739" t="s">
        <v>11</v>
      </c>
      <c r="Z7" s="742" t="s">
        <v>7</v>
      </c>
      <c r="AA7" s="742" t="s">
        <v>421</v>
      </c>
      <c r="AB7" s="745" t="s">
        <v>420</v>
      </c>
      <c r="AC7" s="748"/>
    </row>
    <row r="8" spans="1:29">
      <c r="A8" s="138">
        <v>4145</v>
      </c>
      <c r="B8" s="138"/>
      <c r="C8" s="711"/>
      <c r="D8" s="760"/>
      <c r="E8" s="760"/>
      <c r="F8" s="711"/>
      <c r="G8" s="750"/>
      <c r="H8" s="743"/>
      <c r="I8" s="753"/>
      <c r="J8" s="756"/>
      <c r="K8" s="711"/>
      <c r="L8" s="770"/>
      <c r="M8" s="771"/>
      <c r="N8" s="764"/>
      <c r="O8" s="733"/>
      <c r="P8" s="773"/>
      <c r="Q8" s="771"/>
      <c r="R8" s="764"/>
      <c r="S8" s="733"/>
      <c r="T8" s="764"/>
      <c r="U8" s="733"/>
      <c r="V8" s="764"/>
      <c r="W8" s="732"/>
      <c r="X8" s="737"/>
      <c r="Y8" s="740"/>
      <c r="Z8" s="743"/>
      <c r="AA8" s="743"/>
      <c r="AB8" s="746"/>
      <c r="AC8" s="748"/>
    </row>
    <row r="9" spans="1:29">
      <c r="A9" s="138"/>
      <c r="B9" s="138"/>
      <c r="C9" s="711"/>
      <c r="D9" s="760"/>
      <c r="E9" s="760"/>
      <c r="F9" s="711"/>
      <c r="G9" s="750"/>
      <c r="H9" s="743"/>
      <c r="I9" s="753"/>
      <c r="J9" s="756"/>
      <c r="K9" s="711"/>
      <c r="L9" s="749" t="s">
        <v>11</v>
      </c>
      <c r="M9" s="765" t="s">
        <v>7</v>
      </c>
      <c r="N9" s="742" t="s">
        <v>11</v>
      </c>
      <c r="O9" s="752" t="s">
        <v>7</v>
      </c>
      <c r="P9" s="742" t="s">
        <v>11</v>
      </c>
      <c r="Q9" s="762" t="s">
        <v>7</v>
      </c>
      <c r="R9" s="742" t="s">
        <v>421</v>
      </c>
      <c r="S9" s="742" t="s">
        <v>420</v>
      </c>
      <c r="T9" s="742" t="s">
        <v>421</v>
      </c>
      <c r="U9" s="742" t="s">
        <v>420</v>
      </c>
      <c r="V9" s="742" t="s">
        <v>421</v>
      </c>
      <c r="W9" s="762" t="s">
        <v>420</v>
      </c>
      <c r="X9" s="737"/>
      <c r="Y9" s="740"/>
      <c r="Z9" s="743"/>
      <c r="AA9" s="743"/>
      <c r="AB9" s="746"/>
      <c r="AC9" s="748"/>
    </row>
    <row r="10" spans="1:29" s="31" customFormat="1">
      <c r="A10" s="44"/>
      <c r="B10" s="44"/>
      <c r="C10" s="712"/>
      <c r="D10" s="761"/>
      <c r="E10" s="761"/>
      <c r="F10" s="712"/>
      <c r="G10" s="751"/>
      <c r="H10" s="744"/>
      <c r="I10" s="754"/>
      <c r="J10" s="757"/>
      <c r="K10" s="712"/>
      <c r="L10" s="751"/>
      <c r="M10" s="766"/>
      <c r="N10" s="744"/>
      <c r="O10" s="754"/>
      <c r="P10" s="744"/>
      <c r="Q10" s="764"/>
      <c r="R10" s="744"/>
      <c r="S10" s="744"/>
      <c r="T10" s="744"/>
      <c r="U10" s="744"/>
      <c r="V10" s="744"/>
      <c r="W10" s="764"/>
      <c r="X10" s="738"/>
      <c r="Y10" s="741"/>
      <c r="Z10" s="744"/>
      <c r="AA10" s="744"/>
      <c r="AB10" s="747"/>
      <c r="AC10" s="748"/>
    </row>
    <row r="11" spans="1:29" s="31" customFormat="1">
      <c r="A11" s="48"/>
      <c r="B11" s="48"/>
      <c r="C11" s="435"/>
      <c r="D11" s="95"/>
      <c r="E11" s="460"/>
      <c r="G11" s="56"/>
      <c r="H11" s="440"/>
      <c r="I11" s="441"/>
      <c r="J11" s="90"/>
      <c r="K11" s="47"/>
      <c r="L11" s="20"/>
      <c r="N11" s="18"/>
      <c r="O11" s="255"/>
      <c r="P11" s="381"/>
      <c r="Q11" s="161"/>
      <c r="R11" s="161"/>
      <c r="S11" s="18"/>
      <c r="T11" s="161"/>
      <c r="U11" s="18"/>
      <c r="V11" s="161"/>
      <c r="W11" s="161"/>
      <c r="X11" s="8"/>
      <c r="Y11" s="47"/>
      <c r="Z11" s="161"/>
      <c r="AA11" s="161"/>
      <c r="AB11" s="360"/>
      <c r="AC11" s="47"/>
    </row>
    <row r="12" spans="1:29" s="31" customFormat="1">
      <c r="A12" s="145" t="s">
        <v>61</v>
      </c>
      <c r="B12" s="235"/>
      <c r="C12" s="244"/>
      <c r="D12" s="637">
        <f>SUM(D15:D18)</f>
        <v>5791</v>
      </c>
      <c r="E12" s="637">
        <f t="shared" ref="E12:AB12" si="0">SUM(E15:E18)</f>
        <v>10484</v>
      </c>
      <c r="F12" s="637">
        <f t="shared" si="0"/>
        <v>12169</v>
      </c>
      <c r="G12" s="637">
        <f t="shared" si="0"/>
        <v>3060</v>
      </c>
      <c r="H12" s="151">
        <f t="shared" si="0"/>
        <v>5647</v>
      </c>
      <c r="I12" s="151">
        <f t="shared" si="0"/>
        <v>1851</v>
      </c>
      <c r="J12" s="616">
        <f t="shared" si="0"/>
        <v>1611</v>
      </c>
      <c r="K12" s="637">
        <f t="shared" si="0"/>
        <v>309139</v>
      </c>
      <c r="L12" s="637">
        <f t="shared" si="0"/>
        <v>611</v>
      </c>
      <c r="M12" s="151">
        <f t="shared" si="0"/>
        <v>719</v>
      </c>
      <c r="N12" s="151">
        <f t="shared" si="0"/>
        <v>73843</v>
      </c>
      <c r="O12" s="151">
        <f t="shared" si="0"/>
        <v>70110</v>
      </c>
      <c r="P12" s="151">
        <f t="shared" si="0"/>
        <v>13398</v>
      </c>
      <c r="Q12" s="151">
        <f t="shared" si="0"/>
        <v>10858</v>
      </c>
      <c r="R12" s="151">
        <f t="shared" si="0"/>
        <v>1679</v>
      </c>
      <c r="S12" s="151">
        <f t="shared" si="0"/>
        <v>1896</v>
      </c>
      <c r="T12" s="151">
        <f t="shared" si="0"/>
        <v>53986</v>
      </c>
      <c r="U12" s="151">
        <f t="shared" si="0"/>
        <v>58807</v>
      </c>
      <c r="V12" s="151">
        <f t="shared" si="0"/>
        <v>11357</v>
      </c>
      <c r="W12" s="616">
        <f t="shared" si="0"/>
        <v>11875</v>
      </c>
      <c r="X12" s="637">
        <f t="shared" si="0"/>
        <v>276369</v>
      </c>
      <c r="Y12" s="637">
        <f t="shared" si="0"/>
        <v>81385</v>
      </c>
      <c r="Z12" s="151">
        <f t="shared" si="0"/>
        <v>75772</v>
      </c>
      <c r="AA12" s="151">
        <f t="shared" si="0"/>
        <v>56328</v>
      </c>
      <c r="AB12" s="639">
        <f t="shared" si="0"/>
        <v>62884</v>
      </c>
      <c r="AC12" s="463"/>
    </row>
    <row r="13" spans="1:29" s="31" customFormat="1" ht="15" thickBot="1">
      <c r="A13" s="47" t="s">
        <v>62</v>
      </c>
      <c r="B13" s="8"/>
      <c r="C13" s="17"/>
      <c r="D13" s="465"/>
      <c r="E13" s="466"/>
      <c r="F13" s="493"/>
      <c r="G13" s="402"/>
      <c r="H13" s="415"/>
      <c r="I13" s="148"/>
      <c r="J13" s="398"/>
      <c r="K13" s="500"/>
      <c r="L13" s="453"/>
      <c r="M13" s="415"/>
      <c r="N13" s="415"/>
      <c r="O13" s="148"/>
      <c r="P13" s="149"/>
      <c r="Q13" s="415"/>
      <c r="R13" s="168"/>
      <c r="S13" s="28"/>
      <c r="T13" s="168"/>
      <c r="U13" s="28"/>
      <c r="V13" s="168"/>
      <c r="W13" s="45"/>
      <c r="X13" s="617"/>
      <c r="Y13" s="134"/>
      <c r="Z13" s="168"/>
      <c r="AA13" s="45"/>
      <c r="AB13" s="635"/>
      <c r="AC13" s="134"/>
    </row>
    <row r="14" spans="1:29" s="31" customFormat="1">
      <c r="A14" s="47"/>
      <c r="B14" s="8"/>
      <c r="C14" s="17"/>
      <c r="D14" s="467"/>
      <c r="E14" s="118"/>
      <c r="F14" s="499"/>
      <c r="G14" s="70"/>
      <c r="H14" s="23"/>
      <c r="I14" s="22"/>
      <c r="J14" s="49"/>
      <c r="K14" s="493"/>
      <c r="L14" s="162"/>
      <c r="M14" s="23"/>
      <c r="N14" s="23"/>
      <c r="O14" s="22"/>
      <c r="P14" s="32"/>
      <c r="Q14" s="23"/>
      <c r="R14" s="28"/>
      <c r="S14" s="451"/>
      <c r="T14" s="28"/>
      <c r="U14" s="451"/>
      <c r="V14" s="28"/>
      <c r="W14" s="630"/>
      <c r="X14" s="640"/>
      <c r="Y14" s="633"/>
      <c r="Z14" s="28"/>
      <c r="AA14" s="630"/>
      <c r="AB14" s="424"/>
      <c r="AC14" s="134"/>
    </row>
    <row r="15" spans="1:29" s="31" customFormat="1">
      <c r="A15" s="31" t="s">
        <v>4</v>
      </c>
      <c r="B15" s="4"/>
      <c r="C15" s="10"/>
      <c r="D15" s="162">
        <v>4037</v>
      </c>
      <c r="E15" s="406">
        <v>6680</v>
      </c>
      <c r="F15" s="493">
        <f>SUM(G15:J15)</f>
        <v>7810</v>
      </c>
      <c r="G15" s="70">
        <v>1425</v>
      </c>
      <c r="H15" s="23">
        <v>3719</v>
      </c>
      <c r="I15" s="22">
        <v>1390</v>
      </c>
      <c r="J15" s="49">
        <v>1276</v>
      </c>
      <c r="K15" s="493">
        <f>SUM(L15:W15)</f>
        <v>194378</v>
      </c>
      <c r="L15" s="162">
        <v>481</v>
      </c>
      <c r="M15" s="23">
        <v>528</v>
      </c>
      <c r="N15" s="23">
        <v>35680</v>
      </c>
      <c r="O15" s="22">
        <v>35281</v>
      </c>
      <c r="P15" s="32">
        <v>7932</v>
      </c>
      <c r="Q15" s="23">
        <v>6651</v>
      </c>
      <c r="R15" s="28">
        <v>1470</v>
      </c>
      <c r="S15" s="28">
        <v>1629</v>
      </c>
      <c r="T15" s="28">
        <v>40969</v>
      </c>
      <c r="U15" s="28">
        <v>45717</v>
      </c>
      <c r="V15" s="28">
        <v>9299</v>
      </c>
      <c r="W15" s="45">
        <v>8741</v>
      </c>
      <c r="X15" s="529">
        <f>SUM(Y15:AB15)</f>
        <v>171890</v>
      </c>
      <c r="Y15" s="134">
        <v>41034</v>
      </c>
      <c r="Z15" s="28">
        <v>39715</v>
      </c>
      <c r="AA15" s="45">
        <v>43001</v>
      </c>
      <c r="AB15" s="424">
        <v>48140</v>
      </c>
      <c r="AC15" s="134"/>
    </row>
    <row r="16" spans="1:29" s="31" customFormat="1">
      <c r="A16" s="68" t="s">
        <v>1</v>
      </c>
      <c r="B16" s="111"/>
      <c r="C16" s="245"/>
      <c r="D16" s="468">
        <v>364</v>
      </c>
      <c r="E16" s="469">
        <v>919</v>
      </c>
      <c r="F16" s="493">
        <f t="shared" ref="F16:F18" si="1">SUM(G16:J16)</f>
        <v>1195</v>
      </c>
      <c r="G16" s="70">
        <v>221</v>
      </c>
      <c r="H16" s="23">
        <v>574</v>
      </c>
      <c r="I16" s="22">
        <v>176</v>
      </c>
      <c r="J16" s="49">
        <v>224</v>
      </c>
      <c r="K16" s="493">
        <f t="shared" ref="K16:K18" si="2">SUM(L16:W16)</f>
        <v>29645</v>
      </c>
      <c r="L16" s="162">
        <v>26</v>
      </c>
      <c r="M16" s="23">
        <v>32</v>
      </c>
      <c r="N16" s="23">
        <v>6272</v>
      </c>
      <c r="O16" s="22">
        <v>5555</v>
      </c>
      <c r="P16" s="32">
        <v>560</v>
      </c>
      <c r="Q16" s="23">
        <v>769</v>
      </c>
      <c r="R16" s="28">
        <v>32</v>
      </c>
      <c r="S16" s="28">
        <v>40</v>
      </c>
      <c r="T16" s="28">
        <v>7791</v>
      </c>
      <c r="U16" s="28">
        <v>6595</v>
      </c>
      <c r="V16" s="28">
        <v>621</v>
      </c>
      <c r="W16" s="45">
        <v>1352</v>
      </c>
      <c r="X16" s="529">
        <f t="shared" ref="X16:X18" si="3">SUM(Y16:AB16)</f>
        <v>27447</v>
      </c>
      <c r="Y16" s="134">
        <v>6584</v>
      </c>
      <c r="Z16" s="28">
        <v>5919</v>
      </c>
      <c r="AA16" s="45">
        <v>7558</v>
      </c>
      <c r="AB16" s="424">
        <v>7386</v>
      </c>
      <c r="AC16" s="134"/>
    </row>
    <row r="17" spans="1:29" s="31" customFormat="1">
      <c r="A17" s="68" t="s">
        <v>2</v>
      </c>
      <c r="B17" s="111"/>
      <c r="C17" s="245"/>
      <c r="D17" s="468">
        <v>835</v>
      </c>
      <c r="E17" s="469">
        <v>1953</v>
      </c>
      <c r="F17" s="493">
        <f t="shared" si="1"/>
        <v>2162</v>
      </c>
      <c r="G17" s="70">
        <v>978</v>
      </c>
      <c r="H17" s="23">
        <v>921</v>
      </c>
      <c r="I17" s="28">
        <v>195</v>
      </c>
      <c r="J17" s="49">
        <v>68</v>
      </c>
      <c r="K17" s="493">
        <f t="shared" si="2"/>
        <v>61199</v>
      </c>
      <c r="L17" s="162">
        <v>16</v>
      </c>
      <c r="M17" s="23">
        <v>32</v>
      </c>
      <c r="N17" s="23">
        <v>24260</v>
      </c>
      <c r="O17" s="22">
        <v>22154</v>
      </c>
      <c r="P17" s="32">
        <v>2707</v>
      </c>
      <c r="Q17" s="23">
        <v>1761</v>
      </c>
      <c r="R17" s="28">
        <v>61</v>
      </c>
      <c r="S17" s="28">
        <v>88</v>
      </c>
      <c r="T17" s="28">
        <v>3735</v>
      </c>
      <c r="U17" s="28">
        <v>4325</v>
      </c>
      <c r="V17" s="28">
        <v>937</v>
      </c>
      <c r="W17" s="45">
        <v>1123</v>
      </c>
      <c r="X17" s="529">
        <f t="shared" si="3"/>
        <v>55605</v>
      </c>
      <c r="Y17" s="134">
        <v>24771</v>
      </c>
      <c r="Z17" s="28">
        <v>21992</v>
      </c>
      <c r="AA17" s="45">
        <v>4013</v>
      </c>
      <c r="AB17" s="424">
        <v>4829</v>
      </c>
      <c r="AC17" s="134"/>
    </row>
    <row r="18" spans="1:29" s="31" customFormat="1">
      <c r="A18" s="68" t="s">
        <v>3</v>
      </c>
      <c r="B18" s="111"/>
      <c r="C18" s="245"/>
      <c r="D18" s="468">
        <v>555</v>
      </c>
      <c r="E18" s="469">
        <v>932</v>
      </c>
      <c r="F18" s="493">
        <f t="shared" si="1"/>
        <v>1002</v>
      </c>
      <c r="G18" s="70">
        <v>436</v>
      </c>
      <c r="H18" s="23">
        <v>433</v>
      </c>
      <c r="I18" s="22">
        <v>90</v>
      </c>
      <c r="J18" s="49">
        <v>43</v>
      </c>
      <c r="K18" s="493">
        <f t="shared" si="2"/>
        <v>23917</v>
      </c>
      <c r="L18" s="162">
        <v>88</v>
      </c>
      <c r="M18" s="23">
        <v>127</v>
      </c>
      <c r="N18" s="23">
        <v>7631</v>
      </c>
      <c r="O18" s="22">
        <v>7120</v>
      </c>
      <c r="P18" s="32">
        <v>2199</v>
      </c>
      <c r="Q18" s="23">
        <v>1677</v>
      </c>
      <c r="R18" s="28">
        <v>116</v>
      </c>
      <c r="S18" s="28">
        <v>139</v>
      </c>
      <c r="T18" s="28">
        <v>1491</v>
      </c>
      <c r="U18" s="28">
        <v>2170</v>
      </c>
      <c r="V18" s="28">
        <v>500</v>
      </c>
      <c r="W18" s="45">
        <v>659</v>
      </c>
      <c r="X18" s="529">
        <f t="shared" si="3"/>
        <v>21427</v>
      </c>
      <c r="Y18" s="134">
        <v>8996</v>
      </c>
      <c r="Z18" s="28">
        <v>8146</v>
      </c>
      <c r="AA18" s="45">
        <v>1756</v>
      </c>
      <c r="AB18" s="424">
        <v>2529</v>
      </c>
      <c r="AC18" s="134"/>
    </row>
    <row r="19" spans="1:29" ht="15">
      <c r="A19" s="44"/>
      <c r="B19" s="438"/>
      <c r="C19" s="439"/>
      <c r="D19" s="599"/>
      <c r="E19" s="600"/>
      <c r="F19" s="502"/>
      <c r="G19" s="231"/>
      <c r="H19" s="416"/>
      <c r="I19" s="601"/>
      <c r="J19" s="602"/>
      <c r="K19" s="42"/>
      <c r="L19" s="266"/>
      <c r="M19" s="42"/>
      <c r="N19" s="43"/>
      <c r="O19" s="603"/>
      <c r="P19" s="231"/>
      <c r="Q19" s="416"/>
      <c r="R19" s="416"/>
      <c r="S19" s="43"/>
      <c r="T19" s="416"/>
      <c r="U19" s="43"/>
      <c r="V19" s="416"/>
      <c r="W19" s="416"/>
      <c r="X19" s="642"/>
      <c r="Y19" s="42"/>
      <c r="Z19" s="416"/>
      <c r="AA19" s="416"/>
      <c r="AB19" s="604"/>
      <c r="AC19" s="32"/>
    </row>
    <row r="20" spans="1:29" ht="16" thickBot="1">
      <c r="A20" s="436" t="s">
        <v>5</v>
      </c>
      <c r="B20" s="172"/>
      <c r="C20" s="8"/>
      <c r="D20" s="117"/>
      <c r="E20" s="118"/>
      <c r="F20" s="493"/>
      <c r="G20" s="63"/>
      <c r="H20" s="23"/>
      <c r="I20" s="605"/>
      <c r="J20" s="69"/>
      <c r="K20" s="32"/>
      <c r="L20" s="63"/>
      <c r="M20" s="32"/>
      <c r="N20" s="22"/>
      <c r="O20" s="448"/>
      <c r="P20" s="70"/>
      <c r="Q20" s="23"/>
      <c r="R20" s="23"/>
      <c r="S20" s="22"/>
      <c r="T20" s="23"/>
      <c r="U20" s="22"/>
      <c r="V20" s="23"/>
      <c r="W20" s="23"/>
      <c r="X20" s="529"/>
      <c r="Y20" s="32"/>
      <c r="Z20" s="23"/>
      <c r="AA20" s="23"/>
      <c r="AB20" s="454"/>
      <c r="AC20" s="32"/>
    </row>
    <row r="21" spans="1:29">
      <c r="A21" s="146">
        <v>1</v>
      </c>
      <c r="B21" s="48" t="s">
        <v>87</v>
      </c>
      <c r="C21" s="4" t="s">
        <v>441</v>
      </c>
      <c r="D21" s="452">
        <v>16</v>
      </c>
      <c r="E21" s="406">
        <v>26</v>
      </c>
      <c r="F21" s="493">
        <f>SUM(G21:J21)</f>
        <v>26</v>
      </c>
      <c r="G21" s="23">
        <v>3</v>
      </c>
      <c r="H21" s="167">
        <v>21</v>
      </c>
      <c r="I21" s="52">
        <v>1</v>
      </c>
      <c r="J21" s="71">
        <v>1</v>
      </c>
      <c r="K21" s="21">
        <f t="shared" ref="K21:K52" si="4">SUM(L21:W21)</f>
        <v>480</v>
      </c>
      <c r="L21" s="120">
        <v>1</v>
      </c>
      <c r="M21" s="606">
        <v>2</v>
      </c>
      <c r="N21" s="28">
        <v>183</v>
      </c>
      <c r="O21" s="396">
        <v>169</v>
      </c>
      <c r="P21" s="123">
        <v>34</v>
      </c>
      <c r="Q21" s="23">
        <v>31</v>
      </c>
      <c r="R21" s="23"/>
      <c r="S21" s="22"/>
      <c r="T21" s="45">
        <v>28</v>
      </c>
      <c r="U21" s="28">
        <v>32</v>
      </c>
      <c r="V21" s="23"/>
      <c r="W21" s="23"/>
      <c r="X21" s="529">
        <f>SUM(Y21:AB21)</f>
        <v>443</v>
      </c>
      <c r="Y21" s="134">
        <v>203</v>
      </c>
      <c r="Z21" s="23">
        <v>191</v>
      </c>
      <c r="AA21" s="23">
        <v>22</v>
      </c>
      <c r="AB21" s="454">
        <v>27</v>
      </c>
      <c r="AC21" s="32"/>
    </row>
    <row r="22" spans="1:29">
      <c r="A22" s="146">
        <v>2</v>
      </c>
      <c r="B22" s="48" t="s">
        <v>88</v>
      </c>
      <c r="C22" s="4"/>
      <c r="D22" s="452">
        <v>17</v>
      </c>
      <c r="E22" s="406">
        <v>25</v>
      </c>
      <c r="F22" s="493">
        <f t="shared" ref="F22:F85" si="5">SUM(G22:J22)</f>
        <v>30</v>
      </c>
      <c r="G22" s="23">
        <v>9</v>
      </c>
      <c r="H22" s="167">
        <v>15</v>
      </c>
      <c r="I22" s="52">
        <v>3</v>
      </c>
      <c r="J22" s="71">
        <v>3</v>
      </c>
      <c r="K22" s="21">
        <f t="shared" si="4"/>
        <v>603</v>
      </c>
      <c r="L22" s="284"/>
      <c r="M22" s="606">
        <v>2</v>
      </c>
      <c r="N22" s="28">
        <v>154</v>
      </c>
      <c r="O22" s="396">
        <v>134</v>
      </c>
      <c r="P22" s="123">
        <v>71</v>
      </c>
      <c r="Q22" s="23">
        <v>24</v>
      </c>
      <c r="R22" s="23"/>
      <c r="S22" s="22"/>
      <c r="T22" s="45">
        <v>94</v>
      </c>
      <c r="U22" s="28">
        <v>96</v>
      </c>
      <c r="V22" s="23">
        <v>12</v>
      </c>
      <c r="W22" s="23">
        <v>16</v>
      </c>
      <c r="X22" s="529">
        <f t="shared" ref="X22:X85" si="6">SUM(Y22:AB22)</f>
        <v>544</v>
      </c>
      <c r="Y22" s="134">
        <v>207</v>
      </c>
      <c r="Z22" s="23">
        <v>146</v>
      </c>
      <c r="AA22" s="23">
        <v>94</v>
      </c>
      <c r="AB22" s="454">
        <v>97</v>
      </c>
      <c r="AC22" s="32"/>
    </row>
    <row r="23" spans="1:29">
      <c r="A23" s="146">
        <v>3</v>
      </c>
      <c r="B23" s="48" t="s">
        <v>89</v>
      </c>
      <c r="C23" s="4"/>
      <c r="D23" s="452">
        <v>57</v>
      </c>
      <c r="E23" s="406">
        <v>170</v>
      </c>
      <c r="F23" s="493">
        <f t="shared" si="5"/>
        <v>155</v>
      </c>
      <c r="G23" s="23">
        <v>42</v>
      </c>
      <c r="H23" s="167">
        <v>91</v>
      </c>
      <c r="I23" s="52">
        <v>6</v>
      </c>
      <c r="J23" s="71">
        <v>16</v>
      </c>
      <c r="K23" s="21">
        <f t="shared" si="4"/>
        <v>2914</v>
      </c>
      <c r="L23" s="284">
        <v>21</v>
      </c>
      <c r="M23" s="606">
        <v>22</v>
      </c>
      <c r="N23" s="28">
        <v>639</v>
      </c>
      <c r="O23" s="396">
        <v>664</v>
      </c>
      <c r="P23" s="123">
        <v>263</v>
      </c>
      <c r="Q23" s="23">
        <v>396</v>
      </c>
      <c r="R23" s="23">
        <v>10</v>
      </c>
      <c r="S23" s="22">
        <v>16</v>
      </c>
      <c r="T23" s="45">
        <v>329</v>
      </c>
      <c r="U23" s="28">
        <v>386</v>
      </c>
      <c r="V23" s="23">
        <v>67</v>
      </c>
      <c r="W23" s="23">
        <v>101</v>
      </c>
      <c r="X23" s="529">
        <f t="shared" si="6"/>
        <v>2624</v>
      </c>
      <c r="Y23" s="134">
        <v>826</v>
      </c>
      <c r="Z23" s="23">
        <v>1010</v>
      </c>
      <c r="AA23" s="23">
        <v>348</v>
      </c>
      <c r="AB23" s="454">
        <v>440</v>
      </c>
      <c r="AC23" s="32"/>
    </row>
    <row r="24" spans="1:29">
      <c r="A24" s="146">
        <v>4</v>
      </c>
      <c r="B24" s="48" t="s">
        <v>90</v>
      </c>
      <c r="C24" s="4"/>
      <c r="D24" s="452">
        <v>42</v>
      </c>
      <c r="E24" s="406">
        <v>60</v>
      </c>
      <c r="F24" s="493">
        <f t="shared" si="5"/>
        <v>57</v>
      </c>
      <c r="G24" s="23">
        <v>17</v>
      </c>
      <c r="H24" s="167">
        <v>33</v>
      </c>
      <c r="I24" s="52">
        <v>3</v>
      </c>
      <c r="J24" s="71">
        <v>4</v>
      </c>
      <c r="K24" s="21">
        <f t="shared" si="4"/>
        <v>998</v>
      </c>
      <c r="L24" s="284">
        <v>1</v>
      </c>
      <c r="M24" s="606">
        <v>2</v>
      </c>
      <c r="N24" s="28">
        <v>340</v>
      </c>
      <c r="O24" s="396">
        <v>297</v>
      </c>
      <c r="P24" s="123">
        <v>68</v>
      </c>
      <c r="Q24" s="23">
        <v>48</v>
      </c>
      <c r="R24" s="23">
        <v>5</v>
      </c>
      <c r="S24" s="22">
        <v>9</v>
      </c>
      <c r="T24" s="45">
        <v>96</v>
      </c>
      <c r="U24" s="28">
        <v>112</v>
      </c>
      <c r="V24" s="23">
        <v>7</v>
      </c>
      <c r="W24" s="23">
        <v>13</v>
      </c>
      <c r="X24" s="529">
        <f t="shared" si="6"/>
        <v>927</v>
      </c>
      <c r="Y24" s="134">
        <v>385</v>
      </c>
      <c r="Z24" s="23">
        <v>325</v>
      </c>
      <c r="AA24" s="23">
        <v>97</v>
      </c>
      <c r="AB24" s="454">
        <v>120</v>
      </c>
      <c r="AC24" s="32"/>
    </row>
    <row r="25" spans="1:29">
      <c r="A25" s="146">
        <v>5</v>
      </c>
      <c r="B25" s="48" t="s">
        <v>91</v>
      </c>
      <c r="C25" s="4"/>
      <c r="D25" s="452">
        <v>23</v>
      </c>
      <c r="E25" s="406">
        <v>28</v>
      </c>
      <c r="F25" s="493">
        <f t="shared" si="5"/>
        <v>28</v>
      </c>
      <c r="G25" s="23">
        <v>4</v>
      </c>
      <c r="H25" s="167">
        <v>24</v>
      </c>
      <c r="I25" s="52"/>
      <c r="J25" s="49"/>
      <c r="K25" s="21">
        <f t="shared" si="4"/>
        <v>447</v>
      </c>
      <c r="L25" s="284">
        <v>1</v>
      </c>
      <c r="M25" s="606">
        <v>2</v>
      </c>
      <c r="N25" s="28">
        <v>186</v>
      </c>
      <c r="O25" s="396">
        <v>207</v>
      </c>
      <c r="P25" s="123">
        <v>28</v>
      </c>
      <c r="Q25" s="23">
        <v>23</v>
      </c>
      <c r="R25" s="23"/>
      <c r="S25" s="22"/>
      <c r="T25" s="45"/>
      <c r="U25" s="28"/>
      <c r="V25" s="23"/>
      <c r="W25" s="23"/>
      <c r="X25" s="529">
        <f t="shared" si="6"/>
        <v>427</v>
      </c>
      <c r="Y25" s="134">
        <v>205</v>
      </c>
      <c r="Z25" s="23">
        <v>222</v>
      </c>
      <c r="AA25" s="23"/>
      <c r="AB25" s="454"/>
      <c r="AC25" s="32"/>
    </row>
    <row r="26" spans="1:29">
      <c r="A26" s="146">
        <v>6</v>
      </c>
      <c r="B26" s="48" t="s">
        <v>92</v>
      </c>
      <c r="C26" s="4"/>
      <c r="D26" s="452">
        <v>50</v>
      </c>
      <c r="E26" s="406">
        <v>83</v>
      </c>
      <c r="F26" s="493">
        <f t="shared" si="5"/>
        <v>89</v>
      </c>
      <c r="G26" s="23">
        <v>25</v>
      </c>
      <c r="H26" s="167">
        <v>55</v>
      </c>
      <c r="I26" s="52">
        <v>3</v>
      </c>
      <c r="J26" s="71">
        <v>6</v>
      </c>
      <c r="K26" s="21">
        <f t="shared" si="4"/>
        <v>1367</v>
      </c>
      <c r="L26" s="284">
        <v>5</v>
      </c>
      <c r="M26" s="606">
        <v>4</v>
      </c>
      <c r="N26" s="28">
        <v>467</v>
      </c>
      <c r="O26" s="396">
        <v>442</v>
      </c>
      <c r="P26" s="123">
        <v>90</v>
      </c>
      <c r="Q26" s="23">
        <v>71</v>
      </c>
      <c r="R26" s="23">
        <v>8</v>
      </c>
      <c r="S26" s="22">
        <v>6</v>
      </c>
      <c r="T26" s="45">
        <v>91</v>
      </c>
      <c r="U26" s="28">
        <v>129</v>
      </c>
      <c r="V26" s="23">
        <v>28</v>
      </c>
      <c r="W26" s="23">
        <v>26</v>
      </c>
      <c r="X26" s="529">
        <f t="shared" si="6"/>
        <v>1226</v>
      </c>
      <c r="Y26" s="134">
        <v>516</v>
      </c>
      <c r="Z26" s="23">
        <v>481</v>
      </c>
      <c r="AA26" s="23">
        <v>107</v>
      </c>
      <c r="AB26" s="454">
        <v>122</v>
      </c>
      <c r="AC26" s="32"/>
    </row>
    <row r="27" spans="1:29">
      <c r="A27" s="146">
        <v>7</v>
      </c>
      <c r="B27" s="48" t="s">
        <v>93</v>
      </c>
      <c r="C27" s="4"/>
      <c r="D27" s="452">
        <v>43</v>
      </c>
      <c r="E27" s="406">
        <v>54</v>
      </c>
      <c r="F27" s="493">
        <f t="shared" si="5"/>
        <v>51</v>
      </c>
      <c r="G27" s="23">
        <v>19</v>
      </c>
      <c r="H27" s="167">
        <v>29</v>
      </c>
      <c r="I27" s="52">
        <v>3</v>
      </c>
      <c r="J27" s="49"/>
      <c r="K27" s="21">
        <f t="shared" si="4"/>
        <v>799</v>
      </c>
      <c r="L27" s="63">
        <v>1</v>
      </c>
      <c r="N27" s="28">
        <v>275</v>
      </c>
      <c r="O27" s="396">
        <v>298</v>
      </c>
      <c r="P27" s="123">
        <v>49</v>
      </c>
      <c r="Q27" s="23">
        <v>50</v>
      </c>
      <c r="R27" s="23">
        <v>9</v>
      </c>
      <c r="S27" s="22">
        <v>10</v>
      </c>
      <c r="T27" s="45">
        <v>49</v>
      </c>
      <c r="U27" s="28">
        <v>38</v>
      </c>
      <c r="V27" s="23">
        <v>12</v>
      </c>
      <c r="W27" s="23">
        <v>8</v>
      </c>
      <c r="X27" s="529">
        <f t="shared" si="6"/>
        <v>724</v>
      </c>
      <c r="Y27" s="134">
        <v>298</v>
      </c>
      <c r="Z27" s="23">
        <v>321</v>
      </c>
      <c r="AA27" s="23">
        <v>54</v>
      </c>
      <c r="AB27" s="454">
        <v>51</v>
      </c>
      <c r="AC27" s="32"/>
    </row>
    <row r="28" spans="1:29">
      <c r="A28" s="146">
        <v>8</v>
      </c>
      <c r="B28" s="48" t="s">
        <v>94</v>
      </c>
      <c r="C28" s="4"/>
      <c r="D28" s="452">
        <v>24</v>
      </c>
      <c r="E28" s="406">
        <v>35</v>
      </c>
      <c r="F28" s="493">
        <f t="shared" si="5"/>
        <v>40</v>
      </c>
      <c r="G28" s="21">
        <v>11</v>
      </c>
      <c r="H28" s="167">
        <v>14</v>
      </c>
      <c r="I28" s="52">
        <v>12</v>
      </c>
      <c r="J28" s="49">
        <v>3</v>
      </c>
      <c r="K28" s="21">
        <f t="shared" si="4"/>
        <v>1467</v>
      </c>
      <c r="L28" s="63">
        <v>5</v>
      </c>
      <c r="N28" s="28">
        <v>253</v>
      </c>
      <c r="O28" s="396">
        <v>277</v>
      </c>
      <c r="P28" s="123">
        <v>33</v>
      </c>
      <c r="Q28" s="23">
        <v>32</v>
      </c>
      <c r="R28" s="23">
        <v>3</v>
      </c>
      <c r="S28" s="22">
        <v>2</v>
      </c>
      <c r="T28" s="45">
        <v>270</v>
      </c>
      <c r="U28" s="28">
        <v>360</v>
      </c>
      <c r="V28" s="23">
        <v>112</v>
      </c>
      <c r="W28" s="23">
        <v>120</v>
      </c>
      <c r="X28" s="529">
        <f t="shared" si="6"/>
        <v>1303</v>
      </c>
      <c r="Y28" s="134">
        <v>278</v>
      </c>
      <c r="Z28" s="23">
        <v>287</v>
      </c>
      <c r="AA28" s="23">
        <v>317</v>
      </c>
      <c r="AB28" s="454">
        <v>421</v>
      </c>
      <c r="AC28" s="32"/>
    </row>
    <row r="29" spans="1:29">
      <c r="A29" s="146">
        <v>9</v>
      </c>
      <c r="B29" s="48" t="s">
        <v>95</v>
      </c>
      <c r="C29" s="4"/>
      <c r="D29" s="452">
        <v>20</v>
      </c>
      <c r="E29" s="406">
        <v>26</v>
      </c>
      <c r="F29" s="493">
        <f t="shared" si="5"/>
        <v>26</v>
      </c>
      <c r="G29" s="21">
        <v>4</v>
      </c>
      <c r="H29" s="167">
        <v>14</v>
      </c>
      <c r="I29" s="52">
        <v>5</v>
      </c>
      <c r="J29" s="49">
        <v>3</v>
      </c>
      <c r="K29" s="21">
        <f t="shared" si="4"/>
        <v>601</v>
      </c>
      <c r="L29" s="63">
        <v>3</v>
      </c>
      <c r="M29" s="606">
        <v>1</v>
      </c>
      <c r="N29" s="28">
        <v>129</v>
      </c>
      <c r="O29" s="396">
        <v>130</v>
      </c>
      <c r="P29" s="123">
        <v>17</v>
      </c>
      <c r="Q29" s="23">
        <v>17</v>
      </c>
      <c r="R29" s="23">
        <v>3</v>
      </c>
      <c r="S29" s="22">
        <v>6</v>
      </c>
      <c r="T29" s="45">
        <v>103</v>
      </c>
      <c r="U29" s="28">
        <v>145</v>
      </c>
      <c r="V29" s="23">
        <v>21</v>
      </c>
      <c r="W29" s="23">
        <v>26</v>
      </c>
      <c r="X29" s="529">
        <f t="shared" si="6"/>
        <v>499</v>
      </c>
      <c r="Y29" s="134">
        <v>135</v>
      </c>
      <c r="Z29" s="23">
        <v>132</v>
      </c>
      <c r="AA29" s="23">
        <v>100</v>
      </c>
      <c r="AB29" s="454">
        <v>132</v>
      </c>
      <c r="AC29" s="32"/>
    </row>
    <row r="30" spans="1:29">
      <c r="A30" s="146">
        <v>10</v>
      </c>
      <c r="B30" s="48" t="s">
        <v>96</v>
      </c>
      <c r="C30" s="4"/>
      <c r="D30" s="452">
        <v>31</v>
      </c>
      <c r="E30" s="406">
        <v>49</v>
      </c>
      <c r="F30" s="493">
        <f t="shared" si="5"/>
        <v>47</v>
      </c>
      <c r="G30" s="21">
        <v>8</v>
      </c>
      <c r="H30" s="167">
        <v>36</v>
      </c>
      <c r="I30" s="52">
        <v>2</v>
      </c>
      <c r="J30" s="49">
        <v>1</v>
      </c>
      <c r="K30" s="21">
        <f t="shared" si="4"/>
        <v>853</v>
      </c>
      <c r="L30" s="63">
        <v>3</v>
      </c>
      <c r="M30" s="606">
        <v>3</v>
      </c>
      <c r="N30" s="28">
        <v>248</v>
      </c>
      <c r="O30" s="396">
        <v>252</v>
      </c>
      <c r="P30" s="123">
        <v>60</v>
      </c>
      <c r="Q30" s="23">
        <v>71</v>
      </c>
      <c r="R30" s="23">
        <v>5</v>
      </c>
      <c r="S30" s="22">
        <v>5</v>
      </c>
      <c r="T30" s="45">
        <v>100</v>
      </c>
      <c r="U30" s="28">
        <v>90</v>
      </c>
      <c r="V30" s="23">
        <v>6</v>
      </c>
      <c r="W30" s="23">
        <v>10</v>
      </c>
      <c r="X30" s="529">
        <f t="shared" si="6"/>
        <v>808</v>
      </c>
      <c r="Y30" s="134">
        <v>302</v>
      </c>
      <c r="Z30" s="23">
        <v>316</v>
      </c>
      <c r="AA30" s="23">
        <v>98</v>
      </c>
      <c r="AB30" s="454">
        <v>92</v>
      </c>
      <c r="AC30" s="32"/>
    </row>
    <row r="31" spans="1:29">
      <c r="A31" s="146">
        <v>11</v>
      </c>
      <c r="B31" s="48" t="s">
        <v>97</v>
      </c>
      <c r="C31" s="4"/>
      <c r="D31" s="452">
        <v>13</v>
      </c>
      <c r="E31" s="406">
        <v>24</v>
      </c>
      <c r="F31" s="493">
        <f t="shared" si="5"/>
        <v>32</v>
      </c>
      <c r="G31" s="21">
        <v>2</v>
      </c>
      <c r="H31" s="167">
        <v>25</v>
      </c>
      <c r="I31" s="52">
        <v>2</v>
      </c>
      <c r="J31" s="49">
        <v>3</v>
      </c>
      <c r="K31" s="21">
        <f t="shared" si="4"/>
        <v>497</v>
      </c>
      <c r="L31" s="63">
        <v>7</v>
      </c>
      <c r="M31" s="606">
        <v>6</v>
      </c>
      <c r="N31" s="28">
        <v>114</v>
      </c>
      <c r="O31" s="205">
        <v>126</v>
      </c>
      <c r="P31" s="123">
        <v>20</v>
      </c>
      <c r="Q31" s="23">
        <v>42</v>
      </c>
      <c r="R31" s="23"/>
      <c r="S31" s="22"/>
      <c r="T31" s="45">
        <v>77</v>
      </c>
      <c r="U31" s="28">
        <v>94</v>
      </c>
      <c r="V31" s="23">
        <v>5</v>
      </c>
      <c r="W31" s="23">
        <v>6</v>
      </c>
      <c r="X31" s="529">
        <f t="shared" si="6"/>
        <v>470</v>
      </c>
      <c r="Y31" s="134">
        <v>132</v>
      </c>
      <c r="Z31" s="23">
        <v>167</v>
      </c>
      <c r="AA31" s="23">
        <v>76</v>
      </c>
      <c r="AB31" s="454">
        <v>95</v>
      </c>
      <c r="AC31" s="32"/>
    </row>
    <row r="32" spans="1:29">
      <c r="A32" s="146">
        <v>12</v>
      </c>
      <c r="B32" s="48" t="s">
        <v>98</v>
      </c>
      <c r="C32" s="4"/>
      <c r="D32" s="452">
        <v>43</v>
      </c>
      <c r="E32" s="406">
        <v>58</v>
      </c>
      <c r="F32" s="493">
        <f t="shared" si="5"/>
        <v>60</v>
      </c>
      <c r="G32" s="21">
        <v>8</v>
      </c>
      <c r="H32" s="167">
        <v>43</v>
      </c>
      <c r="I32" s="52">
        <v>4</v>
      </c>
      <c r="J32" s="49">
        <v>5</v>
      </c>
      <c r="K32" s="21">
        <f t="shared" si="4"/>
        <v>1178</v>
      </c>
      <c r="L32" s="63">
        <v>1</v>
      </c>
      <c r="N32" s="28">
        <v>324</v>
      </c>
      <c r="O32" s="396">
        <v>319</v>
      </c>
      <c r="P32" s="123">
        <v>23</v>
      </c>
      <c r="Q32" s="23">
        <v>41</v>
      </c>
      <c r="R32" s="23">
        <v>1</v>
      </c>
      <c r="S32" s="22">
        <v>5</v>
      </c>
      <c r="T32" s="45">
        <v>224</v>
      </c>
      <c r="U32" s="28">
        <v>236</v>
      </c>
      <c r="V32" s="23">
        <v>2</v>
      </c>
      <c r="W32" s="23">
        <v>2</v>
      </c>
      <c r="X32" s="529">
        <f t="shared" si="6"/>
        <v>1098</v>
      </c>
      <c r="Y32" s="134">
        <v>331</v>
      </c>
      <c r="Z32" s="23">
        <v>339</v>
      </c>
      <c r="AA32" s="23">
        <v>207</v>
      </c>
      <c r="AB32" s="454">
        <v>221</v>
      </c>
      <c r="AC32" s="32"/>
    </row>
    <row r="33" spans="1:29">
      <c r="A33" s="146">
        <v>13</v>
      </c>
      <c r="B33" s="48" t="s">
        <v>99</v>
      </c>
      <c r="C33" s="4"/>
      <c r="D33" s="452">
        <v>13</v>
      </c>
      <c r="E33" s="406">
        <v>21</v>
      </c>
      <c r="F33" s="493">
        <f t="shared" si="5"/>
        <v>20</v>
      </c>
      <c r="G33" s="21">
        <v>5</v>
      </c>
      <c r="H33" s="167">
        <v>15</v>
      </c>
      <c r="I33" s="52"/>
      <c r="J33" s="49"/>
      <c r="K33" s="21">
        <f t="shared" si="4"/>
        <v>287</v>
      </c>
      <c r="L33" s="63">
        <v>1</v>
      </c>
      <c r="N33" s="28">
        <v>112</v>
      </c>
      <c r="O33" s="396">
        <v>92</v>
      </c>
      <c r="P33" s="123">
        <v>22</v>
      </c>
      <c r="Q33" s="23">
        <v>19</v>
      </c>
      <c r="R33" s="23">
        <v>2</v>
      </c>
      <c r="S33" s="22">
        <v>2</v>
      </c>
      <c r="T33" s="45">
        <v>16</v>
      </c>
      <c r="U33" s="28">
        <v>18</v>
      </c>
      <c r="V33" s="23">
        <v>2</v>
      </c>
      <c r="W33" s="23">
        <v>1</v>
      </c>
      <c r="X33" s="529">
        <f t="shared" si="6"/>
        <v>278</v>
      </c>
      <c r="Y33" s="134">
        <v>131</v>
      </c>
      <c r="Z33" s="23">
        <v>108</v>
      </c>
      <c r="AA33" s="23">
        <v>19</v>
      </c>
      <c r="AB33" s="454">
        <v>20</v>
      </c>
      <c r="AC33" s="32"/>
    </row>
    <row r="34" spans="1:29">
      <c r="A34" s="146">
        <v>14</v>
      </c>
      <c r="B34" s="48" t="s">
        <v>100</v>
      </c>
      <c r="C34" s="4"/>
      <c r="D34" s="452">
        <v>67</v>
      </c>
      <c r="E34" s="406">
        <v>101</v>
      </c>
      <c r="F34" s="493">
        <f t="shared" si="5"/>
        <v>103</v>
      </c>
      <c r="G34" s="21">
        <v>19</v>
      </c>
      <c r="H34" s="167">
        <v>76</v>
      </c>
      <c r="I34" s="52">
        <v>5</v>
      </c>
      <c r="J34" s="49">
        <v>3</v>
      </c>
      <c r="K34" s="21">
        <f t="shared" si="4"/>
        <v>2276</v>
      </c>
      <c r="L34" s="63">
        <v>2</v>
      </c>
      <c r="M34" s="606">
        <v>5</v>
      </c>
      <c r="N34" s="28">
        <v>658</v>
      </c>
      <c r="O34" s="396">
        <v>693</v>
      </c>
      <c r="P34" s="123">
        <v>124</v>
      </c>
      <c r="Q34" s="23">
        <v>91</v>
      </c>
      <c r="R34" s="23">
        <v>6</v>
      </c>
      <c r="S34" s="22">
        <v>7</v>
      </c>
      <c r="T34" s="45">
        <v>317</v>
      </c>
      <c r="U34" s="28">
        <v>368</v>
      </c>
      <c r="V34" s="23">
        <v>3</v>
      </c>
      <c r="W34" s="23">
        <v>2</v>
      </c>
      <c r="X34" s="529">
        <f t="shared" si="6"/>
        <v>2127</v>
      </c>
      <c r="Y34" s="134">
        <v>734</v>
      </c>
      <c r="Z34" s="23">
        <v>747</v>
      </c>
      <c r="AA34" s="45">
        <v>304</v>
      </c>
      <c r="AB34" s="454">
        <v>342</v>
      </c>
      <c r="AC34" s="32"/>
    </row>
    <row r="35" spans="1:29">
      <c r="A35" s="146">
        <v>15</v>
      </c>
      <c r="B35" s="48" t="s">
        <v>101</v>
      </c>
      <c r="C35" s="4"/>
      <c r="D35" s="452">
        <v>47</v>
      </c>
      <c r="E35" s="406">
        <v>54</v>
      </c>
      <c r="F35" s="493">
        <f t="shared" si="5"/>
        <v>54</v>
      </c>
      <c r="G35" s="21">
        <v>19</v>
      </c>
      <c r="H35" s="167">
        <v>35</v>
      </c>
      <c r="I35" s="52"/>
      <c r="J35" s="49"/>
      <c r="K35" s="21">
        <f t="shared" si="4"/>
        <v>800</v>
      </c>
      <c r="L35" s="63"/>
      <c r="M35" s="606">
        <v>11</v>
      </c>
      <c r="N35" s="28">
        <v>233</v>
      </c>
      <c r="O35" s="396">
        <v>309</v>
      </c>
      <c r="P35" s="123">
        <v>75</v>
      </c>
      <c r="Q35" s="23">
        <v>67</v>
      </c>
      <c r="R35" s="23"/>
      <c r="S35" s="22">
        <v>1</v>
      </c>
      <c r="T35" s="45">
        <v>42</v>
      </c>
      <c r="U35" s="28">
        <v>57</v>
      </c>
      <c r="V35" s="23">
        <v>1</v>
      </c>
      <c r="W35" s="23">
        <v>4</v>
      </c>
      <c r="X35" s="529">
        <f t="shared" si="6"/>
        <v>763</v>
      </c>
      <c r="Y35" s="134">
        <v>297</v>
      </c>
      <c r="Z35" s="23">
        <v>370</v>
      </c>
      <c r="AA35" s="23">
        <v>39</v>
      </c>
      <c r="AB35" s="454">
        <v>57</v>
      </c>
      <c r="AC35" s="32"/>
    </row>
    <row r="36" spans="1:29">
      <c r="A36" s="146">
        <v>16</v>
      </c>
      <c r="B36" s="48" t="s">
        <v>102</v>
      </c>
      <c r="C36" s="4"/>
      <c r="D36" s="452">
        <v>161</v>
      </c>
      <c r="E36" s="406">
        <v>641</v>
      </c>
      <c r="F36" s="493">
        <f t="shared" si="5"/>
        <v>774</v>
      </c>
      <c r="G36" s="21">
        <v>200</v>
      </c>
      <c r="H36" s="167">
        <v>499</v>
      </c>
      <c r="I36" s="52">
        <v>29</v>
      </c>
      <c r="J36" s="49">
        <v>46</v>
      </c>
      <c r="K36" s="21">
        <f t="shared" si="4"/>
        <v>24046</v>
      </c>
      <c r="L36" s="63">
        <v>162</v>
      </c>
      <c r="M36" s="606">
        <v>131</v>
      </c>
      <c r="N36" s="28">
        <v>6148</v>
      </c>
      <c r="O36" s="396">
        <v>5845</v>
      </c>
      <c r="P36" s="123">
        <v>1501</v>
      </c>
      <c r="Q36" s="23">
        <v>779</v>
      </c>
      <c r="R36" s="23">
        <v>187</v>
      </c>
      <c r="S36" s="22">
        <v>199</v>
      </c>
      <c r="T36" s="45">
        <v>4292</v>
      </c>
      <c r="U36" s="28">
        <v>4420</v>
      </c>
      <c r="V36" s="23">
        <v>247</v>
      </c>
      <c r="W36" s="23">
        <v>135</v>
      </c>
      <c r="X36" s="529">
        <f t="shared" si="6"/>
        <v>21502</v>
      </c>
      <c r="Y36" s="134">
        <v>7283</v>
      </c>
      <c r="Z36" s="23">
        <v>6243</v>
      </c>
      <c r="AA36" s="23">
        <v>3998</v>
      </c>
      <c r="AB36" s="454">
        <v>3978</v>
      </c>
      <c r="AC36" s="32"/>
    </row>
    <row r="37" spans="1:29">
      <c r="A37" s="146">
        <v>17</v>
      </c>
      <c r="B37" s="48" t="s">
        <v>103</v>
      </c>
      <c r="C37" s="8"/>
      <c r="D37" s="474">
        <v>27</v>
      </c>
      <c r="E37" s="493">
        <v>38</v>
      </c>
      <c r="F37" s="493">
        <f t="shared" si="5"/>
        <v>38</v>
      </c>
      <c r="G37" s="21">
        <v>6</v>
      </c>
      <c r="H37" s="167">
        <v>27</v>
      </c>
      <c r="I37" s="52">
        <v>2</v>
      </c>
      <c r="J37" s="49">
        <v>3</v>
      </c>
      <c r="K37" s="21">
        <f t="shared" si="4"/>
        <v>619</v>
      </c>
      <c r="L37" s="63">
        <v>1</v>
      </c>
      <c r="M37" s="606">
        <v>3</v>
      </c>
      <c r="N37" s="28">
        <v>149</v>
      </c>
      <c r="O37" s="396">
        <v>199</v>
      </c>
      <c r="P37" s="123">
        <v>52</v>
      </c>
      <c r="Q37" s="45">
        <v>51</v>
      </c>
      <c r="R37" s="45"/>
      <c r="S37" s="28"/>
      <c r="T37" s="45">
        <v>74</v>
      </c>
      <c r="U37" s="28">
        <v>79</v>
      </c>
      <c r="V37" s="45">
        <v>6</v>
      </c>
      <c r="W37" s="45">
        <v>5</v>
      </c>
      <c r="X37" s="529">
        <f t="shared" si="6"/>
        <v>586</v>
      </c>
      <c r="Y37" s="134">
        <v>196</v>
      </c>
      <c r="Z37" s="45">
        <v>249</v>
      </c>
      <c r="AA37" s="45">
        <v>70</v>
      </c>
      <c r="AB37" s="424">
        <v>71</v>
      </c>
      <c r="AC37" s="134"/>
    </row>
    <row r="38" spans="1:29">
      <c r="A38" s="146">
        <v>18</v>
      </c>
      <c r="B38" s="48" t="s">
        <v>104</v>
      </c>
      <c r="C38" s="4"/>
      <c r="D38" s="452">
        <v>24</v>
      </c>
      <c r="E38" s="406">
        <v>34</v>
      </c>
      <c r="F38" s="493">
        <f t="shared" si="5"/>
        <v>34</v>
      </c>
      <c r="G38" s="21">
        <v>5</v>
      </c>
      <c r="H38" s="167">
        <v>24</v>
      </c>
      <c r="I38" s="52">
        <v>2</v>
      </c>
      <c r="J38" s="49">
        <v>3</v>
      </c>
      <c r="K38" s="21">
        <f t="shared" si="4"/>
        <v>499</v>
      </c>
      <c r="L38" s="127"/>
      <c r="M38" s="606">
        <v>1</v>
      </c>
      <c r="N38" s="28">
        <v>174</v>
      </c>
      <c r="O38" s="396">
        <v>130</v>
      </c>
      <c r="P38" s="123">
        <v>30</v>
      </c>
      <c r="Q38" s="45">
        <v>27</v>
      </c>
      <c r="R38" s="45"/>
      <c r="S38" s="28"/>
      <c r="T38" s="45">
        <v>60</v>
      </c>
      <c r="U38" s="28">
        <v>69</v>
      </c>
      <c r="V38" s="45"/>
      <c r="W38" s="45">
        <v>8</v>
      </c>
      <c r="X38" s="529">
        <f t="shared" si="6"/>
        <v>471</v>
      </c>
      <c r="Y38" s="134">
        <v>194</v>
      </c>
      <c r="Z38" s="45">
        <v>147</v>
      </c>
      <c r="AA38" s="45">
        <v>55</v>
      </c>
      <c r="AB38" s="424">
        <v>75</v>
      </c>
      <c r="AC38" s="134"/>
    </row>
    <row r="39" spans="1:29">
      <c r="A39" s="146">
        <v>19</v>
      </c>
      <c r="B39" s="48" t="s">
        <v>105</v>
      </c>
      <c r="C39" s="4"/>
      <c r="D39" s="452">
        <v>32</v>
      </c>
      <c r="E39" s="406">
        <v>44</v>
      </c>
      <c r="F39" s="493">
        <f t="shared" si="5"/>
        <v>43</v>
      </c>
      <c r="G39" s="21">
        <v>6</v>
      </c>
      <c r="H39" s="167">
        <v>35</v>
      </c>
      <c r="I39" s="52">
        <v>1</v>
      </c>
      <c r="J39" s="49">
        <v>1</v>
      </c>
      <c r="K39" s="21">
        <f t="shared" si="4"/>
        <v>688</v>
      </c>
      <c r="L39" s="120"/>
      <c r="N39" s="28">
        <v>189</v>
      </c>
      <c r="O39" s="396">
        <v>219</v>
      </c>
      <c r="P39" s="123">
        <v>44</v>
      </c>
      <c r="Q39" s="45">
        <v>61</v>
      </c>
      <c r="R39" s="45"/>
      <c r="S39" s="28"/>
      <c r="T39" s="45">
        <v>88</v>
      </c>
      <c r="U39" s="28">
        <v>87</v>
      </c>
      <c r="V39" s="45"/>
      <c r="W39" s="45"/>
      <c r="X39" s="529">
        <f t="shared" si="6"/>
        <v>665</v>
      </c>
      <c r="Y39" s="134">
        <v>228</v>
      </c>
      <c r="Z39" s="45">
        <v>272</v>
      </c>
      <c r="AA39" s="45">
        <v>79</v>
      </c>
      <c r="AB39" s="424">
        <v>86</v>
      </c>
      <c r="AC39" s="134"/>
    </row>
    <row r="40" spans="1:29">
      <c r="A40" s="146">
        <v>20</v>
      </c>
      <c r="B40" s="48" t="s">
        <v>106</v>
      </c>
      <c r="C40" s="4"/>
      <c r="D40" s="452">
        <v>44</v>
      </c>
      <c r="E40" s="406">
        <v>53</v>
      </c>
      <c r="F40" s="493">
        <f t="shared" si="5"/>
        <v>55</v>
      </c>
      <c r="G40" s="21">
        <v>15</v>
      </c>
      <c r="H40" s="167">
        <v>37</v>
      </c>
      <c r="I40" s="52"/>
      <c r="J40" s="49">
        <v>3</v>
      </c>
      <c r="K40" s="21">
        <f t="shared" si="4"/>
        <v>919</v>
      </c>
      <c r="L40" s="120">
        <v>2</v>
      </c>
      <c r="N40" s="28">
        <v>226</v>
      </c>
      <c r="O40" s="396">
        <v>289</v>
      </c>
      <c r="P40" s="123">
        <v>41</v>
      </c>
      <c r="Q40" s="45">
        <v>38</v>
      </c>
      <c r="R40" s="45">
        <v>8</v>
      </c>
      <c r="S40" s="28">
        <v>12</v>
      </c>
      <c r="T40" s="45">
        <v>135</v>
      </c>
      <c r="U40" s="28">
        <v>126</v>
      </c>
      <c r="V40" s="45">
        <v>19</v>
      </c>
      <c r="W40" s="45">
        <v>23</v>
      </c>
      <c r="X40" s="529">
        <f t="shared" si="6"/>
        <v>860</v>
      </c>
      <c r="Y40" s="134">
        <v>251</v>
      </c>
      <c r="Z40" s="45">
        <v>304</v>
      </c>
      <c r="AA40" s="45">
        <v>155</v>
      </c>
      <c r="AB40" s="424">
        <v>150</v>
      </c>
      <c r="AC40" s="134"/>
    </row>
    <row r="41" spans="1:29">
      <c r="A41" s="146">
        <v>21</v>
      </c>
      <c r="B41" s="48" t="s">
        <v>107</v>
      </c>
      <c r="C41" s="96"/>
      <c r="D41" s="134">
        <v>21</v>
      </c>
      <c r="E41" s="404">
        <v>37</v>
      </c>
      <c r="F41" s="493">
        <f t="shared" si="5"/>
        <v>37</v>
      </c>
      <c r="G41" s="21">
        <v>6</v>
      </c>
      <c r="H41" s="167">
        <v>27</v>
      </c>
      <c r="I41" s="52">
        <v>1</v>
      </c>
      <c r="J41" s="49">
        <v>3</v>
      </c>
      <c r="K41" s="21">
        <f t="shared" si="4"/>
        <v>722</v>
      </c>
      <c r="L41" s="120">
        <v>6</v>
      </c>
      <c r="M41" s="606">
        <v>4</v>
      </c>
      <c r="N41" s="28">
        <v>234</v>
      </c>
      <c r="O41" s="396">
        <v>219</v>
      </c>
      <c r="P41" s="123">
        <v>44</v>
      </c>
      <c r="Q41" s="45">
        <v>31</v>
      </c>
      <c r="R41" s="45">
        <v>1</v>
      </c>
      <c r="S41" s="28">
        <v>8</v>
      </c>
      <c r="T41" s="45">
        <v>79</v>
      </c>
      <c r="U41" s="28">
        <v>83</v>
      </c>
      <c r="V41" s="45">
        <v>7</v>
      </c>
      <c r="W41" s="45">
        <v>6</v>
      </c>
      <c r="X41" s="529">
        <f t="shared" si="6"/>
        <v>689</v>
      </c>
      <c r="Y41" s="134">
        <v>275</v>
      </c>
      <c r="Z41" s="45">
        <v>246</v>
      </c>
      <c r="AA41" s="45">
        <v>80</v>
      </c>
      <c r="AB41" s="424">
        <v>88</v>
      </c>
      <c r="AC41" s="134"/>
    </row>
    <row r="42" spans="1:29">
      <c r="A42" s="174">
        <v>22</v>
      </c>
      <c r="B42" s="55" t="s">
        <v>108</v>
      </c>
      <c r="C42" s="4"/>
      <c r="D42" s="474">
        <v>48</v>
      </c>
      <c r="E42" s="493">
        <v>78</v>
      </c>
      <c r="F42" s="493">
        <f t="shared" si="5"/>
        <v>85</v>
      </c>
      <c r="G42" s="471">
        <v>18</v>
      </c>
      <c r="H42" s="167">
        <v>57</v>
      </c>
      <c r="I42" s="472">
        <v>6</v>
      </c>
      <c r="J42" s="494">
        <v>4</v>
      </c>
      <c r="K42" s="21">
        <f t="shared" si="4"/>
        <v>1468</v>
      </c>
      <c r="L42" s="120">
        <v>24</v>
      </c>
      <c r="M42" s="606">
        <v>38</v>
      </c>
      <c r="N42" s="28">
        <v>397</v>
      </c>
      <c r="O42" s="396">
        <v>379</v>
      </c>
      <c r="P42" s="123">
        <v>106</v>
      </c>
      <c r="Q42" s="45">
        <v>124</v>
      </c>
      <c r="R42" s="45">
        <v>5</v>
      </c>
      <c r="S42" s="28">
        <v>1</v>
      </c>
      <c r="T42" s="45">
        <v>173</v>
      </c>
      <c r="U42" s="28">
        <v>183</v>
      </c>
      <c r="V42" s="45">
        <v>23</v>
      </c>
      <c r="W42" s="45">
        <v>15</v>
      </c>
      <c r="X42" s="529">
        <f t="shared" si="6"/>
        <v>1368</v>
      </c>
      <c r="Y42" s="134">
        <v>498</v>
      </c>
      <c r="Z42" s="45">
        <v>517</v>
      </c>
      <c r="AA42" s="45">
        <v>170</v>
      </c>
      <c r="AB42" s="424">
        <v>183</v>
      </c>
      <c r="AC42" s="134"/>
    </row>
    <row r="43" spans="1:29">
      <c r="A43" s="146">
        <v>23</v>
      </c>
      <c r="B43" s="48" t="s">
        <v>109</v>
      </c>
      <c r="C43" s="4"/>
      <c r="D43" s="474">
        <v>4</v>
      </c>
      <c r="E43" s="493">
        <v>8</v>
      </c>
      <c r="F43" s="493">
        <f t="shared" si="5"/>
        <v>11</v>
      </c>
      <c r="G43" s="471">
        <v>1</v>
      </c>
      <c r="H43" s="167">
        <v>6</v>
      </c>
      <c r="I43" s="472">
        <v>2</v>
      </c>
      <c r="J43" s="494">
        <v>2</v>
      </c>
      <c r="K43" s="21">
        <f t="shared" si="4"/>
        <v>362</v>
      </c>
      <c r="L43" s="120">
        <v>3</v>
      </c>
      <c r="M43" s="606">
        <v>2</v>
      </c>
      <c r="N43" s="28">
        <v>68</v>
      </c>
      <c r="O43" s="396">
        <v>71</v>
      </c>
      <c r="P43" s="123">
        <v>5</v>
      </c>
      <c r="Q43" s="45">
        <v>13</v>
      </c>
      <c r="R43" s="45"/>
      <c r="S43" s="28">
        <v>3</v>
      </c>
      <c r="T43" s="45">
        <v>57</v>
      </c>
      <c r="U43" s="28">
        <v>95</v>
      </c>
      <c r="V43" s="45">
        <v>26</v>
      </c>
      <c r="W43" s="45">
        <v>19</v>
      </c>
      <c r="X43" s="529">
        <f t="shared" si="6"/>
        <v>320</v>
      </c>
      <c r="Y43" s="134">
        <v>69</v>
      </c>
      <c r="Z43" s="45">
        <v>84</v>
      </c>
      <c r="AA43" s="45">
        <v>68</v>
      </c>
      <c r="AB43" s="424">
        <v>99</v>
      </c>
      <c r="AC43" s="134"/>
    </row>
    <row r="44" spans="1:29">
      <c r="A44" s="146">
        <v>24</v>
      </c>
      <c r="B44" s="48" t="s">
        <v>110</v>
      </c>
      <c r="C44" s="4"/>
      <c r="D44" s="474">
        <v>44</v>
      </c>
      <c r="E44" s="493">
        <v>110</v>
      </c>
      <c r="F44" s="493">
        <f t="shared" si="5"/>
        <v>129</v>
      </c>
      <c r="G44" s="471">
        <v>24</v>
      </c>
      <c r="H44" s="167">
        <v>84</v>
      </c>
      <c r="I44" s="472">
        <v>12</v>
      </c>
      <c r="J44" s="494">
        <v>9</v>
      </c>
      <c r="K44" s="21">
        <f t="shared" si="4"/>
        <v>3294</v>
      </c>
      <c r="L44" s="120">
        <v>14</v>
      </c>
      <c r="M44" s="606">
        <v>12</v>
      </c>
      <c r="N44" s="28">
        <v>1258</v>
      </c>
      <c r="O44" s="396">
        <v>1110</v>
      </c>
      <c r="P44" s="123">
        <v>162</v>
      </c>
      <c r="Q44" s="45">
        <v>100</v>
      </c>
      <c r="R44" s="45">
        <v>5</v>
      </c>
      <c r="S44" s="28"/>
      <c r="T44" s="45">
        <v>241</v>
      </c>
      <c r="U44" s="28">
        <v>264</v>
      </c>
      <c r="V44" s="45">
        <v>82</v>
      </c>
      <c r="W44" s="45">
        <v>46</v>
      </c>
      <c r="X44" s="529">
        <f t="shared" si="6"/>
        <v>2924</v>
      </c>
      <c r="Y44" s="134">
        <v>1282</v>
      </c>
      <c r="Z44" s="45">
        <v>1103</v>
      </c>
      <c r="AA44" s="45">
        <v>271</v>
      </c>
      <c r="AB44" s="424">
        <v>268</v>
      </c>
      <c r="AC44" s="134"/>
    </row>
    <row r="45" spans="1:29">
      <c r="A45" s="146">
        <v>25</v>
      </c>
      <c r="B45" s="48" t="s">
        <v>111</v>
      </c>
      <c r="C45" s="4"/>
      <c r="D45" s="474">
        <v>24</v>
      </c>
      <c r="E45" s="493">
        <v>42</v>
      </c>
      <c r="F45" s="493">
        <f t="shared" si="5"/>
        <v>57</v>
      </c>
      <c r="G45" s="471">
        <v>8</v>
      </c>
      <c r="H45" s="167">
        <v>17</v>
      </c>
      <c r="I45" s="472">
        <v>16</v>
      </c>
      <c r="J45" s="494">
        <v>16</v>
      </c>
      <c r="K45" s="21">
        <f t="shared" si="4"/>
        <v>1533</v>
      </c>
      <c r="L45" s="120">
        <v>1</v>
      </c>
      <c r="N45" s="28">
        <v>132</v>
      </c>
      <c r="O45" s="396">
        <v>107</v>
      </c>
      <c r="P45" s="123">
        <v>18</v>
      </c>
      <c r="Q45" s="45">
        <v>8</v>
      </c>
      <c r="R45" s="45">
        <v>40</v>
      </c>
      <c r="S45" s="28">
        <v>30</v>
      </c>
      <c r="T45" s="45">
        <v>348</v>
      </c>
      <c r="U45" s="28">
        <v>453</v>
      </c>
      <c r="V45" s="45">
        <v>215</v>
      </c>
      <c r="W45" s="45">
        <v>181</v>
      </c>
      <c r="X45" s="529">
        <f t="shared" si="6"/>
        <v>1347</v>
      </c>
      <c r="Y45" s="134">
        <v>134</v>
      </c>
      <c r="Z45" s="45">
        <v>102</v>
      </c>
      <c r="AA45" s="45">
        <v>538</v>
      </c>
      <c r="AB45" s="424">
        <v>573</v>
      </c>
      <c r="AC45" s="134"/>
    </row>
    <row r="46" spans="1:29">
      <c r="A46" s="146">
        <v>26</v>
      </c>
      <c r="B46" s="48" t="s">
        <v>112</v>
      </c>
      <c r="C46" s="4"/>
      <c r="D46" s="474">
        <v>25</v>
      </c>
      <c r="E46" s="493">
        <v>29</v>
      </c>
      <c r="F46" s="493">
        <f t="shared" si="5"/>
        <v>28</v>
      </c>
      <c r="G46" s="471">
        <v>8</v>
      </c>
      <c r="H46" s="167">
        <v>19</v>
      </c>
      <c r="I46" s="472">
        <v>1</v>
      </c>
      <c r="J46" s="494"/>
      <c r="K46" s="21">
        <f t="shared" si="4"/>
        <v>316</v>
      </c>
      <c r="L46" s="120">
        <v>2</v>
      </c>
      <c r="M46" s="606">
        <v>2</v>
      </c>
      <c r="N46" s="28">
        <v>110</v>
      </c>
      <c r="O46" s="396">
        <v>104</v>
      </c>
      <c r="P46" s="123">
        <v>37</v>
      </c>
      <c r="Q46" s="45">
        <v>36</v>
      </c>
      <c r="R46" s="45"/>
      <c r="S46" s="28"/>
      <c r="T46" s="45">
        <v>17</v>
      </c>
      <c r="U46" s="28">
        <v>8</v>
      </c>
      <c r="V46" s="45"/>
      <c r="W46" s="45"/>
      <c r="X46" s="529">
        <f t="shared" si="6"/>
        <v>310</v>
      </c>
      <c r="Y46" s="134">
        <v>147</v>
      </c>
      <c r="Z46" s="45">
        <v>141</v>
      </c>
      <c r="AA46" s="45">
        <v>15</v>
      </c>
      <c r="AB46" s="424">
        <v>7</v>
      </c>
      <c r="AC46" s="134"/>
    </row>
    <row r="47" spans="1:29">
      <c r="A47" s="146">
        <v>27</v>
      </c>
      <c r="B47" s="48" t="s">
        <v>113</v>
      </c>
      <c r="C47" s="4"/>
      <c r="D47" s="474">
        <v>34</v>
      </c>
      <c r="E47" s="493">
        <v>57</v>
      </c>
      <c r="F47" s="493">
        <f t="shared" si="5"/>
        <v>67</v>
      </c>
      <c r="G47" s="471">
        <v>16</v>
      </c>
      <c r="H47" s="167">
        <v>48</v>
      </c>
      <c r="I47" s="472">
        <v>1</v>
      </c>
      <c r="J47" s="494">
        <v>2</v>
      </c>
      <c r="K47" s="21">
        <f t="shared" si="4"/>
        <v>1622</v>
      </c>
      <c r="L47" s="120">
        <v>1</v>
      </c>
      <c r="N47" s="28">
        <v>510</v>
      </c>
      <c r="O47" s="396">
        <v>485</v>
      </c>
      <c r="P47" s="123">
        <v>74</v>
      </c>
      <c r="Q47" s="45">
        <v>65</v>
      </c>
      <c r="R47" s="45"/>
      <c r="S47" s="28"/>
      <c r="T47" s="45">
        <v>214</v>
      </c>
      <c r="U47" s="28">
        <v>265</v>
      </c>
      <c r="V47" s="45">
        <v>2</v>
      </c>
      <c r="W47" s="45">
        <v>6</v>
      </c>
      <c r="X47" s="529">
        <f t="shared" si="6"/>
        <v>1425</v>
      </c>
      <c r="Y47" s="134">
        <v>514</v>
      </c>
      <c r="Z47" s="45">
        <v>490</v>
      </c>
      <c r="AA47" s="45">
        <v>187</v>
      </c>
      <c r="AB47" s="424">
        <v>234</v>
      </c>
      <c r="AC47" s="134"/>
    </row>
    <row r="48" spans="1:29">
      <c r="A48" s="146">
        <v>28</v>
      </c>
      <c r="B48" s="48" t="s">
        <v>114</v>
      </c>
      <c r="C48" s="4"/>
      <c r="D48" s="474">
        <v>57</v>
      </c>
      <c r="E48" s="493">
        <v>63</v>
      </c>
      <c r="F48" s="493">
        <f t="shared" si="5"/>
        <v>101</v>
      </c>
      <c r="G48" s="471">
        <v>2</v>
      </c>
      <c r="H48" s="167">
        <v>5</v>
      </c>
      <c r="I48" s="472">
        <v>49</v>
      </c>
      <c r="J48" s="494">
        <v>45</v>
      </c>
      <c r="K48" s="21">
        <f t="shared" si="4"/>
        <v>3565</v>
      </c>
      <c r="L48" s="120"/>
      <c r="N48" s="28">
        <v>40</v>
      </c>
      <c r="O48" s="396">
        <v>39</v>
      </c>
      <c r="P48" s="123">
        <v>3</v>
      </c>
      <c r="Q48" s="446">
        <v>3</v>
      </c>
      <c r="R48" s="45">
        <v>26</v>
      </c>
      <c r="S48" s="28">
        <v>48</v>
      </c>
      <c r="T48" s="45">
        <v>1330</v>
      </c>
      <c r="U48" s="28">
        <v>1467</v>
      </c>
      <c r="V48" s="45">
        <v>278</v>
      </c>
      <c r="W48" s="45">
        <v>331</v>
      </c>
      <c r="X48" s="529">
        <f t="shared" si="6"/>
        <v>2835</v>
      </c>
      <c r="Y48" s="134">
        <v>41</v>
      </c>
      <c r="Z48" s="45">
        <v>38</v>
      </c>
      <c r="AA48" s="45">
        <v>1228</v>
      </c>
      <c r="AB48" s="424">
        <v>1528</v>
      </c>
      <c r="AC48" s="134"/>
    </row>
    <row r="49" spans="1:29">
      <c r="A49" s="146">
        <v>29</v>
      </c>
      <c r="B49" s="48" t="s">
        <v>115</v>
      </c>
      <c r="C49" s="4"/>
      <c r="D49" s="474">
        <v>47</v>
      </c>
      <c r="E49" s="493">
        <v>107</v>
      </c>
      <c r="F49" s="493">
        <f t="shared" si="5"/>
        <v>101</v>
      </c>
      <c r="G49" s="471">
        <v>16</v>
      </c>
      <c r="H49" s="167">
        <v>71</v>
      </c>
      <c r="I49" s="472">
        <v>7</v>
      </c>
      <c r="J49" s="494">
        <v>7</v>
      </c>
      <c r="K49" s="21">
        <f t="shared" si="4"/>
        <v>1994</v>
      </c>
      <c r="L49" s="120">
        <v>1</v>
      </c>
      <c r="M49">
        <v>6</v>
      </c>
      <c r="N49" s="28">
        <v>501</v>
      </c>
      <c r="O49" s="396">
        <v>526</v>
      </c>
      <c r="P49" s="123">
        <v>153</v>
      </c>
      <c r="Q49" s="45">
        <v>212</v>
      </c>
      <c r="R49" s="45">
        <v>3</v>
      </c>
      <c r="S49" s="28">
        <v>10</v>
      </c>
      <c r="T49" s="45">
        <v>243</v>
      </c>
      <c r="U49" s="28">
        <v>289</v>
      </c>
      <c r="V49" s="45">
        <v>23</v>
      </c>
      <c r="W49" s="45">
        <v>27</v>
      </c>
      <c r="X49" s="529">
        <f t="shared" si="6"/>
        <v>1832</v>
      </c>
      <c r="Y49" s="134">
        <v>612</v>
      </c>
      <c r="Z49" s="45">
        <v>691</v>
      </c>
      <c r="AA49" s="45">
        <v>238</v>
      </c>
      <c r="AB49" s="424">
        <v>291</v>
      </c>
      <c r="AC49" s="134"/>
    </row>
    <row r="50" spans="1:29">
      <c r="A50" s="146">
        <v>30</v>
      </c>
      <c r="B50" s="48" t="s">
        <v>116</v>
      </c>
      <c r="C50" s="4"/>
      <c r="D50" s="474">
        <v>10</v>
      </c>
      <c r="E50" s="493">
        <v>16</v>
      </c>
      <c r="F50" s="493">
        <f t="shared" si="5"/>
        <v>15</v>
      </c>
      <c r="G50" s="471">
        <v>3</v>
      </c>
      <c r="H50" s="167">
        <v>11</v>
      </c>
      <c r="I50" s="472">
        <v>1</v>
      </c>
      <c r="J50" s="494"/>
      <c r="K50" s="21">
        <f t="shared" si="4"/>
        <v>270</v>
      </c>
      <c r="L50" s="120">
        <v>2</v>
      </c>
      <c r="N50" s="28">
        <v>78</v>
      </c>
      <c r="O50" s="396">
        <v>70</v>
      </c>
      <c r="P50" s="123">
        <v>30</v>
      </c>
      <c r="Q50" s="45">
        <v>29</v>
      </c>
      <c r="R50" s="45">
        <v>1</v>
      </c>
      <c r="S50" s="28"/>
      <c r="T50" s="45">
        <v>31</v>
      </c>
      <c r="U50" s="28">
        <v>23</v>
      </c>
      <c r="V50" s="45">
        <v>3</v>
      </c>
      <c r="W50" s="45">
        <v>3</v>
      </c>
      <c r="X50" s="529">
        <f t="shared" si="6"/>
        <v>258</v>
      </c>
      <c r="Y50" s="134">
        <v>106</v>
      </c>
      <c r="Z50" s="45">
        <v>96</v>
      </c>
      <c r="AA50" s="45">
        <v>29</v>
      </c>
      <c r="AB50" s="424">
        <v>27</v>
      </c>
      <c r="AC50" s="134"/>
    </row>
    <row r="51" spans="1:29">
      <c r="A51" s="146">
        <v>31</v>
      </c>
      <c r="B51" s="48" t="s">
        <v>117</v>
      </c>
      <c r="C51" s="4"/>
      <c r="D51" s="474">
        <v>18</v>
      </c>
      <c r="E51" s="493">
        <v>21</v>
      </c>
      <c r="F51" s="493">
        <f t="shared" si="5"/>
        <v>22</v>
      </c>
      <c r="G51" s="471">
        <v>10</v>
      </c>
      <c r="H51" s="167">
        <v>12</v>
      </c>
      <c r="I51" s="472"/>
      <c r="J51" s="494"/>
      <c r="K51" s="21">
        <f t="shared" si="4"/>
        <v>345</v>
      </c>
      <c r="L51" s="120"/>
      <c r="N51" s="28">
        <v>119</v>
      </c>
      <c r="O51" s="396">
        <v>128</v>
      </c>
      <c r="P51" s="123">
        <v>38</v>
      </c>
      <c r="Q51" s="45">
        <v>25</v>
      </c>
      <c r="R51" s="45"/>
      <c r="S51" s="28"/>
      <c r="T51" s="45">
        <v>11</v>
      </c>
      <c r="U51" s="28">
        <v>19</v>
      </c>
      <c r="V51" s="45">
        <v>3</v>
      </c>
      <c r="W51" s="45">
        <v>2</v>
      </c>
      <c r="X51" s="529">
        <f t="shared" si="6"/>
        <v>333</v>
      </c>
      <c r="Y51" s="134">
        <v>152</v>
      </c>
      <c r="Z51" s="45">
        <v>153</v>
      </c>
      <c r="AA51" s="45">
        <v>11</v>
      </c>
      <c r="AB51" s="424">
        <v>17</v>
      </c>
      <c r="AC51" s="134"/>
    </row>
    <row r="52" spans="1:29">
      <c r="A52" s="146">
        <v>32</v>
      </c>
      <c r="B52" s="48" t="s">
        <v>118</v>
      </c>
      <c r="C52" s="4"/>
      <c r="D52" s="474">
        <v>19</v>
      </c>
      <c r="E52" s="493">
        <v>22</v>
      </c>
      <c r="F52" s="493">
        <f t="shared" si="5"/>
        <v>22</v>
      </c>
      <c r="G52" s="471">
        <v>7</v>
      </c>
      <c r="H52" s="167">
        <v>15</v>
      </c>
      <c r="I52" s="472"/>
      <c r="J52" s="494"/>
      <c r="K52" s="21">
        <f t="shared" si="4"/>
        <v>303</v>
      </c>
      <c r="L52" s="120">
        <v>1</v>
      </c>
      <c r="M52">
        <v>2</v>
      </c>
      <c r="N52" s="28">
        <v>133</v>
      </c>
      <c r="O52" s="396">
        <v>119</v>
      </c>
      <c r="P52" s="123">
        <v>20</v>
      </c>
      <c r="Q52" s="45">
        <v>28</v>
      </c>
      <c r="R52" s="45"/>
      <c r="S52" s="28"/>
      <c r="T52" s="45"/>
      <c r="U52" s="28"/>
      <c r="V52" s="45"/>
      <c r="W52" s="45"/>
      <c r="X52" s="529">
        <f t="shared" si="6"/>
        <v>288</v>
      </c>
      <c r="Y52" s="134">
        <v>143</v>
      </c>
      <c r="Z52" s="45">
        <v>145</v>
      </c>
      <c r="AA52" s="45"/>
      <c r="AB52" s="424"/>
      <c r="AC52" s="134"/>
    </row>
    <row r="53" spans="1:29">
      <c r="A53" s="146">
        <v>33</v>
      </c>
      <c r="B53" s="48" t="s">
        <v>119</v>
      </c>
      <c r="C53" s="4"/>
      <c r="D53" s="474">
        <v>44</v>
      </c>
      <c r="E53" s="493">
        <v>50</v>
      </c>
      <c r="F53" s="493">
        <f t="shared" si="5"/>
        <v>87</v>
      </c>
      <c r="G53" s="471">
        <v>4</v>
      </c>
      <c r="H53" s="167">
        <v>3</v>
      </c>
      <c r="I53" s="472">
        <v>43</v>
      </c>
      <c r="J53" s="494">
        <v>37</v>
      </c>
      <c r="K53" s="21">
        <f t="shared" ref="K53:K77" si="7">SUM(L53:W53)</f>
        <v>2691</v>
      </c>
      <c r="L53" s="120"/>
      <c r="N53" s="28">
        <v>12</v>
      </c>
      <c r="O53" s="396">
        <v>12</v>
      </c>
      <c r="P53" s="123"/>
      <c r="Q53" s="45">
        <v>2</v>
      </c>
      <c r="R53" s="45">
        <v>9</v>
      </c>
      <c r="S53" s="28">
        <v>6</v>
      </c>
      <c r="T53" s="45">
        <v>825</v>
      </c>
      <c r="U53" s="28">
        <v>1211</v>
      </c>
      <c r="V53" s="45">
        <v>378</v>
      </c>
      <c r="W53" s="45">
        <v>236</v>
      </c>
      <c r="X53" s="529">
        <f t="shared" si="6"/>
        <v>2255</v>
      </c>
      <c r="Y53" s="134">
        <v>11</v>
      </c>
      <c r="Z53" s="45">
        <v>13</v>
      </c>
      <c r="AA53" s="45">
        <v>992</v>
      </c>
      <c r="AB53" s="424">
        <v>1239</v>
      </c>
      <c r="AC53" s="134"/>
    </row>
    <row r="54" spans="1:29">
      <c r="A54" s="146">
        <v>34</v>
      </c>
      <c r="B54" s="48" t="s">
        <v>120</v>
      </c>
      <c r="C54" s="4"/>
      <c r="D54" s="474">
        <v>26</v>
      </c>
      <c r="E54" s="493">
        <v>33</v>
      </c>
      <c r="F54" s="493">
        <f t="shared" si="5"/>
        <v>33</v>
      </c>
      <c r="G54" s="471">
        <v>9</v>
      </c>
      <c r="H54" s="167">
        <v>23</v>
      </c>
      <c r="I54" s="472">
        <v>1</v>
      </c>
      <c r="J54" s="494"/>
      <c r="K54" s="21">
        <f t="shared" si="7"/>
        <v>482</v>
      </c>
      <c r="L54" s="120">
        <v>1</v>
      </c>
      <c r="M54">
        <v>5</v>
      </c>
      <c r="N54" s="28">
        <v>179</v>
      </c>
      <c r="O54" s="396">
        <v>192</v>
      </c>
      <c r="P54" s="123">
        <v>31</v>
      </c>
      <c r="Q54" s="45">
        <v>31</v>
      </c>
      <c r="R54" s="45"/>
      <c r="S54" s="28">
        <v>1</v>
      </c>
      <c r="T54" s="45">
        <v>14</v>
      </c>
      <c r="U54" s="28">
        <v>24</v>
      </c>
      <c r="V54" s="45">
        <v>2</v>
      </c>
      <c r="W54" s="45">
        <v>2</v>
      </c>
      <c r="X54" s="529">
        <f t="shared" si="6"/>
        <v>458</v>
      </c>
      <c r="Y54" s="134">
        <v>198</v>
      </c>
      <c r="Z54" s="45">
        <v>217</v>
      </c>
      <c r="AA54" s="45">
        <v>16</v>
      </c>
      <c r="AB54" s="424">
        <v>27</v>
      </c>
      <c r="AC54" s="134"/>
    </row>
    <row r="55" spans="1:29">
      <c r="A55" s="146">
        <v>35</v>
      </c>
      <c r="B55" s="48" t="s">
        <v>121</v>
      </c>
      <c r="C55" s="4"/>
      <c r="D55" s="474">
        <v>53</v>
      </c>
      <c r="E55" s="493">
        <v>66</v>
      </c>
      <c r="F55" s="493">
        <f t="shared" si="5"/>
        <v>60</v>
      </c>
      <c r="G55" s="471">
        <v>9</v>
      </c>
      <c r="H55" s="167">
        <v>41</v>
      </c>
      <c r="I55" s="472">
        <v>8</v>
      </c>
      <c r="J55" s="494">
        <v>2</v>
      </c>
      <c r="K55" s="21">
        <f t="shared" si="7"/>
        <v>1357</v>
      </c>
      <c r="L55" s="120"/>
      <c r="N55" s="28">
        <v>394</v>
      </c>
      <c r="O55" s="396">
        <v>363</v>
      </c>
      <c r="P55" s="123">
        <v>44</v>
      </c>
      <c r="Q55" s="45">
        <v>52</v>
      </c>
      <c r="R55" s="45">
        <v>6</v>
      </c>
      <c r="S55" s="28">
        <v>5</v>
      </c>
      <c r="T55" s="45">
        <v>232</v>
      </c>
      <c r="U55" s="28">
        <v>219</v>
      </c>
      <c r="V55" s="45">
        <v>28</v>
      </c>
      <c r="W55" s="45">
        <v>14</v>
      </c>
      <c r="X55" s="529">
        <f t="shared" si="6"/>
        <v>1251</v>
      </c>
      <c r="Y55" s="134">
        <v>418</v>
      </c>
      <c r="Z55" s="446">
        <v>374</v>
      </c>
      <c r="AA55" s="45">
        <v>243</v>
      </c>
      <c r="AB55" s="424">
        <v>216</v>
      </c>
      <c r="AC55" s="134"/>
    </row>
    <row r="56" spans="1:29">
      <c r="A56" s="146">
        <v>36</v>
      </c>
      <c r="B56" s="48" t="s">
        <v>122</v>
      </c>
      <c r="C56" s="4"/>
      <c r="D56" s="474">
        <v>45</v>
      </c>
      <c r="E56" s="493">
        <v>51</v>
      </c>
      <c r="F56" s="493">
        <f t="shared" si="5"/>
        <v>53</v>
      </c>
      <c r="G56" s="463">
        <v>9</v>
      </c>
      <c r="H56" s="167">
        <v>40</v>
      </c>
      <c r="I56" s="472">
        <v>3</v>
      </c>
      <c r="J56" s="494">
        <v>1</v>
      </c>
      <c r="K56" s="21">
        <f t="shared" si="7"/>
        <v>962</v>
      </c>
      <c r="L56" s="120">
        <v>3</v>
      </c>
      <c r="M56">
        <v>2</v>
      </c>
      <c r="N56" s="28">
        <v>338</v>
      </c>
      <c r="O56" s="396">
        <v>367</v>
      </c>
      <c r="P56" s="123">
        <v>43</v>
      </c>
      <c r="Q56" s="45">
        <v>64</v>
      </c>
      <c r="R56" s="45"/>
      <c r="S56" s="28"/>
      <c r="T56" s="45">
        <v>56</v>
      </c>
      <c r="U56" s="28">
        <v>80</v>
      </c>
      <c r="V56" s="45">
        <v>1</v>
      </c>
      <c r="W56" s="45">
        <v>8</v>
      </c>
      <c r="X56" s="529">
        <f t="shared" si="6"/>
        <v>885</v>
      </c>
      <c r="Y56" s="134">
        <v>360</v>
      </c>
      <c r="Z56" s="45">
        <v>406</v>
      </c>
      <c r="AA56" s="45">
        <v>47</v>
      </c>
      <c r="AB56" s="424">
        <v>72</v>
      </c>
      <c r="AC56" s="134"/>
    </row>
    <row r="57" spans="1:29">
      <c r="A57" s="146">
        <v>37</v>
      </c>
      <c r="B57" s="48" t="s">
        <v>123</v>
      </c>
      <c r="C57" s="4"/>
      <c r="D57" s="474">
        <v>21</v>
      </c>
      <c r="E57" s="493">
        <v>29</v>
      </c>
      <c r="F57" s="493">
        <f t="shared" si="5"/>
        <v>29</v>
      </c>
      <c r="G57" s="471">
        <v>15</v>
      </c>
      <c r="H57" s="167">
        <v>14</v>
      </c>
      <c r="I57" s="472"/>
      <c r="J57" s="494"/>
      <c r="K57" s="21">
        <f t="shared" si="7"/>
        <v>659</v>
      </c>
      <c r="L57" s="120">
        <v>1</v>
      </c>
      <c r="N57" s="28">
        <v>250</v>
      </c>
      <c r="O57" s="396">
        <v>307</v>
      </c>
      <c r="P57" s="123">
        <v>38</v>
      </c>
      <c r="Q57" s="45">
        <v>63</v>
      </c>
      <c r="R57" s="45"/>
      <c r="S57" s="28"/>
      <c r="T57" s="45"/>
      <c r="U57" s="28"/>
      <c r="V57" s="45"/>
      <c r="W57" s="45"/>
      <c r="X57" s="529">
        <f t="shared" si="6"/>
        <v>628</v>
      </c>
      <c r="Y57" s="134">
        <v>279</v>
      </c>
      <c r="Z57" s="45">
        <v>349</v>
      </c>
      <c r="AA57" s="45"/>
      <c r="AB57" s="424"/>
      <c r="AC57" s="134"/>
    </row>
    <row r="58" spans="1:29">
      <c r="A58" s="146">
        <v>38</v>
      </c>
      <c r="B58" s="48" t="s">
        <v>124</v>
      </c>
      <c r="C58" s="4"/>
      <c r="D58" s="474">
        <v>35</v>
      </c>
      <c r="E58" s="493">
        <v>130</v>
      </c>
      <c r="F58" s="493">
        <f t="shared" si="5"/>
        <v>170</v>
      </c>
      <c r="G58" s="471">
        <v>35</v>
      </c>
      <c r="H58" s="167">
        <v>106</v>
      </c>
      <c r="I58" s="472">
        <v>9</v>
      </c>
      <c r="J58" s="494">
        <v>20</v>
      </c>
      <c r="K58" s="21">
        <f t="shared" si="7"/>
        <v>4747</v>
      </c>
      <c r="L58" s="120">
        <v>24</v>
      </c>
      <c r="M58">
        <v>35</v>
      </c>
      <c r="N58" s="28">
        <v>1301</v>
      </c>
      <c r="O58" s="396">
        <v>1322</v>
      </c>
      <c r="P58" s="123">
        <v>275</v>
      </c>
      <c r="Q58" s="45">
        <v>107</v>
      </c>
      <c r="R58" s="45">
        <v>40</v>
      </c>
      <c r="S58" s="28">
        <v>32</v>
      </c>
      <c r="T58" s="45">
        <v>704</v>
      </c>
      <c r="U58" s="28">
        <v>800</v>
      </c>
      <c r="V58" s="45">
        <v>55</v>
      </c>
      <c r="W58" s="45">
        <v>52</v>
      </c>
      <c r="X58" s="529">
        <f t="shared" si="6"/>
        <v>4381</v>
      </c>
      <c r="Y58" s="134">
        <v>1406</v>
      </c>
      <c r="Z58" s="45">
        <v>1393</v>
      </c>
      <c r="AA58" s="45">
        <v>770</v>
      </c>
      <c r="AB58" s="424">
        <v>812</v>
      </c>
      <c r="AC58" s="134"/>
    </row>
    <row r="59" spans="1:29">
      <c r="A59" s="146">
        <v>39</v>
      </c>
      <c r="B59" s="48" t="s">
        <v>125</v>
      </c>
      <c r="C59" s="4"/>
      <c r="D59" s="474">
        <v>142</v>
      </c>
      <c r="E59" s="493">
        <v>240</v>
      </c>
      <c r="F59" s="493">
        <f t="shared" si="5"/>
        <v>306</v>
      </c>
      <c r="G59" s="471">
        <v>23</v>
      </c>
      <c r="H59" s="167">
        <v>93</v>
      </c>
      <c r="I59" s="472">
        <v>82</v>
      </c>
      <c r="J59" s="494">
        <v>108</v>
      </c>
      <c r="K59" s="21">
        <f t="shared" si="7"/>
        <v>9080</v>
      </c>
      <c r="L59" s="120">
        <v>12</v>
      </c>
      <c r="M59">
        <v>10</v>
      </c>
      <c r="N59" s="28">
        <v>899</v>
      </c>
      <c r="O59" s="396">
        <v>874</v>
      </c>
      <c r="P59" s="123">
        <v>130</v>
      </c>
      <c r="Q59" s="45">
        <v>136</v>
      </c>
      <c r="R59" s="45">
        <v>90</v>
      </c>
      <c r="S59" s="28">
        <v>121</v>
      </c>
      <c r="T59" s="45">
        <v>2348</v>
      </c>
      <c r="U59" s="28">
        <v>3028</v>
      </c>
      <c r="V59" s="45">
        <v>651</v>
      </c>
      <c r="W59" s="45">
        <v>781</v>
      </c>
      <c r="X59" s="529">
        <f t="shared" si="6"/>
        <v>7515</v>
      </c>
      <c r="Y59" s="134">
        <v>933</v>
      </c>
      <c r="Z59" s="45">
        <v>920</v>
      </c>
      <c r="AA59" s="45">
        <v>2399</v>
      </c>
      <c r="AB59" s="424">
        <v>3263</v>
      </c>
      <c r="AC59" s="134"/>
    </row>
    <row r="60" spans="1:29">
      <c r="A60" s="146">
        <v>40</v>
      </c>
      <c r="B60" s="48" t="s">
        <v>126</v>
      </c>
      <c r="C60" s="4"/>
      <c r="D60" s="474">
        <v>38</v>
      </c>
      <c r="E60" s="493">
        <v>53</v>
      </c>
      <c r="F60" s="493">
        <f t="shared" si="5"/>
        <v>55</v>
      </c>
      <c r="G60" s="471">
        <v>13</v>
      </c>
      <c r="H60" s="167">
        <v>38</v>
      </c>
      <c r="I60" s="472">
        <v>3</v>
      </c>
      <c r="J60" s="494">
        <v>1</v>
      </c>
      <c r="K60" s="21">
        <f t="shared" si="7"/>
        <v>1358</v>
      </c>
      <c r="L60" s="120">
        <v>3</v>
      </c>
      <c r="M60">
        <v>6</v>
      </c>
      <c r="N60" s="28">
        <v>462</v>
      </c>
      <c r="O60" s="396">
        <v>438</v>
      </c>
      <c r="P60" s="123">
        <v>49</v>
      </c>
      <c r="Q60" s="45">
        <v>47</v>
      </c>
      <c r="R60" s="45"/>
      <c r="S60" s="28">
        <v>4</v>
      </c>
      <c r="T60" s="45">
        <v>157</v>
      </c>
      <c r="U60" s="28">
        <v>179</v>
      </c>
      <c r="V60" s="45">
        <v>4</v>
      </c>
      <c r="W60" s="45">
        <v>9</v>
      </c>
      <c r="X60" s="529">
        <f t="shared" si="6"/>
        <v>1193</v>
      </c>
      <c r="Y60" s="134">
        <v>457</v>
      </c>
      <c r="Z60" s="45">
        <v>440</v>
      </c>
      <c r="AA60" s="45">
        <v>140</v>
      </c>
      <c r="AB60" s="424">
        <v>156</v>
      </c>
      <c r="AC60" s="134"/>
    </row>
    <row r="61" spans="1:29">
      <c r="A61" s="146">
        <v>41</v>
      </c>
      <c r="B61" s="48" t="s">
        <v>127</v>
      </c>
      <c r="C61" s="4"/>
      <c r="D61" s="474">
        <v>17</v>
      </c>
      <c r="E61" s="493">
        <v>20</v>
      </c>
      <c r="F61" s="493">
        <f t="shared" si="5"/>
        <v>20</v>
      </c>
      <c r="G61" s="471">
        <v>5</v>
      </c>
      <c r="H61" s="167">
        <v>13</v>
      </c>
      <c r="I61" s="472">
        <v>2</v>
      </c>
      <c r="J61" s="494"/>
      <c r="K61" s="21">
        <f t="shared" si="7"/>
        <v>392</v>
      </c>
      <c r="L61" s="120"/>
      <c r="M61">
        <v>2</v>
      </c>
      <c r="N61" s="28">
        <v>133</v>
      </c>
      <c r="O61" s="396">
        <v>120</v>
      </c>
      <c r="P61" s="123">
        <v>13</v>
      </c>
      <c r="Q61" s="45">
        <v>13</v>
      </c>
      <c r="R61" s="45">
        <v>2</v>
      </c>
      <c r="S61" s="28">
        <v>2</v>
      </c>
      <c r="T61" s="45">
        <v>47</v>
      </c>
      <c r="U61" s="28">
        <v>49</v>
      </c>
      <c r="V61" s="45">
        <v>5</v>
      </c>
      <c r="W61" s="45">
        <v>6</v>
      </c>
      <c r="X61" s="529">
        <f t="shared" si="6"/>
        <v>332</v>
      </c>
      <c r="Y61" s="134">
        <v>130</v>
      </c>
      <c r="Z61" s="45">
        <v>118</v>
      </c>
      <c r="AA61" s="45">
        <v>40</v>
      </c>
      <c r="AB61" s="424">
        <v>44</v>
      </c>
      <c r="AC61" s="134"/>
    </row>
    <row r="62" spans="1:29" s="73" customFormat="1">
      <c r="A62" s="146">
        <v>42</v>
      </c>
      <c r="B62" s="48" t="s">
        <v>128</v>
      </c>
      <c r="C62" s="110"/>
      <c r="D62" s="490">
        <v>33</v>
      </c>
      <c r="E62" s="572">
        <v>54</v>
      </c>
      <c r="F62" s="493">
        <f t="shared" si="5"/>
        <v>55</v>
      </c>
      <c r="G62" s="476">
        <v>17</v>
      </c>
      <c r="H62" s="652">
        <v>32</v>
      </c>
      <c r="I62" s="477">
        <v>1</v>
      </c>
      <c r="J62" s="495">
        <v>5</v>
      </c>
      <c r="K62" s="21">
        <f t="shared" si="7"/>
        <v>1236</v>
      </c>
      <c r="L62" s="127">
        <v>2</v>
      </c>
      <c r="M62" s="441"/>
      <c r="N62" s="446">
        <v>397</v>
      </c>
      <c r="O62" s="205">
        <v>424</v>
      </c>
      <c r="P62" s="29">
        <v>49</v>
      </c>
      <c r="Q62" s="45">
        <v>35</v>
      </c>
      <c r="R62" s="446"/>
      <c r="S62" s="205">
        <v>2</v>
      </c>
      <c r="T62" s="446">
        <v>159</v>
      </c>
      <c r="U62" s="205">
        <v>165</v>
      </c>
      <c r="V62" s="446">
        <v>3</v>
      </c>
      <c r="W62" s="446"/>
      <c r="X62" s="529">
        <f t="shared" si="6"/>
        <v>1125</v>
      </c>
      <c r="Y62" s="29">
        <v>404</v>
      </c>
      <c r="Z62" s="45">
        <v>422</v>
      </c>
      <c r="AA62" s="446">
        <v>147</v>
      </c>
      <c r="AB62" s="455">
        <v>152</v>
      </c>
      <c r="AC62" s="29"/>
    </row>
    <row r="63" spans="1:29">
      <c r="A63" s="175">
        <v>43</v>
      </c>
      <c r="B63" s="67" t="s">
        <v>129</v>
      </c>
      <c r="C63" s="111"/>
      <c r="D63" s="490">
        <v>20</v>
      </c>
      <c r="E63" s="572">
        <v>27</v>
      </c>
      <c r="F63" s="493">
        <f t="shared" si="5"/>
        <v>26</v>
      </c>
      <c r="G63" s="479">
        <v>6</v>
      </c>
      <c r="H63" s="167">
        <v>19</v>
      </c>
      <c r="I63" s="477"/>
      <c r="J63" s="651">
        <v>1</v>
      </c>
      <c r="K63" s="21">
        <f t="shared" si="7"/>
        <v>489</v>
      </c>
      <c r="L63" s="120"/>
      <c r="M63" s="13"/>
      <c r="N63" s="45">
        <v>148</v>
      </c>
      <c r="O63" s="205">
        <v>174</v>
      </c>
      <c r="P63" s="134">
        <v>38</v>
      </c>
      <c r="Q63" s="446">
        <v>47</v>
      </c>
      <c r="R63" s="45">
        <v>1</v>
      </c>
      <c r="S63" s="28">
        <v>1</v>
      </c>
      <c r="T63" s="45">
        <v>40</v>
      </c>
      <c r="U63" s="28">
        <v>30</v>
      </c>
      <c r="V63" s="45">
        <v>6</v>
      </c>
      <c r="W63" s="45">
        <v>4</v>
      </c>
      <c r="X63" s="529">
        <f t="shared" si="6"/>
        <v>471</v>
      </c>
      <c r="Y63" s="134">
        <v>179</v>
      </c>
      <c r="Z63" s="446">
        <v>215</v>
      </c>
      <c r="AA63" s="45">
        <v>44</v>
      </c>
      <c r="AB63" s="424">
        <v>33</v>
      </c>
      <c r="AC63" s="134"/>
    </row>
    <row r="64" spans="1:29">
      <c r="A64" s="175">
        <v>44</v>
      </c>
      <c r="B64" s="67" t="s">
        <v>130</v>
      </c>
      <c r="C64" s="111"/>
      <c r="D64" s="490">
        <v>67</v>
      </c>
      <c r="E64" s="572">
        <v>124</v>
      </c>
      <c r="F64" s="493">
        <f t="shared" si="5"/>
        <v>126</v>
      </c>
      <c r="G64" s="479">
        <v>29</v>
      </c>
      <c r="H64" s="167">
        <v>77</v>
      </c>
      <c r="I64" s="477">
        <v>12</v>
      </c>
      <c r="J64" s="496">
        <v>8</v>
      </c>
      <c r="K64" s="21">
        <f t="shared" si="7"/>
        <v>3250</v>
      </c>
      <c r="L64" s="120">
        <v>2</v>
      </c>
      <c r="M64" s="13">
        <v>3</v>
      </c>
      <c r="N64" s="45">
        <v>869</v>
      </c>
      <c r="O64" s="205">
        <v>939</v>
      </c>
      <c r="P64" s="134">
        <v>227</v>
      </c>
      <c r="Q64" s="45">
        <v>193</v>
      </c>
      <c r="R64" s="45">
        <v>21</v>
      </c>
      <c r="S64" s="28">
        <v>13</v>
      </c>
      <c r="T64" s="45">
        <v>473</v>
      </c>
      <c r="U64" s="28">
        <v>482</v>
      </c>
      <c r="V64" s="45">
        <v>11</v>
      </c>
      <c r="W64" s="45">
        <v>17</v>
      </c>
      <c r="X64" s="529">
        <f t="shared" si="6"/>
        <v>3058</v>
      </c>
      <c r="Y64" s="134">
        <v>1037</v>
      </c>
      <c r="Z64" s="45">
        <v>1077</v>
      </c>
      <c r="AA64" s="45">
        <v>472</v>
      </c>
      <c r="AB64" s="424">
        <v>472</v>
      </c>
      <c r="AC64" s="134"/>
    </row>
    <row r="65" spans="1:29">
      <c r="A65" s="175">
        <v>45</v>
      </c>
      <c r="B65" s="67" t="s">
        <v>131</v>
      </c>
      <c r="C65" s="111"/>
      <c r="D65" s="490">
        <v>29</v>
      </c>
      <c r="E65" s="572">
        <v>49</v>
      </c>
      <c r="F65" s="493">
        <f t="shared" si="5"/>
        <v>57</v>
      </c>
      <c r="G65" s="479">
        <v>18</v>
      </c>
      <c r="H65" s="167">
        <v>33</v>
      </c>
      <c r="I65" s="477">
        <v>3</v>
      </c>
      <c r="J65" s="496">
        <v>3</v>
      </c>
      <c r="K65" s="21">
        <f t="shared" si="7"/>
        <v>906</v>
      </c>
      <c r="L65" s="120">
        <v>1</v>
      </c>
      <c r="M65" s="13">
        <v>1</v>
      </c>
      <c r="N65" s="45">
        <v>274</v>
      </c>
      <c r="O65" s="205">
        <v>255</v>
      </c>
      <c r="P65" s="29">
        <v>77</v>
      </c>
      <c r="Q65" s="45">
        <v>65</v>
      </c>
      <c r="R65" s="45">
        <v>1</v>
      </c>
      <c r="S65" s="28"/>
      <c r="T65" s="45">
        <v>106</v>
      </c>
      <c r="U65" s="28">
        <v>108</v>
      </c>
      <c r="V65" s="45">
        <v>7</v>
      </c>
      <c r="W65" s="45">
        <v>11</v>
      </c>
      <c r="X65" s="529">
        <f t="shared" si="6"/>
        <v>867</v>
      </c>
      <c r="Y65" s="134">
        <v>339</v>
      </c>
      <c r="Z65" s="45">
        <v>306</v>
      </c>
      <c r="AA65" s="45">
        <v>109</v>
      </c>
      <c r="AB65" s="424">
        <v>113</v>
      </c>
      <c r="AC65" s="134"/>
    </row>
    <row r="66" spans="1:29">
      <c r="A66" s="175">
        <v>46</v>
      </c>
      <c r="B66" s="67" t="s">
        <v>132</v>
      </c>
      <c r="C66" s="111"/>
      <c r="D66" s="490">
        <v>18</v>
      </c>
      <c r="E66" s="572">
        <v>26</v>
      </c>
      <c r="F66" s="493">
        <f t="shared" si="5"/>
        <v>28</v>
      </c>
      <c r="G66" s="474">
        <v>5</v>
      </c>
      <c r="H66" s="167">
        <v>20</v>
      </c>
      <c r="I66" s="477">
        <v>1</v>
      </c>
      <c r="J66" s="496">
        <v>2</v>
      </c>
      <c r="K66" s="21">
        <f t="shared" si="7"/>
        <v>548</v>
      </c>
      <c r="L66" s="120">
        <v>3</v>
      </c>
      <c r="M66" s="13">
        <v>3</v>
      </c>
      <c r="N66" s="45">
        <v>191</v>
      </c>
      <c r="O66" s="205">
        <v>199</v>
      </c>
      <c r="P66" s="134">
        <v>35</v>
      </c>
      <c r="Q66" s="45">
        <v>37</v>
      </c>
      <c r="R66" s="45"/>
      <c r="S66" s="28"/>
      <c r="T66" s="45">
        <v>37</v>
      </c>
      <c r="U66" s="28">
        <v>43</v>
      </c>
      <c r="V66" s="45"/>
      <c r="W66" s="45"/>
      <c r="X66" s="529">
        <f t="shared" si="6"/>
        <v>504</v>
      </c>
      <c r="Y66" s="134">
        <v>211</v>
      </c>
      <c r="Z66" s="45">
        <v>220</v>
      </c>
      <c r="AA66" s="45">
        <v>33</v>
      </c>
      <c r="AB66" s="424">
        <v>40</v>
      </c>
      <c r="AC66" s="134"/>
    </row>
    <row r="67" spans="1:29">
      <c r="A67" s="175">
        <v>47</v>
      </c>
      <c r="B67" s="67" t="s">
        <v>133</v>
      </c>
      <c r="C67" s="111"/>
      <c r="D67" s="490">
        <v>19</v>
      </c>
      <c r="E67" s="572">
        <v>33</v>
      </c>
      <c r="F67" s="493">
        <f t="shared" si="5"/>
        <v>31</v>
      </c>
      <c r="G67" s="474">
        <v>7</v>
      </c>
      <c r="H67" s="167">
        <v>24</v>
      </c>
      <c r="I67" s="477"/>
      <c r="J67" s="496"/>
      <c r="K67" s="21">
        <f t="shared" si="7"/>
        <v>749</v>
      </c>
      <c r="L67" s="120"/>
      <c r="M67" s="13"/>
      <c r="N67" s="45">
        <v>252</v>
      </c>
      <c r="O67" s="205">
        <v>274</v>
      </c>
      <c r="P67" s="134">
        <v>68</v>
      </c>
      <c r="Q67" s="45">
        <v>46</v>
      </c>
      <c r="R67" s="45"/>
      <c r="S67" s="13"/>
      <c r="T67" s="45">
        <v>54</v>
      </c>
      <c r="U67" s="28">
        <v>48</v>
      </c>
      <c r="V67" s="45">
        <v>3</v>
      </c>
      <c r="W67" s="45">
        <v>4</v>
      </c>
      <c r="X67" s="529">
        <f t="shared" si="6"/>
        <v>688</v>
      </c>
      <c r="Y67" s="134">
        <v>308</v>
      </c>
      <c r="Z67" s="45">
        <v>288</v>
      </c>
      <c r="AA67" s="45">
        <v>51</v>
      </c>
      <c r="AB67" s="424">
        <v>41</v>
      </c>
      <c r="AC67" s="134"/>
    </row>
    <row r="68" spans="1:29">
      <c r="A68" s="175">
        <v>48</v>
      </c>
      <c r="B68" s="67" t="s">
        <v>134</v>
      </c>
      <c r="C68" s="111"/>
      <c r="D68" s="490">
        <v>34</v>
      </c>
      <c r="E68" s="572">
        <v>55</v>
      </c>
      <c r="F68" s="493">
        <f t="shared" si="5"/>
        <v>54</v>
      </c>
      <c r="G68" s="474">
        <v>9</v>
      </c>
      <c r="H68" s="167">
        <v>41</v>
      </c>
      <c r="I68" s="477">
        <v>2</v>
      </c>
      <c r="J68" s="496">
        <v>2</v>
      </c>
      <c r="K68" s="21">
        <f t="shared" si="7"/>
        <v>1302</v>
      </c>
      <c r="L68" s="120"/>
      <c r="M68" s="13"/>
      <c r="N68" s="45">
        <v>378</v>
      </c>
      <c r="O68" s="205">
        <v>406</v>
      </c>
      <c r="P68" s="134">
        <v>34</v>
      </c>
      <c r="Q68" s="45">
        <v>27</v>
      </c>
      <c r="R68" s="45">
        <v>12</v>
      </c>
      <c r="S68" s="28">
        <v>8</v>
      </c>
      <c r="T68" s="45">
        <v>199</v>
      </c>
      <c r="U68" s="28">
        <v>232</v>
      </c>
      <c r="V68" s="45">
        <v>4</v>
      </c>
      <c r="W68" s="45">
        <v>2</v>
      </c>
      <c r="X68" s="529">
        <f t="shared" si="6"/>
        <v>1150</v>
      </c>
      <c r="Y68" s="134">
        <v>378</v>
      </c>
      <c r="Z68" s="45">
        <v>403</v>
      </c>
      <c r="AA68" s="45">
        <v>175</v>
      </c>
      <c r="AB68" s="424">
        <v>194</v>
      </c>
      <c r="AC68" s="134"/>
    </row>
    <row r="69" spans="1:29">
      <c r="A69" s="175">
        <v>49</v>
      </c>
      <c r="B69" s="67" t="s">
        <v>135</v>
      </c>
      <c r="C69" s="111"/>
      <c r="D69" s="490">
        <v>10</v>
      </c>
      <c r="E69" s="572">
        <v>16</v>
      </c>
      <c r="F69" s="493">
        <f t="shared" si="5"/>
        <v>16</v>
      </c>
      <c r="G69" s="474">
        <v>2</v>
      </c>
      <c r="H69" s="167">
        <v>13</v>
      </c>
      <c r="I69" s="477">
        <v>1</v>
      </c>
      <c r="J69" s="496"/>
      <c r="K69" s="21">
        <f t="shared" si="7"/>
        <v>295</v>
      </c>
      <c r="L69" s="120"/>
      <c r="M69" s="13">
        <v>1</v>
      </c>
      <c r="N69" s="45">
        <v>88</v>
      </c>
      <c r="O69" s="205">
        <v>85</v>
      </c>
      <c r="P69" s="134">
        <v>26</v>
      </c>
      <c r="Q69" s="45">
        <v>32</v>
      </c>
      <c r="R69" s="45"/>
      <c r="S69" s="28"/>
      <c r="T69" s="45">
        <v>29</v>
      </c>
      <c r="U69" s="28">
        <v>32</v>
      </c>
      <c r="V69" s="45">
        <v>1</v>
      </c>
      <c r="W69" s="45">
        <v>1</v>
      </c>
      <c r="X69" s="529">
        <f t="shared" si="6"/>
        <v>278</v>
      </c>
      <c r="Y69" s="134">
        <v>110</v>
      </c>
      <c r="Z69" s="45">
        <v>114</v>
      </c>
      <c r="AA69" s="45">
        <v>26</v>
      </c>
      <c r="AB69" s="424">
        <v>28</v>
      </c>
      <c r="AC69" s="134"/>
    </row>
    <row r="70" spans="1:29">
      <c r="A70" s="175">
        <v>50</v>
      </c>
      <c r="B70" s="67" t="s">
        <v>136</v>
      </c>
      <c r="C70" s="111"/>
      <c r="D70" s="490">
        <v>36</v>
      </c>
      <c r="E70" s="572">
        <v>52</v>
      </c>
      <c r="F70" s="493">
        <f t="shared" si="5"/>
        <v>56</v>
      </c>
      <c r="G70" s="474">
        <v>24</v>
      </c>
      <c r="H70" s="167">
        <v>17</v>
      </c>
      <c r="I70" s="477">
        <v>5</v>
      </c>
      <c r="J70" s="496">
        <v>10</v>
      </c>
      <c r="K70" s="21">
        <f t="shared" si="7"/>
        <v>1494</v>
      </c>
      <c r="L70" s="120">
        <v>3</v>
      </c>
      <c r="M70" s="13">
        <v>5</v>
      </c>
      <c r="N70" s="45">
        <v>197</v>
      </c>
      <c r="O70" s="205">
        <v>199</v>
      </c>
      <c r="P70" s="134">
        <v>18</v>
      </c>
      <c r="Q70" s="45">
        <v>24</v>
      </c>
      <c r="R70" s="45">
        <v>10</v>
      </c>
      <c r="S70" s="28">
        <v>9</v>
      </c>
      <c r="T70" s="45">
        <v>402</v>
      </c>
      <c r="U70" s="28">
        <v>571</v>
      </c>
      <c r="V70" s="45">
        <v>20</v>
      </c>
      <c r="W70" s="45">
        <v>36</v>
      </c>
      <c r="X70" s="529">
        <f t="shared" si="6"/>
        <v>1309</v>
      </c>
      <c r="Y70" s="134">
        <v>212</v>
      </c>
      <c r="Z70" s="45">
        <v>217</v>
      </c>
      <c r="AA70" s="45">
        <v>367</v>
      </c>
      <c r="AB70" s="424">
        <v>513</v>
      </c>
      <c r="AC70" s="134"/>
    </row>
    <row r="71" spans="1:29">
      <c r="A71" s="175">
        <v>51</v>
      </c>
      <c r="B71" s="67" t="s">
        <v>137</v>
      </c>
      <c r="C71" s="111"/>
      <c r="D71" s="490">
        <v>85</v>
      </c>
      <c r="E71" s="572">
        <v>155</v>
      </c>
      <c r="F71" s="493">
        <f t="shared" si="5"/>
        <v>159</v>
      </c>
      <c r="G71" s="479">
        <v>46</v>
      </c>
      <c r="H71" s="167">
        <v>104</v>
      </c>
      <c r="I71" s="477">
        <v>6</v>
      </c>
      <c r="J71" s="495">
        <v>3</v>
      </c>
      <c r="K71" s="21">
        <f t="shared" si="7"/>
        <v>3835</v>
      </c>
      <c r="L71" s="120">
        <v>5</v>
      </c>
      <c r="M71" s="13">
        <v>2</v>
      </c>
      <c r="N71" s="45">
        <v>1505</v>
      </c>
      <c r="O71" s="205">
        <v>1391</v>
      </c>
      <c r="P71" s="134">
        <v>175</v>
      </c>
      <c r="Q71" s="45">
        <v>156</v>
      </c>
      <c r="R71" s="45">
        <v>2</v>
      </c>
      <c r="S71" s="28">
        <v>3</v>
      </c>
      <c r="T71" s="45">
        <v>282</v>
      </c>
      <c r="U71" s="28">
        <v>291</v>
      </c>
      <c r="V71" s="45">
        <v>10</v>
      </c>
      <c r="W71" s="45">
        <v>13</v>
      </c>
      <c r="X71" s="529">
        <f t="shared" si="6"/>
        <v>3435</v>
      </c>
      <c r="Y71" s="134">
        <v>1511</v>
      </c>
      <c r="Z71" s="45">
        <v>1404</v>
      </c>
      <c r="AA71" s="45">
        <v>254</v>
      </c>
      <c r="AB71" s="424">
        <v>266</v>
      </c>
      <c r="AC71" s="134"/>
    </row>
    <row r="72" spans="1:29">
      <c r="A72" s="175">
        <v>52</v>
      </c>
      <c r="B72" s="67" t="s">
        <v>138</v>
      </c>
      <c r="C72" s="111"/>
      <c r="D72" s="490">
        <v>55</v>
      </c>
      <c r="E72" s="572">
        <v>197</v>
      </c>
      <c r="F72" s="493">
        <f t="shared" si="5"/>
        <v>193</v>
      </c>
      <c r="G72" s="479">
        <v>47</v>
      </c>
      <c r="H72" s="167">
        <v>118</v>
      </c>
      <c r="I72" s="477">
        <v>10</v>
      </c>
      <c r="J72" s="495">
        <v>18</v>
      </c>
      <c r="K72" s="21">
        <f t="shared" si="7"/>
        <v>4845</v>
      </c>
      <c r="L72" s="120">
        <v>2</v>
      </c>
      <c r="M72" s="13">
        <v>2</v>
      </c>
      <c r="N72" s="45">
        <v>904</v>
      </c>
      <c r="O72" s="205">
        <v>843</v>
      </c>
      <c r="P72" s="134">
        <v>683</v>
      </c>
      <c r="Q72" s="45">
        <v>629</v>
      </c>
      <c r="R72" s="45">
        <v>20</v>
      </c>
      <c r="S72" s="28">
        <v>19</v>
      </c>
      <c r="T72" s="45">
        <v>784</v>
      </c>
      <c r="U72" s="28">
        <v>854</v>
      </c>
      <c r="V72" s="45">
        <v>46</v>
      </c>
      <c r="W72" s="45">
        <v>59</v>
      </c>
      <c r="X72" s="529">
        <f t="shared" si="6"/>
        <v>4561</v>
      </c>
      <c r="Y72" s="134">
        <v>1508</v>
      </c>
      <c r="Z72" s="45">
        <v>1425</v>
      </c>
      <c r="AA72" s="45">
        <v>769</v>
      </c>
      <c r="AB72" s="424">
        <v>859</v>
      </c>
      <c r="AC72" s="134"/>
    </row>
    <row r="73" spans="1:29">
      <c r="A73" s="175">
        <v>53</v>
      </c>
      <c r="B73" s="67" t="s">
        <v>139</v>
      </c>
      <c r="C73" s="111"/>
      <c r="D73" s="490">
        <v>46</v>
      </c>
      <c r="E73" s="572">
        <v>51</v>
      </c>
      <c r="F73" s="493">
        <f t="shared" si="5"/>
        <v>65</v>
      </c>
      <c r="G73" s="479">
        <v>7</v>
      </c>
      <c r="H73" s="167">
        <v>17</v>
      </c>
      <c r="I73" s="477">
        <v>17</v>
      </c>
      <c r="J73" s="496">
        <v>24</v>
      </c>
      <c r="K73" s="21">
        <f t="shared" si="7"/>
        <v>1740</v>
      </c>
      <c r="L73" s="120"/>
      <c r="M73" s="13">
        <v>1</v>
      </c>
      <c r="N73" s="45">
        <v>146</v>
      </c>
      <c r="O73" s="205">
        <v>129</v>
      </c>
      <c r="P73" s="134">
        <v>28</v>
      </c>
      <c r="Q73" s="45">
        <v>17</v>
      </c>
      <c r="R73" s="45">
        <v>60</v>
      </c>
      <c r="S73" s="28">
        <v>91</v>
      </c>
      <c r="T73" s="45">
        <v>462</v>
      </c>
      <c r="U73" s="28">
        <v>619</v>
      </c>
      <c r="V73" s="45">
        <v>77</v>
      </c>
      <c r="W73" s="45">
        <v>110</v>
      </c>
      <c r="X73" s="529">
        <f t="shared" si="6"/>
        <v>1391</v>
      </c>
      <c r="Y73" s="134">
        <v>166</v>
      </c>
      <c r="Z73" s="45">
        <v>136</v>
      </c>
      <c r="AA73" s="45">
        <v>445</v>
      </c>
      <c r="AB73" s="424">
        <v>644</v>
      </c>
      <c r="AC73" s="134"/>
    </row>
    <row r="74" spans="1:29">
      <c r="A74" s="175">
        <v>54</v>
      </c>
      <c r="B74" s="67" t="s">
        <v>140</v>
      </c>
      <c r="C74" s="111"/>
      <c r="D74" s="490">
        <v>16</v>
      </c>
      <c r="E74" s="572">
        <v>27</v>
      </c>
      <c r="F74" s="493">
        <f t="shared" si="5"/>
        <v>25</v>
      </c>
      <c r="G74" s="479">
        <v>5</v>
      </c>
      <c r="H74" s="167">
        <v>20</v>
      </c>
      <c r="I74" s="477"/>
      <c r="J74" s="496"/>
      <c r="K74" s="21">
        <f t="shared" si="7"/>
        <v>469</v>
      </c>
      <c r="L74" s="120">
        <v>1</v>
      </c>
      <c r="M74" s="13">
        <v>3</v>
      </c>
      <c r="N74" s="45">
        <v>165</v>
      </c>
      <c r="O74" s="205">
        <v>159</v>
      </c>
      <c r="P74" s="134">
        <v>38</v>
      </c>
      <c r="Q74" s="45">
        <v>35</v>
      </c>
      <c r="R74" s="45"/>
      <c r="S74" s="28"/>
      <c r="T74" s="45">
        <v>40</v>
      </c>
      <c r="U74" s="28">
        <v>22</v>
      </c>
      <c r="V74" s="45">
        <v>2</v>
      </c>
      <c r="W74" s="45">
        <v>4</v>
      </c>
      <c r="X74" s="529">
        <f t="shared" si="6"/>
        <v>465</v>
      </c>
      <c r="Y74" s="134">
        <v>198</v>
      </c>
      <c r="Z74" s="45">
        <v>193</v>
      </c>
      <c r="AA74" s="45">
        <v>47</v>
      </c>
      <c r="AB74" s="424">
        <v>27</v>
      </c>
      <c r="AC74" s="134"/>
    </row>
    <row r="75" spans="1:29">
      <c r="A75" s="175">
        <v>55</v>
      </c>
      <c r="B75" s="67" t="s">
        <v>141</v>
      </c>
      <c r="C75" s="111"/>
      <c r="D75" s="490">
        <v>59</v>
      </c>
      <c r="E75" s="572">
        <v>83</v>
      </c>
      <c r="F75" s="493">
        <f t="shared" si="5"/>
        <v>84</v>
      </c>
      <c r="G75" s="479">
        <v>19</v>
      </c>
      <c r="H75" s="167">
        <v>54</v>
      </c>
      <c r="I75" s="477">
        <v>6</v>
      </c>
      <c r="J75" s="496">
        <v>5</v>
      </c>
      <c r="K75" s="21">
        <f t="shared" si="7"/>
        <v>1929</v>
      </c>
      <c r="L75" s="120">
        <v>3</v>
      </c>
      <c r="M75" s="13"/>
      <c r="N75" s="45">
        <v>564</v>
      </c>
      <c r="O75" s="205">
        <v>698</v>
      </c>
      <c r="P75" s="134">
        <v>99</v>
      </c>
      <c r="Q75" s="45">
        <v>87</v>
      </c>
      <c r="R75" s="45">
        <v>2</v>
      </c>
      <c r="S75" s="28">
        <v>4</v>
      </c>
      <c r="T75" s="45">
        <v>229</v>
      </c>
      <c r="U75" s="28">
        <v>240</v>
      </c>
      <c r="V75" s="45">
        <v>3</v>
      </c>
      <c r="W75" s="45"/>
      <c r="X75" s="529">
        <f t="shared" si="6"/>
        <v>1811</v>
      </c>
      <c r="Y75" s="134">
        <v>627</v>
      </c>
      <c r="Z75" s="45">
        <v>753</v>
      </c>
      <c r="AA75" s="45">
        <v>206</v>
      </c>
      <c r="AB75" s="424">
        <v>225</v>
      </c>
      <c r="AC75" s="134"/>
    </row>
    <row r="76" spans="1:29">
      <c r="A76" s="175">
        <v>56</v>
      </c>
      <c r="B76" s="67" t="s">
        <v>142</v>
      </c>
      <c r="C76" s="111"/>
      <c r="D76" s="490">
        <v>38</v>
      </c>
      <c r="E76" s="572">
        <v>139</v>
      </c>
      <c r="F76" s="493">
        <f t="shared" si="5"/>
        <v>171</v>
      </c>
      <c r="G76" s="479">
        <v>31</v>
      </c>
      <c r="H76" s="167">
        <v>117</v>
      </c>
      <c r="I76" s="477">
        <v>10</v>
      </c>
      <c r="J76" s="496">
        <v>13</v>
      </c>
      <c r="K76" s="21">
        <f t="shared" si="7"/>
        <v>4547</v>
      </c>
      <c r="L76" s="120">
        <v>33</v>
      </c>
      <c r="M76" s="13">
        <v>66</v>
      </c>
      <c r="N76" s="45">
        <v>1245</v>
      </c>
      <c r="O76" s="205">
        <v>1288</v>
      </c>
      <c r="P76" s="134">
        <v>127</v>
      </c>
      <c r="Q76" s="45">
        <v>173</v>
      </c>
      <c r="R76" s="45">
        <v>38</v>
      </c>
      <c r="S76" s="28">
        <v>36</v>
      </c>
      <c r="T76" s="45">
        <v>739</v>
      </c>
      <c r="U76" s="28">
        <v>743</v>
      </c>
      <c r="V76" s="45">
        <v>30</v>
      </c>
      <c r="W76" s="45">
        <v>29</v>
      </c>
      <c r="X76" s="529">
        <f t="shared" si="6"/>
        <v>4206</v>
      </c>
      <c r="Y76" s="134">
        <v>1327</v>
      </c>
      <c r="Z76" s="45">
        <v>1439</v>
      </c>
      <c r="AA76" s="45">
        <v>714</v>
      </c>
      <c r="AB76" s="424">
        <v>726</v>
      </c>
      <c r="AC76" s="134"/>
    </row>
    <row r="77" spans="1:29">
      <c r="A77" s="175">
        <v>57</v>
      </c>
      <c r="B77" s="67" t="s">
        <v>143</v>
      </c>
      <c r="C77" s="111"/>
      <c r="D77" s="490">
        <v>6</v>
      </c>
      <c r="E77" s="572">
        <v>8</v>
      </c>
      <c r="F77" s="493">
        <f>SUM(G77:J77)</f>
        <v>10</v>
      </c>
      <c r="G77" s="479">
        <v>1</v>
      </c>
      <c r="H77" s="167">
        <v>5</v>
      </c>
      <c r="I77" s="477">
        <v>3</v>
      </c>
      <c r="J77" s="496">
        <v>1</v>
      </c>
      <c r="K77" s="21">
        <f t="shared" si="7"/>
        <v>264</v>
      </c>
      <c r="L77" s="120">
        <v>4</v>
      </c>
      <c r="M77" s="13">
        <v>5</v>
      </c>
      <c r="N77" s="45">
        <v>32</v>
      </c>
      <c r="O77" s="205">
        <v>27</v>
      </c>
      <c r="P77" s="134">
        <v>3</v>
      </c>
      <c r="Q77" s="45"/>
      <c r="R77" s="45">
        <v>8</v>
      </c>
      <c r="S77" s="28">
        <v>21</v>
      </c>
      <c r="T77" s="45">
        <v>71</v>
      </c>
      <c r="U77" s="28">
        <v>86</v>
      </c>
      <c r="V77" s="45">
        <v>3</v>
      </c>
      <c r="W77" s="45">
        <v>4</v>
      </c>
      <c r="X77" s="529">
        <f t="shared" si="6"/>
        <v>245</v>
      </c>
      <c r="Y77" s="134">
        <v>39</v>
      </c>
      <c r="Z77" s="45">
        <v>24</v>
      </c>
      <c r="AA77" s="45">
        <v>74</v>
      </c>
      <c r="AB77" s="424">
        <v>108</v>
      </c>
      <c r="AC77" s="134"/>
    </row>
    <row r="78" spans="1:29">
      <c r="A78" s="175">
        <v>58</v>
      </c>
      <c r="B78" s="67" t="s">
        <v>144</v>
      </c>
      <c r="C78" s="111"/>
      <c r="D78" s="490">
        <v>27</v>
      </c>
      <c r="E78" s="572">
        <v>31</v>
      </c>
      <c r="F78" s="493">
        <f t="shared" si="5"/>
        <v>31</v>
      </c>
      <c r="G78" s="479">
        <v>11</v>
      </c>
      <c r="H78" s="167">
        <v>20</v>
      </c>
      <c r="I78" s="477"/>
      <c r="J78" s="496"/>
      <c r="K78" s="21">
        <f t="shared" ref="K78:K85" si="8">SUM(L78:W78)</f>
        <v>444</v>
      </c>
      <c r="L78" s="480"/>
      <c r="M78" s="45"/>
      <c r="N78" s="45">
        <v>142</v>
      </c>
      <c r="O78" s="205">
        <v>166</v>
      </c>
      <c r="P78" s="134">
        <v>31</v>
      </c>
      <c r="Q78" s="45">
        <v>30</v>
      </c>
      <c r="R78" s="45">
        <v>6</v>
      </c>
      <c r="S78" s="28">
        <v>13</v>
      </c>
      <c r="T78" s="45">
        <v>35</v>
      </c>
      <c r="U78" s="28">
        <v>14</v>
      </c>
      <c r="V78" s="45">
        <v>1</v>
      </c>
      <c r="W78" s="45">
        <v>6</v>
      </c>
      <c r="X78" s="529">
        <f t="shared" si="6"/>
        <v>414</v>
      </c>
      <c r="Y78" s="134">
        <v>163</v>
      </c>
      <c r="Z78" s="45">
        <v>188</v>
      </c>
      <c r="AA78" s="45">
        <v>36</v>
      </c>
      <c r="AB78" s="424">
        <v>27</v>
      </c>
      <c r="AC78" s="134"/>
    </row>
    <row r="79" spans="1:29">
      <c r="A79" s="175">
        <v>59</v>
      </c>
      <c r="B79" s="67" t="s">
        <v>145</v>
      </c>
      <c r="C79" s="111" t="s">
        <v>440</v>
      </c>
      <c r="D79" s="607">
        <v>17</v>
      </c>
      <c r="E79" s="572">
        <v>25</v>
      </c>
      <c r="F79" s="493">
        <f t="shared" si="5"/>
        <v>26</v>
      </c>
      <c r="G79" s="473">
        <v>7</v>
      </c>
      <c r="H79" s="479">
        <v>18</v>
      </c>
      <c r="I79" s="477">
        <v>1</v>
      </c>
      <c r="J79" s="496"/>
      <c r="K79" s="21">
        <f t="shared" si="8"/>
        <v>522</v>
      </c>
      <c r="L79" s="480"/>
      <c r="M79" s="45"/>
      <c r="N79" s="45">
        <v>179</v>
      </c>
      <c r="O79" s="205">
        <v>184</v>
      </c>
      <c r="P79" s="134">
        <v>25</v>
      </c>
      <c r="Q79" s="45">
        <v>39</v>
      </c>
      <c r="R79" s="45"/>
      <c r="S79" s="28"/>
      <c r="T79" s="45">
        <v>46</v>
      </c>
      <c r="U79" s="28">
        <v>45</v>
      </c>
      <c r="V79" s="45">
        <v>1</v>
      </c>
      <c r="W79" s="45">
        <v>3</v>
      </c>
      <c r="X79" s="529">
        <f t="shared" si="6"/>
        <v>472</v>
      </c>
      <c r="Y79" s="134">
        <v>185</v>
      </c>
      <c r="Z79" s="45">
        <v>205</v>
      </c>
      <c r="AA79" s="45">
        <v>40</v>
      </c>
      <c r="AB79" s="424">
        <v>42</v>
      </c>
      <c r="AC79" s="134"/>
    </row>
    <row r="80" spans="1:29">
      <c r="A80" s="175">
        <v>60</v>
      </c>
      <c r="B80" s="67" t="s">
        <v>146</v>
      </c>
      <c r="C80" s="111"/>
      <c r="D80" s="607">
        <v>62</v>
      </c>
      <c r="E80" s="572">
        <v>100</v>
      </c>
      <c r="F80" s="493">
        <f t="shared" si="5"/>
        <v>120</v>
      </c>
      <c r="G80" s="473">
        <v>10</v>
      </c>
      <c r="H80" s="479">
        <v>45</v>
      </c>
      <c r="I80" s="477">
        <v>28</v>
      </c>
      <c r="J80" s="496">
        <v>37</v>
      </c>
      <c r="K80" s="21">
        <f t="shared" si="8"/>
        <v>3013</v>
      </c>
      <c r="L80" s="480">
        <v>2</v>
      </c>
      <c r="M80" s="45">
        <v>2</v>
      </c>
      <c r="N80" s="45">
        <v>453</v>
      </c>
      <c r="O80" s="205">
        <v>341</v>
      </c>
      <c r="P80" s="134">
        <v>86</v>
      </c>
      <c r="Q80" s="45">
        <v>51</v>
      </c>
      <c r="R80" s="45">
        <v>55</v>
      </c>
      <c r="S80" s="28">
        <v>52</v>
      </c>
      <c r="T80" s="45">
        <v>715</v>
      </c>
      <c r="U80" s="28">
        <v>894</v>
      </c>
      <c r="V80" s="45">
        <v>168</v>
      </c>
      <c r="W80" s="45">
        <v>194</v>
      </c>
      <c r="X80" s="529">
        <f t="shared" si="6"/>
        <v>2600</v>
      </c>
      <c r="Y80" s="134">
        <v>506</v>
      </c>
      <c r="Z80" s="45">
        <v>369</v>
      </c>
      <c r="AA80" s="45">
        <v>715</v>
      </c>
      <c r="AB80" s="424">
        <v>1010</v>
      </c>
      <c r="AC80" s="134"/>
    </row>
    <row r="81" spans="1:29">
      <c r="A81" s="175">
        <v>61</v>
      </c>
      <c r="B81" s="67" t="s">
        <v>147</v>
      </c>
      <c r="C81" s="111"/>
      <c r="D81" s="607">
        <v>11</v>
      </c>
      <c r="E81" s="572">
        <v>18</v>
      </c>
      <c r="F81" s="493">
        <f t="shared" si="5"/>
        <v>19</v>
      </c>
      <c r="G81" s="473">
        <v>3</v>
      </c>
      <c r="H81" s="479">
        <v>15</v>
      </c>
      <c r="I81" s="477"/>
      <c r="J81" s="496">
        <v>1</v>
      </c>
      <c r="K81" s="21">
        <f t="shared" si="8"/>
        <v>352</v>
      </c>
      <c r="L81" s="480">
        <v>1</v>
      </c>
      <c r="M81" s="45"/>
      <c r="N81" s="45">
        <v>113</v>
      </c>
      <c r="O81" s="205">
        <v>112</v>
      </c>
      <c r="P81" s="134">
        <v>31</v>
      </c>
      <c r="Q81" s="45">
        <v>24</v>
      </c>
      <c r="R81" s="45"/>
      <c r="S81" s="28"/>
      <c r="T81" s="45">
        <v>39</v>
      </c>
      <c r="U81" s="28">
        <v>26</v>
      </c>
      <c r="V81" s="45">
        <v>2</v>
      </c>
      <c r="W81" s="45">
        <v>4</v>
      </c>
      <c r="X81" s="529">
        <f t="shared" si="6"/>
        <v>332</v>
      </c>
      <c r="Y81" s="134">
        <v>131</v>
      </c>
      <c r="Z81" s="45">
        <v>134</v>
      </c>
      <c r="AA81" s="45">
        <v>38</v>
      </c>
      <c r="AB81" s="424">
        <v>29</v>
      </c>
      <c r="AC81" s="134"/>
    </row>
    <row r="82" spans="1:29">
      <c r="A82" s="175">
        <v>62</v>
      </c>
      <c r="B82" s="67" t="s">
        <v>148</v>
      </c>
      <c r="C82" s="111"/>
      <c r="D82" s="607">
        <v>75</v>
      </c>
      <c r="E82" s="572">
        <v>93</v>
      </c>
      <c r="F82" s="493">
        <f t="shared" si="5"/>
        <v>108</v>
      </c>
      <c r="G82" s="473">
        <v>19</v>
      </c>
      <c r="H82" s="479">
        <v>78</v>
      </c>
      <c r="I82" s="477">
        <v>4</v>
      </c>
      <c r="J82" s="496">
        <v>7</v>
      </c>
      <c r="K82" s="21">
        <f t="shared" si="8"/>
        <v>1944</v>
      </c>
      <c r="L82" s="480"/>
      <c r="M82" s="45"/>
      <c r="N82" s="45">
        <v>634</v>
      </c>
      <c r="O82" s="205">
        <v>642</v>
      </c>
      <c r="P82" s="134">
        <v>85</v>
      </c>
      <c r="Q82" s="45">
        <v>77</v>
      </c>
      <c r="R82" s="45">
        <v>5</v>
      </c>
      <c r="S82" s="28">
        <v>4</v>
      </c>
      <c r="T82" s="446">
        <v>240</v>
      </c>
      <c r="U82" s="28">
        <v>235</v>
      </c>
      <c r="V82" s="45">
        <v>13</v>
      </c>
      <c r="W82" s="45">
        <v>9</v>
      </c>
      <c r="X82" s="529">
        <f t="shared" si="6"/>
        <v>1816</v>
      </c>
      <c r="Y82" s="134">
        <v>667</v>
      </c>
      <c r="Z82" s="45">
        <v>682</v>
      </c>
      <c r="AA82" s="45">
        <v>237</v>
      </c>
      <c r="AB82" s="424">
        <v>230</v>
      </c>
      <c r="AC82" s="134"/>
    </row>
    <row r="83" spans="1:29">
      <c r="A83" s="175">
        <v>63</v>
      </c>
      <c r="B83" s="67" t="s">
        <v>149</v>
      </c>
      <c r="C83" s="111"/>
      <c r="D83" s="607">
        <v>26</v>
      </c>
      <c r="E83" s="572">
        <v>54</v>
      </c>
      <c r="F83" s="493">
        <f t="shared" si="5"/>
        <v>58</v>
      </c>
      <c r="G83" s="473">
        <v>13</v>
      </c>
      <c r="H83" s="479">
        <v>39</v>
      </c>
      <c r="I83" s="477">
        <v>3</v>
      </c>
      <c r="J83" s="496">
        <v>3</v>
      </c>
      <c r="K83" s="21">
        <f t="shared" si="8"/>
        <v>1473</v>
      </c>
      <c r="L83" s="480">
        <v>2</v>
      </c>
      <c r="M83" s="45">
        <v>2</v>
      </c>
      <c r="N83" s="45">
        <v>453</v>
      </c>
      <c r="O83" s="205">
        <v>460</v>
      </c>
      <c r="P83" s="134">
        <v>153</v>
      </c>
      <c r="Q83" s="45">
        <v>80</v>
      </c>
      <c r="R83" s="45">
        <v>2</v>
      </c>
      <c r="S83" s="28"/>
      <c r="T83" s="45">
        <v>145</v>
      </c>
      <c r="U83" s="28">
        <v>168</v>
      </c>
      <c r="V83" s="45">
        <v>5</v>
      </c>
      <c r="W83" s="45">
        <v>3</v>
      </c>
      <c r="X83" s="529">
        <f t="shared" si="6"/>
        <v>1340</v>
      </c>
      <c r="Y83" s="134">
        <v>575</v>
      </c>
      <c r="Z83" s="45">
        <v>508</v>
      </c>
      <c r="AA83" s="45">
        <v>120</v>
      </c>
      <c r="AB83" s="424">
        <v>137</v>
      </c>
      <c r="AC83" s="134"/>
    </row>
    <row r="84" spans="1:29">
      <c r="A84" s="175">
        <v>64</v>
      </c>
      <c r="B84" s="67" t="s">
        <v>150</v>
      </c>
      <c r="C84" s="111"/>
      <c r="D84" s="607">
        <v>11</v>
      </c>
      <c r="E84" s="572">
        <v>27</v>
      </c>
      <c r="F84" s="493">
        <f t="shared" si="5"/>
        <v>29</v>
      </c>
      <c r="G84" s="473">
        <v>7</v>
      </c>
      <c r="H84" s="479">
        <v>21</v>
      </c>
      <c r="I84" s="477"/>
      <c r="J84" s="496">
        <v>1</v>
      </c>
      <c r="K84" s="21">
        <f t="shared" si="8"/>
        <v>836</v>
      </c>
      <c r="L84" s="480">
        <v>8</v>
      </c>
      <c r="M84" s="45">
        <v>5</v>
      </c>
      <c r="N84" s="45">
        <v>200</v>
      </c>
      <c r="O84" s="205">
        <v>161</v>
      </c>
      <c r="P84" s="134">
        <v>5</v>
      </c>
      <c r="Q84" s="45">
        <v>9</v>
      </c>
      <c r="R84" s="45">
        <v>22</v>
      </c>
      <c r="S84" s="28">
        <v>23</v>
      </c>
      <c r="T84" s="45">
        <v>198</v>
      </c>
      <c r="U84" s="28">
        <v>202</v>
      </c>
      <c r="V84" s="45"/>
      <c r="W84" s="45">
        <v>3</v>
      </c>
      <c r="X84" s="529">
        <f t="shared" si="6"/>
        <v>751</v>
      </c>
      <c r="Y84" s="134">
        <v>199</v>
      </c>
      <c r="Z84" s="45">
        <v>165</v>
      </c>
      <c r="AA84" s="45">
        <v>194</v>
      </c>
      <c r="AB84" s="424">
        <v>193</v>
      </c>
      <c r="AC84" s="134"/>
    </row>
    <row r="85" spans="1:29">
      <c r="A85" s="175">
        <v>65</v>
      </c>
      <c r="B85" s="67" t="s">
        <v>151</v>
      </c>
      <c r="C85" s="111"/>
      <c r="D85" s="607">
        <v>80</v>
      </c>
      <c r="E85" s="572">
        <v>111</v>
      </c>
      <c r="F85" s="493">
        <f t="shared" si="5"/>
        <v>111</v>
      </c>
      <c r="G85" s="473">
        <v>27</v>
      </c>
      <c r="H85" s="479">
        <v>68</v>
      </c>
      <c r="I85" s="477">
        <v>9</v>
      </c>
      <c r="J85" s="496">
        <v>7</v>
      </c>
      <c r="K85" s="21">
        <f t="shared" si="8"/>
        <v>1937</v>
      </c>
      <c r="L85" s="480">
        <v>5</v>
      </c>
      <c r="M85" s="45">
        <v>8</v>
      </c>
      <c r="N85" s="45">
        <v>552</v>
      </c>
      <c r="O85" s="205">
        <v>539</v>
      </c>
      <c r="P85" s="134">
        <v>121</v>
      </c>
      <c r="Q85" s="446">
        <v>102</v>
      </c>
      <c r="R85" s="45">
        <v>1</v>
      </c>
      <c r="S85" s="28"/>
      <c r="T85" s="45">
        <v>222</v>
      </c>
      <c r="U85" s="28">
        <v>320</v>
      </c>
      <c r="V85" s="45">
        <v>34</v>
      </c>
      <c r="W85" s="45">
        <v>33</v>
      </c>
      <c r="X85" s="529">
        <f t="shared" si="6"/>
        <v>1776</v>
      </c>
      <c r="Y85" s="134">
        <v>625</v>
      </c>
      <c r="Z85" s="45">
        <v>601</v>
      </c>
      <c r="AA85" s="45">
        <v>233</v>
      </c>
      <c r="AB85" s="424">
        <v>317</v>
      </c>
      <c r="AC85" s="134"/>
    </row>
    <row r="86" spans="1:29">
      <c r="A86" s="175">
        <v>66</v>
      </c>
      <c r="B86" s="67" t="s">
        <v>152</v>
      </c>
      <c r="C86" s="111"/>
      <c r="D86" s="607">
        <v>33</v>
      </c>
      <c r="E86" s="572">
        <v>135</v>
      </c>
      <c r="F86" s="493">
        <f t="shared" ref="F86:F102" si="9">SUM(G86:J86)</f>
        <v>145</v>
      </c>
      <c r="G86" s="473">
        <v>50</v>
      </c>
      <c r="H86" s="479">
        <v>77</v>
      </c>
      <c r="I86" s="477">
        <v>6</v>
      </c>
      <c r="J86" s="496">
        <v>12</v>
      </c>
      <c r="K86" s="21">
        <f t="shared" ref="K86:K102" si="10">SUM(L86:W86)</f>
        <v>3169</v>
      </c>
      <c r="L86" s="480">
        <v>7</v>
      </c>
      <c r="M86" s="45">
        <v>6</v>
      </c>
      <c r="N86" s="45">
        <v>482</v>
      </c>
      <c r="O86" s="205">
        <v>499</v>
      </c>
      <c r="P86" s="134">
        <v>529</v>
      </c>
      <c r="Q86" s="45">
        <v>399</v>
      </c>
      <c r="R86" s="45">
        <v>15</v>
      </c>
      <c r="S86" s="28">
        <v>17</v>
      </c>
      <c r="T86" s="45">
        <v>577</v>
      </c>
      <c r="U86" s="28">
        <v>625</v>
      </c>
      <c r="V86" s="45">
        <v>5</v>
      </c>
      <c r="W86" s="45">
        <v>8</v>
      </c>
      <c r="X86" s="529">
        <f t="shared" ref="X86:X102" si="11">SUM(Y86:AB86)</f>
        <v>2936</v>
      </c>
      <c r="Y86" s="134">
        <v>978</v>
      </c>
      <c r="Z86" s="45">
        <v>872</v>
      </c>
      <c r="AA86" s="45">
        <v>525</v>
      </c>
      <c r="AB86" s="424">
        <v>561</v>
      </c>
      <c r="AC86" s="134"/>
    </row>
    <row r="87" spans="1:29">
      <c r="A87" s="175">
        <v>67</v>
      </c>
      <c r="B87" s="67" t="s">
        <v>153</v>
      </c>
      <c r="C87" s="110"/>
      <c r="D87" s="607">
        <v>12</v>
      </c>
      <c r="E87" s="572">
        <v>17</v>
      </c>
      <c r="F87" s="493">
        <f t="shared" si="9"/>
        <v>17</v>
      </c>
      <c r="G87" s="473">
        <v>4</v>
      </c>
      <c r="H87" s="479">
        <v>12</v>
      </c>
      <c r="I87" s="477">
        <v>1</v>
      </c>
      <c r="J87" s="496"/>
      <c r="K87" s="21">
        <f t="shared" si="10"/>
        <v>331</v>
      </c>
      <c r="L87" s="480">
        <v>1</v>
      </c>
      <c r="M87" s="45">
        <v>1</v>
      </c>
      <c r="N87" s="45">
        <v>117</v>
      </c>
      <c r="O87" s="205">
        <v>104</v>
      </c>
      <c r="P87" s="134">
        <v>22</v>
      </c>
      <c r="Q87" s="45">
        <v>19</v>
      </c>
      <c r="R87" s="45"/>
      <c r="S87" s="28"/>
      <c r="T87" s="45">
        <v>40</v>
      </c>
      <c r="U87" s="28">
        <v>24</v>
      </c>
      <c r="V87" s="45">
        <v>3</v>
      </c>
      <c r="W87" s="45"/>
      <c r="X87" s="529">
        <f t="shared" si="11"/>
        <v>312</v>
      </c>
      <c r="Y87" s="134">
        <v>131</v>
      </c>
      <c r="Z87" s="45">
        <v>117</v>
      </c>
      <c r="AA87" s="45">
        <v>41</v>
      </c>
      <c r="AB87" s="424">
        <v>23</v>
      </c>
      <c r="AC87" s="134"/>
    </row>
    <row r="88" spans="1:29">
      <c r="A88" s="175">
        <v>68</v>
      </c>
      <c r="B88" s="67" t="s">
        <v>154</v>
      </c>
      <c r="C88" s="111"/>
      <c r="D88" s="607">
        <v>24</v>
      </c>
      <c r="E88" s="572">
        <v>28</v>
      </c>
      <c r="F88" s="493">
        <f t="shared" si="9"/>
        <v>28</v>
      </c>
      <c r="G88" s="473">
        <v>5</v>
      </c>
      <c r="H88" s="479">
        <v>23</v>
      </c>
      <c r="I88" s="477"/>
      <c r="J88" s="496"/>
      <c r="K88" s="21">
        <f t="shared" si="10"/>
        <v>442</v>
      </c>
      <c r="L88" s="480"/>
      <c r="M88" s="45">
        <v>2</v>
      </c>
      <c r="N88" s="45">
        <v>166</v>
      </c>
      <c r="O88" s="205">
        <v>167</v>
      </c>
      <c r="P88" s="134">
        <v>33</v>
      </c>
      <c r="Q88" s="45">
        <v>33</v>
      </c>
      <c r="R88" s="45"/>
      <c r="S88" s="28"/>
      <c r="T88" s="45">
        <v>19</v>
      </c>
      <c r="U88" s="28">
        <v>20</v>
      </c>
      <c r="V88" s="45"/>
      <c r="W88" s="45">
        <v>2</v>
      </c>
      <c r="X88" s="529">
        <f t="shared" si="11"/>
        <v>400</v>
      </c>
      <c r="Y88" s="134">
        <v>181</v>
      </c>
      <c r="Z88" s="45">
        <v>185</v>
      </c>
      <c r="AA88" s="45">
        <v>17</v>
      </c>
      <c r="AB88" s="424">
        <v>17</v>
      </c>
      <c r="AC88" s="134"/>
    </row>
    <row r="89" spans="1:29">
      <c r="A89" s="175">
        <v>69</v>
      </c>
      <c r="B89" s="67" t="s">
        <v>155</v>
      </c>
      <c r="C89" s="111"/>
      <c r="D89" s="607">
        <v>22</v>
      </c>
      <c r="E89" s="572">
        <v>27</v>
      </c>
      <c r="F89" s="493">
        <f t="shared" si="9"/>
        <v>27</v>
      </c>
      <c r="G89" s="473">
        <v>8</v>
      </c>
      <c r="H89" s="479">
        <v>12</v>
      </c>
      <c r="I89" s="477">
        <v>4</v>
      </c>
      <c r="J89" s="496">
        <v>3</v>
      </c>
      <c r="K89" s="21">
        <f t="shared" si="10"/>
        <v>676</v>
      </c>
      <c r="L89" s="480">
        <v>1</v>
      </c>
      <c r="M89" s="45"/>
      <c r="N89" s="45">
        <v>175</v>
      </c>
      <c r="O89" s="205">
        <v>158</v>
      </c>
      <c r="P89" s="134">
        <v>33</v>
      </c>
      <c r="Q89" s="45">
        <v>22</v>
      </c>
      <c r="R89" s="45"/>
      <c r="S89" s="28"/>
      <c r="T89" s="45">
        <v>110</v>
      </c>
      <c r="U89" s="28">
        <v>129</v>
      </c>
      <c r="V89" s="45">
        <v>22</v>
      </c>
      <c r="W89" s="45">
        <v>26</v>
      </c>
      <c r="X89" s="529">
        <f t="shared" si="11"/>
        <v>570</v>
      </c>
      <c r="Y89" s="134">
        <v>187</v>
      </c>
      <c r="Z89" s="45">
        <v>156</v>
      </c>
      <c r="AA89" s="45">
        <v>108</v>
      </c>
      <c r="AB89" s="424">
        <v>119</v>
      </c>
      <c r="AC89" s="134"/>
    </row>
    <row r="90" spans="1:29">
      <c r="A90" s="175">
        <v>70</v>
      </c>
      <c r="B90" s="67" t="s">
        <v>156</v>
      </c>
      <c r="C90" s="111"/>
      <c r="D90" s="607">
        <v>30</v>
      </c>
      <c r="E90" s="572">
        <v>43</v>
      </c>
      <c r="F90" s="493">
        <f t="shared" si="9"/>
        <v>52</v>
      </c>
      <c r="G90" s="473">
        <v>8</v>
      </c>
      <c r="H90" s="479">
        <v>17</v>
      </c>
      <c r="I90" s="477">
        <v>13</v>
      </c>
      <c r="J90" s="496">
        <v>14</v>
      </c>
      <c r="K90" s="21">
        <f t="shared" si="10"/>
        <v>1328</v>
      </c>
      <c r="L90" s="480">
        <v>13</v>
      </c>
      <c r="M90" s="45">
        <v>10</v>
      </c>
      <c r="N90" s="45">
        <v>148</v>
      </c>
      <c r="O90" s="205">
        <v>141</v>
      </c>
      <c r="P90" s="134">
        <v>9</v>
      </c>
      <c r="Q90" s="45">
        <v>7</v>
      </c>
      <c r="R90" s="45">
        <v>16</v>
      </c>
      <c r="S90" s="28">
        <v>29</v>
      </c>
      <c r="T90" s="45">
        <v>344</v>
      </c>
      <c r="U90" s="28">
        <v>402</v>
      </c>
      <c r="V90" s="45">
        <v>39</v>
      </c>
      <c r="W90" s="45">
        <v>170</v>
      </c>
      <c r="X90" s="529">
        <f t="shared" si="11"/>
        <v>1158</v>
      </c>
      <c r="Y90" s="134">
        <v>167</v>
      </c>
      <c r="Z90" s="45">
        <v>162</v>
      </c>
      <c r="AA90" s="45">
        <v>318</v>
      </c>
      <c r="AB90" s="424">
        <v>511</v>
      </c>
      <c r="AC90" s="134"/>
    </row>
    <row r="91" spans="1:29">
      <c r="A91" s="175">
        <v>71</v>
      </c>
      <c r="B91" s="67" t="s">
        <v>157</v>
      </c>
      <c r="C91" s="111"/>
      <c r="D91" s="607">
        <v>15</v>
      </c>
      <c r="E91" s="572">
        <v>15</v>
      </c>
      <c r="F91" s="493">
        <f t="shared" si="9"/>
        <v>19</v>
      </c>
      <c r="G91" s="473">
        <v>4</v>
      </c>
      <c r="H91" s="479">
        <v>15</v>
      </c>
      <c r="I91" s="477"/>
      <c r="J91" s="496"/>
      <c r="K91" s="21">
        <f t="shared" si="10"/>
        <v>158</v>
      </c>
      <c r="L91" s="480">
        <v>1</v>
      </c>
      <c r="M91" s="45"/>
      <c r="N91" s="45">
        <v>55</v>
      </c>
      <c r="O91" s="205">
        <v>58</v>
      </c>
      <c r="P91" s="134">
        <v>29</v>
      </c>
      <c r="Q91" s="45">
        <v>15</v>
      </c>
      <c r="R91" s="45"/>
      <c r="S91" s="28"/>
      <c r="T91" s="45"/>
      <c r="U91" s="28"/>
      <c r="V91" s="45"/>
      <c r="W91" s="45"/>
      <c r="X91" s="529">
        <f t="shared" si="11"/>
        <v>150</v>
      </c>
      <c r="Y91" s="134">
        <v>79</v>
      </c>
      <c r="Z91" s="45">
        <v>71</v>
      </c>
      <c r="AA91" s="45"/>
      <c r="AB91" s="424"/>
      <c r="AC91" s="134"/>
    </row>
    <row r="92" spans="1:29">
      <c r="A92" s="175">
        <v>72</v>
      </c>
      <c r="B92" s="67" t="s">
        <v>158</v>
      </c>
      <c r="C92" s="111"/>
      <c r="D92" s="607">
        <v>58</v>
      </c>
      <c r="E92" s="572">
        <v>80</v>
      </c>
      <c r="F92" s="493">
        <f t="shared" si="9"/>
        <v>85</v>
      </c>
      <c r="G92" s="473">
        <v>18</v>
      </c>
      <c r="H92" s="479">
        <v>64</v>
      </c>
      <c r="I92" s="477">
        <v>2</v>
      </c>
      <c r="J92" s="496">
        <v>1</v>
      </c>
      <c r="K92" s="21">
        <f t="shared" si="10"/>
        <v>1778</v>
      </c>
      <c r="L92" s="480"/>
      <c r="M92" s="45">
        <v>1</v>
      </c>
      <c r="N92" s="45">
        <v>585</v>
      </c>
      <c r="O92" s="205">
        <v>522</v>
      </c>
      <c r="P92" s="134">
        <v>83</v>
      </c>
      <c r="Q92" s="45">
        <v>109</v>
      </c>
      <c r="R92" s="45">
        <v>3</v>
      </c>
      <c r="S92" s="28">
        <v>5</v>
      </c>
      <c r="T92" s="45">
        <v>233</v>
      </c>
      <c r="U92" s="28">
        <v>230</v>
      </c>
      <c r="V92" s="45">
        <v>4</v>
      </c>
      <c r="W92" s="45">
        <v>3</v>
      </c>
      <c r="X92" s="529">
        <f t="shared" si="11"/>
        <v>1580</v>
      </c>
      <c r="Y92" s="134">
        <v>602</v>
      </c>
      <c r="Z92" s="45">
        <v>579</v>
      </c>
      <c r="AA92" s="45">
        <v>201</v>
      </c>
      <c r="AB92" s="424">
        <v>198</v>
      </c>
      <c r="AC92" s="134"/>
    </row>
    <row r="93" spans="1:29">
      <c r="A93" s="175">
        <v>73</v>
      </c>
      <c r="B93" s="67" t="s">
        <v>159</v>
      </c>
      <c r="C93" s="111"/>
      <c r="D93" s="607">
        <v>31</v>
      </c>
      <c r="E93" s="572">
        <v>44</v>
      </c>
      <c r="F93" s="493">
        <f t="shared" si="9"/>
        <v>43</v>
      </c>
      <c r="G93" s="473">
        <v>5</v>
      </c>
      <c r="H93" s="479">
        <v>29</v>
      </c>
      <c r="I93" s="477">
        <v>3</v>
      </c>
      <c r="J93" s="496">
        <v>6</v>
      </c>
      <c r="K93" s="21">
        <f t="shared" si="10"/>
        <v>709</v>
      </c>
      <c r="L93" s="480">
        <v>1</v>
      </c>
      <c r="M93" s="45">
        <v>2</v>
      </c>
      <c r="N93" s="45">
        <v>184</v>
      </c>
      <c r="O93" s="205">
        <v>178</v>
      </c>
      <c r="P93" s="134">
        <v>37</v>
      </c>
      <c r="Q93" s="45">
        <v>38</v>
      </c>
      <c r="R93" s="45">
        <v>15</v>
      </c>
      <c r="S93" s="28">
        <v>14</v>
      </c>
      <c r="T93" s="45">
        <v>98</v>
      </c>
      <c r="U93" s="28">
        <v>133</v>
      </c>
      <c r="V93" s="45">
        <v>8</v>
      </c>
      <c r="W93" s="45">
        <v>1</v>
      </c>
      <c r="X93" s="529">
        <f t="shared" si="11"/>
        <v>676</v>
      </c>
      <c r="Y93" s="134">
        <v>217</v>
      </c>
      <c r="Z93" s="45">
        <v>215</v>
      </c>
      <c r="AA93" s="45">
        <v>108</v>
      </c>
      <c r="AB93" s="424">
        <v>136</v>
      </c>
      <c r="AC93" s="134"/>
    </row>
    <row r="94" spans="1:29">
      <c r="A94" s="175">
        <v>74</v>
      </c>
      <c r="B94" s="67" t="s">
        <v>160</v>
      </c>
      <c r="C94" s="111"/>
      <c r="D94" s="607">
        <v>19</v>
      </c>
      <c r="E94" s="572">
        <v>35</v>
      </c>
      <c r="F94" s="493">
        <f t="shared" si="9"/>
        <v>33</v>
      </c>
      <c r="G94" s="473">
        <v>6</v>
      </c>
      <c r="H94" s="479">
        <v>18</v>
      </c>
      <c r="I94" s="477">
        <v>2</v>
      </c>
      <c r="J94" s="496">
        <v>7</v>
      </c>
      <c r="K94" s="21">
        <f t="shared" si="10"/>
        <v>996</v>
      </c>
      <c r="L94" s="480"/>
      <c r="M94" s="45"/>
      <c r="N94" s="45">
        <v>176</v>
      </c>
      <c r="O94" s="205">
        <v>138</v>
      </c>
      <c r="P94" s="134">
        <v>44</v>
      </c>
      <c r="Q94" s="45">
        <v>33</v>
      </c>
      <c r="R94" s="45">
        <v>7</v>
      </c>
      <c r="S94" s="28">
        <v>3</v>
      </c>
      <c r="T94" s="45">
        <v>241</v>
      </c>
      <c r="U94" s="28">
        <v>333</v>
      </c>
      <c r="V94" s="45">
        <v>7</v>
      </c>
      <c r="W94" s="45">
        <v>14</v>
      </c>
      <c r="X94" s="529">
        <f t="shared" si="11"/>
        <v>764</v>
      </c>
      <c r="Y94" s="134">
        <v>274</v>
      </c>
      <c r="Z94" s="45">
        <v>243</v>
      </c>
      <c r="AA94" s="45">
        <v>100</v>
      </c>
      <c r="AB94" s="424">
        <v>147</v>
      </c>
      <c r="AC94" s="134"/>
    </row>
    <row r="95" spans="1:29">
      <c r="A95" s="175">
        <v>75</v>
      </c>
      <c r="B95" s="67" t="s">
        <v>161</v>
      </c>
      <c r="C95" s="111"/>
      <c r="D95" s="607">
        <v>68</v>
      </c>
      <c r="E95" s="572">
        <v>129</v>
      </c>
      <c r="F95" s="493">
        <f t="shared" si="9"/>
        <v>131</v>
      </c>
      <c r="G95" s="473">
        <v>31</v>
      </c>
      <c r="H95" s="479">
        <v>89</v>
      </c>
      <c r="I95" s="477">
        <v>4</v>
      </c>
      <c r="J95" s="496">
        <v>7</v>
      </c>
      <c r="K95" s="21">
        <f t="shared" si="10"/>
        <v>2742</v>
      </c>
      <c r="L95" s="480">
        <v>14</v>
      </c>
      <c r="M95" s="45">
        <v>21</v>
      </c>
      <c r="N95" s="45">
        <v>853</v>
      </c>
      <c r="O95" s="205">
        <v>985</v>
      </c>
      <c r="P95" s="134">
        <v>180</v>
      </c>
      <c r="Q95" s="45">
        <v>131</v>
      </c>
      <c r="R95" s="45">
        <v>6</v>
      </c>
      <c r="S95" s="28">
        <v>13</v>
      </c>
      <c r="T95" s="45">
        <v>249</v>
      </c>
      <c r="U95" s="28">
        <v>228</v>
      </c>
      <c r="V95" s="45">
        <v>32</v>
      </c>
      <c r="W95" s="45">
        <v>30</v>
      </c>
      <c r="X95" s="529">
        <f t="shared" si="11"/>
        <v>2504</v>
      </c>
      <c r="Y95" s="134">
        <v>971</v>
      </c>
      <c r="Z95" s="45">
        <v>1026</v>
      </c>
      <c r="AA95" s="45">
        <v>266</v>
      </c>
      <c r="AB95" s="424">
        <v>241</v>
      </c>
      <c r="AC95" s="134"/>
    </row>
    <row r="96" spans="1:29">
      <c r="A96" s="175">
        <v>76</v>
      </c>
      <c r="B96" s="67" t="s">
        <v>162</v>
      </c>
      <c r="C96" s="111"/>
      <c r="D96" s="607">
        <v>43</v>
      </c>
      <c r="E96" s="572">
        <v>53</v>
      </c>
      <c r="F96" s="493">
        <f t="shared" si="9"/>
        <v>61</v>
      </c>
      <c r="G96" s="473">
        <v>8</v>
      </c>
      <c r="H96" s="479">
        <v>47</v>
      </c>
      <c r="I96" s="477">
        <v>2</v>
      </c>
      <c r="J96" s="496">
        <v>4</v>
      </c>
      <c r="K96" s="21">
        <f t="shared" si="10"/>
        <v>1229</v>
      </c>
      <c r="L96" s="480"/>
      <c r="M96" s="45"/>
      <c r="N96" s="45">
        <v>433</v>
      </c>
      <c r="O96" s="205">
        <v>481</v>
      </c>
      <c r="P96" s="134">
        <v>50</v>
      </c>
      <c r="Q96" s="45">
        <v>47</v>
      </c>
      <c r="R96" s="45">
        <v>1</v>
      </c>
      <c r="S96" s="28"/>
      <c r="T96" s="45">
        <v>87</v>
      </c>
      <c r="U96" s="28">
        <v>118</v>
      </c>
      <c r="V96" s="45">
        <v>5</v>
      </c>
      <c r="W96" s="45">
        <v>7</v>
      </c>
      <c r="X96" s="529">
        <f t="shared" si="11"/>
        <v>1118</v>
      </c>
      <c r="Y96" s="134">
        <v>455</v>
      </c>
      <c r="Z96" s="45">
        <v>483</v>
      </c>
      <c r="AA96" s="45">
        <v>80</v>
      </c>
      <c r="AB96" s="424">
        <v>100</v>
      </c>
      <c r="AC96" s="134"/>
    </row>
    <row r="97" spans="1:29">
      <c r="A97" s="175">
        <v>77</v>
      </c>
      <c r="B97" s="67" t="s">
        <v>163</v>
      </c>
      <c r="C97" s="111"/>
      <c r="D97" s="607">
        <v>22</v>
      </c>
      <c r="E97" s="572">
        <v>26</v>
      </c>
      <c r="F97" s="493">
        <f t="shared" si="9"/>
        <v>27</v>
      </c>
      <c r="G97" s="473">
        <v>12</v>
      </c>
      <c r="H97" s="479">
        <v>13</v>
      </c>
      <c r="I97" s="477"/>
      <c r="J97" s="496">
        <v>2</v>
      </c>
      <c r="K97" s="21">
        <f t="shared" si="10"/>
        <v>477</v>
      </c>
      <c r="L97" s="480">
        <v>6</v>
      </c>
      <c r="M97" s="45">
        <v>6</v>
      </c>
      <c r="N97" s="45">
        <v>153</v>
      </c>
      <c r="O97" s="205">
        <v>164</v>
      </c>
      <c r="P97" s="134">
        <v>25</v>
      </c>
      <c r="Q97" s="45">
        <v>26</v>
      </c>
      <c r="R97" s="45"/>
      <c r="S97" s="28"/>
      <c r="T97" s="45">
        <v>33</v>
      </c>
      <c r="U97" s="28">
        <v>53</v>
      </c>
      <c r="V97" s="45">
        <v>1</v>
      </c>
      <c r="W97" s="45">
        <v>10</v>
      </c>
      <c r="X97" s="529">
        <f t="shared" si="11"/>
        <v>431</v>
      </c>
      <c r="Y97" s="134">
        <v>166</v>
      </c>
      <c r="Z97" s="45">
        <v>181</v>
      </c>
      <c r="AA97" s="45">
        <v>31</v>
      </c>
      <c r="AB97" s="424">
        <v>53</v>
      </c>
      <c r="AC97" s="134"/>
    </row>
    <row r="98" spans="1:29">
      <c r="A98" s="175">
        <v>78</v>
      </c>
      <c r="B98" s="67" t="s">
        <v>164</v>
      </c>
      <c r="C98" s="111"/>
      <c r="D98" s="607">
        <v>34</v>
      </c>
      <c r="E98" s="572">
        <v>116</v>
      </c>
      <c r="F98" s="493">
        <f t="shared" si="9"/>
        <v>140</v>
      </c>
      <c r="G98" s="473">
        <v>56</v>
      </c>
      <c r="H98" s="479">
        <v>33</v>
      </c>
      <c r="I98" s="477">
        <v>22</v>
      </c>
      <c r="J98" s="496">
        <v>29</v>
      </c>
      <c r="K98" s="21">
        <f t="shared" si="10"/>
        <v>2860</v>
      </c>
      <c r="L98" s="480"/>
      <c r="M98" s="45">
        <v>1</v>
      </c>
      <c r="N98" s="45">
        <v>102</v>
      </c>
      <c r="O98" s="205">
        <v>96</v>
      </c>
      <c r="P98" s="134">
        <v>26</v>
      </c>
      <c r="Q98" s="45">
        <v>25</v>
      </c>
      <c r="R98" s="45">
        <v>12</v>
      </c>
      <c r="S98" s="28">
        <v>12</v>
      </c>
      <c r="T98" s="45">
        <v>524</v>
      </c>
      <c r="U98" s="28">
        <v>685</v>
      </c>
      <c r="V98" s="45">
        <v>908</v>
      </c>
      <c r="W98" s="45">
        <v>469</v>
      </c>
      <c r="X98" s="529">
        <f t="shared" si="11"/>
        <v>2594</v>
      </c>
      <c r="Y98" s="134">
        <v>120</v>
      </c>
      <c r="Z98" s="45">
        <v>115</v>
      </c>
      <c r="AA98" s="45">
        <v>1300</v>
      </c>
      <c r="AB98" s="424">
        <v>1059</v>
      </c>
      <c r="AC98" s="134"/>
    </row>
    <row r="99" spans="1:29">
      <c r="A99" s="175">
        <v>79</v>
      </c>
      <c r="B99" s="67" t="s">
        <v>165</v>
      </c>
      <c r="C99" s="111"/>
      <c r="D99" s="607">
        <v>21</v>
      </c>
      <c r="E99" s="572">
        <v>39</v>
      </c>
      <c r="F99" s="493">
        <f t="shared" si="9"/>
        <v>41</v>
      </c>
      <c r="G99" s="473">
        <v>9</v>
      </c>
      <c r="H99" s="479">
        <v>30</v>
      </c>
      <c r="I99" s="477">
        <v>2</v>
      </c>
      <c r="J99" s="496"/>
      <c r="K99" s="21">
        <f t="shared" si="10"/>
        <v>611</v>
      </c>
      <c r="L99" s="480"/>
      <c r="M99" s="45"/>
      <c r="N99" s="45">
        <v>219</v>
      </c>
      <c r="O99" s="205">
        <v>227</v>
      </c>
      <c r="P99" s="134">
        <v>50</v>
      </c>
      <c r="Q99" s="45">
        <v>53</v>
      </c>
      <c r="R99" s="45"/>
      <c r="S99" s="28"/>
      <c r="T99" s="45">
        <v>30</v>
      </c>
      <c r="U99" s="28">
        <v>30</v>
      </c>
      <c r="V99" s="45"/>
      <c r="W99" s="45">
        <v>2</v>
      </c>
      <c r="X99" s="529">
        <f t="shared" si="11"/>
        <v>596</v>
      </c>
      <c r="Y99" s="134">
        <v>264</v>
      </c>
      <c r="Z99" s="45">
        <v>273</v>
      </c>
      <c r="AA99" s="45">
        <v>28</v>
      </c>
      <c r="AB99" s="424">
        <v>31</v>
      </c>
      <c r="AC99" s="134"/>
    </row>
    <row r="100" spans="1:29">
      <c r="A100" s="175">
        <v>80</v>
      </c>
      <c r="B100" s="67" t="s">
        <v>166</v>
      </c>
      <c r="C100" s="111"/>
      <c r="D100" s="607">
        <v>41</v>
      </c>
      <c r="E100" s="572">
        <v>49</v>
      </c>
      <c r="F100" s="493">
        <f t="shared" si="9"/>
        <v>48</v>
      </c>
      <c r="G100" s="473">
        <v>12</v>
      </c>
      <c r="H100" s="479">
        <v>33</v>
      </c>
      <c r="I100" s="477">
        <v>2</v>
      </c>
      <c r="J100" s="496">
        <v>1</v>
      </c>
      <c r="K100" s="21">
        <f t="shared" si="10"/>
        <v>923</v>
      </c>
      <c r="L100" s="480"/>
      <c r="M100" s="13"/>
      <c r="N100" s="45">
        <v>325</v>
      </c>
      <c r="O100" s="205">
        <v>321</v>
      </c>
      <c r="P100" s="134">
        <v>54</v>
      </c>
      <c r="Q100" s="45">
        <v>39</v>
      </c>
      <c r="R100" s="45"/>
      <c r="S100" s="28">
        <v>3</v>
      </c>
      <c r="T100" s="45">
        <v>79</v>
      </c>
      <c r="U100" s="28">
        <v>92</v>
      </c>
      <c r="V100" s="45">
        <v>5</v>
      </c>
      <c r="W100" s="45">
        <v>5</v>
      </c>
      <c r="X100" s="529">
        <f t="shared" si="11"/>
        <v>879</v>
      </c>
      <c r="Y100" s="134">
        <v>361</v>
      </c>
      <c r="Z100" s="45">
        <v>346</v>
      </c>
      <c r="AA100" s="45">
        <v>79</v>
      </c>
      <c r="AB100" s="424">
        <v>93</v>
      </c>
      <c r="AC100" s="134"/>
    </row>
    <row r="101" spans="1:29">
      <c r="A101" s="175">
        <v>81</v>
      </c>
      <c r="B101" s="67" t="s">
        <v>167</v>
      </c>
      <c r="C101" s="111"/>
      <c r="D101" s="607">
        <v>72</v>
      </c>
      <c r="E101" s="572">
        <v>82</v>
      </c>
      <c r="F101" s="493">
        <f t="shared" si="9"/>
        <v>86</v>
      </c>
      <c r="G101" s="473">
        <v>29</v>
      </c>
      <c r="H101" s="479">
        <v>47</v>
      </c>
      <c r="I101" s="477">
        <v>7</v>
      </c>
      <c r="J101" s="496">
        <v>3</v>
      </c>
      <c r="K101" s="21">
        <f t="shared" si="10"/>
        <v>1604</v>
      </c>
      <c r="L101" s="480">
        <v>4</v>
      </c>
      <c r="M101" s="45">
        <v>5</v>
      </c>
      <c r="N101" s="45">
        <v>549</v>
      </c>
      <c r="O101" s="205">
        <v>507</v>
      </c>
      <c r="P101" s="134">
        <v>96</v>
      </c>
      <c r="Q101" s="45">
        <v>95</v>
      </c>
      <c r="R101" s="45">
        <v>7</v>
      </c>
      <c r="S101" s="28">
        <v>12</v>
      </c>
      <c r="T101" s="45">
        <v>99</v>
      </c>
      <c r="U101" s="28">
        <v>177</v>
      </c>
      <c r="V101" s="45">
        <v>20</v>
      </c>
      <c r="W101" s="45">
        <v>33</v>
      </c>
      <c r="X101" s="529">
        <f t="shared" si="11"/>
        <v>1412</v>
      </c>
      <c r="Y101" s="134">
        <v>586</v>
      </c>
      <c r="Z101" s="45">
        <v>555</v>
      </c>
      <c r="AA101" s="45">
        <v>101</v>
      </c>
      <c r="AB101" s="424">
        <v>170</v>
      </c>
      <c r="AC101" s="134"/>
    </row>
    <row r="102" spans="1:29">
      <c r="A102" s="175">
        <v>82</v>
      </c>
      <c r="B102" s="67" t="s">
        <v>168</v>
      </c>
      <c r="C102" s="97"/>
      <c r="D102" s="528">
        <v>35</v>
      </c>
      <c r="E102" s="529">
        <v>91</v>
      </c>
      <c r="F102" s="493">
        <f t="shared" si="9"/>
        <v>96</v>
      </c>
      <c r="G102" s="473">
        <v>23</v>
      </c>
      <c r="H102" s="479">
        <v>67</v>
      </c>
      <c r="I102" s="477">
        <v>3</v>
      </c>
      <c r="J102" s="496">
        <v>3</v>
      </c>
      <c r="K102" s="21">
        <f t="shared" si="10"/>
        <v>2209</v>
      </c>
      <c r="L102" s="480">
        <v>24</v>
      </c>
      <c r="M102" s="45">
        <v>25</v>
      </c>
      <c r="N102" s="45">
        <v>564</v>
      </c>
      <c r="O102" s="205">
        <v>563</v>
      </c>
      <c r="P102" s="134">
        <v>186</v>
      </c>
      <c r="Q102" s="45">
        <v>200</v>
      </c>
      <c r="R102" s="45"/>
      <c r="S102" s="28"/>
      <c r="T102" s="45">
        <v>301</v>
      </c>
      <c r="U102" s="28">
        <v>316</v>
      </c>
      <c r="V102" s="45">
        <v>14</v>
      </c>
      <c r="W102" s="45">
        <v>16</v>
      </c>
      <c r="X102" s="529">
        <f t="shared" si="11"/>
        <v>2070</v>
      </c>
      <c r="Y102" s="134">
        <v>740</v>
      </c>
      <c r="Z102" s="45">
        <v>757</v>
      </c>
      <c r="AA102" s="45">
        <v>278</v>
      </c>
      <c r="AB102" s="424">
        <v>295</v>
      </c>
      <c r="AC102" s="134"/>
    </row>
    <row r="103" spans="1:29">
      <c r="A103" s="506"/>
      <c r="B103" s="507"/>
      <c r="C103" s="333"/>
      <c r="D103" s="608"/>
      <c r="E103" s="609"/>
      <c r="F103" s="508"/>
      <c r="G103" s="509"/>
      <c r="H103" s="510"/>
      <c r="I103" s="511"/>
      <c r="J103" s="512"/>
      <c r="K103" s="513"/>
      <c r="L103" s="514"/>
      <c r="M103" s="317"/>
      <c r="N103" s="317"/>
      <c r="O103" s="515"/>
      <c r="P103" s="256"/>
      <c r="Q103" s="317"/>
      <c r="R103" s="317"/>
      <c r="S103" s="206"/>
      <c r="T103" s="317"/>
      <c r="U103" s="206"/>
      <c r="V103" s="317"/>
      <c r="W103" s="317"/>
      <c r="X103" s="609"/>
      <c r="Y103" s="256"/>
      <c r="Z103" s="317"/>
      <c r="AA103" s="317"/>
      <c r="AB103" s="516"/>
      <c r="AC103" s="134"/>
    </row>
    <row r="104" spans="1:29">
      <c r="A104" s="505" t="s">
        <v>429</v>
      </c>
      <c r="B104" s="67"/>
      <c r="C104" s="97"/>
      <c r="D104" s="504">
        <f>SUM(D21:D102)</f>
        <v>3026</v>
      </c>
      <c r="E104" s="504">
        <f t="shared" ref="E104:AA104" si="12">SUM(E21:E102)</f>
        <v>5450</v>
      </c>
      <c r="F104" s="504">
        <f t="shared" si="12"/>
        <v>5987</v>
      </c>
      <c r="G104" s="480">
        <f t="shared" si="12"/>
        <v>1326</v>
      </c>
      <c r="H104" s="470">
        <f t="shared" si="12"/>
        <v>3532</v>
      </c>
      <c r="I104" s="470">
        <f>SUM(I21:I102)</f>
        <v>525</v>
      </c>
      <c r="J104" s="649">
        <f t="shared" si="12"/>
        <v>604</v>
      </c>
      <c r="K104" s="504">
        <f t="shared" si="12"/>
        <v>140521</v>
      </c>
      <c r="L104" s="480">
        <f>SUM(L21:L102)</f>
        <v>465</v>
      </c>
      <c r="M104" s="470">
        <f>SUM(M21:M102)</f>
        <v>510</v>
      </c>
      <c r="N104" s="470">
        <f t="shared" si="12"/>
        <v>34116</v>
      </c>
      <c r="O104" s="470">
        <f t="shared" si="12"/>
        <v>33847</v>
      </c>
      <c r="P104" s="470">
        <f t="shared" si="12"/>
        <v>7706</v>
      </c>
      <c r="Q104" s="470">
        <f t="shared" si="12"/>
        <v>6474</v>
      </c>
      <c r="R104" s="470">
        <f t="shared" si="12"/>
        <v>823</v>
      </c>
      <c r="S104" s="470">
        <f t="shared" si="12"/>
        <v>958</v>
      </c>
      <c r="T104" s="470">
        <f t="shared" si="12"/>
        <v>22422</v>
      </c>
      <c r="U104" s="470">
        <f t="shared" si="12"/>
        <v>25746</v>
      </c>
      <c r="V104" s="470">
        <f t="shared" si="12"/>
        <v>3859</v>
      </c>
      <c r="W104" s="649">
        <f t="shared" si="12"/>
        <v>3595</v>
      </c>
      <c r="X104" s="504">
        <f t="shared" si="12"/>
        <v>126387</v>
      </c>
      <c r="Y104" s="480">
        <f t="shared" si="12"/>
        <v>39381</v>
      </c>
      <c r="Z104" s="470">
        <f t="shared" si="12"/>
        <v>38237</v>
      </c>
      <c r="AA104" s="470">
        <f t="shared" si="12"/>
        <v>22848</v>
      </c>
      <c r="AB104" s="574">
        <f>SUM(AB21:AB102)</f>
        <v>25921</v>
      </c>
      <c r="AC104" s="474"/>
    </row>
    <row r="105" spans="1:29">
      <c r="A105" s="505" t="s">
        <v>430</v>
      </c>
      <c r="B105" s="67"/>
      <c r="C105" s="97"/>
      <c r="D105" s="528"/>
      <c r="E105" s="529"/>
      <c r="F105" s="493"/>
      <c r="G105" s="473"/>
      <c r="H105" s="479"/>
      <c r="I105" s="477"/>
      <c r="J105" s="496"/>
      <c r="K105" s="474"/>
      <c r="L105" s="480"/>
      <c r="M105" s="45"/>
      <c r="N105" s="45"/>
      <c r="O105" s="205"/>
      <c r="P105" s="92"/>
      <c r="Q105" s="45"/>
      <c r="R105" s="45"/>
      <c r="S105" s="28"/>
      <c r="T105" s="45"/>
      <c r="U105" s="28"/>
      <c r="V105" s="45"/>
      <c r="W105" s="45"/>
      <c r="X105" s="529"/>
      <c r="Y105" s="134"/>
      <c r="Z105" s="45"/>
      <c r="AA105" s="45"/>
      <c r="AB105" s="424"/>
      <c r="AC105" s="134"/>
    </row>
    <row r="106" spans="1:29" ht="15" thickBot="1">
      <c r="A106" s="517"/>
      <c r="B106" s="518"/>
      <c r="C106" s="519"/>
      <c r="D106" s="610"/>
      <c r="E106" s="611"/>
      <c r="F106" s="501"/>
      <c r="G106" s="520"/>
      <c r="H106" s="521"/>
      <c r="I106" s="522"/>
      <c r="J106" s="523"/>
      <c r="K106" s="524"/>
      <c r="L106" s="525"/>
      <c r="M106" s="321"/>
      <c r="N106" s="321"/>
      <c r="O106" s="526"/>
      <c r="P106" s="253"/>
      <c r="Q106" s="321"/>
      <c r="R106" s="321"/>
      <c r="S106" s="208"/>
      <c r="T106" s="321"/>
      <c r="U106" s="208"/>
      <c r="V106" s="321"/>
      <c r="W106" s="321"/>
      <c r="X106" s="611"/>
      <c r="Y106" s="253"/>
      <c r="Z106" s="321"/>
      <c r="AA106" s="321"/>
      <c r="AB106" s="527"/>
      <c r="AC106" s="134"/>
    </row>
    <row r="107" spans="1:29" ht="15" thickTop="1">
      <c r="A107" s="176" t="s">
        <v>21</v>
      </c>
      <c r="B107" s="59"/>
      <c r="C107" s="4"/>
      <c r="D107" s="463"/>
      <c r="E107" s="493"/>
      <c r="F107" s="493"/>
      <c r="G107" s="473"/>
      <c r="H107" s="479"/>
      <c r="I107" s="477"/>
      <c r="J107" s="496"/>
      <c r="K107" s="474"/>
      <c r="L107" s="480"/>
      <c r="M107" s="45"/>
      <c r="N107" s="45"/>
      <c r="O107" s="205"/>
      <c r="P107" s="134"/>
      <c r="Q107" s="45"/>
      <c r="R107" s="45"/>
      <c r="S107" s="28"/>
      <c r="T107" s="45"/>
      <c r="U107" s="28"/>
      <c r="V107" s="45"/>
      <c r="W107" s="45"/>
      <c r="X107" s="529"/>
      <c r="Y107" s="134"/>
      <c r="Z107" s="45"/>
      <c r="AA107" s="45"/>
      <c r="AB107" s="424"/>
      <c r="AC107" s="134"/>
    </row>
    <row r="108" spans="1:29">
      <c r="A108" s="146">
        <v>83</v>
      </c>
      <c r="B108" s="48" t="s">
        <v>169</v>
      </c>
      <c r="C108" s="4"/>
      <c r="D108" s="463">
        <v>10</v>
      </c>
      <c r="E108" s="493">
        <v>17</v>
      </c>
      <c r="F108" s="493"/>
      <c r="G108" s="473">
        <v>8</v>
      </c>
      <c r="H108" s="479">
        <v>7</v>
      </c>
      <c r="I108" s="477">
        <v>1</v>
      </c>
      <c r="J108" s="496">
        <v>2</v>
      </c>
      <c r="K108" s="474"/>
      <c r="L108" s="480">
        <v>1</v>
      </c>
      <c r="M108" s="45">
        <v>1</v>
      </c>
      <c r="N108" s="45">
        <v>103</v>
      </c>
      <c r="O108" s="205">
        <v>111</v>
      </c>
      <c r="P108" s="134">
        <v>20</v>
      </c>
      <c r="Q108" s="45">
        <v>22</v>
      </c>
      <c r="R108" s="45"/>
      <c r="S108" s="28"/>
      <c r="T108" s="45">
        <v>90</v>
      </c>
      <c r="U108" s="28">
        <v>105</v>
      </c>
      <c r="V108" s="45">
        <v>18</v>
      </c>
      <c r="W108" s="45">
        <v>17</v>
      </c>
      <c r="X108" s="529"/>
      <c r="Y108" s="134">
        <v>118</v>
      </c>
      <c r="Z108" s="45">
        <v>127</v>
      </c>
      <c r="AA108" s="45">
        <v>90</v>
      </c>
      <c r="AB108" s="424">
        <v>109</v>
      </c>
      <c r="AC108" s="134"/>
    </row>
    <row r="109" spans="1:29">
      <c r="A109" s="146">
        <v>84</v>
      </c>
      <c r="B109" s="48" t="s">
        <v>170</v>
      </c>
      <c r="C109" s="4"/>
      <c r="D109" s="463">
        <v>11</v>
      </c>
      <c r="E109" s="493">
        <v>13</v>
      </c>
      <c r="F109" s="493"/>
      <c r="G109" s="473">
        <v>9</v>
      </c>
      <c r="H109" s="479">
        <v>3</v>
      </c>
      <c r="I109" s="477">
        <v>1</v>
      </c>
      <c r="J109" s="496"/>
      <c r="K109" s="474"/>
      <c r="L109" s="480">
        <v>2</v>
      </c>
      <c r="M109" s="45"/>
      <c r="N109" s="45">
        <v>46</v>
      </c>
      <c r="O109" s="205">
        <v>59</v>
      </c>
      <c r="P109" s="134">
        <v>10</v>
      </c>
      <c r="Q109" s="45">
        <v>12</v>
      </c>
      <c r="R109" s="45"/>
      <c r="S109" s="28"/>
      <c r="T109" s="45">
        <v>31</v>
      </c>
      <c r="U109" s="28">
        <v>44</v>
      </c>
      <c r="V109" s="45">
        <v>14</v>
      </c>
      <c r="W109" s="45">
        <v>31</v>
      </c>
      <c r="X109" s="529"/>
      <c r="Y109" s="134">
        <v>56</v>
      </c>
      <c r="Z109" s="45">
        <v>66</v>
      </c>
      <c r="AA109" s="45">
        <v>38</v>
      </c>
      <c r="AB109" s="424">
        <v>64</v>
      </c>
      <c r="AC109" s="134"/>
    </row>
    <row r="110" spans="1:29">
      <c r="A110" s="146">
        <v>85</v>
      </c>
      <c r="B110" s="48" t="s">
        <v>171</v>
      </c>
      <c r="C110" s="4"/>
      <c r="D110" s="463">
        <v>16</v>
      </c>
      <c r="E110" s="493">
        <v>20</v>
      </c>
      <c r="F110" s="493"/>
      <c r="G110" s="473">
        <v>4</v>
      </c>
      <c r="H110" s="479">
        <v>9</v>
      </c>
      <c r="I110" s="477">
        <v>10</v>
      </c>
      <c r="J110" s="496">
        <v>4</v>
      </c>
      <c r="K110" s="474"/>
      <c r="L110" s="480"/>
      <c r="M110" s="45">
        <v>1</v>
      </c>
      <c r="N110" s="45">
        <v>133</v>
      </c>
      <c r="O110" s="205">
        <v>96</v>
      </c>
      <c r="P110" s="134">
        <v>18</v>
      </c>
      <c r="Q110" s="45">
        <v>7</v>
      </c>
      <c r="R110" s="45">
        <v>3</v>
      </c>
      <c r="S110" s="28">
        <v>3</v>
      </c>
      <c r="T110" s="45">
        <v>110</v>
      </c>
      <c r="U110" s="28">
        <v>190</v>
      </c>
      <c r="V110" s="45">
        <v>44</v>
      </c>
      <c r="W110" s="45">
        <v>25</v>
      </c>
      <c r="X110" s="529"/>
      <c r="Y110" s="134">
        <v>145</v>
      </c>
      <c r="Z110" s="45">
        <v>97</v>
      </c>
      <c r="AA110" s="45">
        <v>144</v>
      </c>
      <c r="AB110" s="424">
        <v>195</v>
      </c>
      <c r="AC110" s="134"/>
    </row>
    <row r="111" spans="1:29">
      <c r="A111" s="146">
        <v>86</v>
      </c>
      <c r="B111" s="48" t="s">
        <v>172</v>
      </c>
      <c r="C111" s="4"/>
      <c r="D111" s="463">
        <v>8</v>
      </c>
      <c r="E111" s="493">
        <v>10</v>
      </c>
      <c r="F111" s="493"/>
      <c r="G111" s="473">
        <v>1</v>
      </c>
      <c r="H111" s="479">
        <v>5</v>
      </c>
      <c r="I111" s="477">
        <v>4</v>
      </c>
      <c r="J111" s="496">
        <v>1</v>
      </c>
      <c r="K111" s="474"/>
      <c r="L111" s="480"/>
      <c r="M111" s="45"/>
      <c r="N111" s="45">
        <v>16</v>
      </c>
      <c r="O111" s="205">
        <v>24</v>
      </c>
      <c r="P111" s="134">
        <v>3</v>
      </c>
      <c r="Q111" s="45">
        <v>1</v>
      </c>
      <c r="R111" s="45"/>
      <c r="S111" s="28"/>
      <c r="T111" s="45">
        <v>73</v>
      </c>
      <c r="U111" s="28">
        <v>129</v>
      </c>
      <c r="V111" s="45">
        <v>19</v>
      </c>
      <c r="W111" s="45">
        <v>66</v>
      </c>
      <c r="X111" s="529"/>
      <c r="Y111" s="134">
        <v>15</v>
      </c>
      <c r="Z111" s="45">
        <v>24</v>
      </c>
      <c r="AA111" s="45">
        <v>81</v>
      </c>
      <c r="AB111" s="424">
        <v>171</v>
      </c>
      <c r="AC111" s="134"/>
    </row>
    <row r="112" spans="1:29">
      <c r="A112" s="146">
        <v>87</v>
      </c>
      <c r="B112" s="48" t="s">
        <v>173</v>
      </c>
      <c r="C112" s="112"/>
      <c r="D112" s="528">
        <v>33</v>
      </c>
      <c r="E112" s="529">
        <v>40</v>
      </c>
      <c r="F112" s="493"/>
      <c r="G112" s="473">
        <v>15</v>
      </c>
      <c r="H112" s="479">
        <v>27</v>
      </c>
      <c r="I112" s="477">
        <v>3</v>
      </c>
      <c r="J112" s="496">
        <v>2</v>
      </c>
      <c r="K112" s="474"/>
      <c r="L112" s="480">
        <v>1</v>
      </c>
      <c r="M112" s="45">
        <v>1</v>
      </c>
      <c r="N112" s="45">
        <v>246</v>
      </c>
      <c r="O112" s="205">
        <v>207</v>
      </c>
      <c r="P112" s="134">
        <v>43</v>
      </c>
      <c r="Q112" s="45">
        <v>33</v>
      </c>
      <c r="R112" s="45">
        <v>6</v>
      </c>
      <c r="S112" s="28">
        <v>4</v>
      </c>
      <c r="T112" s="45">
        <v>60</v>
      </c>
      <c r="U112" s="28">
        <v>43</v>
      </c>
      <c r="V112" s="45">
        <v>128</v>
      </c>
      <c r="W112" s="45">
        <v>18</v>
      </c>
      <c r="X112" s="529"/>
      <c r="Y112" s="134">
        <v>269</v>
      </c>
      <c r="Z112" s="45">
        <v>228</v>
      </c>
      <c r="AA112" s="45">
        <v>186</v>
      </c>
      <c r="AB112" s="424">
        <v>59</v>
      </c>
      <c r="AC112" s="134"/>
    </row>
    <row r="113" spans="1:29">
      <c r="A113" s="530"/>
      <c r="B113" s="437"/>
      <c r="C113" s="531"/>
      <c r="D113" s="612"/>
      <c r="E113" s="613"/>
      <c r="F113" s="508"/>
      <c r="G113" s="532"/>
      <c r="H113" s="533"/>
      <c r="I113" s="534"/>
      <c r="J113" s="535"/>
      <c r="K113" s="536"/>
      <c r="L113" s="537"/>
      <c r="M113" s="538"/>
      <c r="N113" s="538"/>
      <c r="O113" s="539"/>
      <c r="P113" s="540"/>
      <c r="Q113" s="538"/>
      <c r="R113" s="538"/>
      <c r="S113" s="541"/>
      <c r="T113" s="538"/>
      <c r="U113" s="541"/>
      <c r="V113" s="538"/>
      <c r="W113" s="538"/>
      <c r="X113" s="609"/>
      <c r="Y113" s="540"/>
      <c r="Z113" s="538"/>
      <c r="AA113" s="538"/>
      <c r="AB113" s="542"/>
      <c r="AC113" s="456"/>
    </row>
    <row r="114" spans="1:29">
      <c r="A114" s="146" t="s">
        <v>293</v>
      </c>
      <c r="B114" s="48"/>
      <c r="C114" s="112"/>
      <c r="D114" s="528">
        <f>SUM(D108:D112)</f>
        <v>78</v>
      </c>
      <c r="E114" s="529">
        <f t="shared" ref="E114:AB114" si="13">SUM(E108:E112)</f>
        <v>100</v>
      </c>
      <c r="F114" s="529">
        <f t="shared" si="13"/>
        <v>0</v>
      </c>
      <c r="G114" s="528">
        <f t="shared" si="13"/>
        <v>37</v>
      </c>
      <c r="H114" s="568">
        <f t="shared" si="13"/>
        <v>51</v>
      </c>
      <c r="I114" s="568">
        <f t="shared" si="13"/>
        <v>19</v>
      </c>
      <c r="J114" s="653">
        <f t="shared" si="13"/>
        <v>9</v>
      </c>
      <c r="K114" s="528">
        <f t="shared" si="13"/>
        <v>0</v>
      </c>
      <c r="L114" s="654">
        <f t="shared" si="13"/>
        <v>4</v>
      </c>
      <c r="M114" s="568">
        <f t="shared" si="13"/>
        <v>3</v>
      </c>
      <c r="N114" s="568">
        <f t="shared" si="13"/>
        <v>544</v>
      </c>
      <c r="O114" s="568">
        <f t="shared" si="13"/>
        <v>497</v>
      </c>
      <c r="P114" s="568">
        <f t="shared" si="13"/>
        <v>94</v>
      </c>
      <c r="Q114" s="568">
        <f t="shared" si="13"/>
        <v>75</v>
      </c>
      <c r="R114" s="568">
        <f t="shared" si="13"/>
        <v>9</v>
      </c>
      <c r="S114" s="568">
        <f t="shared" si="13"/>
        <v>7</v>
      </c>
      <c r="T114" s="568">
        <f t="shared" si="13"/>
        <v>364</v>
      </c>
      <c r="U114" s="568">
        <f t="shared" si="13"/>
        <v>511</v>
      </c>
      <c r="V114" s="568">
        <f t="shared" si="13"/>
        <v>223</v>
      </c>
      <c r="W114" s="528">
        <f t="shared" si="13"/>
        <v>157</v>
      </c>
      <c r="X114" s="529">
        <f t="shared" si="13"/>
        <v>0</v>
      </c>
      <c r="Y114" s="528">
        <f t="shared" si="13"/>
        <v>603</v>
      </c>
      <c r="Z114" s="568">
        <f t="shared" si="13"/>
        <v>542</v>
      </c>
      <c r="AA114" s="568">
        <f t="shared" si="13"/>
        <v>539</v>
      </c>
      <c r="AB114" s="569">
        <f t="shared" si="13"/>
        <v>598</v>
      </c>
      <c r="AC114" s="528"/>
    </row>
    <row r="115" spans="1:29" ht="15" thickBot="1">
      <c r="A115" s="543"/>
      <c r="B115" s="184"/>
      <c r="C115" s="544"/>
      <c r="D115" s="614"/>
      <c r="E115" s="615"/>
      <c r="F115" s="501"/>
      <c r="G115" s="545"/>
      <c r="H115" s="546"/>
      <c r="I115" s="547"/>
      <c r="J115" s="548"/>
      <c r="K115" s="549"/>
      <c r="L115" s="550"/>
      <c r="M115" s="551"/>
      <c r="N115" s="551"/>
      <c r="O115" s="552"/>
      <c r="P115" s="553"/>
      <c r="Q115" s="551"/>
      <c r="R115" s="551"/>
      <c r="S115" s="554"/>
      <c r="T115" s="551"/>
      <c r="U115" s="554"/>
      <c r="V115" s="551"/>
      <c r="W115" s="551"/>
      <c r="X115" s="611"/>
      <c r="Y115" s="553"/>
      <c r="Z115" s="551"/>
      <c r="AA115" s="551"/>
      <c r="AB115" s="555"/>
      <c r="AC115" s="456"/>
    </row>
    <row r="116" spans="1:29" ht="15" thickTop="1">
      <c r="A116" s="177" t="s">
        <v>22</v>
      </c>
      <c r="B116" s="84"/>
      <c r="C116" s="97"/>
      <c r="D116" s="616"/>
      <c r="E116" s="617"/>
      <c r="F116" s="493"/>
      <c r="G116" s="481"/>
      <c r="H116" s="482"/>
      <c r="I116" s="483"/>
      <c r="J116" s="497"/>
      <c r="K116" s="492"/>
      <c r="L116" s="484"/>
      <c r="M116" s="447"/>
      <c r="N116" s="447"/>
      <c r="O116" s="444"/>
      <c r="P116" s="456"/>
      <c r="Q116" s="447"/>
      <c r="R116" s="447"/>
      <c r="S116" s="270"/>
      <c r="T116" s="447"/>
      <c r="U116" s="270"/>
      <c r="V116" s="447"/>
      <c r="W116" s="447"/>
      <c r="X116" s="529"/>
      <c r="Y116" s="456"/>
      <c r="Z116" s="447"/>
      <c r="AA116" s="447"/>
      <c r="AB116" s="457"/>
      <c r="AC116" s="456"/>
    </row>
    <row r="117" spans="1:29">
      <c r="A117" s="176" t="s">
        <v>23</v>
      </c>
      <c r="B117" s="59"/>
      <c r="C117" s="8"/>
      <c r="D117" s="463"/>
      <c r="E117" s="493"/>
      <c r="F117" s="493"/>
      <c r="G117" s="473"/>
      <c r="H117" s="479"/>
      <c r="I117" s="477"/>
      <c r="J117" s="496"/>
      <c r="K117" s="474"/>
      <c r="L117" s="480"/>
      <c r="M117" s="45"/>
      <c r="N117" s="45"/>
      <c r="O117" s="205"/>
      <c r="P117" s="134"/>
      <c r="Q117" s="45"/>
      <c r="R117" s="45"/>
      <c r="S117" s="28"/>
      <c r="T117" s="45"/>
      <c r="U117" s="28"/>
      <c r="V117" s="45"/>
      <c r="W117" s="45"/>
      <c r="X117" s="529"/>
      <c r="Y117" s="134"/>
      <c r="Z117" s="45"/>
      <c r="AA117" s="45"/>
      <c r="AB117" s="424"/>
      <c r="AC117" s="134"/>
    </row>
    <row r="118" spans="1:29">
      <c r="A118" s="146">
        <v>88</v>
      </c>
      <c r="B118" s="48" t="s">
        <v>174</v>
      </c>
      <c r="C118" s="4"/>
      <c r="D118" s="463">
        <v>21</v>
      </c>
      <c r="E118" s="493">
        <v>25</v>
      </c>
      <c r="F118" s="493">
        <f>SUM(G118:J118)</f>
        <v>28</v>
      </c>
      <c r="G118" s="473">
        <v>6</v>
      </c>
      <c r="H118" s="479">
        <v>16</v>
      </c>
      <c r="I118" s="477">
        <v>4</v>
      </c>
      <c r="J118" s="496">
        <v>2</v>
      </c>
      <c r="K118" s="474">
        <f>SUM(L118:W118)</f>
        <v>470</v>
      </c>
      <c r="L118" s="480">
        <v>1</v>
      </c>
      <c r="M118" s="45">
        <v>1</v>
      </c>
      <c r="N118" s="45">
        <v>113</v>
      </c>
      <c r="O118" s="205">
        <v>124</v>
      </c>
      <c r="P118" s="134">
        <v>20</v>
      </c>
      <c r="Q118" s="45">
        <v>17</v>
      </c>
      <c r="R118" s="45">
        <v>6</v>
      </c>
      <c r="S118" s="28">
        <v>21</v>
      </c>
      <c r="T118" s="45">
        <v>82</v>
      </c>
      <c r="U118" s="28">
        <v>74</v>
      </c>
      <c r="V118" s="45">
        <v>3</v>
      </c>
      <c r="W118" s="45">
        <v>8</v>
      </c>
      <c r="X118" s="529">
        <f>SUM(Y118:AB118)</f>
        <v>419</v>
      </c>
      <c r="Y118" s="134">
        <v>120</v>
      </c>
      <c r="Z118" s="45">
        <v>132</v>
      </c>
      <c r="AA118" s="45">
        <v>73</v>
      </c>
      <c r="AB118" s="424">
        <v>94</v>
      </c>
      <c r="AC118" s="134"/>
    </row>
    <row r="119" spans="1:29">
      <c r="A119" s="146">
        <v>89</v>
      </c>
      <c r="B119" s="48" t="s">
        <v>175</v>
      </c>
      <c r="C119" s="4"/>
      <c r="D119" s="463">
        <v>43</v>
      </c>
      <c r="E119" s="493">
        <v>64</v>
      </c>
      <c r="F119" s="493">
        <f t="shared" ref="F119:F149" si="14">SUM(G119:J119)</f>
        <v>87</v>
      </c>
      <c r="G119" s="473">
        <v>6</v>
      </c>
      <c r="H119" s="479">
        <v>13</v>
      </c>
      <c r="I119" s="477">
        <v>41</v>
      </c>
      <c r="J119" s="496">
        <v>27</v>
      </c>
      <c r="K119" s="474">
        <f t="shared" ref="K119:K149" si="15">SUM(L119:W119)</f>
        <v>2527</v>
      </c>
      <c r="L119" s="480">
        <v>1</v>
      </c>
      <c r="M119" s="45">
        <v>1</v>
      </c>
      <c r="N119" s="45">
        <v>66</v>
      </c>
      <c r="O119" s="205">
        <v>63</v>
      </c>
      <c r="P119" s="134">
        <v>7</v>
      </c>
      <c r="Q119" s="45">
        <v>5</v>
      </c>
      <c r="R119" s="45">
        <v>11</v>
      </c>
      <c r="S119" s="28">
        <v>23</v>
      </c>
      <c r="T119" s="45">
        <v>843</v>
      </c>
      <c r="U119" s="28">
        <v>1086</v>
      </c>
      <c r="V119" s="45">
        <v>267</v>
      </c>
      <c r="W119" s="45">
        <v>154</v>
      </c>
      <c r="X119" s="529">
        <f t="shared" ref="X119:X149" si="16">SUM(Y119:AB119)</f>
        <v>2288</v>
      </c>
      <c r="Y119" s="134">
        <v>70</v>
      </c>
      <c r="Z119" s="45">
        <v>68</v>
      </c>
      <c r="AA119" s="45">
        <v>1000</v>
      </c>
      <c r="AB119" s="424">
        <v>1150</v>
      </c>
      <c r="AC119" s="134"/>
    </row>
    <row r="120" spans="1:29">
      <c r="A120" s="146">
        <v>90</v>
      </c>
      <c r="B120" s="48" t="s">
        <v>176</v>
      </c>
      <c r="C120" s="4"/>
      <c r="D120" s="463">
        <v>22</v>
      </c>
      <c r="E120" s="493">
        <v>26</v>
      </c>
      <c r="F120" s="493">
        <f t="shared" si="14"/>
        <v>36</v>
      </c>
      <c r="G120" s="473"/>
      <c r="H120" s="479">
        <v>3</v>
      </c>
      <c r="I120" s="477">
        <v>17</v>
      </c>
      <c r="J120" s="496">
        <v>16</v>
      </c>
      <c r="K120" s="474">
        <f t="shared" si="15"/>
        <v>1171</v>
      </c>
      <c r="L120" s="480"/>
      <c r="M120" s="45"/>
      <c r="N120" s="45">
        <v>15</v>
      </c>
      <c r="O120" s="205">
        <v>14</v>
      </c>
      <c r="P120" s="134">
        <v>1</v>
      </c>
      <c r="Q120" s="45"/>
      <c r="R120" s="45">
        <v>10</v>
      </c>
      <c r="S120" s="28">
        <v>10</v>
      </c>
      <c r="T120" s="45">
        <v>412</v>
      </c>
      <c r="U120" s="28">
        <v>439</v>
      </c>
      <c r="V120" s="45">
        <v>127</v>
      </c>
      <c r="W120" s="45">
        <v>143</v>
      </c>
      <c r="X120" s="529">
        <f t="shared" si="16"/>
        <v>942</v>
      </c>
      <c r="Y120" s="134">
        <v>13</v>
      </c>
      <c r="Z120" s="45">
        <v>11</v>
      </c>
      <c r="AA120" s="45">
        <v>429</v>
      </c>
      <c r="AB120" s="424">
        <v>489</v>
      </c>
      <c r="AC120" s="134"/>
    </row>
    <row r="121" spans="1:29">
      <c r="A121" s="146">
        <v>91</v>
      </c>
      <c r="B121" s="48" t="s">
        <v>177</v>
      </c>
      <c r="C121" s="4"/>
      <c r="D121" s="463">
        <v>23</v>
      </c>
      <c r="E121" s="493">
        <v>30</v>
      </c>
      <c r="F121" s="493">
        <f t="shared" si="14"/>
        <v>37</v>
      </c>
      <c r="G121" s="473">
        <v>5</v>
      </c>
      <c r="H121" s="479">
        <v>15</v>
      </c>
      <c r="I121" s="477">
        <v>12</v>
      </c>
      <c r="J121" s="496">
        <v>5</v>
      </c>
      <c r="K121" s="474">
        <f t="shared" si="15"/>
        <v>844</v>
      </c>
      <c r="L121" s="480">
        <v>1</v>
      </c>
      <c r="M121" s="45">
        <v>5</v>
      </c>
      <c r="N121" s="45">
        <v>135</v>
      </c>
      <c r="O121" s="205">
        <v>131</v>
      </c>
      <c r="P121" s="134">
        <v>20</v>
      </c>
      <c r="Q121" s="45">
        <v>17</v>
      </c>
      <c r="R121" s="45">
        <v>10</v>
      </c>
      <c r="S121" s="28">
        <v>3</v>
      </c>
      <c r="T121" s="45">
        <v>242</v>
      </c>
      <c r="U121" s="28">
        <v>251</v>
      </c>
      <c r="V121" s="45">
        <v>14</v>
      </c>
      <c r="W121" s="45">
        <v>15</v>
      </c>
      <c r="X121" s="529">
        <f t="shared" si="16"/>
        <v>746</v>
      </c>
      <c r="Y121" s="134">
        <v>135</v>
      </c>
      <c r="Z121" s="45">
        <v>129</v>
      </c>
      <c r="AA121" s="45">
        <v>237</v>
      </c>
      <c r="AB121" s="424">
        <v>245</v>
      </c>
      <c r="AC121" s="134"/>
    </row>
    <row r="122" spans="1:29">
      <c r="A122" s="146">
        <v>92</v>
      </c>
      <c r="B122" s="48" t="s">
        <v>178</v>
      </c>
      <c r="C122" s="4"/>
      <c r="D122" s="463">
        <v>40</v>
      </c>
      <c r="E122" s="493">
        <v>45</v>
      </c>
      <c r="F122" s="493">
        <f t="shared" si="14"/>
        <v>60</v>
      </c>
      <c r="G122" s="473"/>
      <c r="H122" s="479">
        <v>3</v>
      </c>
      <c r="I122" s="477">
        <v>40</v>
      </c>
      <c r="J122" s="496">
        <v>17</v>
      </c>
      <c r="K122" s="474">
        <f t="shared" si="15"/>
        <v>1900</v>
      </c>
      <c r="L122" s="480">
        <v>1</v>
      </c>
      <c r="M122" s="45">
        <v>1</v>
      </c>
      <c r="N122" s="45">
        <v>16</v>
      </c>
      <c r="O122" s="205">
        <v>11</v>
      </c>
      <c r="P122" s="134"/>
      <c r="Q122" s="45"/>
      <c r="R122" s="45">
        <v>18</v>
      </c>
      <c r="S122" s="28">
        <v>30</v>
      </c>
      <c r="T122" s="45">
        <v>749</v>
      </c>
      <c r="U122" s="28">
        <v>693</v>
      </c>
      <c r="V122" s="45">
        <v>257</v>
      </c>
      <c r="W122" s="45">
        <v>124</v>
      </c>
      <c r="X122" s="529">
        <f t="shared" si="16"/>
        <v>1680</v>
      </c>
      <c r="Y122" s="134">
        <v>16</v>
      </c>
      <c r="Z122" s="45">
        <v>12</v>
      </c>
      <c r="AA122" s="45">
        <v>905</v>
      </c>
      <c r="AB122" s="424">
        <v>747</v>
      </c>
      <c r="AC122" s="134"/>
    </row>
    <row r="123" spans="1:29">
      <c r="A123" s="146">
        <v>93</v>
      </c>
      <c r="B123" s="48" t="s">
        <v>179</v>
      </c>
      <c r="C123" s="4"/>
      <c r="D123" s="463">
        <v>49</v>
      </c>
      <c r="E123" s="493">
        <v>63</v>
      </c>
      <c r="F123" s="493">
        <f t="shared" si="14"/>
        <v>111</v>
      </c>
      <c r="G123" s="473"/>
      <c r="H123" s="479">
        <v>1</v>
      </c>
      <c r="I123" s="477">
        <v>64</v>
      </c>
      <c r="J123" s="496">
        <v>46</v>
      </c>
      <c r="K123" s="474">
        <f t="shared" si="15"/>
        <v>3340</v>
      </c>
      <c r="L123" s="480"/>
      <c r="M123" s="45"/>
      <c r="N123" s="45">
        <v>9</v>
      </c>
      <c r="O123" s="205">
        <v>10</v>
      </c>
      <c r="P123" s="134">
        <v>1</v>
      </c>
      <c r="Q123" s="45">
        <v>3</v>
      </c>
      <c r="R123" s="45">
        <v>50</v>
      </c>
      <c r="S123" s="28">
        <v>38</v>
      </c>
      <c r="T123" s="45">
        <v>1247</v>
      </c>
      <c r="U123" s="28">
        <v>1240</v>
      </c>
      <c r="V123" s="45">
        <v>401</v>
      </c>
      <c r="W123" s="45">
        <v>341</v>
      </c>
      <c r="X123" s="529">
        <f t="shared" si="16"/>
        <v>2705</v>
      </c>
      <c r="Y123" s="134">
        <v>10</v>
      </c>
      <c r="Z123" s="45">
        <v>11</v>
      </c>
      <c r="AA123" s="45">
        <v>1323</v>
      </c>
      <c r="AB123" s="424">
        <v>1361</v>
      </c>
      <c r="AC123" s="134"/>
    </row>
    <row r="124" spans="1:29">
      <c r="A124" s="146">
        <v>94</v>
      </c>
      <c r="B124" s="48" t="s">
        <v>180</v>
      </c>
      <c r="C124" s="4"/>
      <c r="D124" s="463">
        <v>53</v>
      </c>
      <c r="E124" s="493">
        <v>69</v>
      </c>
      <c r="F124" s="493">
        <f t="shared" si="14"/>
        <v>105</v>
      </c>
      <c r="G124" s="473"/>
      <c r="H124" s="479">
        <v>6</v>
      </c>
      <c r="I124" s="477">
        <v>60</v>
      </c>
      <c r="J124" s="496">
        <v>39</v>
      </c>
      <c r="K124" s="474">
        <f t="shared" si="15"/>
        <v>3255</v>
      </c>
      <c r="L124" s="480"/>
      <c r="M124" s="45">
        <v>1</v>
      </c>
      <c r="N124" s="45">
        <v>10</v>
      </c>
      <c r="O124" s="205">
        <v>10</v>
      </c>
      <c r="P124" s="134"/>
      <c r="Q124" s="45">
        <v>1</v>
      </c>
      <c r="R124" s="45">
        <v>13</v>
      </c>
      <c r="S124" s="28">
        <v>30</v>
      </c>
      <c r="T124" s="45">
        <v>1217</v>
      </c>
      <c r="U124" s="28">
        <v>1388</v>
      </c>
      <c r="V124" s="45">
        <v>251</v>
      </c>
      <c r="W124" s="45">
        <v>334</v>
      </c>
      <c r="X124" s="529">
        <f t="shared" si="16"/>
        <v>2781</v>
      </c>
      <c r="Y124" s="134">
        <v>9</v>
      </c>
      <c r="Z124" s="45">
        <v>11</v>
      </c>
      <c r="AA124" s="45">
        <v>1213</v>
      </c>
      <c r="AB124" s="424">
        <v>1548</v>
      </c>
      <c r="AC124" s="134"/>
    </row>
    <row r="125" spans="1:29">
      <c r="A125" s="146">
        <v>95</v>
      </c>
      <c r="B125" s="48" t="s">
        <v>181</v>
      </c>
      <c r="C125" s="4"/>
      <c r="D125" s="463">
        <v>52</v>
      </c>
      <c r="E125" s="493">
        <v>61</v>
      </c>
      <c r="F125" s="493">
        <f t="shared" si="14"/>
        <v>94</v>
      </c>
      <c r="G125" s="473">
        <v>1</v>
      </c>
      <c r="H125" s="479">
        <v>2</v>
      </c>
      <c r="I125" s="477">
        <v>46</v>
      </c>
      <c r="J125" s="496">
        <v>45</v>
      </c>
      <c r="K125" s="474">
        <f t="shared" si="15"/>
        <v>2821</v>
      </c>
      <c r="L125" s="480"/>
      <c r="M125" s="45"/>
      <c r="N125" s="45">
        <v>17</v>
      </c>
      <c r="O125" s="205">
        <v>10</v>
      </c>
      <c r="P125" s="134"/>
      <c r="Q125" s="45"/>
      <c r="R125" s="45">
        <v>28</v>
      </c>
      <c r="S125" s="28">
        <v>45</v>
      </c>
      <c r="T125" s="45">
        <v>1091</v>
      </c>
      <c r="U125" s="28">
        <v>1053</v>
      </c>
      <c r="V125" s="45">
        <v>302</v>
      </c>
      <c r="W125" s="45">
        <v>275</v>
      </c>
      <c r="X125" s="529">
        <f t="shared" si="16"/>
        <v>2435</v>
      </c>
      <c r="Y125" s="134">
        <v>16</v>
      </c>
      <c r="Z125" s="45">
        <v>10</v>
      </c>
      <c r="AA125" s="45">
        <v>1194</v>
      </c>
      <c r="AB125" s="424">
        <v>1215</v>
      </c>
      <c r="AC125" s="134"/>
    </row>
    <row r="126" spans="1:29">
      <c r="A126" s="146">
        <v>96</v>
      </c>
      <c r="B126" s="48" t="s">
        <v>182</v>
      </c>
      <c r="C126" s="97"/>
      <c r="D126" s="528">
        <v>52</v>
      </c>
      <c r="E126" s="529">
        <v>60</v>
      </c>
      <c r="F126" s="493">
        <f t="shared" si="14"/>
        <v>88</v>
      </c>
      <c r="G126" s="473">
        <v>2</v>
      </c>
      <c r="H126" s="479">
        <v>4</v>
      </c>
      <c r="I126" s="477">
        <v>39</v>
      </c>
      <c r="J126" s="496">
        <v>43</v>
      </c>
      <c r="K126" s="474">
        <f t="shared" si="15"/>
        <v>2791</v>
      </c>
      <c r="L126" s="480">
        <v>1</v>
      </c>
      <c r="M126" s="45">
        <v>1</v>
      </c>
      <c r="N126" s="45">
        <v>9</v>
      </c>
      <c r="O126" s="205">
        <v>14</v>
      </c>
      <c r="P126" s="134"/>
      <c r="Q126" s="45"/>
      <c r="R126" s="45">
        <v>63</v>
      </c>
      <c r="S126" s="28">
        <v>54</v>
      </c>
      <c r="T126" s="45">
        <v>1097</v>
      </c>
      <c r="U126" s="28">
        <v>930</v>
      </c>
      <c r="V126" s="45">
        <v>299</v>
      </c>
      <c r="W126" s="45">
        <v>323</v>
      </c>
      <c r="X126" s="529">
        <f t="shared" si="16"/>
        <v>2524</v>
      </c>
      <c r="Y126" s="134">
        <v>8</v>
      </c>
      <c r="Z126" s="45">
        <v>7</v>
      </c>
      <c r="AA126" s="45">
        <v>1298</v>
      </c>
      <c r="AB126" s="424">
        <v>1211</v>
      </c>
      <c r="AC126" s="134"/>
    </row>
    <row r="127" spans="1:29">
      <c r="A127" s="176" t="s">
        <v>24</v>
      </c>
      <c r="B127" s="59"/>
      <c r="C127" s="113"/>
      <c r="D127" s="528"/>
      <c r="E127" s="529"/>
      <c r="F127" s="493"/>
      <c r="G127" s="473"/>
      <c r="H127" s="479"/>
      <c r="I127" s="477"/>
      <c r="J127" s="496"/>
      <c r="K127" s="474"/>
      <c r="L127" s="480"/>
      <c r="M127" s="45"/>
      <c r="N127" s="45"/>
      <c r="O127" s="205"/>
      <c r="P127" s="134"/>
      <c r="Q127" s="45"/>
      <c r="R127" s="45"/>
      <c r="S127" s="28"/>
      <c r="T127" s="45"/>
      <c r="U127" s="28"/>
      <c r="V127" s="45"/>
      <c r="W127" s="45"/>
      <c r="X127" s="529"/>
      <c r="Y127" s="134"/>
      <c r="Z127" s="45"/>
      <c r="AA127" s="45"/>
      <c r="AB127" s="424"/>
      <c r="AC127" s="134"/>
    </row>
    <row r="128" spans="1:29">
      <c r="A128" s="178">
        <v>97</v>
      </c>
      <c r="B128" s="85" t="s">
        <v>183</v>
      </c>
      <c r="C128" s="4"/>
      <c r="D128" s="463">
        <v>28</v>
      </c>
      <c r="E128" s="493">
        <v>35</v>
      </c>
      <c r="F128" s="493">
        <f t="shared" si="14"/>
        <v>33</v>
      </c>
      <c r="G128" s="473">
        <v>15</v>
      </c>
      <c r="H128" s="479">
        <v>16</v>
      </c>
      <c r="I128" s="477">
        <v>2</v>
      </c>
      <c r="J128" s="496"/>
      <c r="K128" s="474">
        <f t="shared" si="15"/>
        <v>638</v>
      </c>
      <c r="L128" s="480"/>
      <c r="M128" s="45">
        <v>1</v>
      </c>
      <c r="N128" s="45">
        <v>256</v>
      </c>
      <c r="O128" s="205">
        <v>245</v>
      </c>
      <c r="P128" s="134">
        <v>21</v>
      </c>
      <c r="Q128" s="45">
        <v>21</v>
      </c>
      <c r="R128" s="45"/>
      <c r="S128" s="28"/>
      <c r="T128" s="45">
        <v>36</v>
      </c>
      <c r="U128" s="28">
        <v>48</v>
      </c>
      <c r="V128" s="45">
        <v>3</v>
      </c>
      <c r="W128" s="45">
        <v>7</v>
      </c>
      <c r="X128" s="529">
        <f t="shared" si="16"/>
        <v>545</v>
      </c>
      <c r="Y128" s="134">
        <v>236</v>
      </c>
      <c r="Z128" s="45">
        <v>230</v>
      </c>
      <c r="AA128" s="45">
        <v>31</v>
      </c>
      <c r="AB128" s="424">
        <v>48</v>
      </c>
      <c r="AC128" s="134"/>
    </row>
    <row r="129" spans="1:29">
      <c r="A129" s="146">
        <v>98</v>
      </c>
      <c r="B129" s="48" t="s">
        <v>184</v>
      </c>
      <c r="C129" s="4"/>
      <c r="D129" s="463">
        <v>4</v>
      </c>
      <c r="E129" s="493">
        <v>4</v>
      </c>
      <c r="F129" s="493">
        <f t="shared" si="14"/>
        <v>5</v>
      </c>
      <c r="G129" s="473"/>
      <c r="H129" s="479"/>
      <c r="I129" s="477">
        <v>4</v>
      </c>
      <c r="J129" s="496">
        <v>1</v>
      </c>
      <c r="K129" s="474">
        <f t="shared" si="15"/>
        <v>140</v>
      </c>
      <c r="L129" s="480"/>
      <c r="M129" s="45"/>
      <c r="N129" s="45"/>
      <c r="O129" s="205"/>
      <c r="P129" s="134"/>
      <c r="Q129" s="45"/>
      <c r="R129" s="45">
        <v>8</v>
      </c>
      <c r="S129" s="28">
        <v>4</v>
      </c>
      <c r="T129" s="45">
        <v>64</v>
      </c>
      <c r="U129" s="28">
        <v>45</v>
      </c>
      <c r="V129" s="45">
        <v>12</v>
      </c>
      <c r="W129" s="45">
        <v>7</v>
      </c>
      <c r="X129" s="529">
        <f t="shared" si="16"/>
        <v>110</v>
      </c>
      <c r="Y129" s="134"/>
      <c r="Z129" s="45"/>
      <c r="AA129" s="45">
        <v>63</v>
      </c>
      <c r="AB129" s="424">
        <v>47</v>
      </c>
      <c r="AC129" s="134"/>
    </row>
    <row r="130" spans="1:29">
      <c r="A130" s="146">
        <v>99</v>
      </c>
      <c r="B130" s="48" t="s">
        <v>185</v>
      </c>
      <c r="C130" s="4"/>
      <c r="D130" s="463">
        <v>55</v>
      </c>
      <c r="E130" s="493">
        <v>77</v>
      </c>
      <c r="F130" s="493">
        <f t="shared" si="14"/>
        <v>108</v>
      </c>
      <c r="G130" s="473">
        <v>4</v>
      </c>
      <c r="H130" s="479">
        <v>6</v>
      </c>
      <c r="I130" s="477">
        <v>59</v>
      </c>
      <c r="J130" s="496">
        <v>39</v>
      </c>
      <c r="K130" s="474">
        <f t="shared" si="15"/>
        <v>3435</v>
      </c>
      <c r="L130" s="480"/>
      <c r="M130" s="45"/>
      <c r="N130" s="45">
        <v>8</v>
      </c>
      <c r="O130" s="205">
        <v>1</v>
      </c>
      <c r="P130" s="134">
        <v>1</v>
      </c>
      <c r="Q130" s="45"/>
      <c r="R130" s="45">
        <v>22</v>
      </c>
      <c r="S130" s="28">
        <v>39</v>
      </c>
      <c r="T130" s="45">
        <v>1398</v>
      </c>
      <c r="U130" s="28">
        <v>1161</v>
      </c>
      <c r="V130" s="45">
        <v>490</v>
      </c>
      <c r="W130" s="45">
        <v>315</v>
      </c>
      <c r="X130" s="529">
        <f t="shared" si="16"/>
        <v>2890</v>
      </c>
      <c r="Y130" s="134">
        <v>8</v>
      </c>
      <c r="Z130" s="45">
        <v>1</v>
      </c>
      <c r="AA130" s="45">
        <v>1559</v>
      </c>
      <c r="AB130" s="424">
        <v>1322</v>
      </c>
      <c r="AC130" s="134"/>
    </row>
    <row r="131" spans="1:29">
      <c r="A131" s="146">
        <v>100</v>
      </c>
      <c r="B131" s="48" t="s">
        <v>186</v>
      </c>
      <c r="C131" s="4"/>
      <c r="D131" s="463">
        <v>35</v>
      </c>
      <c r="E131" s="493">
        <v>37</v>
      </c>
      <c r="F131" s="493">
        <f t="shared" si="14"/>
        <v>53</v>
      </c>
      <c r="G131" s="473">
        <v>1</v>
      </c>
      <c r="H131" s="479">
        <v>3</v>
      </c>
      <c r="I131" s="477">
        <v>33</v>
      </c>
      <c r="J131" s="496">
        <v>16</v>
      </c>
      <c r="K131" s="474">
        <f t="shared" si="15"/>
        <v>1446</v>
      </c>
      <c r="L131" s="480"/>
      <c r="M131" s="45"/>
      <c r="N131" s="45">
        <v>15</v>
      </c>
      <c r="O131" s="205">
        <v>15</v>
      </c>
      <c r="P131" s="134"/>
      <c r="Q131" s="45">
        <v>2</v>
      </c>
      <c r="R131" s="45">
        <v>20</v>
      </c>
      <c r="S131" s="28">
        <v>7</v>
      </c>
      <c r="T131" s="45">
        <v>687</v>
      </c>
      <c r="U131" s="28">
        <v>407</v>
      </c>
      <c r="V131" s="45">
        <v>181</v>
      </c>
      <c r="W131" s="45">
        <v>112</v>
      </c>
      <c r="X131" s="529">
        <f t="shared" si="16"/>
        <v>1176</v>
      </c>
      <c r="Y131" s="134">
        <v>14</v>
      </c>
      <c r="Z131" s="45">
        <v>17</v>
      </c>
      <c r="AA131" s="45">
        <v>703</v>
      </c>
      <c r="AB131" s="424">
        <v>442</v>
      </c>
      <c r="AC131" s="134"/>
    </row>
    <row r="132" spans="1:29">
      <c r="A132" s="146">
        <v>101</v>
      </c>
      <c r="B132" s="48" t="s">
        <v>291</v>
      </c>
      <c r="C132" s="4"/>
      <c r="D132" s="463">
        <v>38</v>
      </c>
      <c r="E132" s="493">
        <v>43</v>
      </c>
      <c r="F132" s="493">
        <f t="shared" si="14"/>
        <v>64</v>
      </c>
      <c r="G132" s="473"/>
      <c r="H132" s="479">
        <v>2</v>
      </c>
      <c r="I132" s="477">
        <v>34</v>
      </c>
      <c r="J132" s="496">
        <v>28</v>
      </c>
      <c r="K132" s="474">
        <f t="shared" si="15"/>
        <v>2284</v>
      </c>
      <c r="L132" s="480"/>
      <c r="M132" s="45"/>
      <c r="N132" s="45">
        <v>8</v>
      </c>
      <c r="O132" s="205">
        <v>12</v>
      </c>
      <c r="P132" s="134"/>
      <c r="Q132" s="45">
        <v>1</v>
      </c>
      <c r="R132" s="45">
        <v>17</v>
      </c>
      <c r="S132" s="28">
        <v>20</v>
      </c>
      <c r="T132" s="45">
        <v>850</v>
      </c>
      <c r="U132" s="28">
        <v>936</v>
      </c>
      <c r="V132" s="45">
        <v>183</v>
      </c>
      <c r="W132" s="45">
        <v>257</v>
      </c>
      <c r="X132" s="529">
        <f t="shared" si="16"/>
        <v>1910</v>
      </c>
      <c r="Y132" s="134">
        <v>8</v>
      </c>
      <c r="Z132" s="45">
        <v>13</v>
      </c>
      <c r="AA132" s="45">
        <v>841</v>
      </c>
      <c r="AB132" s="424">
        <v>1048</v>
      </c>
      <c r="AC132" s="134"/>
    </row>
    <row r="133" spans="1:29">
      <c r="A133" s="146">
        <v>102</v>
      </c>
      <c r="B133" s="48" t="s">
        <v>187</v>
      </c>
      <c r="C133" s="4"/>
      <c r="D133" s="463">
        <v>54</v>
      </c>
      <c r="E133" s="493">
        <v>75</v>
      </c>
      <c r="F133" s="493">
        <f t="shared" si="14"/>
        <v>92</v>
      </c>
      <c r="G133" s="473">
        <v>8</v>
      </c>
      <c r="H133" s="479">
        <v>11</v>
      </c>
      <c r="I133" s="477">
        <v>47</v>
      </c>
      <c r="J133" s="496">
        <v>26</v>
      </c>
      <c r="K133" s="474">
        <f t="shared" si="15"/>
        <v>2767</v>
      </c>
      <c r="L133" s="480"/>
      <c r="M133" s="45">
        <v>1</v>
      </c>
      <c r="N133" s="45">
        <v>134</v>
      </c>
      <c r="O133" s="205">
        <v>80</v>
      </c>
      <c r="P133" s="134">
        <v>42</v>
      </c>
      <c r="Q133" s="45">
        <v>12</v>
      </c>
      <c r="R133" s="45">
        <v>46</v>
      </c>
      <c r="S133" s="28">
        <v>34</v>
      </c>
      <c r="T133" s="45">
        <v>942</v>
      </c>
      <c r="U133" s="28">
        <v>812</v>
      </c>
      <c r="V133" s="45">
        <v>420</v>
      </c>
      <c r="W133" s="45">
        <v>244</v>
      </c>
      <c r="X133" s="529">
        <f t="shared" si="16"/>
        <v>2434</v>
      </c>
      <c r="Y133" s="134">
        <v>164</v>
      </c>
      <c r="Z133" s="45">
        <v>78</v>
      </c>
      <c r="AA133" s="45">
        <v>1219</v>
      </c>
      <c r="AB133" s="424">
        <v>973</v>
      </c>
      <c r="AC133" s="134"/>
    </row>
    <row r="134" spans="1:29">
      <c r="A134" s="146">
        <v>103</v>
      </c>
      <c r="B134" s="48" t="s">
        <v>188</v>
      </c>
      <c r="C134" s="97"/>
      <c r="D134" s="528">
        <v>27</v>
      </c>
      <c r="E134" s="529">
        <v>41</v>
      </c>
      <c r="F134" s="493">
        <f t="shared" si="14"/>
        <v>50</v>
      </c>
      <c r="G134" s="473">
        <v>2</v>
      </c>
      <c r="H134" s="479">
        <v>6</v>
      </c>
      <c r="I134" s="477">
        <v>22</v>
      </c>
      <c r="J134" s="496">
        <v>20</v>
      </c>
      <c r="K134" s="474">
        <f t="shared" si="15"/>
        <v>1848</v>
      </c>
      <c r="L134" s="480"/>
      <c r="M134" s="45">
        <v>1</v>
      </c>
      <c r="N134" s="45">
        <v>37</v>
      </c>
      <c r="O134" s="205">
        <v>32</v>
      </c>
      <c r="P134" s="134">
        <v>3</v>
      </c>
      <c r="Q134" s="45"/>
      <c r="R134" s="45">
        <v>7</v>
      </c>
      <c r="S134" s="28">
        <v>11</v>
      </c>
      <c r="T134" s="45">
        <v>593</v>
      </c>
      <c r="U134" s="28">
        <v>828</v>
      </c>
      <c r="V134" s="45">
        <v>160</v>
      </c>
      <c r="W134" s="45">
        <v>176</v>
      </c>
      <c r="X134" s="529">
        <f t="shared" si="16"/>
        <v>1529</v>
      </c>
      <c r="Y134" s="134">
        <v>37</v>
      </c>
      <c r="Z134" s="45">
        <v>31</v>
      </c>
      <c r="AA134" s="45">
        <v>618</v>
      </c>
      <c r="AB134" s="424">
        <v>843</v>
      </c>
      <c r="AC134" s="134"/>
    </row>
    <row r="135" spans="1:29">
      <c r="A135" s="176" t="s">
        <v>25</v>
      </c>
      <c r="B135" s="59"/>
      <c r="C135" s="4"/>
      <c r="D135" s="463"/>
      <c r="E135" s="493"/>
      <c r="F135" s="493"/>
      <c r="G135" s="473"/>
      <c r="H135" s="479"/>
      <c r="I135" s="477"/>
      <c r="J135" s="496"/>
      <c r="K135" s="474"/>
      <c r="L135" s="480"/>
      <c r="M135" s="45"/>
      <c r="N135" s="45"/>
      <c r="O135" s="205"/>
      <c r="P135" s="134"/>
      <c r="Q135" s="45"/>
      <c r="R135" s="45"/>
      <c r="S135" s="28"/>
      <c r="T135" s="45"/>
      <c r="U135" s="28"/>
      <c r="V135" s="45"/>
      <c r="W135" s="45"/>
      <c r="X135" s="529"/>
      <c r="Y135" s="134"/>
      <c r="Z135" s="45"/>
      <c r="AA135" s="45"/>
      <c r="AB135" s="424"/>
      <c r="AC135" s="134"/>
    </row>
    <row r="136" spans="1:29">
      <c r="A136" s="146">
        <v>104</v>
      </c>
      <c r="B136" s="48" t="s">
        <v>189</v>
      </c>
      <c r="C136" s="4" t="s">
        <v>442</v>
      </c>
      <c r="D136" s="463">
        <v>27</v>
      </c>
      <c r="E136" s="493">
        <v>35</v>
      </c>
      <c r="F136" s="493">
        <f t="shared" si="14"/>
        <v>79</v>
      </c>
      <c r="G136" s="473">
        <v>2</v>
      </c>
      <c r="H136" s="479">
        <v>10</v>
      </c>
      <c r="I136" s="477">
        <v>27</v>
      </c>
      <c r="J136" s="496">
        <v>40</v>
      </c>
      <c r="K136" s="474">
        <f t="shared" si="15"/>
        <v>2299</v>
      </c>
      <c r="L136" s="480">
        <v>1</v>
      </c>
      <c r="M136" s="45">
        <v>1</v>
      </c>
      <c r="N136" s="45">
        <v>66</v>
      </c>
      <c r="O136" s="205">
        <v>53</v>
      </c>
      <c r="P136" s="134">
        <v>7</v>
      </c>
      <c r="Q136" s="45">
        <v>10</v>
      </c>
      <c r="R136" s="45">
        <v>70</v>
      </c>
      <c r="S136" s="28">
        <v>57</v>
      </c>
      <c r="T136" s="45">
        <v>595</v>
      </c>
      <c r="U136" s="28">
        <v>929</v>
      </c>
      <c r="V136" s="45">
        <v>198</v>
      </c>
      <c r="W136" s="45">
        <v>312</v>
      </c>
      <c r="X136" s="529">
        <f t="shared" si="16"/>
        <v>1860</v>
      </c>
      <c r="Y136" s="134">
        <v>71</v>
      </c>
      <c r="Z136" s="45">
        <v>58</v>
      </c>
      <c r="AA136" s="45">
        <v>676</v>
      </c>
      <c r="AB136" s="424">
        <v>1055</v>
      </c>
      <c r="AC136" s="134"/>
    </row>
    <row r="137" spans="1:29">
      <c r="A137" s="146">
        <v>105</v>
      </c>
      <c r="B137" s="48" t="s">
        <v>190</v>
      </c>
      <c r="C137" s="4"/>
      <c r="D137" s="463">
        <v>28</v>
      </c>
      <c r="E137" s="493">
        <v>30</v>
      </c>
      <c r="F137" s="493">
        <f t="shared" si="14"/>
        <v>53</v>
      </c>
      <c r="G137" s="473">
        <v>1</v>
      </c>
      <c r="H137" s="479">
        <v>3</v>
      </c>
      <c r="I137" s="477">
        <v>23</v>
      </c>
      <c r="J137" s="496">
        <v>26</v>
      </c>
      <c r="K137" s="474">
        <f t="shared" si="15"/>
        <v>1836</v>
      </c>
      <c r="L137" s="480">
        <v>6</v>
      </c>
      <c r="M137" s="45"/>
      <c r="N137" s="45">
        <v>29</v>
      </c>
      <c r="O137" s="205">
        <v>31</v>
      </c>
      <c r="P137" s="134">
        <v>1</v>
      </c>
      <c r="Q137" s="45">
        <v>4</v>
      </c>
      <c r="R137" s="45">
        <v>27</v>
      </c>
      <c r="S137" s="28">
        <v>34</v>
      </c>
      <c r="T137" s="45">
        <v>699</v>
      </c>
      <c r="U137" s="28">
        <v>660</v>
      </c>
      <c r="V137" s="45">
        <v>165</v>
      </c>
      <c r="W137" s="45">
        <v>180</v>
      </c>
      <c r="X137" s="529">
        <f t="shared" si="16"/>
        <v>1558</v>
      </c>
      <c r="Y137" s="134">
        <v>33</v>
      </c>
      <c r="Z137" s="45">
        <v>32</v>
      </c>
      <c r="AA137" s="45">
        <v>726</v>
      </c>
      <c r="AB137" s="424">
        <v>767</v>
      </c>
      <c r="AC137" s="134"/>
    </row>
    <row r="138" spans="1:29">
      <c r="A138" s="146">
        <v>106</v>
      </c>
      <c r="B138" s="48" t="s">
        <v>191</v>
      </c>
      <c r="C138" s="4"/>
      <c r="D138" s="463">
        <v>45</v>
      </c>
      <c r="E138" s="493">
        <v>46</v>
      </c>
      <c r="F138" s="493">
        <f t="shared" si="14"/>
        <v>64</v>
      </c>
      <c r="G138" s="473"/>
      <c r="H138" s="479">
        <v>3</v>
      </c>
      <c r="I138" s="477">
        <v>42</v>
      </c>
      <c r="J138" s="496">
        <v>19</v>
      </c>
      <c r="K138" s="474">
        <f t="shared" si="15"/>
        <v>1768</v>
      </c>
      <c r="L138" s="480"/>
      <c r="M138" s="45">
        <v>1</v>
      </c>
      <c r="N138" s="45">
        <v>11</v>
      </c>
      <c r="O138" s="205">
        <v>8</v>
      </c>
      <c r="P138" s="134">
        <v>1</v>
      </c>
      <c r="Q138" s="45">
        <v>2</v>
      </c>
      <c r="R138" s="45">
        <v>18</v>
      </c>
      <c r="S138" s="28">
        <v>22</v>
      </c>
      <c r="T138" s="45">
        <v>928</v>
      </c>
      <c r="U138" s="28">
        <v>555</v>
      </c>
      <c r="V138" s="45">
        <v>142</v>
      </c>
      <c r="W138" s="45">
        <v>80</v>
      </c>
      <c r="X138" s="529">
        <f t="shared" si="16"/>
        <v>1334</v>
      </c>
      <c r="Y138" s="134">
        <v>11</v>
      </c>
      <c r="Z138" s="45">
        <v>11</v>
      </c>
      <c r="AA138" s="45">
        <v>798</v>
      </c>
      <c r="AB138" s="424">
        <v>514</v>
      </c>
      <c r="AC138" s="134"/>
    </row>
    <row r="139" spans="1:29">
      <c r="A139" s="146">
        <v>107</v>
      </c>
      <c r="B139" s="48" t="s">
        <v>192</v>
      </c>
      <c r="C139" s="4"/>
      <c r="D139" s="463">
        <v>63</v>
      </c>
      <c r="E139" s="493">
        <v>77</v>
      </c>
      <c r="F139" s="493">
        <f t="shared" si="14"/>
        <v>161</v>
      </c>
      <c r="G139" s="473">
        <v>6</v>
      </c>
      <c r="H139" s="479">
        <v>6</v>
      </c>
      <c r="I139" s="477">
        <v>68</v>
      </c>
      <c r="J139" s="496">
        <v>81</v>
      </c>
      <c r="K139" s="474">
        <f t="shared" si="15"/>
        <v>4846</v>
      </c>
      <c r="L139" s="480"/>
      <c r="M139" s="45"/>
      <c r="N139" s="45">
        <v>7</v>
      </c>
      <c r="O139" s="205">
        <v>17</v>
      </c>
      <c r="P139" s="134">
        <v>1</v>
      </c>
      <c r="Q139" s="45">
        <v>1</v>
      </c>
      <c r="R139" s="45">
        <v>41</v>
      </c>
      <c r="S139" s="28">
        <v>39</v>
      </c>
      <c r="T139" s="45">
        <v>1295</v>
      </c>
      <c r="U139" s="28">
        <v>2265</v>
      </c>
      <c r="V139" s="45">
        <v>515</v>
      </c>
      <c r="W139" s="45">
        <v>665</v>
      </c>
      <c r="X139" s="529">
        <f t="shared" si="16"/>
        <v>4093</v>
      </c>
      <c r="Y139" s="134">
        <v>9</v>
      </c>
      <c r="Z139" s="45">
        <v>16</v>
      </c>
      <c r="AA139" s="45">
        <v>1499</v>
      </c>
      <c r="AB139" s="424">
        <v>2569</v>
      </c>
      <c r="AC139" s="134"/>
    </row>
    <row r="140" spans="1:29">
      <c r="A140" s="146">
        <v>108</v>
      </c>
      <c r="B140" s="48" t="s">
        <v>193</v>
      </c>
      <c r="C140" s="4"/>
      <c r="D140" s="463">
        <v>35</v>
      </c>
      <c r="E140" s="493">
        <v>38</v>
      </c>
      <c r="F140" s="493">
        <f t="shared" si="14"/>
        <v>86</v>
      </c>
      <c r="G140" s="473"/>
      <c r="H140" s="479">
        <v>1</v>
      </c>
      <c r="I140" s="477">
        <v>36</v>
      </c>
      <c r="J140" s="496">
        <v>49</v>
      </c>
      <c r="K140" s="474">
        <f t="shared" si="15"/>
        <v>2611</v>
      </c>
      <c r="L140" s="480"/>
      <c r="M140" s="45"/>
      <c r="N140" s="45">
        <v>9</v>
      </c>
      <c r="O140" s="205">
        <v>6</v>
      </c>
      <c r="P140" s="134">
        <v>2</v>
      </c>
      <c r="Q140" s="45">
        <v>3</v>
      </c>
      <c r="R140" s="45">
        <v>34</v>
      </c>
      <c r="S140" s="28">
        <v>51</v>
      </c>
      <c r="T140" s="45">
        <v>729</v>
      </c>
      <c r="U140" s="28">
        <v>1171</v>
      </c>
      <c r="V140" s="45">
        <v>212</v>
      </c>
      <c r="W140" s="45">
        <v>394</v>
      </c>
      <c r="X140" s="529">
        <f t="shared" si="16"/>
        <v>2042</v>
      </c>
      <c r="Y140" s="134">
        <v>8</v>
      </c>
      <c r="Z140" s="45">
        <v>8</v>
      </c>
      <c r="AA140" s="45">
        <v>722</v>
      </c>
      <c r="AB140" s="424">
        <v>1304</v>
      </c>
      <c r="AC140" s="134"/>
    </row>
    <row r="141" spans="1:29">
      <c r="A141" s="146">
        <v>109</v>
      </c>
      <c r="B141" s="48" t="s">
        <v>194</v>
      </c>
      <c r="C141" s="97"/>
      <c r="D141" s="528">
        <v>48</v>
      </c>
      <c r="E141" s="529">
        <v>50</v>
      </c>
      <c r="F141" s="493">
        <f t="shared" si="14"/>
        <v>90</v>
      </c>
      <c r="G141" s="473"/>
      <c r="H141" s="479">
        <v>1</v>
      </c>
      <c r="I141" s="477">
        <v>49</v>
      </c>
      <c r="J141" s="496">
        <v>40</v>
      </c>
      <c r="K141" s="474">
        <f t="shared" si="15"/>
        <v>2587</v>
      </c>
      <c r="L141" s="480"/>
      <c r="M141" s="45"/>
      <c r="N141" s="45">
        <v>9</v>
      </c>
      <c r="O141" s="205">
        <v>7</v>
      </c>
      <c r="P141" s="134"/>
      <c r="Q141" s="45"/>
      <c r="R141" s="45">
        <v>57</v>
      </c>
      <c r="S141" s="28">
        <v>37</v>
      </c>
      <c r="T141" s="45">
        <v>970</v>
      </c>
      <c r="U141" s="28">
        <v>981</v>
      </c>
      <c r="V141" s="45">
        <v>280</v>
      </c>
      <c r="W141" s="45">
        <v>246</v>
      </c>
      <c r="X141" s="529">
        <f t="shared" si="16"/>
        <v>2048</v>
      </c>
      <c r="Y141" s="134">
        <v>9</v>
      </c>
      <c r="Z141" s="45">
        <v>6</v>
      </c>
      <c r="AA141" s="45">
        <v>1002</v>
      </c>
      <c r="AB141" s="424">
        <v>1031</v>
      </c>
      <c r="AC141" s="134"/>
    </row>
    <row r="142" spans="1:29">
      <c r="A142" s="176" t="s">
        <v>26</v>
      </c>
      <c r="B142" s="59"/>
      <c r="C142" s="8"/>
      <c r="D142" s="463"/>
      <c r="E142" s="493"/>
      <c r="F142" s="493"/>
      <c r="G142" s="473"/>
      <c r="H142" s="479"/>
      <c r="I142" s="477"/>
      <c r="J142" s="496"/>
      <c r="K142" s="474"/>
      <c r="L142" s="480"/>
      <c r="M142" s="45"/>
      <c r="N142" s="45"/>
      <c r="O142" s="205"/>
      <c r="P142" s="134"/>
      <c r="Q142" s="45"/>
      <c r="R142" s="45"/>
      <c r="S142" s="28"/>
      <c r="T142" s="45"/>
      <c r="U142" s="28"/>
      <c r="V142" s="45"/>
      <c r="W142" s="45"/>
      <c r="X142" s="529"/>
      <c r="Y142" s="134"/>
      <c r="Z142" s="45"/>
      <c r="AA142" s="45"/>
      <c r="AB142" s="424"/>
      <c r="AC142" s="134"/>
    </row>
    <row r="143" spans="1:29">
      <c r="A143" s="146">
        <v>110</v>
      </c>
      <c r="B143" s="48" t="s">
        <v>195</v>
      </c>
      <c r="C143" s="4"/>
      <c r="D143" s="463">
        <v>10</v>
      </c>
      <c r="E143" s="493">
        <v>10</v>
      </c>
      <c r="F143" s="493">
        <f t="shared" si="14"/>
        <v>14</v>
      </c>
      <c r="G143" s="473"/>
      <c r="H143" s="479">
        <v>1</v>
      </c>
      <c r="I143" s="477">
        <v>6</v>
      </c>
      <c r="J143" s="496">
        <v>7</v>
      </c>
      <c r="K143" s="474">
        <f t="shared" si="15"/>
        <v>434</v>
      </c>
      <c r="L143" s="480"/>
      <c r="M143" s="45"/>
      <c r="N143" s="45">
        <v>10</v>
      </c>
      <c r="O143" s="205">
        <v>11</v>
      </c>
      <c r="P143" s="134">
        <v>2</v>
      </c>
      <c r="Q143" s="45"/>
      <c r="R143" s="45"/>
      <c r="S143" s="28"/>
      <c r="T143" s="45">
        <v>180</v>
      </c>
      <c r="U143" s="28">
        <v>158</v>
      </c>
      <c r="V143" s="45">
        <v>43</v>
      </c>
      <c r="W143" s="45">
        <v>30</v>
      </c>
      <c r="X143" s="529">
        <f t="shared" si="16"/>
        <v>389</v>
      </c>
      <c r="Y143" s="134">
        <v>12</v>
      </c>
      <c r="Z143" s="45">
        <v>11</v>
      </c>
      <c r="AA143" s="45">
        <v>193</v>
      </c>
      <c r="AB143" s="424">
        <v>173</v>
      </c>
      <c r="AC143" s="134"/>
    </row>
    <row r="144" spans="1:29">
      <c r="A144" s="146">
        <v>111</v>
      </c>
      <c r="B144" s="48" t="s">
        <v>196</v>
      </c>
      <c r="C144" s="4"/>
      <c r="D144" s="463">
        <v>16</v>
      </c>
      <c r="E144" s="493">
        <v>19</v>
      </c>
      <c r="F144" s="493">
        <f t="shared" si="14"/>
        <v>25</v>
      </c>
      <c r="G144" s="473"/>
      <c r="H144" s="479"/>
      <c r="I144" s="477">
        <v>16</v>
      </c>
      <c r="J144" s="496">
        <v>9</v>
      </c>
      <c r="K144" s="474">
        <f t="shared" si="15"/>
        <v>902</v>
      </c>
      <c r="L144" s="480"/>
      <c r="M144" s="45"/>
      <c r="N144" s="45"/>
      <c r="O144" s="205"/>
      <c r="P144" s="134"/>
      <c r="Q144" s="45"/>
      <c r="R144" s="45"/>
      <c r="S144" s="22"/>
      <c r="T144" s="45">
        <v>359</v>
      </c>
      <c r="U144" s="28">
        <v>393</v>
      </c>
      <c r="V144" s="45">
        <v>73</v>
      </c>
      <c r="W144" s="45">
        <v>77</v>
      </c>
      <c r="X144" s="529">
        <f t="shared" si="16"/>
        <v>767</v>
      </c>
      <c r="Y144" s="134"/>
      <c r="Z144" s="45"/>
      <c r="AA144" s="45">
        <v>358</v>
      </c>
      <c r="AB144" s="424">
        <v>409</v>
      </c>
      <c r="AC144" s="134"/>
    </row>
    <row r="145" spans="1:29">
      <c r="A145" s="146">
        <v>112</v>
      </c>
      <c r="B145" s="48" t="s">
        <v>197</v>
      </c>
      <c r="C145" s="4"/>
      <c r="D145" s="463">
        <v>9</v>
      </c>
      <c r="E145" s="493">
        <v>9</v>
      </c>
      <c r="F145" s="493">
        <f t="shared" si="14"/>
        <v>11</v>
      </c>
      <c r="G145" s="473"/>
      <c r="H145" s="479"/>
      <c r="I145" s="477">
        <v>8</v>
      </c>
      <c r="J145" s="496">
        <v>3</v>
      </c>
      <c r="K145" s="474">
        <f t="shared" si="15"/>
        <v>287</v>
      </c>
      <c r="L145" s="480"/>
      <c r="M145" s="45"/>
      <c r="N145" s="45"/>
      <c r="O145" s="205"/>
      <c r="P145" s="134"/>
      <c r="Q145" s="45"/>
      <c r="R145" s="45">
        <v>10</v>
      </c>
      <c r="S145" s="28">
        <v>8</v>
      </c>
      <c r="T145" s="45">
        <v>118</v>
      </c>
      <c r="U145" s="28">
        <v>119</v>
      </c>
      <c r="V145" s="45">
        <v>18</v>
      </c>
      <c r="W145" s="45">
        <v>14</v>
      </c>
      <c r="X145" s="529">
        <f t="shared" si="16"/>
        <v>230</v>
      </c>
      <c r="Y145" s="134"/>
      <c r="Z145" s="45"/>
      <c r="AA145" s="45">
        <v>114</v>
      </c>
      <c r="AB145" s="424">
        <v>116</v>
      </c>
      <c r="AC145" s="134"/>
    </row>
    <row r="146" spans="1:29">
      <c r="A146" s="146">
        <v>113</v>
      </c>
      <c r="B146" s="48" t="s">
        <v>198</v>
      </c>
      <c r="C146" s="4"/>
      <c r="D146" s="463">
        <v>14</v>
      </c>
      <c r="E146" s="493">
        <v>14</v>
      </c>
      <c r="F146" s="493">
        <f t="shared" si="14"/>
        <v>18</v>
      </c>
      <c r="G146" s="473"/>
      <c r="H146" s="479">
        <v>2</v>
      </c>
      <c r="I146" s="477">
        <v>10</v>
      </c>
      <c r="J146" s="496">
        <v>6</v>
      </c>
      <c r="K146" s="474">
        <f t="shared" si="15"/>
        <v>457</v>
      </c>
      <c r="L146" s="480"/>
      <c r="M146" s="45"/>
      <c r="N146" s="45">
        <v>9</v>
      </c>
      <c r="O146" s="205">
        <v>9</v>
      </c>
      <c r="P146" s="134"/>
      <c r="Q146" s="45">
        <v>1</v>
      </c>
      <c r="R146" s="45">
        <v>6</v>
      </c>
      <c r="S146" s="28">
        <v>10</v>
      </c>
      <c r="T146" s="45">
        <v>163</v>
      </c>
      <c r="U146" s="28">
        <v>192</v>
      </c>
      <c r="V146" s="45">
        <v>35</v>
      </c>
      <c r="W146" s="45">
        <v>32</v>
      </c>
      <c r="X146" s="529">
        <f t="shared" si="16"/>
        <v>406</v>
      </c>
      <c r="Y146" s="134">
        <v>9</v>
      </c>
      <c r="Z146" s="45">
        <v>9</v>
      </c>
      <c r="AA146" s="45">
        <v>172</v>
      </c>
      <c r="AB146" s="424">
        <v>216</v>
      </c>
      <c r="AC146" s="134"/>
    </row>
    <row r="147" spans="1:29">
      <c r="A147" s="146">
        <v>114</v>
      </c>
      <c r="B147" s="48" t="s">
        <v>199</v>
      </c>
      <c r="C147" s="4"/>
      <c r="D147" s="463">
        <v>17</v>
      </c>
      <c r="E147" s="493">
        <v>20</v>
      </c>
      <c r="F147" s="493">
        <f t="shared" si="14"/>
        <v>21</v>
      </c>
      <c r="G147" s="473">
        <v>2</v>
      </c>
      <c r="H147" s="479">
        <v>1</v>
      </c>
      <c r="I147" s="477">
        <v>15</v>
      </c>
      <c r="J147" s="496">
        <v>3</v>
      </c>
      <c r="K147" s="474">
        <f t="shared" si="15"/>
        <v>683</v>
      </c>
      <c r="L147" s="480"/>
      <c r="M147" s="45"/>
      <c r="N147" s="45">
        <v>4</v>
      </c>
      <c r="O147" s="205">
        <v>7</v>
      </c>
      <c r="P147" s="134"/>
      <c r="Q147" s="45"/>
      <c r="R147" s="45">
        <v>33</v>
      </c>
      <c r="S147" s="28">
        <v>21</v>
      </c>
      <c r="T147" s="45">
        <v>255</v>
      </c>
      <c r="U147" s="28">
        <v>230</v>
      </c>
      <c r="V147" s="45">
        <v>96</v>
      </c>
      <c r="W147" s="45">
        <v>37</v>
      </c>
      <c r="X147" s="529">
        <f t="shared" si="16"/>
        <v>576</v>
      </c>
      <c r="Y147" s="134">
        <v>4</v>
      </c>
      <c r="Z147" s="45">
        <v>8</v>
      </c>
      <c r="AA147" s="45">
        <v>321</v>
      </c>
      <c r="AB147" s="424">
        <v>243</v>
      </c>
      <c r="AC147" s="134"/>
    </row>
    <row r="148" spans="1:29">
      <c r="A148" s="146">
        <v>115</v>
      </c>
      <c r="B148" s="48" t="s">
        <v>292</v>
      </c>
      <c r="C148" s="4"/>
      <c r="D148" s="463">
        <v>7</v>
      </c>
      <c r="E148" s="493">
        <v>8</v>
      </c>
      <c r="F148" s="493">
        <f t="shared" si="14"/>
        <v>8</v>
      </c>
      <c r="G148" s="473">
        <v>1</v>
      </c>
      <c r="H148" s="479">
        <v>1</v>
      </c>
      <c r="I148" s="477">
        <v>5</v>
      </c>
      <c r="J148" s="496">
        <v>1</v>
      </c>
      <c r="K148" s="474">
        <f t="shared" si="15"/>
        <v>193</v>
      </c>
      <c r="L148" s="480"/>
      <c r="M148" s="45"/>
      <c r="N148" s="45">
        <v>18</v>
      </c>
      <c r="O148" s="205">
        <v>16</v>
      </c>
      <c r="P148" s="134">
        <v>2</v>
      </c>
      <c r="Q148" s="45">
        <v>2</v>
      </c>
      <c r="R148" s="45">
        <v>4</v>
      </c>
      <c r="S148" s="28">
        <v>7</v>
      </c>
      <c r="T148" s="45">
        <v>72</v>
      </c>
      <c r="U148" s="28">
        <v>58</v>
      </c>
      <c r="V148" s="45">
        <v>6</v>
      </c>
      <c r="W148" s="45">
        <v>8</v>
      </c>
      <c r="X148" s="529">
        <f t="shared" si="16"/>
        <v>176</v>
      </c>
      <c r="Y148" s="134">
        <v>20</v>
      </c>
      <c r="Z148" s="45">
        <v>16</v>
      </c>
      <c r="AA148" s="45">
        <v>74</v>
      </c>
      <c r="AB148" s="424">
        <v>66</v>
      </c>
      <c r="AC148" s="134"/>
    </row>
    <row r="149" spans="1:29">
      <c r="A149" s="146">
        <v>116</v>
      </c>
      <c r="B149" s="48" t="s">
        <v>200</v>
      </c>
      <c r="C149" s="111"/>
      <c r="D149" s="607">
        <v>18</v>
      </c>
      <c r="E149" s="572">
        <v>19</v>
      </c>
      <c r="F149" s="493">
        <f t="shared" si="14"/>
        <v>26</v>
      </c>
      <c r="G149" s="473"/>
      <c r="H149" s="479"/>
      <c r="I149" s="477">
        <v>17</v>
      </c>
      <c r="J149" s="496">
        <v>9</v>
      </c>
      <c r="K149" s="474">
        <f t="shared" si="15"/>
        <v>789</v>
      </c>
      <c r="L149" s="480"/>
      <c r="M149" s="45"/>
      <c r="N149" s="45"/>
      <c r="O149" s="205"/>
      <c r="P149" s="134"/>
      <c r="Q149" s="45"/>
      <c r="R149" s="45">
        <v>9</v>
      </c>
      <c r="S149" s="28">
        <v>9</v>
      </c>
      <c r="T149" s="45">
        <v>270</v>
      </c>
      <c r="U149" s="28">
        <v>358</v>
      </c>
      <c r="V149" s="45">
        <v>64</v>
      </c>
      <c r="W149" s="45">
        <v>79</v>
      </c>
      <c r="X149" s="529">
        <f t="shared" si="16"/>
        <v>628</v>
      </c>
      <c r="Y149" s="134"/>
      <c r="Z149" s="45"/>
      <c r="AA149" s="45">
        <v>253</v>
      </c>
      <c r="AB149" s="424">
        <v>375</v>
      </c>
      <c r="AC149" s="134"/>
    </row>
    <row r="150" spans="1:29">
      <c r="A150" s="530"/>
      <c r="B150" s="437"/>
      <c r="C150" s="240"/>
      <c r="D150" s="618"/>
      <c r="E150" s="619"/>
      <c r="F150" s="508"/>
      <c r="G150" s="509"/>
      <c r="H150" s="510"/>
      <c r="I150" s="511"/>
      <c r="J150" s="512"/>
      <c r="K150" s="513"/>
      <c r="L150" s="514"/>
      <c r="M150" s="317"/>
      <c r="N150" s="317"/>
      <c r="O150" s="515"/>
      <c r="P150" s="256"/>
      <c r="Q150" s="317"/>
      <c r="R150" s="317"/>
      <c r="S150" s="206"/>
      <c r="T150" s="317"/>
      <c r="U150" s="206"/>
      <c r="V150" s="317"/>
      <c r="W150" s="317"/>
      <c r="X150" s="609"/>
      <c r="Y150" s="256"/>
      <c r="Z150" s="317"/>
      <c r="AA150" s="317"/>
      <c r="AB150" s="516"/>
      <c r="AC150" s="134"/>
    </row>
    <row r="151" spans="1:29">
      <c r="A151" s="146" t="s">
        <v>431</v>
      </c>
      <c r="B151" s="48"/>
      <c r="C151" s="111"/>
      <c r="D151" s="490">
        <f>SUM(D118:D149)</f>
        <v>933</v>
      </c>
      <c r="E151" s="655">
        <f t="shared" ref="E151:AB151" si="17">SUM(E118:E149)</f>
        <v>1130</v>
      </c>
      <c r="F151" s="655">
        <f t="shared" si="17"/>
        <v>1707</v>
      </c>
      <c r="G151" s="490">
        <f t="shared" si="17"/>
        <v>62</v>
      </c>
      <c r="H151" s="477">
        <f t="shared" si="17"/>
        <v>136</v>
      </c>
      <c r="I151" s="477">
        <f t="shared" si="17"/>
        <v>846</v>
      </c>
      <c r="J151" s="495">
        <f t="shared" si="17"/>
        <v>663</v>
      </c>
      <c r="K151" s="490">
        <f t="shared" si="17"/>
        <v>51369</v>
      </c>
      <c r="L151" s="475">
        <f t="shared" si="17"/>
        <v>12</v>
      </c>
      <c r="M151" s="477">
        <f t="shared" si="17"/>
        <v>15</v>
      </c>
      <c r="N151" s="477">
        <f t="shared" si="17"/>
        <v>1020</v>
      </c>
      <c r="O151" s="477">
        <f t="shared" si="17"/>
        <v>937</v>
      </c>
      <c r="P151" s="477">
        <f t="shared" si="17"/>
        <v>132</v>
      </c>
      <c r="Q151" s="477">
        <f t="shared" si="17"/>
        <v>102</v>
      </c>
      <c r="R151" s="477">
        <f t="shared" si="17"/>
        <v>638</v>
      </c>
      <c r="S151" s="477">
        <f t="shared" si="17"/>
        <v>664</v>
      </c>
      <c r="T151" s="477">
        <f t="shared" si="17"/>
        <v>18183</v>
      </c>
      <c r="U151" s="477">
        <f t="shared" si="17"/>
        <v>19460</v>
      </c>
      <c r="V151" s="477">
        <f t="shared" si="17"/>
        <v>5217</v>
      </c>
      <c r="W151" s="490">
        <f t="shared" si="17"/>
        <v>4989</v>
      </c>
      <c r="X151" s="655">
        <f t="shared" si="17"/>
        <v>43221</v>
      </c>
      <c r="Y151" s="490">
        <f t="shared" si="17"/>
        <v>1050</v>
      </c>
      <c r="Z151" s="477">
        <f t="shared" si="17"/>
        <v>936</v>
      </c>
      <c r="AA151" s="477">
        <f t="shared" si="17"/>
        <v>19614</v>
      </c>
      <c r="AB151" s="656">
        <f t="shared" si="17"/>
        <v>21621</v>
      </c>
      <c r="AC151" s="474"/>
    </row>
    <row r="152" spans="1:29" ht="15" thickBot="1">
      <c r="A152" s="543"/>
      <c r="B152" s="184"/>
      <c r="C152" s="234"/>
      <c r="D152" s="620"/>
      <c r="E152" s="621"/>
      <c r="F152" s="501"/>
      <c r="G152" s="520"/>
      <c r="H152" s="521"/>
      <c r="I152" s="522"/>
      <c r="J152" s="523"/>
      <c r="K152" s="524"/>
      <c r="L152" s="525"/>
      <c r="M152" s="321"/>
      <c r="N152" s="321"/>
      <c r="O152" s="526"/>
      <c r="P152" s="253"/>
      <c r="Q152" s="321"/>
      <c r="R152" s="321"/>
      <c r="S152" s="208"/>
      <c r="T152" s="321"/>
      <c r="U152" s="208"/>
      <c r="V152" s="321"/>
      <c r="W152" s="321"/>
      <c r="X152" s="611"/>
      <c r="Y152" s="253"/>
      <c r="Z152" s="321"/>
      <c r="AA152" s="321"/>
      <c r="AB152" s="527"/>
      <c r="AC152" s="134"/>
    </row>
    <row r="153" spans="1:29" ht="15" thickTop="1">
      <c r="A153" s="146"/>
      <c r="B153" s="48"/>
      <c r="C153" s="111"/>
      <c r="D153" s="607"/>
      <c r="E153" s="572"/>
      <c r="F153" s="493"/>
      <c r="G153" s="473"/>
      <c r="H153" s="479"/>
      <c r="I153" s="477"/>
      <c r="J153" s="496"/>
      <c r="K153" s="474"/>
      <c r="L153" s="480"/>
      <c r="M153" s="45"/>
      <c r="N153" s="45"/>
      <c r="O153" s="205"/>
      <c r="P153" s="134"/>
      <c r="Q153" s="45"/>
      <c r="R153" s="45"/>
      <c r="S153" s="28"/>
      <c r="T153" s="45"/>
      <c r="U153" s="28"/>
      <c r="V153" s="45"/>
      <c r="W153" s="45"/>
      <c r="X153" s="529"/>
      <c r="Y153" s="134"/>
      <c r="Z153" s="45"/>
      <c r="AA153" s="45"/>
      <c r="AB153" s="424"/>
      <c r="AC153" s="134"/>
    </row>
    <row r="154" spans="1:29">
      <c r="A154" s="175">
        <v>117</v>
      </c>
      <c r="B154" s="67" t="s">
        <v>201</v>
      </c>
      <c r="C154" s="111"/>
      <c r="D154" s="607"/>
      <c r="E154" s="572"/>
      <c r="F154" s="493"/>
      <c r="G154" s="473"/>
      <c r="H154" s="479"/>
      <c r="I154" s="477"/>
      <c r="J154" s="496"/>
      <c r="K154" s="474"/>
      <c r="L154" s="480"/>
      <c r="M154" s="45"/>
      <c r="N154" s="45"/>
      <c r="O154" s="205"/>
      <c r="P154" s="134"/>
      <c r="Q154" s="45"/>
      <c r="R154" s="45"/>
      <c r="S154" s="28"/>
      <c r="T154" s="45"/>
      <c r="U154" s="28"/>
      <c r="V154" s="45"/>
      <c r="W154" s="45"/>
      <c r="X154" s="529"/>
      <c r="Y154" s="134"/>
      <c r="Z154" s="45"/>
      <c r="AA154" s="45"/>
      <c r="AB154" s="424"/>
      <c r="AC154" s="134"/>
    </row>
    <row r="155" spans="1:29">
      <c r="A155" s="44"/>
      <c r="C155" s="111"/>
      <c r="D155" s="607"/>
      <c r="E155" s="572"/>
      <c r="F155" s="21"/>
      <c r="G155" s="485"/>
      <c r="H155" s="486"/>
      <c r="I155" s="477"/>
      <c r="J155" s="496"/>
      <c r="K155" s="474"/>
      <c r="L155" s="480"/>
      <c r="M155" s="45"/>
      <c r="N155" s="45"/>
      <c r="O155" s="205"/>
      <c r="P155" s="134"/>
      <c r="Q155" s="45"/>
      <c r="R155" s="45"/>
      <c r="S155" s="28"/>
      <c r="T155" s="45"/>
      <c r="U155" s="28"/>
      <c r="V155" s="45"/>
      <c r="W155" s="45"/>
      <c r="X155" s="529"/>
      <c r="Y155" s="134"/>
      <c r="Z155" s="45"/>
      <c r="AA155" s="45"/>
      <c r="AB155" s="424"/>
      <c r="AC155" s="134"/>
    </row>
    <row r="156" spans="1:29" ht="15">
      <c r="A156" s="506"/>
      <c r="B156" s="507"/>
      <c r="C156" s="556"/>
      <c r="D156" s="622"/>
      <c r="E156" s="623"/>
      <c r="F156" s="508"/>
      <c r="G156" s="557"/>
      <c r="H156" s="558"/>
      <c r="I156" s="559"/>
      <c r="J156" s="560"/>
      <c r="K156" s="561"/>
      <c r="L156" s="537"/>
      <c r="M156" s="538"/>
      <c r="N156" s="538"/>
      <c r="O156" s="539"/>
      <c r="P156" s="540"/>
      <c r="Q156" s="538"/>
      <c r="R156" s="538"/>
      <c r="S156" s="541"/>
      <c r="T156" s="538"/>
      <c r="U156" s="541"/>
      <c r="V156" s="538"/>
      <c r="W156" s="538"/>
      <c r="X156" s="609"/>
      <c r="Y156" s="540"/>
      <c r="Z156" s="538"/>
      <c r="AA156" s="538"/>
      <c r="AB156" s="542"/>
      <c r="AC156" s="456"/>
    </row>
    <row r="157" spans="1:29" ht="15">
      <c r="A157" s="175" t="s">
        <v>86</v>
      </c>
      <c r="B157" s="67"/>
      <c r="C157" s="94"/>
      <c r="D157" s="529">
        <f>D154+D151+D114+D104</f>
        <v>4037</v>
      </c>
      <c r="E157" s="529">
        <f t="shared" ref="E157:AB157" si="18">E154+E151+E114+E104</f>
        <v>6680</v>
      </c>
      <c r="F157" s="529">
        <f t="shared" si="18"/>
        <v>7694</v>
      </c>
      <c r="G157" s="309">
        <f t="shared" si="18"/>
        <v>1425</v>
      </c>
      <c r="H157" s="568">
        <f t="shared" si="18"/>
        <v>3719</v>
      </c>
      <c r="I157" s="568">
        <f t="shared" si="18"/>
        <v>1390</v>
      </c>
      <c r="J157" s="575">
        <f t="shared" si="18"/>
        <v>1276</v>
      </c>
      <c r="K157" s="529">
        <f t="shared" si="18"/>
        <v>191890</v>
      </c>
      <c r="L157" s="309">
        <f t="shared" si="18"/>
        <v>481</v>
      </c>
      <c r="M157" s="568">
        <f t="shared" si="18"/>
        <v>528</v>
      </c>
      <c r="N157" s="568">
        <f t="shared" si="18"/>
        <v>35680</v>
      </c>
      <c r="O157" s="568">
        <f t="shared" si="18"/>
        <v>35281</v>
      </c>
      <c r="P157" s="568">
        <f t="shared" si="18"/>
        <v>7932</v>
      </c>
      <c r="Q157" s="568">
        <f t="shared" si="18"/>
        <v>6651</v>
      </c>
      <c r="R157" s="568">
        <f t="shared" si="18"/>
        <v>1470</v>
      </c>
      <c r="S157" s="568">
        <f t="shared" si="18"/>
        <v>1629</v>
      </c>
      <c r="T157" s="568">
        <f t="shared" si="18"/>
        <v>40969</v>
      </c>
      <c r="U157" s="568">
        <f t="shared" si="18"/>
        <v>45717</v>
      </c>
      <c r="V157" s="568">
        <f t="shared" si="18"/>
        <v>9299</v>
      </c>
      <c r="W157" s="575">
        <f t="shared" si="18"/>
        <v>8741</v>
      </c>
      <c r="X157" s="529">
        <f t="shared" si="18"/>
        <v>169608</v>
      </c>
      <c r="Y157" s="309">
        <f t="shared" si="18"/>
        <v>41034</v>
      </c>
      <c r="Z157" s="568">
        <f t="shared" si="18"/>
        <v>39715</v>
      </c>
      <c r="AA157" s="568">
        <f t="shared" si="18"/>
        <v>43001</v>
      </c>
      <c r="AB157" s="569">
        <f t="shared" si="18"/>
        <v>48140</v>
      </c>
      <c r="AC157" s="528"/>
    </row>
    <row r="158" spans="1:29" ht="16" thickBot="1">
      <c r="A158" s="517"/>
      <c r="B158" s="518"/>
      <c r="C158" s="562"/>
      <c r="D158" s="610"/>
      <c r="E158" s="624"/>
      <c r="F158" s="501"/>
      <c r="G158" s="563"/>
      <c r="H158" s="564"/>
      <c r="I158" s="565"/>
      <c r="J158" s="566"/>
      <c r="K158" s="567"/>
      <c r="L158" s="550"/>
      <c r="M158" s="551"/>
      <c r="N158" s="551"/>
      <c r="O158" s="552"/>
      <c r="P158" s="553"/>
      <c r="Q158" s="551"/>
      <c r="R158" s="551"/>
      <c r="S158" s="554"/>
      <c r="T158" s="551"/>
      <c r="U158" s="554"/>
      <c r="V158" s="551"/>
      <c r="W158" s="551"/>
      <c r="X158" s="611"/>
      <c r="Y158" s="553"/>
      <c r="Z158" s="551"/>
      <c r="AA158" s="551"/>
      <c r="AB158" s="555"/>
      <c r="AC158" s="456"/>
    </row>
    <row r="159" spans="1:29" ht="17" thickTop="1" thickBot="1">
      <c r="A159" s="179" t="s">
        <v>27</v>
      </c>
      <c r="B159" s="173"/>
      <c r="C159" s="4"/>
      <c r="D159" s="463"/>
      <c r="E159" s="493"/>
      <c r="F159" s="493"/>
      <c r="G159" s="473"/>
      <c r="H159" s="479"/>
      <c r="I159" s="477"/>
      <c r="J159" s="496"/>
      <c r="K159" s="474"/>
      <c r="L159" s="480"/>
      <c r="M159" s="45"/>
      <c r="N159" s="45"/>
      <c r="O159" s="205"/>
      <c r="P159" s="134"/>
      <c r="Q159" s="45"/>
      <c r="R159" s="45"/>
      <c r="S159" s="28"/>
      <c r="T159" s="45"/>
      <c r="U159" s="28"/>
      <c r="V159" s="45"/>
      <c r="W159" s="45"/>
      <c r="X159" s="529"/>
      <c r="Y159" s="134"/>
      <c r="Z159" s="45"/>
      <c r="AA159" s="45"/>
      <c r="AB159" s="424"/>
      <c r="AC159" s="134"/>
    </row>
    <row r="160" spans="1:29">
      <c r="A160" s="180">
        <v>1</v>
      </c>
      <c r="B160" t="s">
        <v>203</v>
      </c>
      <c r="C160" s="4"/>
      <c r="D160" s="463">
        <v>18</v>
      </c>
      <c r="E160" s="493">
        <v>34</v>
      </c>
      <c r="F160" s="493">
        <f>SUM(G160:J160)</f>
        <v>45</v>
      </c>
      <c r="G160" s="473">
        <v>4</v>
      </c>
      <c r="H160" s="479">
        <v>14</v>
      </c>
      <c r="I160" s="477">
        <v>6</v>
      </c>
      <c r="J160" s="496">
        <v>21</v>
      </c>
      <c r="K160" s="474">
        <f>SUM(L160:W160)</f>
        <v>1215</v>
      </c>
      <c r="L160" s="480"/>
      <c r="M160" s="45"/>
      <c r="N160" s="45">
        <v>41</v>
      </c>
      <c r="O160" s="205">
        <v>32</v>
      </c>
      <c r="P160" s="134">
        <v>1</v>
      </c>
      <c r="Q160" s="45"/>
      <c r="R160" s="45">
        <v>2</v>
      </c>
      <c r="S160" s="28">
        <v>6</v>
      </c>
      <c r="T160" s="45">
        <v>449</v>
      </c>
      <c r="U160" s="28">
        <v>501</v>
      </c>
      <c r="V160" s="45">
        <v>26</v>
      </c>
      <c r="W160" s="45">
        <v>157</v>
      </c>
      <c r="X160" s="529">
        <f>SUM(Y160:AB160)</f>
        <v>1126</v>
      </c>
      <c r="Y160" s="134">
        <v>33</v>
      </c>
      <c r="Z160" s="45">
        <v>17</v>
      </c>
      <c r="AA160" s="45">
        <v>461</v>
      </c>
      <c r="AB160" s="424">
        <v>615</v>
      </c>
      <c r="AC160" s="134"/>
    </row>
    <row r="161" spans="1:29">
      <c r="A161" s="146">
        <v>2</v>
      </c>
      <c r="B161" t="s">
        <v>204</v>
      </c>
      <c r="C161" s="4"/>
      <c r="D161" s="463">
        <v>6</v>
      </c>
      <c r="E161" s="493">
        <v>9</v>
      </c>
      <c r="F161" s="493">
        <f t="shared" ref="F161:F190" si="19">SUM(G161:J161)</f>
        <v>14</v>
      </c>
      <c r="G161" s="473">
        <v>3</v>
      </c>
      <c r="H161" s="479">
        <v>6</v>
      </c>
      <c r="I161" s="477">
        <v>3</v>
      </c>
      <c r="J161" s="496">
        <v>2</v>
      </c>
      <c r="K161" s="474">
        <f t="shared" ref="K161:K190" si="20">SUM(L161:W161)</f>
        <v>258</v>
      </c>
      <c r="L161" s="480"/>
      <c r="M161" s="45"/>
      <c r="N161" s="45">
        <v>20</v>
      </c>
      <c r="O161" s="205">
        <v>13</v>
      </c>
      <c r="P161" s="134"/>
      <c r="Q161" s="45"/>
      <c r="R161" s="45"/>
      <c r="S161" s="28"/>
      <c r="T161" s="45">
        <v>101</v>
      </c>
      <c r="U161" s="28">
        <v>115</v>
      </c>
      <c r="V161" s="45">
        <v>6</v>
      </c>
      <c r="W161" s="45">
        <v>3</v>
      </c>
      <c r="X161" s="529">
        <f t="shared" ref="X161:X190" si="21">SUM(Y161:AB161)</f>
        <v>241</v>
      </c>
      <c r="Y161" s="134">
        <v>20</v>
      </c>
      <c r="Z161" s="45">
        <v>12</v>
      </c>
      <c r="AA161" s="45">
        <v>98</v>
      </c>
      <c r="AB161" s="424">
        <v>111</v>
      </c>
      <c r="AC161" s="134"/>
    </row>
    <row r="162" spans="1:29">
      <c r="A162" s="146">
        <v>3</v>
      </c>
      <c r="B162" t="s">
        <v>205</v>
      </c>
      <c r="C162" s="4"/>
      <c r="D162" s="463">
        <v>8</v>
      </c>
      <c r="E162" s="493">
        <v>15</v>
      </c>
      <c r="F162" s="493">
        <f t="shared" si="19"/>
        <v>13</v>
      </c>
      <c r="G162" s="473">
        <v>1</v>
      </c>
      <c r="H162" s="479">
        <v>1</v>
      </c>
      <c r="I162" s="477">
        <v>4</v>
      </c>
      <c r="J162" s="496">
        <v>7</v>
      </c>
      <c r="K162" s="474">
        <f t="shared" si="20"/>
        <v>355</v>
      </c>
      <c r="L162" s="480"/>
      <c r="M162" s="45"/>
      <c r="N162" s="45">
        <v>5</v>
      </c>
      <c r="O162" s="205">
        <v>3</v>
      </c>
      <c r="P162" s="134"/>
      <c r="Q162" s="45"/>
      <c r="R162" s="45">
        <v>2</v>
      </c>
      <c r="S162" s="28">
        <v>1</v>
      </c>
      <c r="T162" s="45">
        <v>145</v>
      </c>
      <c r="U162" s="28">
        <v>181</v>
      </c>
      <c r="V162" s="45">
        <v>6</v>
      </c>
      <c r="W162" s="45">
        <v>12</v>
      </c>
      <c r="X162" s="529">
        <f t="shared" si="21"/>
        <v>326</v>
      </c>
      <c r="Y162" s="134">
        <v>5</v>
      </c>
      <c r="Z162" s="45">
        <v>3</v>
      </c>
      <c r="AA162" s="45">
        <v>134</v>
      </c>
      <c r="AB162" s="424">
        <v>184</v>
      </c>
      <c r="AC162" s="134"/>
    </row>
    <row r="163" spans="1:29">
      <c r="A163" s="146">
        <v>4</v>
      </c>
      <c r="B163" t="s">
        <v>206</v>
      </c>
      <c r="C163" s="4"/>
      <c r="D163" s="463">
        <v>5</v>
      </c>
      <c r="E163" s="493">
        <v>8</v>
      </c>
      <c r="F163" s="493">
        <f t="shared" si="19"/>
        <v>12</v>
      </c>
      <c r="G163" s="473">
        <v>2</v>
      </c>
      <c r="H163" s="479">
        <v>6</v>
      </c>
      <c r="I163" s="477">
        <v>1</v>
      </c>
      <c r="J163" s="496">
        <v>3</v>
      </c>
      <c r="K163" s="474">
        <f t="shared" si="20"/>
        <v>285</v>
      </c>
      <c r="L163" s="480"/>
      <c r="M163" s="45"/>
      <c r="N163" s="45">
        <v>47</v>
      </c>
      <c r="O163" s="205">
        <v>45</v>
      </c>
      <c r="P163" s="134">
        <v>3</v>
      </c>
      <c r="Q163" s="45">
        <v>3</v>
      </c>
      <c r="R163" s="45"/>
      <c r="S163" s="28"/>
      <c r="T163" s="45">
        <v>70</v>
      </c>
      <c r="U163" s="28">
        <v>102</v>
      </c>
      <c r="V163" s="45">
        <v>8</v>
      </c>
      <c r="W163" s="45">
        <v>7</v>
      </c>
      <c r="X163" s="529">
        <f t="shared" si="21"/>
        <v>258</v>
      </c>
      <c r="Y163" s="134">
        <v>46</v>
      </c>
      <c r="Z163" s="45">
        <v>45</v>
      </c>
      <c r="AA163" s="45">
        <v>68</v>
      </c>
      <c r="AB163" s="424">
        <v>99</v>
      </c>
      <c r="AC163" s="134"/>
    </row>
    <row r="164" spans="1:29">
      <c r="A164" s="146">
        <v>5</v>
      </c>
      <c r="B164" t="s">
        <v>207</v>
      </c>
      <c r="C164" s="4"/>
      <c r="D164" s="463">
        <v>26</v>
      </c>
      <c r="E164" s="493">
        <v>138</v>
      </c>
      <c r="F164" s="493">
        <f t="shared" si="19"/>
        <v>162</v>
      </c>
      <c r="G164" s="473">
        <v>33</v>
      </c>
      <c r="H164" s="479">
        <v>111</v>
      </c>
      <c r="I164" s="477">
        <v>7</v>
      </c>
      <c r="J164" s="496">
        <v>11</v>
      </c>
      <c r="K164" s="474">
        <f t="shared" si="20"/>
        <v>3834</v>
      </c>
      <c r="L164" s="480">
        <v>6</v>
      </c>
      <c r="M164" s="45">
        <v>14</v>
      </c>
      <c r="N164" s="45">
        <v>1186</v>
      </c>
      <c r="O164" s="205">
        <v>1006</v>
      </c>
      <c r="P164" s="134">
        <v>185</v>
      </c>
      <c r="Q164" s="45">
        <v>289</v>
      </c>
      <c r="R164" s="45">
        <v>7</v>
      </c>
      <c r="S164" s="28">
        <v>9</v>
      </c>
      <c r="T164" s="45">
        <v>640</v>
      </c>
      <c r="U164" s="28">
        <v>458</v>
      </c>
      <c r="V164" s="45">
        <v>15</v>
      </c>
      <c r="W164" s="45">
        <v>19</v>
      </c>
      <c r="X164" s="529">
        <f t="shared" si="21"/>
        <v>3473</v>
      </c>
      <c r="Y164" s="134">
        <v>1288</v>
      </c>
      <c r="Z164" s="45">
        <v>1141</v>
      </c>
      <c r="AA164" s="45">
        <v>601</v>
      </c>
      <c r="AB164" s="424">
        <v>443</v>
      </c>
      <c r="AC164" s="134"/>
    </row>
    <row r="165" spans="1:29">
      <c r="A165" s="146">
        <v>6</v>
      </c>
      <c r="B165" t="s">
        <v>208</v>
      </c>
      <c r="C165" s="4"/>
      <c r="D165" s="463">
        <v>14</v>
      </c>
      <c r="E165" s="493">
        <v>33</v>
      </c>
      <c r="F165" s="493">
        <f t="shared" si="19"/>
        <v>45</v>
      </c>
      <c r="G165" s="473">
        <v>6</v>
      </c>
      <c r="H165" s="479">
        <v>17</v>
      </c>
      <c r="I165" s="477">
        <v>7</v>
      </c>
      <c r="J165" s="496">
        <v>15</v>
      </c>
      <c r="K165" s="474">
        <f t="shared" si="20"/>
        <v>1252</v>
      </c>
      <c r="L165" s="480">
        <v>1</v>
      </c>
      <c r="M165" s="45"/>
      <c r="N165" s="45">
        <v>195</v>
      </c>
      <c r="O165" s="205">
        <v>130</v>
      </c>
      <c r="P165" s="134">
        <v>7</v>
      </c>
      <c r="Q165" s="45">
        <v>18</v>
      </c>
      <c r="R165" s="45"/>
      <c r="S165" s="28"/>
      <c r="T165" s="45">
        <v>362</v>
      </c>
      <c r="U165" s="28">
        <v>461</v>
      </c>
      <c r="V165" s="45">
        <v>33</v>
      </c>
      <c r="W165" s="45">
        <v>45</v>
      </c>
      <c r="X165" s="529">
        <f t="shared" si="21"/>
        <v>1191</v>
      </c>
      <c r="Y165" s="134">
        <v>193</v>
      </c>
      <c r="Z165" s="45">
        <v>147</v>
      </c>
      <c r="AA165" s="45">
        <v>364</v>
      </c>
      <c r="AB165" s="424">
        <v>487</v>
      </c>
      <c r="AC165" s="134"/>
    </row>
    <row r="166" spans="1:29">
      <c r="A166" s="146">
        <v>7</v>
      </c>
      <c r="B166" t="s">
        <v>209</v>
      </c>
      <c r="C166" s="4"/>
      <c r="D166" s="463">
        <v>27</v>
      </c>
      <c r="E166" s="493">
        <v>166</v>
      </c>
      <c r="F166" s="493">
        <f t="shared" si="19"/>
        <v>221</v>
      </c>
      <c r="G166" s="473">
        <v>54</v>
      </c>
      <c r="H166" s="479">
        <v>144</v>
      </c>
      <c r="I166" s="477">
        <v>15</v>
      </c>
      <c r="J166" s="496">
        <v>8</v>
      </c>
      <c r="K166" s="474">
        <f t="shared" si="20"/>
        <v>6242</v>
      </c>
      <c r="L166" s="480">
        <v>4</v>
      </c>
      <c r="M166" s="45">
        <v>7</v>
      </c>
      <c r="N166" s="45">
        <v>2257</v>
      </c>
      <c r="O166" s="205">
        <v>1961</v>
      </c>
      <c r="P166" s="134">
        <v>102</v>
      </c>
      <c r="Q166" s="45">
        <v>208</v>
      </c>
      <c r="R166" s="45">
        <v>3</v>
      </c>
      <c r="S166" s="28">
        <v>8</v>
      </c>
      <c r="T166" s="45">
        <v>1066</v>
      </c>
      <c r="U166" s="28">
        <v>389</v>
      </c>
      <c r="V166" s="45">
        <v>126</v>
      </c>
      <c r="W166" s="45">
        <v>111</v>
      </c>
      <c r="X166" s="529">
        <f t="shared" si="21"/>
        <v>5863</v>
      </c>
      <c r="Y166" s="134">
        <v>2258</v>
      </c>
      <c r="Z166" s="45">
        <v>2045</v>
      </c>
      <c r="AA166" s="45">
        <v>1086</v>
      </c>
      <c r="AB166" s="424">
        <v>474</v>
      </c>
      <c r="AC166" s="134"/>
    </row>
    <row r="167" spans="1:29">
      <c r="A167" s="146">
        <v>8</v>
      </c>
      <c r="B167" t="s">
        <v>210</v>
      </c>
      <c r="C167" s="4"/>
      <c r="D167" s="463">
        <v>10</v>
      </c>
      <c r="E167" s="493">
        <v>17</v>
      </c>
      <c r="F167" s="493">
        <f t="shared" si="19"/>
        <v>22</v>
      </c>
      <c r="G167" s="473">
        <v>7</v>
      </c>
      <c r="H167" s="479">
        <v>10</v>
      </c>
      <c r="I167" s="477">
        <v>4</v>
      </c>
      <c r="J167" s="496">
        <v>1</v>
      </c>
      <c r="K167" s="474">
        <f t="shared" si="20"/>
        <v>417</v>
      </c>
      <c r="L167" s="480"/>
      <c r="M167" s="45"/>
      <c r="N167" s="45">
        <v>119</v>
      </c>
      <c r="O167" s="205">
        <v>121</v>
      </c>
      <c r="P167" s="134">
        <v>7</v>
      </c>
      <c r="Q167" s="45">
        <v>8</v>
      </c>
      <c r="R167" s="45">
        <v>1</v>
      </c>
      <c r="S167" s="28"/>
      <c r="T167" s="45">
        <v>82</v>
      </c>
      <c r="U167" s="28">
        <v>68</v>
      </c>
      <c r="V167" s="45">
        <v>4</v>
      </c>
      <c r="W167" s="45">
        <v>7</v>
      </c>
      <c r="X167" s="529">
        <f t="shared" si="21"/>
        <v>394</v>
      </c>
      <c r="Y167" s="134">
        <v>122</v>
      </c>
      <c r="Z167" s="45">
        <v>125</v>
      </c>
      <c r="AA167" s="45">
        <v>81</v>
      </c>
      <c r="AB167" s="424">
        <v>66</v>
      </c>
      <c r="AC167" s="134"/>
    </row>
    <row r="168" spans="1:29">
      <c r="A168" s="146">
        <v>9</v>
      </c>
      <c r="B168" t="s">
        <v>211</v>
      </c>
      <c r="C168" s="4"/>
      <c r="D168" s="463">
        <v>8</v>
      </c>
      <c r="E168" s="493">
        <v>11</v>
      </c>
      <c r="F168" s="493">
        <f t="shared" si="19"/>
        <v>15</v>
      </c>
      <c r="G168" s="473">
        <v>1</v>
      </c>
      <c r="H168" s="479">
        <v>5</v>
      </c>
      <c r="I168" s="477">
        <v>3</v>
      </c>
      <c r="J168" s="496">
        <v>6</v>
      </c>
      <c r="K168" s="474">
        <f t="shared" si="20"/>
        <v>311</v>
      </c>
      <c r="L168" s="480">
        <v>2</v>
      </c>
      <c r="M168" s="45"/>
      <c r="N168" s="45">
        <v>28</v>
      </c>
      <c r="O168" s="205">
        <v>22</v>
      </c>
      <c r="P168" s="134">
        <v>7</v>
      </c>
      <c r="Q168" s="45">
        <v>3</v>
      </c>
      <c r="R168" s="45"/>
      <c r="S168" s="28"/>
      <c r="T168" s="45">
        <v>90</v>
      </c>
      <c r="U168" s="28">
        <v>128</v>
      </c>
      <c r="V168" s="45">
        <v>9</v>
      </c>
      <c r="W168" s="45">
        <v>22</v>
      </c>
      <c r="X168" s="529">
        <f t="shared" si="21"/>
        <v>281</v>
      </c>
      <c r="Y168" s="134">
        <v>36</v>
      </c>
      <c r="Z168" s="45">
        <v>25</v>
      </c>
      <c r="AA168" s="45">
        <v>88</v>
      </c>
      <c r="AB168" s="424">
        <v>132</v>
      </c>
      <c r="AC168" s="134"/>
    </row>
    <row r="169" spans="1:29">
      <c r="A169" s="146">
        <v>10</v>
      </c>
      <c r="B169" t="s">
        <v>212</v>
      </c>
      <c r="C169" s="8"/>
      <c r="D169" s="463">
        <v>1</v>
      </c>
      <c r="E169" s="493">
        <v>2</v>
      </c>
      <c r="F169" s="493">
        <f t="shared" si="19"/>
        <v>2</v>
      </c>
      <c r="G169" s="473"/>
      <c r="H169" s="479">
        <v>1</v>
      </c>
      <c r="I169" s="477">
        <v>1</v>
      </c>
      <c r="J169" s="496"/>
      <c r="K169" s="474">
        <f t="shared" si="20"/>
        <v>90</v>
      </c>
      <c r="L169" s="480"/>
      <c r="M169" s="45"/>
      <c r="N169" s="45">
        <v>36</v>
      </c>
      <c r="O169" s="205">
        <v>36</v>
      </c>
      <c r="P169" s="134">
        <v>3</v>
      </c>
      <c r="Q169" s="45">
        <v>13</v>
      </c>
      <c r="R169" s="45"/>
      <c r="S169" s="28"/>
      <c r="T169" s="45">
        <v>1</v>
      </c>
      <c r="U169" s="28">
        <v>1</v>
      </c>
      <c r="V169" s="45"/>
      <c r="W169" s="45"/>
      <c r="X169" s="529">
        <f t="shared" si="21"/>
        <v>90</v>
      </c>
      <c r="Y169" s="134">
        <v>39</v>
      </c>
      <c r="Z169" s="45">
        <v>49</v>
      </c>
      <c r="AA169" s="45">
        <v>1</v>
      </c>
      <c r="AB169" s="424">
        <v>1</v>
      </c>
      <c r="AC169" s="134"/>
    </row>
    <row r="170" spans="1:29">
      <c r="A170" s="146">
        <v>11</v>
      </c>
      <c r="B170" t="s">
        <v>213</v>
      </c>
      <c r="C170" s="4"/>
      <c r="D170" s="463">
        <v>1</v>
      </c>
      <c r="E170" s="493">
        <v>1</v>
      </c>
      <c r="F170" s="493">
        <f t="shared" si="19"/>
        <v>2</v>
      </c>
      <c r="G170" s="473"/>
      <c r="H170" s="479"/>
      <c r="I170" s="477">
        <v>1</v>
      </c>
      <c r="J170" s="496">
        <v>1</v>
      </c>
      <c r="K170" s="474">
        <f t="shared" si="20"/>
        <v>43</v>
      </c>
      <c r="L170" s="480"/>
      <c r="M170" s="45"/>
      <c r="N170" s="45"/>
      <c r="O170" s="205"/>
      <c r="P170" s="134"/>
      <c r="Q170" s="45"/>
      <c r="R170" s="45"/>
      <c r="S170" s="28"/>
      <c r="T170" s="45">
        <v>14</v>
      </c>
      <c r="U170" s="205">
        <v>15</v>
      </c>
      <c r="V170" s="45">
        <v>2</v>
      </c>
      <c r="W170" s="45">
        <v>12</v>
      </c>
      <c r="X170" s="529">
        <f t="shared" si="21"/>
        <v>40</v>
      </c>
      <c r="Y170" s="134"/>
      <c r="Z170" s="45"/>
      <c r="AA170" s="45">
        <v>15</v>
      </c>
      <c r="AB170" s="424">
        <v>25</v>
      </c>
      <c r="AC170" s="134"/>
    </row>
    <row r="171" spans="1:29">
      <c r="A171" s="146">
        <v>12</v>
      </c>
      <c r="B171" t="s">
        <v>214</v>
      </c>
      <c r="C171" s="4"/>
      <c r="D171" s="463">
        <v>23</v>
      </c>
      <c r="E171" s="493">
        <v>54</v>
      </c>
      <c r="F171" s="493">
        <f t="shared" si="19"/>
        <v>84</v>
      </c>
      <c r="G171" s="473">
        <v>5</v>
      </c>
      <c r="H171" s="479">
        <v>42</v>
      </c>
      <c r="I171" s="477">
        <v>18</v>
      </c>
      <c r="J171" s="496">
        <v>19</v>
      </c>
      <c r="K171" s="474">
        <f t="shared" si="20"/>
        <v>1886</v>
      </c>
      <c r="L171" s="480">
        <v>3</v>
      </c>
      <c r="M171" s="45">
        <v>1</v>
      </c>
      <c r="N171" s="45">
        <v>182</v>
      </c>
      <c r="O171" s="205">
        <v>208</v>
      </c>
      <c r="P171" s="134">
        <v>4</v>
      </c>
      <c r="Q171" s="45">
        <v>32</v>
      </c>
      <c r="R171" s="45">
        <v>1</v>
      </c>
      <c r="S171" s="28">
        <v>1</v>
      </c>
      <c r="T171" s="45">
        <v>738</v>
      </c>
      <c r="U171" s="28">
        <v>541</v>
      </c>
      <c r="V171" s="45">
        <v>14</v>
      </c>
      <c r="W171" s="45">
        <v>161</v>
      </c>
      <c r="X171" s="529">
        <f t="shared" si="21"/>
        <v>1750</v>
      </c>
      <c r="Y171" s="134">
        <v>173</v>
      </c>
      <c r="Z171" s="45">
        <v>232</v>
      </c>
      <c r="AA171" s="45">
        <v>673</v>
      </c>
      <c r="AB171" s="424">
        <v>672</v>
      </c>
      <c r="AC171" s="134"/>
    </row>
    <row r="172" spans="1:29">
      <c r="A172" s="146">
        <v>13</v>
      </c>
      <c r="B172" t="s">
        <v>215</v>
      </c>
      <c r="C172" s="4"/>
      <c r="D172" s="463">
        <v>10</v>
      </c>
      <c r="E172" s="493">
        <v>21</v>
      </c>
      <c r="F172" s="493">
        <f t="shared" si="19"/>
        <v>27</v>
      </c>
      <c r="G172" s="473">
        <v>4</v>
      </c>
      <c r="H172" s="479">
        <v>11</v>
      </c>
      <c r="I172" s="477">
        <v>4</v>
      </c>
      <c r="J172" s="496">
        <v>8</v>
      </c>
      <c r="K172" s="474">
        <f t="shared" si="20"/>
        <v>647</v>
      </c>
      <c r="L172" s="480"/>
      <c r="M172" s="45"/>
      <c r="N172" s="45">
        <v>27</v>
      </c>
      <c r="O172" s="205">
        <v>30</v>
      </c>
      <c r="P172" s="134">
        <v>1</v>
      </c>
      <c r="Q172" s="45">
        <v>2</v>
      </c>
      <c r="R172" s="45">
        <v>2</v>
      </c>
      <c r="S172" s="28">
        <v>4</v>
      </c>
      <c r="T172" s="45">
        <v>233</v>
      </c>
      <c r="U172" s="28">
        <v>227</v>
      </c>
      <c r="V172" s="45">
        <v>22</v>
      </c>
      <c r="W172" s="45">
        <v>99</v>
      </c>
      <c r="X172" s="529">
        <f t="shared" si="21"/>
        <v>605</v>
      </c>
      <c r="Y172" s="134">
        <v>27</v>
      </c>
      <c r="Z172" s="45">
        <v>30</v>
      </c>
      <c r="AA172" s="45">
        <v>233</v>
      </c>
      <c r="AB172" s="424">
        <v>315</v>
      </c>
      <c r="AC172" s="134"/>
    </row>
    <row r="173" spans="1:29">
      <c r="A173" s="146">
        <v>14</v>
      </c>
      <c r="B173" t="s">
        <v>216</v>
      </c>
      <c r="C173" s="4"/>
      <c r="D173" s="463">
        <v>8</v>
      </c>
      <c r="E173" s="493">
        <v>14</v>
      </c>
      <c r="F173" s="493">
        <f t="shared" si="19"/>
        <v>20</v>
      </c>
      <c r="G173" s="473">
        <v>6</v>
      </c>
      <c r="H173" s="479">
        <v>8</v>
      </c>
      <c r="I173" s="477"/>
      <c r="J173" s="496">
        <v>6</v>
      </c>
      <c r="K173" s="474">
        <f t="shared" si="20"/>
        <v>409</v>
      </c>
      <c r="L173" s="480"/>
      <c r="M173" s="45"/>
      <c r="N173" s="45">
        <v>43</v>
      </c>
      <c r="O173" s="205">
        <v>48</v>
      </c>
      <c r="P173" s="134">
        <v>5</v>
      </c>
      <c r="Q173" s="45">
        <v>4</v>
      </c>
      <c r="R173" s="45"/>
      <c r="S173" s="28">
        <v>1</v>
      </c>
      <c r="T173" s="45">
        <v>93</v>
      </c>
      <c r="U173" s="28">
        <v>124</v>
      </c>
      <c r="V173" s="45">
        <v>21</v>
      </c>
      <c r="W173" s="45">
        <v>70</v>
      </c>
      <c r="X173" s="529">
        <f t="shared" si="21"/>
        <v>355</v>
      </c>
      <c r="Y173" s="134">
        <v>48</v>
      </c>
      <c r="Z173" s="45">
        <v>52</v>
      </c>
      <c r="AA173" s="45">
        <v>95</v>
      </c>
      <c r="AB173" s="424">
        <v>160</v>
      </c>
      <c r="AC173" s="134"/>
    </row>
    <row r="174" spans="1:29">
      <c r="A174" s="146">
        <v>15</v>
      </c>
      <c r="B174" t="s">
        <v>217</v>
      </c>
      <c r="C174" s="4"/>
      <c r="D174" s="463">
        <v>16</v>
      </c>
      <c r="E174" s="493">
        <v>20</v>
      </c>
      <c r="F174" s="493">
        <f t="shared" si="19"/>
        <v>57</v>
      </c>
      <c r="G174" s="473">
        <v>4</v>
      </c>
      <c r="H174" s="479">
        <v>15</v>
      </c>
      <c r="I174" s="477">
        <v>15</v>
      </c>
      <c r="J174" s="496">
        <v>23</v>
      </c>
      <c r="K174" s="474">
        <f t="shared" si="20"/>
        <v>1767</v>
      </c>
      <c r="L174" s="480"/>
      <c r="M174" s="45"/>
      <c r="N174" s="45">
        <v>178</v>
      </c>
      <c r="O174" s="205">
        <v>178</v>
      </c>
      <c r="P174" s="134">
        <v>15</v>
      </c>
      <c r="Q174" s="45">
        <v>11</v>
      </c>
      <c r="R174" s="45"/>
      <c r="S174" s="28"/>
      <c r="T174" s="45">
        <v>561</v>
      </c>
      <c r="U174" s="28">
        <v>685</v>
      </c>
      <c r="V174" s="45">
        <v>55</v>
      </c>
      <c r="W174" s="45">
        <v>84</v>
      </c>
      <c r="X174" s="529">
        <f t="shared" si="21"/>
        <v>1625</v>
      </c>
      <c r="Y174" s="134">
        <v>185</v>
      </c>
      <c r="Z174" s="45">
        <v>178</v>
      </c>
      <c r="AA174" s="45">
        <v>541</v>
      </c>
      <c r="AB174" s="424">
        <v>721</v>
      </c>
      <c r="AC174" s="134"/>
    </row>
    <row r="175" spans="1:29">
      <c r="A175" s="146">
        <v>16</v>
      </c>
      <c r="B175" t="s">
        <v>218</v>
      </c>
      <c r="C175" s="4"/>
      <c r="D175" s="463">
        <v>1</v>
      </c>
      <c r="E175" s="493">
        <v>3</v>
      </c>
      <c r="F175" s="493">
        <f t="shared" si="19"/>
        <v>3</v>
      </c>
      <c r="G175" s="473"/>
      <c r="H175" s="479"/>
      <c r="I175" s="477"/>
      <c r="J175" s="496">
        <v>3</v>
      </c>
      <c r="K175" s="474">
        <f t="shared" si="20"/>
        <v>99</v>
      </c>
      <c r="L175" s="480"/>
      <c r="M175" s="45"/>
      <c r="N175" s="45"/>
      <c r="O175" s="205"/>
      <c r="P175" s="134"/>
      <c r="Q175" s="13"/>
      <c r="R175" s="45"/>
      <c r="S175" s="28"/>
      <c r="T175" s="45">
        <v>23</v>
      </c>
      <c r="U175" s="28">
        <v>58</v>
      </c>
      <c r="V175" s="45">
        <v>3</v>
      </c>
      <c r="W175" s="45">
        <v>15</v>
      </c>
      <c r="X175" s="529">
        <f t="shared" si="21"/>
        <v>86</v>
      </c>
      <c r="Y175" s="134"/>
      <c r="Z175" s="45"/>
      <c r="AA175" s="45">
        <v>21</v>
      </c>
      <c r="AB175" s="424">
        <v>65</v>
      </c>
      <c r="AC175" s="134"/>
    </row>
    <row r="176" spans="1:29">
      <c r="A176" s="146">
        <v>17</v>
      </c>
      <c r="B176" t="s">
        <v>219</v>
      </c>
      <c r="C176" s="4"/>
      <c r="D176" s="463">
        <v>2</v>
      </c>
      <c r="E176" s="493">
        <v>8</v>
      </c>
      <c r="F176" s="493">
        <f t="shared" si="19"/>
        <v>5</v>
      </c>
      <c r="G176" s="473">
        <v>2</v>
      </c>
      <c r="H176" s="479">
        <v>3</v>
      </c>
      <c r="I176" s="477"/>
      <c r="J176" s="496"/>
      <c r="K176" s="474">
        <f t="shared" si="20"/>
        <v>113</v>
      </c>
      <c r="L176" s="480"/>
      <c r="M176" s="45"/>
      <c r="N176" s="45">
        <v>60</v>
      </c>
      <c r="O176" s="205">
        <v>44</v>
      </c>
      <c r="P176" s="134">
        <v>6</v>
      </c>
      <c r="Q176" s="45">
        <v>3</v>
      </c>
      <c r="R176" s="45"/>
      <c r="S176" s="28"/>
      <c r="T176" s="45"/>
      <c r="U176" s="28"/>
      <c r="V176" s="45"/>
      <c r="W176" s="45"/>
      <c r="X176" s="529">
        <f t="shared" si="21"/>
        <v>111</v>
      </c>
      <c r="Y176" s="134">
        <v>65</v>
      </c>
      <c r="Z176" s="45">
        <v>46</v>
      </c>
      <c r="AA176" s="45"/>
      <c r="AB176" s="424"/>
      <c r="AC176" s="134"/>
    </row>
    <row r="177" spans="1:29">
      <c r="A177" s="146">
        <v>18</v>
      </c>
      <c r="B177" t="s">
        <v>220</v>
      </c>
      <c r="C177" s="4"/>
      <c r="D177" s="463">
        <v>11</v>
      </c>
      <c r="E177" s="493">
        <v>18</v>
      </c>
      <c r="F177" s="493">
        <f t="shared" si="19"/>
        <v>23</v>
      </c>
      <c r="G177" s="473">
        <v>3</v>
      </c>
      <c r="H177" s="479">
        <v>5</v>
      </c>
      <c r="I177" s="477">
        <v>5</v>
      </c>
      <c r="J177" s="496">
        <v>10</v>
      </c>
      <c r="K177" s="474">
        <f t="shared" si="20"/>
        <v>633</v>
      </c>
      <c r="L177" s="480"/>
      <c r="M177" s="45"/>
      <c r="N177" s="45">
        <v>42</v>
      </c>
      <c r="O177" s="205">
        <v>42</v>
      </c>
      <c r="P177" s="134">
        <v>1</v>
      </c>
      <c r="Q177" s="45">
        <v>2</v>
      </c>
      <c r="R177" s="45">
        <v>3</v>
      </c>
      <c r="S177" s="28">
        <v>4</v>
      </c>
      <c r="T177" s="45">
        <v>270</v>
      </c>
      <c r="U177" s="28">
        <v>180</v>
      </c>
      <c r="V177" s="45">
        <v>22</v>
      </c>
      <c r="W177" s="45">
        <v>67</v>
      </c>
      <c r="X177" s="529">
        <f t="shared" si="21"/>
        <v>585</v>
      </c>
      <c r="Y177" s="134">
        <v>42</v>
      </c>
      <c r="Z177" s="45">
        <v>42</v>
      </c>
      <c r="AA177" s="45">
        <v>268</v>
      </c>
      <c r="AB177" s="424">
        <v>233</v>
      </c>
      <c r="AC177" s="134"/>
    </row>
    <row r="178" spans="1:29">
      <c r="A178" s="146">
        <v>19</v>
      </c>
      <c r="B178" t="s">
        <v>221</v>
      </c>
      <c r="C178" s="4"/>
      <c r="D178" s="463">
        <v>7</v>
      </c>
      <c r="E178" s="493">
        <v>17</v>
      </c>
      <c r="F178" s="493">
        <f t="shared" si="19"/>
        <v>20</v>
      </c>
      <c r="G178" s="473">
        <v>2</v>
      </c>
      <c r="H178" s="479">
        <v>10</v>
      </c>
      <c r="I178" s="477">
        <v>3</v>
      </c>
      <c r="J178" s="496">
        <v>5</v>
      </c>
      <c r="K178" s="474">
        <f t="shared" si="20"/>
        <v>414</v>
      </c>
      <c r="L178" s="480"/>
      <c r="M178" s="45"/>
      <c r="N178" s="45">
        <v>42</v>
      </c>
      <c r="O178" s="205">
        <v>37</v>
      </c>
      <c r="P178" s="134">
        <v>3</v>
      </c>
      <c r="Q178" s="45">
        <v>1</v>
      </c>
      <c r="R178" s="45"/>
      <c r="S178" s="28"/>
      <c r="T178" s="45">
        <v>123</v>
      </c>
      <c r="U178" s="28">
        <v>154</v>
      </c>
      <c r="V178" s="45">
        <v>1</v>
      </c>
      <c r="W178" s="45">
        <v>53</v>
      </c>
      <c r="X178" s="529">
        <f t="shared" si="21"/>
        <v>398</v>
      </c>
      <c r="Y178" s="134">
        <v>44</v>
      </c>
      <c r="Z178" s="45">
        <v>37</v>
      </c>
      <c r="AA178" s="45">
        <v>119</v>
      </c>
      <c r="AB178" s="424">
        <v>198</v>
      </c>
      <c r="AC178" s="134"/>
    </row>
    <row r="179" spans="1:29">
      <c r="A179" s="146">
        <v>20</v>
      </c>
      <c r="B179" t="s">
        <v>222</v>
      </c>
      <c r="C179" s="4"/>
      <c r="D179" s="463">
        <v>4</v>
      </c>
      <c r="E179" s="493">
        <v>9</v>
      </c>
      <c r="F179" s="493">
        <f t="shared" si="19"/>
        <v>10</v>
      </c>
      <c r="G179" s="473">
        <v>1</v>
      </c>
      <c r="H179" s="479">
        <v>1</v>
      </c>
      <c r="I179" s="477">
        <v>1</v>
      </c>
      <c r="J179" s="496">
        <v>7</v>
      </c>
      <c r="K179" s="474">
        <f t="shared" si="20"/>
        <v>288</v>
      </c>
      <c r="L179" s="480"/>
      <c r="M179" s="45"/>
      <c r="N179" s="45"/>
      <c r="O179" s="205"/>
      <c r="P179" s="134"/>
      <c r="Q179" s="45"/>
      <c r="R179" s="45"/>
      <c r="S179" s="28"/>
      <c r="T179" s="45">
        <v>97</v>
      </c>
      <c r="U179" s="28">
        <v>138</v>
      </c>
      <c r="V179" s="45">
        <v>30</v>
      </c>
      <c r="W179" s="45">
        <v>23</v>
      </c>
      <c r="X179" s="529">
        <f t="shared" si="21"/>
        <v>255</v>
      </c>
      <c r="Y179" s="134"/>
      <c r="Z179" s="45"/>
      <c r="AA179" s="45">
        <v>119</v>
      </c>
      <c r="AB179" s="424">
        <v>136</v>
      </c>
      <c r="AC179" s="134"/>
    </row>
    <row r="180" spans="1:29">
      <c r="A180" s="146">
        <v>21</v>
      </c>
      <c r="B180" t="s">
        <v>223</v>
      </c>
      <c r="C180" s="4"/>
      <c r="D180" s="463">
        <v>12</v>
      </c>
      <c r="E180" s="493">
        <v>23</v>
      </c>
      <c r="F180" s="493">
        <f t="shared" si="19"/>
        <v>28</v>
      </c>
      <c r="G180" s="473">
        <v>10</v>
      </c>
      <c r="H180" s="479">
        <v>8</v>
      </c>
      <c r="I180" s="477">
        <v>1</v>
      </c>
      <c r="J180" s="496">
        <v>9</v>
      </c>
      <c r="K180" s="474">
        <f t="shared" si="20"/>
        <v>610</v>
      </c>
      <c r="L180" s="480"/>
      <c r="M180" s="45"/>
      <c r="N180" s="45">
        <v>140</v>
      </c>
      <c r="O180" s="205">
        <v>111</v>
      </c>
      <c r="P180" s="134">
        <v>9</v>
      </c>
      <c r="Q180" s="45">
        <v>1</v>
      </c>
      <c r="R180" s="45"/>
      <c r="S180" s="28"/>
      <c r="T180" s="45">
        <v>135</v>
      </c>
      <c r="U180" s="28">
        <v>193</v>
      </c>
      <c r="V180" s="45">
        <v>3</v>
      </c>
      <c r="W180" s="45">
        <v>18</v>
      </c>
      <c r="X180" s="529">
        <f t="shared" si="21"/>
        <v>578</v>
      </c>
      <c r="Y180" s="134">
        <v>145</v>
      </c>
      <c r="Z180" s="45">
        <v>107</v>
      </c>
      <c r="AA180" s="45">
        <v>129</v>
      </c>
      <c r="AB180" s="424">
        <v>197</v>
      </c>
      <c r="AC180" s="134"/>
    </row>
    <row r="181" spans="1:29">
      <c r="A181" s="146">
        <v>22</v>
      </c>
      <c r="B181" t="s">
        <v>224</v>
      </c>
      <c r="C181" s="4"/>
      <c r="D181" s="463">
        <v>31</v>
      </c>
      <c r="E181" s="493">
        <v>78</v>
      </c>
      <c r="F181" s="493">
        <f t="shared" si="19"/>
        <v>82</v>
      </c>
      <c r="G181" s="473">
        <v>11</v>
      </c>
      <c r="H181" s="479">
        <v>50</v>
      </c>
      <c r="I181" s="477">
        <v>7</v>
      </c>
      <c r="J181" s="496">
        <v>14</v>
      </c>
      <c r="K181" s="474">
        <f t="shared" si="20"/>
        <v>1790</v>
      </c>
      <c r="L181" s="480">
        <v>8</v>
      </c>
      <c r="M181" s="45">
        <v>2</v>
      </c>
      <c r="N181" s="45">
        <v>383</v>
      </c>
      <c r="O181" s="205">
        <v>432</v>
      </c>
      <c r="P181" s="134">
        <v>27</v>
      </c>
      <c r="Q181" s="45">
        <v>83</v>
      </c>
      <c r="R181" s="45">
        <v>2</v>
      </c>
      <c r="S181" s="28"/>
      <c r="T181" s="45">
        <v>348</v>
      </c>
      <c r="U181" s="28">
        <v>450</v>
      </c>
      <c r="V181" s="45">
        <v>35</v>
      </c>
      <c r="W181" s="45">
        <v>20</v>
      </c>
      <c r="X181" s="529">
        <f t="shared" si="21"/>
        <v>1664</v>
      </c>
      <c r="Y181" s="134">
        <v>477</v>
      </c>
      <c r="Z181" s="45">
        <v>509</v>
      </c>
      <c r="AA181" s="45">
        <v>270</v>
      </c>
      <c r="AB181" s="424">
        <v>408</v>
      </c>
      <c r="AC181" s="134"/>
    </row>
    <row r="182" spans="1:29">
      <c r="A182" s="146">
        <v>23</v>
      </c>
      <c r="B182" t="s">
        <v>225</v>
      </c>
      <c r="C182" s="4"/>
      <c r="D182" s="463">
        <v>4</v>
      </c>
      <c r="E182" s="493">
        <v>4</v>
      </c>
      <c r="F182" s="493">
        <f t="shared" si="19"/>
        <v>5</v>
      </c>
      <c r="G182" s="473">
        <v>3</v>
      </c>
      <c r="H182" s="479">
        <v>1</v>
      </c>
      <c r="I182" s="477"/>
      <c r="J182" s="496">
        <v>1</v>
      </c>
      <c r="K182" s="474">
        <f t="shared" si="20"/>
        <v>67</v>
      </c>
      <c r="L182" s="480"/>
      <c r="M182" s="45"/>
      <c r="N182" s="45">
        <v>15</v>
      </c>
      <c r="O182" s="205">
        <v>17</v>
      </c>
      <c r="P182" s="134">
        <v>5</v>
      </c>
      <c r="Q182" s="45">
        <v>2</v>
      </c>
      <c r="R182" s="45">
        <v>3</v>
      </c>
      <c r="S182" s="28">
        <v>2</v>
      </c>
      <c r="T182" s="45">
        <v>4</v>
      </c>
      <c r="U182" s="28">
        <v>7</v>
      </c>
      <c r="V182" s="45">
        <v>4</v>
      </c>
      <c r="W182" s="45">
        <v>8</v>
      </c>
      <c r="X182" s="529">
        <f t="shared" si="21"/>
        <v>59</v>
      </c>
      <c r="Y182" s="134">
        <v>18</v>
      </c>
      <c r="Z182" s="45">
        <v>19</v>
      </c>
      <c r="AA182" s="45">
        <v>6</v>
      </c>
      <c r="AB182" s="424">
        <v>16</v>
      </c>
      <c r="AC182" s="134"/>
    </row>
    <row r="183" spans="1:29">
      <c r="A183" s="146">
        <v>24</v>
      </c>
      <c r="B183" t="s">
        <v>226</v>
      </c>
      <c r="C183" s="4"/>
      <c r="D183" s="463">
        <v>6</v>
      </c>
      <c r="E183" s="493">
        <v>11</v>
      </c>
      <c r="F183" s="493">
        <f t="shared" si="19"/>
        <v>9</v>
      </c>
      <c r="G183" s="473">
        <v>4</v>
      </c>
      <c r="H183" s="479">
        <v>5</v>
      </c>
      <c r="I183" s="477"/>
      <c r="J183" s="496"/>
      <c r="K183" s="474">
        <f t="shared" si="20"/>
        <v>192</v>
      </c>
      <c r="L183" s="480"/>
      <c r="M183" s="45"/>
      <c r="N183" s="45">
        <v>69</v>
      </c>
      <c r="O183" s="205">
        <v>91</v>
      </c>
      <c r="P183" s="134">
        <v>24</v>
      </c>
      <c r="Q183" s="45">
        <v>8</v>
      </c>
      <c r="R183" s="45"/>
      <c r="S183" s="28"/>
      <c r="T183" s="45"/>
      <c r="U183" s="28"/>
      <c r="V183" s="45"/>
      <c r="W183" s="45"/>
      <c r="X183" s="529">
        <f t="shared" si="21"/>
        <v>187</v>
      </c>
      <c r="Y183" s="134">
        <v>91</v>
      </c>
      <c r="Z183" s="45">
        <v>96</v>
      </c>
      <c r="AA183" s="45"/>
      <c r="AB183" s="424"/>
      <c r="AC183" s="134"/>
    </row>
    <row r="184" spans="1:29">
      <c r="A184" s="146">
        <v>25</v>
      </c>
      <c r="B184" t="s">
        <v>147</v>
      </c>
      <c r="C184" s="4"/>
      <c r="D184" s="463">
        <v>5</v>
      </c>
      <c r="E184" s="493">
        <v>13</v>
      </c>
      <c r="F184" s="493">
        <f t="shared" si="19"/>
        <v>12</v>
      </c>
      <c r="G184" s="473">
        <v>1</v>
      </c>
      <c r="H184" s="479">
        <v>5</v>
      </c>
      <c r="I184" s="477">
        <v>1</v>
      </c>
      <c r="J184" s="496">
        <v>5</v>
      </c>
      <c r="K184" s="474">
        <f t="shared" si="20"/>
        <v>268</v>
      </c>
      <c r="L184" s="480"/>
      <c r="M184" s="45"/>
      <c r="N184" s="45">
        <v>33</v>
      </c>
      <c r="O184" s="205">
        <v>33</v>
      </c>
      <c r="P184" s="134">
        <v>1</v>
      </c>
      <c r="Q184" s="45">
        <v>1</v>
      </c>
      <c r="R184" s="45"/>
      <c r="S184" s="28"/>
      <c r="T184" s="45">
        <v>73</v>
      </c>
      <c r="U184" s="28">
        <v>88</v>
      </c>
      <c r="V184" s="45">
        <v>3</v>
      </c>
      <c r="W184" s="45">
        <v>36</v>
      </c>
      <c r="X184" s="529">
        <f t="shared" si="21"/>
        <v>242</v>
      </c>
      <c r="Y184" s="134">
        <v>28</v>
      </c>
      <c r="Z184" s="45">
        <v>31</v>
      </c>
      <c r="AA184" s="45">
        <v>67</v>
      </c>
      <c r="AB184" s="424">
        <v>116</v>
      </c>
      <c r="AC184" s="134"/>
    </row>
    <row r="185" spans="1:29">
      <c r="A185" s="146">
        <v>26</v>
      </c>
      <c r="B185" t="s">
        <v>227</v>
      </c>
      <c r="C185" s="4"/>
      <c r="D185" s="463">
        <v>10</v>
      </c>
      <c r="E185" s="493">
        <v>12</v>
      </c>
      <c r="F185" s="493">
        <f t="shared" si="19"/>
        <v>16</v>
      </c>
      <c r="G185" s="473">
        <v>2</v>
      </c>
      <c r="H185" s="479">
        <v>4</v>
      </c>
      <c r="I185" s="477">
        <v>6</v>
      </c>
      <c r="J185" s="496">
        <v>4</v>
      </c>
      <c r="K185" s="474">
        <f t="shared" si="20"/>
        <v>507</v>
      </c>
      <c r="L185" s="480"/>
      <c r="M185" s="45"/>
      <c r="N185" s="45">
        <v>36</v>
      </c>
      <c r="O185" s="205">
        <v>17</v>
      </c>
      <c r="P185" s="134">
        <v>2</v>
      </c>
      <c r="Q185" s="45">
        <v>2</v>
      </c>
      <c r="R185" s="45"/>
      <c r="S185" s="28"/>
      <c r="T185" s="45">
        <v>203</v>
      </c>
      <c r="U185" s="28">
        <v>229</v>
      </c>
      <c r="V185" s="45">
        <v>4</v>
      </c>
      <c r="W185" s="45">
        <v>14</v>
      </c>
      <c r="X185" s="529">
        <f t="shared" si="21"/>
        <v>470</v>
      </c>
      <c r="Y185" s="134">
        <v>37</v>
      </c>
      <c r="Z185" s="45">
        <v>18</v>
      </c>
      <c r="AA185" s="45">
        <v>188</v>
      </c>
      <c r="AB185" s="424">
        <v>227</v>
      </c>
      <c r="AC185" s="134"/>
    </row>
    <row r="186" spans="1:29">
      <c r="A186" s="146">
        <v>27</v>
      </c>
      <c r="B186" t="s">
        <v>228</v>
      </c>
      <c r="C186" s="4"/>
      <c r="D186" s="463">
        <v>24</v>
      </c>
      <c r="E186" s="493">
        <v>61</v>
      </c>
      <c r="F186" s="493">
        <f t="shared" si="19"/>
        <v>80</v>
      </c>
      <c r="G186" s="473">
        <v>10</v>
      </c>
      <c r="H186" s="479">
        <v>32</v>
      </c>
      <c r="I186" s="477">
        <v>37</v>
      </c>
      <c r="J186" s="496">
        <v>1</v>
      </c>
      <c r="K186" s="474">
        <f t="shared" si="20"/>
        <v>2195</v>
      </c>
      <c r="L186" s="480"/>
      <c r="M186" s="45">
        <v>2</v>
      </c>
      <c r="N186" s="45">
        <v>444</v>
      </c>
      <c r="O186" s="205">
        <v>318</v>
      </c>
      <c r="P186" s="134">
        <v>7</v>
      </c>
      <c r="Q186" s="45">
        <v>9</v>
      </c>
      <c r="R186" s="45"/>
      <c r="S186" s="28"/>
      <c r="T186" s="45">
        <v>1087</v>
      </c>
      <c r="U186" s="28">
        <v>192</v>
      </c>
      <c r="V186" s="45">
        <v>73</v>
      </c>
      <c r="W186" s="45">
        <v>63</v>
      </c>
      <c r="X186" s="529">
        <f t="shared" si="21"/>
        <v>2014</v>
      </c>
      <c r="Y186" s="134">
        <v>431</v>
      </c>
      <c r="Z186" s="45">
        <v>305</v>
      </c>
      <c r="AA186" s="45">
        <v>1039</v>
      </c>
      <c r="AB186" s="424">
        <v>239</v>
      </c>
      <c r="AC186" s="134"/>
    </row>
    <row r="187" spans="1:29">
      <c r="A187" s="146">
        <v>28</v>
      </c>
      <c r="B187" t="s">
        <v>229</v>
      </c>
      <c r="C187" s="4"/>
      <c r="D187" s="463">
        <v>4</v>
      </c>
      <c r="E187" s="493">
        <v>14</v>
      </c>
      <c r="F187" s="493">
        <f t="shared" si="19"/>
        <v>16</v>
      </c>
      <c r="G187" s="473">
        <v>4</v>
      </c>
      <c r="H187" s="479">
        <v>10</v>
      </c>
      <c r="I187" s="477">
        <v>2</v>
      </c>
      <c r="J187" s="496"/>
      <c r="K187" s="474">
        <f t="shared" si="20"/>
        <v>365</v>
      </c>
      <c r="L187" s="480"/>
      <c r="M187" s="45"/>
      <c r="N187" s="45">
        <v>111</v>
      </c>
      <c r="O187" s="205">
        <v>91</v>
      </c>
      <c r="P187" s="134">
        <v>19</v>
      </c>
      <c r="Q187" s="45">
        <v>10</v>
      </c>
      <c r="R187" s="45"/>
      <c r="S187" s="28"/>
      <c r="T187" s="45">
        <v>54</v>
      </c>
      <c r="U187" s="28">
        <v>48</v>
      </c>
      <c r="V187" s="45">
        <v>13</v>
      </c>
      <c r="W187" s="45">
        <v>19</v>
      </c>
      <c r="X187" s="529">
        <f t="shared" si="21"/>
        <v>353</v>
      </c>
      <c r="Y187" s="134">
        <v>126</v>
      </c>
      <c r="Z187" s="45">
        <v>100</v>
      </c>
      <c r="AA187" s="45">
        <v>65</v>
      </c>
      <c r="AB187" s="424">
        <v>62</v>
      </c>
      <c r="AC187" s="134"/>
    </row>
    <row r="188" spans="1:29">
      <c r="A188" s="146">
        <v>29</v>
      </c>
      <c r="B188" t="s">
        <v>230</v>
      </c>
      <c r="C188" s="4"/>
      <c r="D188" s="463">
        <v>18</v>
      </c>
      <c r="E188" s="493">
        <v>26</v>
      </c>
      <c r="F188" s="493">
        <f t="shared" si="19"/>
        <v>28</v>
      </c>
      <c r="G188" s="473">
        <v>12</v>
      </c>
      <c r="H188" s="479">
        <v>16</v>
      </c>
      <c r="I188" s="477"/>
      <c r="J188" s="496"/>
      <c r="K188" s="474">
        <f t="shared" si="20"/>
        <v>467</v>
      </c>
      <c r="L188" s="480">
        <v>2</v>
      </c>
      <c r="M188" s="45">
        <v>5</v>
      </c>
      <c r="N188" s="45">
        <v>154</v>
      </c>
      <c r="O188" s="205">
        <v>157</v>
      </c>
      <c r="P188" s="134">
        <v>48</v>
      </c>
      <c r="Q188" s="45">
        <v>18</v>
      </c>
      <c r="R188" s="45"/>
      <c r="S188" s="28"/>
      <c r="T188" s="45">
        <v>31</v>
      </c>
      <c r="U188" s="28">
        <v>45</v>
      </c>
      <c r="V188" s="45">
        <v>2</v>
      </c>
      <c r="W188" s="45">
        <v>5</v>
      </c>
      <c r="X188" s="529">
        <f t="shared" si="21"/>
        <v>441</v>
      </c>
      <c r="Y188" s="134">
        <v>191</v>
      </c>
      <c r="Z188" s="45">
        <v>172</v>
      </c>
      <c r="AA188" s="45">
        <v>31</v>
      </c>
      <c r="AB188" s="424">
        <v>47</v>
      </c>
      <c r="AC188" s="134"/>
    </row>
    <row r="189" spans="1:29">
      <c r="A189" s="146">
        <v>30</v>
      </c>
      <c r="B189" t="s">
        <v>231</v>
      </c>
      <c r="C189" s="4"/>
      <c r="D189" s="463">
        <v>15</v>
      </c>
      <c r="E189" s="493">
        <v>29</v>
      </c>
      <c r="F189" s="493">
        <f t="shared" si="19"/>
        <v>31</v>
      </c>
      <c r="G189" s="480">
        <v>14</v>
      </c>
      <c r="H189" s="479">
        <v>11</v>
      </c>
      <c r="I189" s="477">
        <v>3</v>
      </c>
      <c r="J189" s="496">
        <v>3</v>
      </c>
      <c r="K189" s="474">
        <f t="shared" si="20"/>
        <v>646</v>
      </c>
      <c r="L189" s="473"/>
      <c r="M189" s="134"/>
      <c r="N189" s="28">
        <v>224</v>
      </c>
      <c r="O189" s="396">
        <v>192</v>
      </c>
      <c r="P189" s="134">
        <v>53</v>
      </c>
      <c r="Q189" s="45">
        <v>27</v>
      </c>
      <c r="R189" s="45"/>
      <c r="S189" s="28"/>
      <c r="T189" s="45">
        <v>75</v>
      </c>
      <c r="U189" s="28">
        <v>74</v>
      </c>
      <c r="V189" s="45">
        <v>1</v>
      </c>
      <c r="W189" s="45"/>
      <c r="X189" s="529">
        <f t="shared" si="21"/>
        <v>599</v>
      </c>
      <c r="Y189" s="134">
        <v>256</v>
      </c>
      <c r="Z189" s="45">
        <v>212</v>
      </c>
      <c r="AA189" s="45">
        <v>66</v>
      </c>
      <c r="AB189" s="424">
        <v>65</v>
      </c>
      <c r="AC189" s="134"/>
    </row>
    <row r="190" spans="1:29" s="25" customFormat="1">
      <c r="A190" s="146">
        <v>31</v>
      </c>
      <c r="B190" t="s">
        <v>232</v>
      </c>
      <c r="C190" s="96"/>
      <c r="D190" s="480">
        <v>5</v>
      </c>
      <c r="E190" s="504">
        <v>7</v>
      </c>
      <c r="F190" s="493">
        <f t="shared" si="19"/>
        <v>10</v>
      </c>
      <c r="G190" s="474">
        <v>2</v>
      </c>
      <c r="H190" s="479">
        <v>4</v>
      </c>
      <c r="I190" s="477"/>
      <c r="J190" s="496">
        <v>4</v>
      </c>
      <c r="K190" s="474">
        <f t="shared" si="20"/>
        <v>213</v>
      </c>
      <c r="L190" s="488"/>
      <c r="M190" s="134">
        <v>1</v>
      </c>
      <c r="N190" s="28">
        <v>47</v>
      </c>
      <c r="O190" s="396">
        <v>53</v>
      </c>
      <c r="P190" s="123">
        <v>8</v>
      </c>
      <c r="Q190" s="45">
        <v>3</v>
      </c>
      <c r="R190" s="28"/>
      <c r="S190" s="28">
        <v>1</v>
      </c>
      <c r="T190" s="28">
        <v>51</v>
      </c>
      <c r="U190" s="28">
        <v>42</v>
      </c>
      <c r="V190" s="28">
        <v>2</v>
      </c>
      <c r="W190" s="45">
        <v>5</v>
      </c>
      <c r="X190" s="529">
        <f t="shared" si="21"/>
        <v>190</v>
      </c>
      <c r="Y190" s="134">
        <v>47</v>
      </c>
      <c r="Z190" s="28">
        <v>40</v>
      </c>
      <c r="AA190" s="45">
        <v>50</v>
      </c>
      <c r="AB190" s="424">
        <v>53</v>
      </c>
      <c r="AC190" s="134"/>
    </row>
    <row r="191" spans="1:29" s="25" customFormat="1">
      <c r="A191" s="530"/>
      <c r="B191" s="11"/>
      <c r="C191" s="576"/>
      <c r="D191" s="514"/>
      <c r="E191" s="625"/>
      <c r="F191" s="508"/>
      <c r="G191" s="577"/>
      <c r="H191" s="578"/>
      <c r="I191" s="511"/>
      <c r="J191" s="512"/>
      <c r="K191" s="513"/>
      <c r="L191" s="579"/>
      <c r="M191" s="580"/>
      <c r="N191" s="206"/>
      <c r="O191" s="581"/>
      <c r="P191" s="582"/>
      <c r="Q191" s="580"/>
      <c r="R191" s="206"/>
      <c r="S191" s="206"/>
      <c r="T191" s="206"/>
      <c r="U191" s="206"/>
      <c r="V191" s="206"/>
      <c r="W191" s="317"/>
      <c r="X191" s="609"/>
      <c r="Y191" s="256"/>
      <c r="Z191" s="206"/>
      <c r="AA191" s="317"/>
      <c r="AB191" s="516"/>
      <c r="AC191" s="134"/>
    </row>
    <row r="192" spans="1:29" s="25" customFormat="1">
      <c r="A192" s="146" t="s">
        <v>433</v>
      </c>
      <c r="B192" s="31"/>
      <c r="C192" s="96"/>
      <c r="D192" s="480">
        <f>SUM(D160:D191)</f>
        <v>340</v>
      </c>
      <c r="E192" s="480">
        <f t="shared" ref="E192:AB192" si="22">SUM(E160:E191)</f>
        <v>876</v>
      </c>
      <c r="F192" s="480">
        <f t="shared" si="22"/>
        <v>1119</v>
      </c>
      <c r="G192" s="480">
        <f t="shared" si="22"/>
        <v>211</v>
      </c>
      <c r="H192" s="470">
        <f t="shared" si="22"/>
        <v>556</v>
      </c>
      <c r="I192" s="470">
        <f t="shared" si="22"/>
        <v>155</v>
      </c>
      <c r="J192" s="474">
        <f t="shared" si="22"/>
        <v>197</v>
      </c>
      <c r="K192" s="480">
        <f t="shared" si="22"/>
        <v>27878</v>
      </c>
      <c r="L192" s="480">
        <f t="shared" si="22"/>
        <v>26</v>
      </c>
      <c r="M192" s="470">
        <f t="shared" si="22"/>
        <v>32</v>
      </c>
      <c r="N192" s="470">
        <f t="shared" si="22"/>
        <v>6164</v>
      </c>
      <c r="O192" s="470">
        <f t="shared" si="22"/>
        <v>5468</v>
      </c>
      <c r="P192" s="470">
        <f t="shared" si="22"/>
        <v>553</v>
      </c>
      <c r="Q192" s="470">
        <f t="shared" si="22"/>
        <v>761</v>
      </c>
      <c r="R192" s="470">
        <f t="shared" si="22"/>
        <v>26</v>
      </c>
      <c r="S192" s="470">
        <f t="shared" si="22"/>
        <v>37</v>
      </c>
      <c r="T192" s="470">
        <f t="shared" si="22"/>
        <v>7219</v>
      </c>
      <c r="U192" s="470">
        <f t="shared" si="22"/>
        <v>5894</v>
      </c>
      <c r="V192" s="470">
        <f t="shared" si="22"/>
        <v>543</v>
      </c>
      <c r="W192" s="474">
        <f t="shared" si="22"/>
        <v>1155</v>
      </c>
      <c r="X192" s="480">
        <f t="shared" si="22"/>
        <v>25850</v>
      </c>
      <c r="Y192" s="480">
        <f t="shared" si="22"/>
        <v>6471</v>
      </c>
      <c r="Z192" s="470">
        <f t="shared" si="22"/>
        <v>5835</v>
      </c>
      <c r="AA192" s="470">
        <f t="shared" si="22"/>
        <v>6977</v>
      </c>
      <c r="AB192" s="574">
        <f t="shared" si="22"/>
        <v>6567</v>
      </c>
      <c r="AC192" s="474"/>
    </row>
    <row r="193" spans="1:29" s="25" customFormat="1" ht="15" thickBot="1">
      <c r="A193" s="543"/>
      <c r="B193" s="6"/>
      <c r="C193" s="583"/>
      <c r="D193" s="525"/>
      <c r="E193" s="626"/>
      <c r="F193" s="501"/>
      <c r="G193" s="584"/>
      <c r="H193" s="585"/>
      <c r="I193" s="522"/>
      <c r="J193" s="523"/>
      <c r="K193" s="524"/>
      <c r="L193" s="586"/>
      <c r="M193" s="105"/>
      <c r="N193" s="208"/>
      <c r="O193" s="587"/>
      <c r="P193" s="443"/>
      <c r="Q193" s="105"/>
      <c r="R193" s="208"/>
      <c r="S193" s="208"/>
      <c r="T193" s="208"/>
      <c r="U193" s="208"/>
      <c r="V193" s="208"/>
      <c r="W193" s="321"/>
      <c r="X193" s="611"/>
      <c r="Y193" s="253"/>
      <c r="Z193" s="208"/>
      <c r="AA193" s="208"/>
      <c r="AB193" s="527"/>
      <c r="AC193" s="134"/>
    </row>
    <row r="194" spans="1:29" ht="15" thickTop="1">
      <c r="A194" s="176" t="s">
        <v>28</v>
      </c>
      <c r="B194" s="59"/>
      <c r="C194" s="8"/>
      <c r="D194" s="461"/>
      <c r="E194" s="493"/>
      <c r="F194" s="493"/>
      <c r="G194" s="489"/>
      <c r="H194" s="479"/>
      <c r="I194" s="477"/>
      <c r="J194" s="495"/>
      <c r="K194" s="490"/>
      <c r="L194" s="473"/>
      <c r="M194" s="134"/>
      <c r="N194" s="28"/>
      <c r="O194" s="396"/>
      <c r="P194" s="123"/>
      <c r="Q194" s="134"/>
      <c r="R194" s="28"/>
      <c r="S194" s="28"/>
      <c r="T194" s="28"/>
      <c r="U194" s="28"/>
      <c r="V194" s="28"/>
      <c r="W194" s="45"/>
      <c r="X194" s="529"/>
      <c r="Y194" s="134"/>
      <c r="Z194" s="28"/>
      <c r="AA194" s="45"/>
      <c r="AB194" s="424"/>
      <c r="AC194" s="134"/>
    </row>
    <row r="195" spans="1:29">
      <c r="A195" s="181">
        <v>33</v>
      </c>
      <c r="B195" s="100" t="s">
        <v>233</v>
      </c>
      <c r="C195" s="4" t="s">
        <v>443</v>
      </c>
      <c r="D195" s="461">
        <v>3</v>
      </c>
      <c r="E195" s="493">
        <v>7</v>
      </c>
      <c r="F195" s="493">
        <f>SUM(G195:J195)</f>
        <v>10</v>
      </c>
      <c r="G195" s="489">
        <v>1</v>
      </c>
      <c r="H195" s="479">
        <v>5</v>
      </c>
      <c r="I195" s="477">
        <v>1</v>
      </c>
      <c r="J195" s="495">
        <v>3</v>
      </c>
      <c r="K195" s="490">
        <f>SUM(L195:W195)</f>
        <v>189</v>
      </c>
      <c r="L195" s="473"/>
      <c r="M195" s="29"/>
      <c r="N195" s="28">
        <v>45</v>
      </c>
      <c r="O195" s="396">
        <v>39</v>
      </c>
      <c r="P195" s="123">
        <v>6</v>
      </c>
      <c r="Q195" s="134">
        <v>5</v>
      </c>
      <c r="R195" s="28"/>
      <c r="S195" s="28"/>
      <c r="T195" s="28">
        <v>38</v>
      </c>
      <c r="U195" s="28">
        <v>49</v>
      </c>
      <c r="V195" s="28">
        <v>2</v>
      </c>
      <c r="W195" s="45">
        <v>5</v>
      </c>
      <c r="X195" s="529">
        <f>SUM(Y195:AB195)</f>
        <v>179</v>
      </c>
      <c r="Y195" s="134">
        <v>49</v>
      </c>
      <c r="Z195" s="28">
        <v>42</v>
      </c>
      <c r="AA195" s="45">
        <v>37</v>
      </c>
      <c r="AB195" s="424">
        <v>51</v>
      </c>
      <c r="AC195" s="134"/>
    </row>
    <row r="196" spans="1:29">
      <c r="A196" s="146">
        <v>34</v>
      </c>
      <c r="B196" t="s">
        <v>234</v>
      </c>
      <c r="C196" s="4"/>
      <c r="D196" s="461">
        <v>6</v>
      </c>
      <c r="E196" s="493">
        <v>14</v>
      </c>
      <c r="F196" s="493">
        <f t="shared" ref="F196:F205" si="23">SUM(G196:J196)</f>
        <v>21</v>
      </c>
      <c r="G196" s="489">
        <v>3</v>
      </c>
      <c r="H196" s="479">
        <v>6</v>
      </c>
      <c r="I196" s="477">
        <v>4</v>
      </c>
      <c r="J196" s="495">
        <v>8</v>
      </c>
      <c r="K196" s="490">
        <f t="shared" ref="K196:K205" si="24">SUM(L196:W196)</f>
        <v>620</v>
      </c>
      <c r="L196" s="473"/>
      <c r="M196" s="134"/>
      <c r="N196" s="28">
        <v>53</v>
      </c>
      <c r="O196" s="396">
        <v>37</v>
      </c>
      <c r="P196" s="123"/>
      <c r="Q196" s="134">
        <v>3</v>
      </c>
      <c r="R196" s="28"/>
      <c r="S196" s="28"/>
      <c r="T196" s="28">
        <v>191</v>
      </c>
      <c r="U196" s="28">
        <v>253</v>
      </c>
      <c r="V196" s="28">
        <v>24</v>
      </c>
      <c r="W196" s="45">
        <v>59</v>
      </c>
      <c r="X196" s="529">
        <f t="shared" ref="X196:X205" si="25">SUM(Y196:AB196)</f>
        <v>545</v>
      </c>
      <c r="Y196" s="134">
        <v>53</v>
      </c>
      <c r="Z196" s="28">
        <v>31</v>
      </c>
      <c r="AA196" s="45">
        <v>190</v>
      </c>
      <c r="AB196" s="424">
        <v>271</v>
      </c>
      <c r="AC196" s="134"/>
    </row>
    <row r="197" spans="1:29">
      <c r="A197" s="146">
        <v>35</v>
      </c>
      <c r="B197" t="s">
        <v>235</v>
      </c>
      <c r="C197" s="4"/>
      <c r="D197" s="461">
        <v>2</v>
      </c>
      <c r="E197" s="493">
        <v>2</v>
      </c>
      <c r="F197" s="493">
        <f t="shared" si="23"/>
        <v>4</v>
      </c>
      <c r="G197" s="489">
        <v>1</v>
      </c>
      <c r="H197" s="479"/>
      <c r="I197" s="477">
        <v>2</v>
      </c>
      <c r="J197" s="496">
        <v>1</v>
      </c>
      <c r="K197" s="490">
        <f t="shared" si="24"/>
        <v>70</v>
      </c>
      <c r="L197" s="473"/>
      <c r="M197" s="134"/>
      <c r="N197" s="28"/>
      <c r="O197" s="396"/>
      <c r="P197" s="123"/>
      <c r="Q197" s="134"/>
      <c r="R197" s="28"/>
      <c r="S197" s="28"/>
      <c r="T197" s="28">
        <v>30</v>
      </c>
      <c r="U197" s="28">
        <v>30</v>
      </c>
      <c r="V197" s="28">
        <v>7</v>
      </c>
      <c r="W197" s="45">
        <v>3</v>
      </c>
      <c r="X197" s="529">
        <f t="shared" si="25"/>
        <v>58</v>
      </c>
      <c r="Y197" s="134"/>
      <c r="Z197" s="28"/>
      <c r="AA197" s="45">
        <v>30</v>
      </c>
      <c r="AB197" s="424">
        <v>28</v>
      </c>
      <c r="AC197" s="134"/>
    </row>
    <row r="198" spans="1:29">
      <c r="A198" s="146">
        <v>36</v>
      </c>
      <c r="B198" t="s">
        <v>236</v>
      </c>
      <c r="C198" s="4"/>
      <c r="D198" s="461">
        <v>1</v>
      </c>
      <c r="E198" s="493">
        <v>1</v>
      </c>
      <c r="F198" s="493">
        <f t="shared" si="23"/>
        <v>1</v>
      </c>
      <c r="G198" s="489"/>
      <c r="H198" s="479">
        <v>1</v>
      </c>
      <c r="I198" s="477"/>
      <c r="J198" s="496"/>
      <c r="K198" s="490">
        <f t="shared" si="24"/>
        <v>40</v>
      </c>
      <c r="L198" s="473"/>
      <c r="M198" s="134"/>
      <c r="N198" s="28"/>
      <c r="O198" s="396"/>
      <c r="P198" s="123"/>
      <c r="Q198" s="134"/>
      <c r="R198" s="28">
        <v>5</v>
      </c>
      <c r="S198" s="28">
        <v>1</v>
      </c>
      <c r="T198" s="28">
        <v>16</v>
      </c>
      <c r="U198" s="28">
        <v>14</v>
      </c>
      <c r="V198" s="28">
        <v>1</v>
      </c>
      <c r="W198" s="45">
        <v>3</v>
      </c>
      <c r="X198" s="529">
        <f t="shared" si="25"/>
        <v>37</v>
      </c>
      <c r="Y198" s="134"/>
      <c r="Z198" s="28"/>
      <c r="AA198" s="45">
        <v>20</v>
      </c>
      <c r="AB198" s="424">
        <v>17</v>
      </c>
      <c r="AC198" s="134"/>
    </row>
    <row r="199" spans="1:29">
      <c r="A199" s="146">
        <v>37</v>
      </c>
      <c r="B199" t="s">
        <v>237</v>
      </c>
      <c r="C199" s="4"/>
      <c r="D199" s="461"/>
      <c r="E199" s="493"/>
      <c r="F199" s="493">
        <f t="shared" si="23"/>
        <v>0</v>
      </c>
      <c r="G199" s="489"/>
      <c r="H199" s="479"/>
      <c r="I199" s="477"/>
      <c r="J199" s="496"/>
      <c r="K199" s="490">
        <f t="shared" si="24"/>
        <v>0</v>
      </c>
      <c r="L199" s="473"/>
      <c r="M199" s="134"/>
      <c r="N199" s="28"/>
      <c r="O199" s="396"/>
      <c r="P199" s="123"/>
      <c r="Q199" s="134"/>
      <c r="R199" s="28"/>
      <c r="S199" s="28"/>
      <c r="T199" s="28"/>
      <c r="U199" s="28"/>
      <c r="V199" s="28"/>
      <c r="W199" s="45"/>
      <c r="X199" s="529">
        <f t="shared" si="25"/>
        <v>0</v>
      </c>
      <c r="Y199" s="134"/>
      <c r="Z199" s="28"/>
      <c r="AA199" s="45"/>
      <c r="AB199" s="424"/>
      <c r="AC199" s="134"/>
    </row>
    <row r="200" spans="1:29">
      <c r="A200" s="146">
        <v>38</v>
      </c>
      <c r="B200" t="s">
        <v>238</v>
      </c>
      <c r="C200" s="4"/>
      <c r="D200" s="461">
        <v>2</v>
      </c>
      <c r="E200" s="493">
        <v>3</v>
      </c>
      <c r="F200" s="493">
        <f t="shared" si="23"/>
        <v>4</v>
      </c>
      <c r="G200" s="489">
        <v>2</v>
      </c>
      <c r="H200" s="479">
        <v>2</v>
      </c>
      <c r="I200" s="477"/>
      <c r="J200" s="496"/>
      <c r="K200" s="490">
        <f t="shared" si="24"/>
        <v>84</v>
      </c>
      <c r="L200" s="488"/>
      <c r="M200" s="92"/>
      <c r="N200" s="28">
        <v>10</v>
      </c>
      <c r="O200" s="396">
        <v>11</v>
      </c>
      <c r="P200" s="123">
        <v>1</v>
      </c>
      <c r="Q200" s="92"/>
      <c r="R200" s="28"/>
      <c r="S200" s="28"/>
      <c r="T200" s="28">
        <v>22</v>
      </c>
      <c r="U200" s="28">
        <v>32</v>
      </c>
      <c r="V200" s="28">
        <v>1</v>
      </c>
      <c r="W200" s="45">
        <v>7</v>
      </c>
      <c r="X200" s="529">
        <f t="shared" si="25"/>
        <v>78</v>
      </c>
      <c r="Y200" s="134">
        <v>11</v>
      </c>
      <c r="Z200" s="28">
        <v>11</v>
      </c>
      <c r="AA200" s="45">
        <v>20</v>
      </c>
      <c r="AB200" s="424">
        <v>36</v>
      </c>
      <c r="AC200" s="134"/>
    </row>
    <row r="201" spans="1:29">
      <c r="A201" s="146">
        <v>39</v>
      </c>
      <c r="B201" t="s">
        <v>239</v>
      </c>
      <c r="C201" s="4"/>
      <c r="D201" s="461"/>
      <c r="E201" s="493"/>
      <c r="F201" s="493">
        <f t="shared" si="23"/>
        <v>0</v>
      </c>
      <c r="G201" s="489"/>
      <c r="H201" s="479"/>
      <c r="I201" s="477"/>
      <c r="J201" s="496"/>
      <c r="K201" s="490">
        <f t="shared" si="24"/>
        <v>0</v>
      </c>
      <c r="L201" s="473"/>
      <c r="M201" s="134"/>
      <c r="N201" s="28"/>
      <c r="O201" s="396"/>
      <c r="P201" s="123"/>
      <c r="Q201" s="134"/>
      <c r="R201" s="28"/>
      <c r="S201" s="28"/>
      <c r="T201" s="28"/>
      <c r="U201" s="28"/>
      <c r="V201" s="28"/>
      <c r="W201" s="45"/>
      <c r="X201" s="529">
        <f t="shared" si="25"/>
        <v>0</v>
      </c>
      <c r="Y201" s="134"/>
      <c r="Z201" s="28"/>
      <c r="AA201" s="45"/>
      <c r="AB201" s="424"/>
      <c r="AC201" s="134"/>
    </row>
    <row r="202" spans="1:29">
      <c r="A202" s="146">
        <v>40</v>
      </c>
      <c r="B202" t="s">
        <v>240</v>
      </c>
      <c r="C202" s="4"/>
      <c r="D202" s="461">
        <v>1</v>
      </c>
      <c r="E202" s="493">
        <v>2</v>
      </c>
      <c r="F202" s="493">
        <f t="shared" si="23"/>
        <v>4</v>
      </c>
      <c r="G202" s="489"/>
      <c r="H202" s="479">
        <v>1</v>
      </c>
      <c r="I202" s="477">
        <v>1</v>
      </c>
      <c r="J202" s="496">
        <v>2</v>
      </c>
      <c r="K202" s="490">
        <f t="shared" si="24"/>
        <v>108</v>
      </c>
      <c r="L202" s="473"/>
      <c r="M202" s="134"/>
      <c r="N202" s="28"/>
      <c r="O202" s="396"/>
      <c r="P202" s="123"/>
      <c r="Q202" s="134"/>
      <c r="R202" s="28"/>
      <c r="S202" s="28"/>
      <c r="T202" s="28">
        <v>45</v>
      </c>
      <c r="U202" s="28">
        <v>20</v>
      </c>
      <c r="V202" s="28">
        <v>1</v>
      </c>
      <c r="W202" s="45">
        <v>42</v>
      </c>
      <c r="X202" s="529">
        <f t="shared" si="25"/>
        <v>99</v>
      </c>
      <c r="Y202" s="134"/>
      <c r="Z202" s="28"/>
      <c r="AA202" s="45">
        <v>39</v>
      </c>
      <c r="AB202" s="424">
        <v>60</v>
      </c>
      <c r="AC202" s="134"/>
    </row>
    <row r="203" spans="1:29">
      <c r="A203" s="146">
        <v>41</v>
      </c>
      <c r="B203" t="s">
        <v>241</v>
      </c>
      <c r="C203" s="4"/>
      <c r="D203" s="461">
        <v>7</v>
      </c>
      <c r="E203" s="493">
        <v>11</v>
      </c>
      <c r="F203" s="493">
        <f t="shared" si="23"/>
        <v>26</v>
      </c>
      <c r="G203" s="489">
        <v>3</v>
      </c>
      <c r="H203" s="479">
        <v>1</v>
      </c>
      <c r="I203" s="477">
        <v>11</v>
      </c>
      <c r="J203" s="496">
        <v>11</v>
      </c>
      <c r="K203" s="490">
        <f t="shared" si="24"/>
        <v>540</v>
      </c>
      <c r="L203" s="488"/>
      <c r="M203" s="92"/>
      <c r="N203" s="28"/>
      <c r="O203" s="396"/>
      <c r="P203" s="442"/>
      <c r="Q203" s="92"/>
      <c r="R203" s="28"/>
      <c r="S203" s="28"/>
      <c r="T203" s="28">
        <v>172</v>
      </c>
      <c r="U203" s="28">
        <v>263</v>
      </c>
      <c r="V203" s="28">
        <v>37</v>
      </c>
      <c r="W203" s="45">
        <v>68</v>
      </c>
      <c r="X203" s="529">
        <f t="shared" si="25"/>
        <v>496</v>
      </c>
      <c r="Y203" s="134"/>
      <c r="Z203" s="28"/>
      <c r="AA203" s="45">
        <v>188</v>
      </c>
      <c r="AB203" s="424">
        <v>308</v>
      </c>
      <c r="AC203" s="134"/>
    </row>
    <row r="204" spans="1:29">
      <c r="A204" s="146">
        <v>42</v>
      </c>
      <c r="B204" t="s">
        <v>242</v>
      </c>
      <c r="C204" s="4"/>
      <c r="D204" s="461"/>
      <c r="E204" s="493"/>
      <c r="F204" s="493">
        <f t="shared" si="23"/>
        <v>0</v>
      </c>
      <c r="G204" s="489"/>
      <c r="H204" s="479"/>
      <c r="I204" s="477"/>
      <c r="J204" s="496"/>
      <c r="K204" s="490">
        <f t="shared" si="24"/>
        <v>0</v>
      </c>
      <c r="L204" s="473"/>
      <c r="M204" s="134"/>
      <c r="N204" s="28"/>
      <c r="O204" s="396"/>
      <c r="P204" s="123"/>
      <c r="Q204" s="134"/>
      <c r="R204" s="28"/>
      <c r="S204" s="28"/>
      <c r="T204" s="28"/>
      <c r="U204" s="28"/>
      <c r="V204" s="28"/>
      <c r="W204" s="45"/>
      <c r="X204" s="529">
        <f t="shared" si="25"/>
        <v>0</v>
      </c>
      <c r="Y204" s="134"/>
      <c r="Z204" s="28"/>
      <c r="AA204" s="45"/>
      <c r="AB204" s="424"/>
      <c r="AC204" s="134"/>
    </row>
    <row r="205" spans="1:29">
      <c r="A205" s="146">
        <v>43</v>
      </c>
      <c r="B205" t="s">
        <v>243</v>
      </c>
      <c r="C205" s="4"/>
      <c r="D205" s="461">
        <v>2</v>
      </c>
      <c r="E205" s="493">
        <v>3</v>
      </c>
      <c r="F205" s="493">
        <f t="shared" si="23"/>
        <v>6</v>
      </c>
      <c r="G205" s="489"/>
      <c r="H205" s="479">
        <v>2</v>
      </c>
      <c r="I205" s="477">
        <v>2</v>
      </c>
      <c r="J205" s="496">
        <v>2</v>
      </c>
      <c r="K205" s="490">
        <f t="shared" si="24"/>
        <v>116</v>
      </c>
      <c r="L205" s="488"/>
      <c r="M205" s="92"/>
      <c r="N205" s="170"/>
      <c r="O205" s="449"/>
      <c r="P205" s="442"/>
      <c r="Q205" s="92"/>
      <c r="R205" s="28">
        <v>1</v>
      </c>
      <c r="S205" s="28">
        <v>2</v>
      </c>
      <c r="T205" s="28">
        <v>58</v>
      </c>
      <c r="U205" s="28">
        <v>40</v>
      </c>
      <c r="V205" s="28">
        <v>5</v>
      </c>
      <c r="W205" s="45">
        <v>10</v>
      </c>
      <c r="X205" s="529">
        <f t="shared" si="25"/>
        <v>105</v>
      </c>
      <c r="Y205" s="134"/>
      <c r="Z205" s="28"/>
      <c r="AA205" s="45">
        <v>57</v>
      </c>
      <c r="AB205" s="424">
        <v>48</v>
      </c>
      <c r="AC205" s="134"/>
    </row>
    <row r="206" spans="1:29">
      <c r="A206" s="530"/>
      <c r="B206" s="11"/>
      <c r="C206" s="203"/>
      <c r="D206" s="627"/>
      <c r="E206" s="508"/>
      <c r="F206" s="508"/>
      <c r="G206" s="577"/>
      <c r="H206" s="578"/>
      <c r="I206" s="588"/>
      <c r="J206" s="589"/>
      <c r="K206" s="577"/>
      <c r="L206" s="579"/>
      <c r="M206" s="580"/>
      <c r="N206" s="201"/>
      <c r="O206" s="590"/>
      <c r="P206" s="582"/>
      <c r="Q206" s="580"/>
      <c r="R206" s="201"/>
      <c r="S206" s="201"/>
      <c r="T206" s="201"/>
      <c r="U206" s="201"/>
      <c r="V206" s="201"/>
      <c r="W206" s="631"/>
      <c r="X206" s="609"/>
      <c r="Y206" s="580"/>
      <c r="Z206" s="201"/>
      <c r="AA206" s="631"/>
      <c r="AB206" s="591"/>
      <c r="AC206" s="92"/>
    </row>
    <row r="207" spans="1:29">
      <c r="A207" s="146" t="s">
        <v>298</v>
      </c>
      <c r="B207" s="31"/>
      <c r="C207" s="4"/>
      <c r="D207" s="461">
        <f>SUM(D195:D205)</f>
        <v>24</v>
      </c>
      <c r="E207" s="461">
        <f t="shared" ref="E207:AB207" si="26">SUM(E195:E205)</f>
        <v>43</v>
      </c>
      <c r="F207" s="461">
        <f t="shared" si="26"/>
        <v>76</v>
      </c>
      <c r="G207" s="461">
        <f t="shared" si="26"/>
        <v>10</v>
      </c>
      <c r="H207" s="462">
        <f t="shared" si="26"/>
        <v>18</v>
      </c>
      <c r="I207" s="462">
        <f t="shared" si="26"/>
        <v>21</v>
      </c>
      <c r="J207" s="463">
        <f t="shared" si="26"/>
        <v>27</v>
      </c>
      <c r="K207" s="461">
        <f t="shared" si="26"/>
        <v>1767</v>
      </c>
      <c r="L207" s="461">
        <f t="shared" si="26"/>
        <v>0</v>
      </c>
      <c r="M207" s="462">
        <f t="shared" si="26"/>
        <v>0</v>
      </c>
      <c r="N207" s="463">
        <f t="shared" si="26"/>
        <v>108</v>
      </c>
      <c r="O207" s="462">
        <f t="shared" si="26"/>
        <v>87</v>
      </c>
      <c r="P207" s="462">
        <f t="shared" si="26"/>
        <v>7</v>
      </c>
      <c r="Q207" s="462">
        <f t="shared" si="26"/>
        <v>8</v>
      </c>
      <c r="R207" s="462">
        <f t="shared" si="26"/>
        <v>6</v>
      </c>
      <c r="S207" s="462">
        <f t="shared" si="26"/>
        <v>3</v>
      </c>
      <c r="T207" s="462">
        <f t="shared" si="26"/>
        <v>572</v>
      </c>
      <c r="U207" s="462">
        <f t="shared" si="26"/>
        <v>701</v>
      </c>
      <c r="V207" s="462">
        <f t="shared" si="26"/>
        <v>78</v>
      </c>
      <c r="W207" s="463">
        <f t="shared" si="26"/>
        <v>197</v>
      </c>
      <c r="X207" s="461">
        <f t="shared" si="26"/>
        <v>1597</v>
      </c>
      <c r="Y207" s="461">
        <f t="shared" si="26"/>
        <v>113</v>
      </c>
      <c r="Z207" s="462">
        <f>SUM(Z195:Z205)</f>
        <v>84</v>
      </c>
      <c r="AA207" s="462">
        <f t="shared" si="26"/>
        <v>581</v>
      </c>
      <c r="AB207" s="464">
        <f t="shared" si="26"/>
        <v>819</v>
      </c>
      <c r="AC207" s="463"/>
    </row>
    <row r="208" spans="1:29" ht="15" thickBot="1">
      <c r="A208" s="543"/>
      <c r="B208" s="6"/>
      <c r="C208" s="104"/>
      <c r="D208" s="628"/>
      <c r="E208" s="501"/>
      <c r="F208" s="501"/>
      <c r="G208" s="584"/>
      <c r="H208" s="585"/>
      <c r="I208" s="593"/>
      <c r="J208" s="594"/>
      <c r="K208" s="584"/>
      <c r="L208" s="586"/>
      <c r="M208" s="105"/>
      <c r="N208" s="322"/>
      <c r="O208" s="450"/>
      <c r="P208" s="443"/>
      <c r="Q208" s="105"/>
      <c r="R208" s="322"/>
      <c r="S208" s="322"/>
      <c r="T208" s="322"/>
      <c r="U208" s="322"/>
      <c r="V208" s="322"/>
      <c r="W208" s="323"/>
      <c r="X208" s="529"/>
      <c r="Y208" s="105"/>
      <c r="Z208" s="322"/>
      <c r="AA208" s="323"/>
      <c r="AB208" s="459"/>
      <c r="AC208" s="92"/>
    </row>
    <row r="209" spans="1:29" ht="15" thickTop="1">
      <c r="A209" s="146"/>
      <c r="B209" s="31"/>
      <c r="C209" s="4"/>
      <c r="D209" s="461"/>
      <c r="E209" s="493"/>
      <c r="F209" s="493"/>
      <c r="G209" s="592"/>
      <c r="H209" s="487"/>
      <c r="I209" s="491"/>
      <c r="J209" s="498"/>
      <c r="K209" s="592"/>
      <c r="L209" s="488"/>
      <c r="M209" s="92"/>
      <c r="N209" s="170"/>
      <c r="O209" s="449"/>
      <c r="P209" s="442"/>
      <c r="Q209" s="92"/>
      <c r="R209" s="170"/>
      <c r="S209" s="170"/>
      <c r="T209" s="170"/>
      <c r="U209" s="170"/>
      <c r="V209" s="170"/>
      <c r="W209" s="632"/>
      <c r="X209" s="641"/>
      <c r="Y209" s="92"/>
      <c r="Z209" s="170"/>
      <c r="AA209" s="632"/>
      <c r="AB209" s="458"/>
      <c r="AC209" s="92"/>
    </row>
    <row r="210" spans="1:29">
      <c r="A210" s="146" t="s">
        <v>434</v>
      </c>
      <c r="B210" s="31"/>
      <c r="C210" s="4"/>
      <c r="D210" s="461">
        <f>D207+D192</f>
        <v>364</v>
      </c>
      <c r="E210" s="461">
        <f t="shared" ref="E210:AB210" si="27">E207+E192</f>
        <v>919</v>
      </c>
      <c r="F210" s="461">
        <f t="shared" si="27"/>
        <v>1195</v>
      </c>
      <c r="G210" s="461">
        <f t="shared" si="27"/>
        <v>221</v>
      </c>
      <c r="H210" s="462">
        <f t="shared" si="27"/>
        <v>574</v>
      </c>
      <c r="I210" s="462">
        <f t="shared" si="27"/>
        <v>176</v>
      </c>
      <c r="J210" s="463">
        <f t="shared" si="27"/>
        <v>224</v>
      </c>
      <c r="K210" s="461">
        <f t="shared" si="27"/>
        <v>29645</v>
      </c>
      <c r="L210" s="461">
        <f t="shared" si="27"/>
        <v>26</v>
      </c>
      <c r="M210" s="462">
        <f t="shared" si="27"/>
        <v>32</v>
      </c>
      <c r="N210" s="463">
        <f t="shared" si="27"/>
        <v>6272</v>
      </c>
      <c r="O210" s="462">
        <f t="shared" si="27"/>
        <v>5555</v>
      </c>
      <c r="P210" s="462">
        <f t="shared" si="27"/>
        <v>560</v>
      </c>
      <c r="Q210" s="462">
        <f t="shared" si="27"/>
        <v>769</v>
      </c>
      <c r="R210" s="462">
        <f t="shared" si="27"/>
        <v>32</v>
      </c>
      <c r="S210" s="462">
        <f t="shared" si="27"/>
        <v>40</v>
      </c>
      <c r="T210" s="462">
        <f t="shared" si="27"/>
        <v>7791</v>
      </c>
      <c r="U210" s="462">
        <f t="shared" si="27"/>
        <v>6595</v>
      </c>
      <c r="V210" s="462">
        <f t="shared" si="27"/>
        <v>621</v>
      </c>
      <c r="W210" s="463">
        <f t="shared" si="27"/>
        <v>1352</v>
      </c>
      <c r="X210" s="461">
        <f t="shared" si="27"/>
        <v>27447</v>
      </c>
      <c r="Y210" s="461">
        <f t="shared" si="27"/>
        <v>6584</v>
      </c>
      <c r="Z210" s="462">
        <f t="shared" si="27"/>
        <v>5919</v>
      </c>
      <c r="AA210" s="462">
        <f t="shared" si="27"/>
        <v>7558</v>
      </c>
      <c r="AB210" s="464">
        <f t="shared" si="27"/>
        <v>7386</v>
      </c>
      <c r="AC210" s="463"/>
    </row>
    <row r="211" spans="1:29" ht="15" thickBot="1">
      <c r="A211" s="543"/>
      <c r="B211" s="6"/>
      <c r="C211" s="104"/>
      <c r="D211" s="628"/>
      <c r="E211" s="501"/>
      <c r="F211" s="501"/>
      <c r="G211" s="584"/>
      <c r="H211" s="585"/>
      <c r="I211" s="593"/>
      <c r="J211" s="594"/>
      <c r="K211" s="584"/>
      <c r="L211" s="586"/>
      <c r="M211" s="105"/>
      <c r="N211" s="322"/>
      <c r="O211" s="450"/>
      <c r="P211" s="443"/>
      <c r="Q211" s="105"/>
      <c r="R211" s="322"/>
      <c r="S211" s="322"/>
      <c r="T211" s="322"/>
      <c r="U211" s="322"/>
      <c r="V211" s="322"/>
      <c r="W211" s="323"/>
      <c r="X211" s="611"/>
      <c r="Y211" s="105"/>
      <c r="Z211" s="322"/>
      <c r="AA211" s="323"/>
      <c r="AB211" s="459"/>
      <c r="AC211" s="92"/>
    </row>
    <row r="212" spans="1:29" ht="17" thickTop="1" thickBot="1">
      <c r="A212" s="179" t="s">
        <v>38</v>
      </c>
      <c r="B212" s="173"/>
      <c r="C212" s="8"/>
      <c r="D212" s="461"/>
      <c r="E212" s="493"/>
      <c r="F212" s="493"/>
      <c r="G212" s="489"/>
      <c r="H212" s="479"/>
      <c r="I212" s="477"/>
      <c r="J212" s="496"/>
      <c r="K212" s="489"/>
      <c r="L212" s="473"/>
      <c r="M212" s="134"/>
      <c r="N212" s="28"/>
      <c r="O212" s="396"/>
      <c r="P212" s="123"/>
      <c r="Q212" s="134"/>
      <c r="R212" s="28"/>
      <c r="S212" s="28"/>
      <c r="T212" s="28"/>
      <c r="U212" s="28"/>
      <c r="V212" s="28"/>
      <c r="W212" s="45"/>
      <c r="X212" s="529"/>
      <c r="Y212" s="134"/>
      <c r="Z212" s="28"/>
      <c r="AA212" s="45"/>
      <c r="AB212" s="424"/>
      <c r="AC212" s="134"/>
    </row>
    <row r="213" spans="1:29">
      <c r="A213" s="146">
        <v>1</v>
      </c>
      <c r="B213" s="48" t="s">
        <v>244</v>
      </c>
      <c r="D213" s="461">
        <v>6</v>
      </c>
      <c r="E213" s="493">
        <v>16</v>
      </c>
      <c r="F213" s="493">
        <f>SUM(G213:J213)</f>
        <v>14</v>
      </c>
      <c r="G213" s="489">
        <v>7</v>
      </c>
      <c r="H213" s="479">
        <v>6</v>
      </c>
      <c r="I213" s="477">
        <v>1</v>
      </c>
      <c r="J213" s="496"/>
      <c r="K213" s="489">
        <f>SUM(L213:W213)</f>
        <v>354</v>
      </c>
      <c r="L213" s="473"/>
      <c r="M213" s="134"/>
      <c r="N213" s="28">
        <v>123</v>
      </c>
      <c r="O213" s="396">
        <v>164</v>
      </c>
      <c r="P213" s="123">
        <v>12</v>
      </c>
      <c r="Q213" s="134">
        <v>10</v>
      </c>
      <c r="R213" s="28">
        <v>5</v>
      </c>
      <c r="S213" s="28">
        <v>3</v>
      </c>
      <c r="T213" s="28">
        <v>17</v>
      </c>
      <c r="U213" s="28">
        <v>18</v>
      </c>
      <c r="V213" s="28">
        <v>2</v>
      </c>
      <c r="W213" s="45"/>
      <c r="X213" s="529">
        <f>SUM(Y213:AB213)</f>
        <v>339</v>
      </c>
      <c r="Y213" s="134">
        <v>129</v>
      </c>
      <c r="Z213" s="28">
        <v>168</v>
      </c>
      <c r="AA213" s="45">
        <v>22</v>
      </c>
      <c r="AB213" s="424">
        <v>20</v>
      </c>
      <c r="AC213" s="134"/>
    </row>
    <row r="214" spans="1:29">
      <c r="A214" s="146">
        <v>2</v>
      </c>
      <c r="B214" t="s">
        <v>245</v>
      </c>
      <c r="C214" s="4"/>
      <c r="D214" s="461">
        <v>20</v>
      </c>
      <c r="E214" s="493">
        <v>34</v>
      </c>
      <c r="F214" s="493">
        <f t="shared" ref="F214:F235" si="28">SUM(G214:J214)</f>
        <v>34</v>
      </c>
      <c r="G214" s="489">
        <v>25</v>
      </c>
      <c r="H214" s="479">
        <v>9</v>
      </c>
      <c r="I214" s="477"/>
      <c r="J214" s="496"/>
      <c r="K214" s="489">
        <f t="shared" ref="K214:K235" si="29">SUM(L214:W214)</f>
        <v>887</v>
      </c>
      <c r="L214" s="473"/>
      <c r="M214" s="134"/>
      <c r="N214" s="28">
        <v>402</v>
      </c>
      <c r="O214" s="396">
        <v>351</v>
      </c>
      <c r="P214" s="123">
        <v>84</v>
      </c>
      <c r="Q214" s="134">
        <v>50</v>
      </c>
      <c r="R214" s="28"/>
      <c r="S214" s="28"/>
      <c r="T214" s="28"/>
      <c r="U214" s="28"/>
      <c r="V214" s="28"/>
      <c r="W214" s="45"/>
      <c r="X214" s="529">
        <f t="shared" ref="X214:X235" si="30">SUM(Y214:AB214)</f>
        <v>791</v>
      </c>
      <c r="Y214" s="134">
        <v>429</v>
      </c>
      <c r="Z214" s="28">
        <v>362</v>
      </c>
      <c r="AA214" s="45"/>
      <c r="AB214" s="424"/>
      <c r="AC214" s="134"/>
    </row>
    <row r="215" spans="1:29">
      <c r="A215" s="146">
        <v>3</v>
      </c>
      <c r="B215" t="s">
        <v>246</v>
      </c>
      <c r="C215" s="4"/>
      <c r="D215" s="461">
        <v>15</v>
      </c>
      <c r="E215" s="493">
        <v>34</v>
      </c>
      <c r="F215" s="493">
        <f t="shared" si="28"/>
        <v>35</v>
      </c>
      <c r="G215" s="489">
        <v>20</v>
      </c>
      <c r="H215" s="479">
        <v>15</v>
      </c>
      <c r="I215" s="477"/>
      <c r="J215" s="496"/>
      <c r="K215" s="489">
        <f t="shared" si="29"/>
        <v>822</v>
      </c>
      <c r="L215" s="473">
        <v>2</v>
      </c>
      <c r="M215" s="134">
        <v>3</v>
      </c>
      <c r="N215" s="205">
        <v>351</v>
      </c>
      <c r="O215" s="396">
        <v>335</v>
      </c>
      <c r="P215" s="123">
        <v>84</v>
      </c>
      <c r="Q215" s="134">
        <v>47</v>
      </c>
      <c r="R215" s="28"/>
      <c r="S215" s="28"/>
      <c r="T215" s="28"/>
      <c r="U215" s="28"/>
      <c r="V215" s="28"/>
      <c r="W215" s="45"/>
      <c r="X215" s="529">
        <f t="shared" si="30"/>
        <v>698</v>
      </c>
      <c r="Y215" s="134">
        <v>370</v>
      </c>
      <c r="Z215" s="28">
        <v>328</v>
      </c>
      <c r="AA215" s="45"/>
      <c r="AB215" s="424"/>
      <c r="AC215" s="134"/>
    </row>
    <row r="216" spans="1:29">
      <c r="A216" s="146">
        <v>4</v>
      </c>
      <c r="B216" t="s">
        <v>247</v>
      </c>
      <c r="C216" s="4"/>
      <c r="D216" s="461">
        <v>17</v>
      </c>
      <c r="E216" s="493">
        <v>70</v>
      </c>
      <c r="F216" s="493">
        <f t="shared" si="28"/>
        <v>73</v>
      </c>
      <c r="G216" s="489">
        <v>20</v>
      </c>
      <c r="H216" s="479">
        <v>45</v>
      </c>
      <c r="I216" s="477">
        <v>5</v>
      </c>
      <c r="J216" s="496">
        <v>3</v>
      </c>
      <c r="K216" s="489">
        <f t="shared" si="29"/>
        <v>2589</v>
      </c>
      <c r="L216" s="473"/>
      <c r="M216" s="134"/>
      <c r="N216" s="28">
        <v>1167</v>
      </c>
      <c r="O216" s="396">
        <v>1105</v>
      </c>
      <c r="P216" s="123">
        <v>25</v>
      </c>
      <c r="Q216" s="134">
        <v>21</v>
      </c>
      <c r="R216" s="28">
        <v>5</v>
      </c>
      <c r="S216" s="28">
        <v>7</v>
      </c>
      <c r="T216" s="28">
        <v>127</v>
      </c>
      <c r="U216" s="28">
        <v>119</v>
      </c>
      <c r="V216" s="28">
        <v>9</v>
      </c>
      <c r="W216" s="45">
        <v>4</v>
      </c>
      <c r="X216" s="529">
        <f t="shared" si="30"/>
        <v>2378</v>
      </c>
      <c r="Y216" s="134">
        <v>1157</v>
      </c>
      <c r="Z216" s="28">
        <v>1069</v>
      </c>
      <c r="AA216" s="45">
        <v>72</v>
      </c>
      <c r="AB216" s="424">
        <v>80</v>
      </c>
      <c r="AC216" s="134"/>
    </row>
    <row r="217" spans="1:29">
      <c r="A217" s="146">
        <v>5</v>
      </c>
      <c r="B217" t="s">
        <v>248</v>
      </c>
      <c r="C217" s="4"/>
      <c r="D217" s="461">
        <v>13</v>
      </c>
      <c r="E217" s="493">
        <v>22</v>
      </c>
      <c r="F217" s="493">
        <f t="shared" si="28"/>
        <v>20</v>
      </c>
      <c r="G217" s="489">
        <v>15</v>
      </c>
      <c r="H217" s="479">
        <v>5</v>
      </c>
      <c r="I217" s="477"/>
      <c r="J217" s="496"/>
      <c r="K217" s="489">
        <f t="shared" si="29"/>
        <v>473</v>
      </c>
      <c r="L217" s="473"/>
      <c r="M217" s="134"/>
      <c r="N217" s="28">
        <v>209</v>
      </c>
      <c r="O217" s="396">
        <v>200</v>
      </c>
      <c r="P217" s="123">
        <v>37</v>
      </c>
      <c r="Q217" s="134">
        <v>27</v>
      </c>
      <c r="R217" s="28"/>
      <c r="S217" s="28"/>
      <c r="T217" s="28"/>
      <c r="U217" s="28"/>
      <c r="V217" s="28"/>
      <c r="W217" s="45"/>
      <c r="X217" s="529">
        <f t="shared" si="30"/>
        <v>443</v>
      </c>
      <c r="Y217" s="134">
        <v>230</v>
      </c>
      <c r="Z217" s="28">
        <v>213</v>
      </c>
      <c r="AA217" s="45"/>
      <c r="AB217" s="424"/>
      <c r="AC217" s="134"/>
    </row>
    <row r="218" spans="1:29">
      <c r="A218" s="146">
        <v>6</v>
      </c>
      <c r="B218" t="s">
        <v>249</v>
      </c>
      <c r="C218" s="4"/>
      <c r="D218" s="461">
        <v>17</v>
      </c>
      <c r="E218" s="493">
        <v>40</v>
      </c>
      <c r="F218" s="493">
        <f t="shared" si="28"/>
        <v>38</v>
      </c>
      <c r="G218" s="489">
        <v>20</v>
      </c>
      <c r="H218" s="479">
        <v>16</v>
      </c>
      <c r="I218" s="477">
        <v>1</v>
      </c>
      <c r="J218" s="496">
        <v>1</v>
      </c>
      <c r="K218" s="489">
        <f t="shared" si="29"/>
        <v>918</v>
      </c>
      <c r="L218" s="473"/>
      <c r="M218" s="134"/>
      <c r="N218" s="28">
        <v>348</v>
      </c>
      <c r="O218" s="396">
        <v>326</v>
      </c>
      <c r="P218" s="123">
        <v>127</v>
      </c>
      <c r="Q218" s="134">
        <v>44</v>
      </c>
      <c r="R218" s="28"/>
      <c r="S218" s="28"/>
      <c r="T218" s="28">
        <v>28</v>
      </c>
      <c r="U218" s="28">
        <v>29</v>
      </c>
      <c r="V218" s="28">
        <v>7</v>
      </c>
      <c r="W218" s="45">
        <v>9</v>
      </c>
      <c r="X218" s="529">
        <f t="shared" si="30"/>
        <v>858</v>
      </c>
      <c r="Y218" s="134">
        <v>442</v>
      </c>
      <c r="Z218" s="28">
        <v>346</v>
      </c>
      <c r="AA218" s="45">
        <v>34</v>
      </c>
      <c r="AB218" s="424">
        <v>36</v>
      </c>
      <c r="AC218" s="134"/>
    </row>
    <row r="219" spans="1:29">
      <c r="A219" s="146">
        <v>7</v>
      </c>
      <c r="B219" t="s">
        <v>250</v>
      </c>
      <c r="C219" s="8"/>
      <c r="D219" s="461">
        <v>13</v>
      </c>
      <c r="E219" s="493">
        <v>65</v>
      </c>
      <c r="F219" s="493">
        <f t="shared" si="28"/>
        <v>70</v>
      </c>
      <c r="G219" s="489">
        <v>22</v>
      </c>
      <c r="H219" s="479">
        <v>46</v>
      </c>
      <c r="I219" s="477">
        <v>1</v>
      </c>
      <c r="J219" s="496">
        <v>1</v>
      </c>
      <c r="K219" s="489">
        <f t="shared" si="29"/>
        <v>2469</v>
      </c>
      <c r="L219" s="473"/>
      <c r="M219" s="134"/>
      <c r="N219" s="28">
        <v>1193</v>
      </c>
      <c r="O219" s="396">
        <v>1154</v>
      </c>
      <c r="P219" s="123">
        <v>31</v>
      </c>
      <c r="Q219" s="134">
        <v>40</v>
      </c>
      <c r="R219" s="28"/>
      <c r="S219" s="28">
        <v>6</v>
      </c>
      <c r="T219" s="28">
        <v>28</v>
      </c>
      <c r="U219" s="28">
        <v>17</v>
      </c>
      <c r="V219" s="28"/>
      <c r="W219" s="45"/>
      <c r="X219" s="529">
        <f t="shared" si="30"/>
        <v>2166</v>
      </c>
      <c r="Y219" s="134">
        <v>1075</v>
      </c>
      <c r="Z219" s="28">
        <v>1040</v>
      </c>
      <c r="AA219" s="45">
        <v>27</v>
      </c>
      <c r="AB219" s="424">
        <v>24</v>
      </c>
      <c r="AC219" s="134"/>
    </row>
    <row r="220" spans="1:29">
      <c r="A220" s="178">
        <v>8</v>
      </c>
      <c r="B220" s="102" t="s">
        <v>251</v>
      </c>
      <c r="C220" s="4"/>
      <c r="D220" s="461">
        <v>53</v>
      </c>
      <c r="E220" s="493">
        <v>104</v>
      </c>
      <c r="F220" s="493">
        <f t="shared" si="28"/>
        <v>114</v>
      </c>
      <c r="G220" s="489">
        <v>55</v>
      </c>
      <c r="H220" s="479">
        <v>43</v>
      </c>
      <c r="I220" s="477">
        <v>13</v>
      </c>
      <c r="J220" s="496">
        <v>3</v>
      </c>
      <c r="K220" s="489">
        <f t="shared" si="29"/>
        <v>2574</v>
      </c>
      <c r="L220" s="473">
        <v>1</v>
      </c>
      <c r="M220" s="134">
        <v>1</v>
      </c>
      <c r="N220" s="28">
        <v>868</v>
      </c>
      <c r="O220" s="396">
        <v>862</v>
      </c>
      <c r="P220" s="123">
        <v>167</v>
      </c>
      <c r="Q220" s="134">
        <v>103</v>
      </c>
      <c r="R220" s="28"/>
      <c r="S220" s="28"/>
      <c r="T220" s="28">
        <v>224</v>
      </c>
      <c r="U220" s="28">
        <v>299</v>
      </c>
      <c r="V220" s="28">
        <v>21</v>
      </c>
      <c r="W220" s="45">
        <v>28</v>
      </c>
      <c r="X220" s="529">
        <f t="shared" si="30"/>
        <v>2282</v>
      </c>
      <c r="Y220" s="134">
        <v>946</v>
      </c>
      <c r="Z220" s="28">
        <v>893</v>
      </c>
      <c r="AA220" s="45">
        <v>185</v>
      </c>
      <c r="AB220" s="424">
        <v>258</v>
      </c>
      <c r="AC220" s="134"/>
    </row>
    <row r="221" spans="1:29">
      <c r="A221" s="178">
        <v>9</v>
      </c>
      <c r="B221" s="102" t="s">
        <v>252</v>
      </c>
      <c r="C221" s="4"/>
      <c r="D221" s="461">
        <v>52</v>
      </c>
      <c r="E221" s="493">
        <v>370</v>
      </c>
      <c r="F221" s="493">
        <f t="shared" si="28"/>
        <v>428</v>
      </c>
      <c r="G221" s="489">
        <v>132</v>
      </c>
      <c r="H221" s="479">
        <v>289</v>
      </c>
      <c r="I221" s="477">
        <v>7</v>
      </c>
      <c r="J221" s="496"/>
      <c r="K221" s="489">
        <f t="shared" si="29"/>
        <v>14898</v>
      </c>
      <c r="L221" s="473">
        <v>4</v>
      </c>
      <c r="M221" s="134">
        <v>10</v>
      </c>
      <c r="N221" s="28">
        <v>6837</v>
      </c>
      <c r="O221" s="396">
        <v>6159</v>
      </c>
      <c r="P221" s="123">
        <v>233</v>
      </c>
      <c r="Q221" s="134">
        <v>269</v>
      </c>
      <c r="R221" s="28"/>
      <c r="S221" s="28"/>
      <c r="T221" s="28">
        <v>652</v>
      </c>
      <c r="U221" s="28">
        <v>617</v>
      </c>
      <c r="V221" s="28">
        <v>64</v>
      </c>
      <c r="W221" s="45">
        <v>53</v>
      </c>
      <c r="X221" s="529">
        <f t="shared" si="30"/>
        <v>13824</v>
      </c>
      <c r="Y221" s="134">
        <v>6612</v>
      </c>
      <c r="Z221" s="28">
        <v>6001</v>
      </c>
      <c r="AA221" s="45">
        <v>639</v>
      </c>
      <c r="AB221" s="424">
        <v>572</v>
      </c>
      <c r="AC221" s="134"/>
    </row>
    <row r="222" spans="1:29">
      <c r="A222" s="178">
        <v>10</v>
      </c>
      <c r="B222" s="102" t="s">
        <v>253</v>
      </c>
      <c r="C222" s="4"/>
      <c r="D222" s="461">
        <v>34</v>
      </c>
      <c r="E222" s="493">
        <v>122</v>
      </c>
      <c r="F222" s="493">
        <f t="shared" si="28"/>
        <v>118</v>
      </c>
      <c r="G222" s="489">
        <v>53</v>
      </c>
      <c r="H222" s="479">
        <v>61</v>
      </c>
      <c r="I222" s="477">
        <v>2</v>
      </c>
      <c r="J222" s="496">
        <v>2</v>
      </c>
      <c r="K222" s="489">
        <f t="shared" si="29"/>
        <v>3899</v>
      </c>
      <c r="L222" s="473"/>
      <c r="M222" s="134"/>
      <c r="N222" s="28">
        <v>1966</v>
      </c>
      <c r="O222" s="396">
        <v>1495</v>
      </c>
      <c r="P222" s="123">
        <v>138</v>
      </c>
      <c r="Q222" s="134">
        <v>158</v>
      </c>
      <c r="R222" s="28"/>
      <c r="S222" s="28"/>
      <c r="T222" s="28">
        <v>78</v>
      </c>
      <c r="U222" s="28">
        <v>61</v>
      </c>
      <c r="V222" s="28">
        <v>2</v>
      </c>
      <c r="W222" s="45">
        <v>1</v>
      </c>
      <c r="X222" s="529">
        <f t="shared" si="30"/>
        <v>3480</v>
      </c>
      <c r="Y222" s="134">
        <v>1931</v>
      </c>
      <c r="Z222" s="28">
        <v>1428</v>
      </c>
      <c r="AA222" s="45">
        <v>67</v>
      </c>
      <c r="AB222" s="424">
        <v>54</v>
      </c>
      <c r="AC222" s="134"/>
    </row>
    <row r="223" spans="1:29">
      <c r="A223" s="182">
        <v>11</v>
      </c>
      <c r="B223" s="103" t="s">
        <v>254</v>
      </c>
      <c r="C223" s="4"/>
      <c r="D223" s="461">
        <v>50</v>
      </c>
      <c r="E223" s="493">
        <v>83</v>
      </c>
      <c r="F223" s="493">
        <f t="shared" si="28"/>
        <v>90</v>
      </c>
      <c r="G223" s="489">
        <v>60</v>
      </c>
      <c r="H223" s="479">
        <v>28</v>
      </c>
      <c r="I223" s="477">
        <v>2</v>
      </c>
      <c r="J223" s="496"/>
      <c r="K223" s="489">
        <f t="shared" si="29"/>
        <v>1943</v>
      </c>
      <c r="L223" s="473">
        <v>1</v>
      </c>
      <c r="M223" s="134"/>
      <c r="N223" s="28">
        <v>852</v>
      </c>
      <c r="O223" s="123">
        <v>775</v>
      </c>
      <c r="P223" s="123">
        <v>150</v>
      </c>
      <c r="Q223" s="134">
        <v>111</v>
      </c>
      <c r="R223" s="28"/>
      <c r="S223" s="28"/>
      <c r="T223" s="28">
        <v>18</v>
      </c>
      <c r="U223" s="28">
        <v>30</v>
      </c>
      <c r="V223" s="28">
        <v>2</v>
      </c>
      <c r="W223" s="45">
        <v>4</v>
      </c>
      <c r="X223" s="529">
        <f t="shared" si="30"/>
        <v>1788</v>
      </c>
      <c r="Y223" s="134">
        <v>922</v>
      </c>
      <c r="Z223" s="28">
        <v>820</v>
      </c>
      <c r="AA223" s="45">
        <v>17</v>
      </c>
      <c r="AB223" s="424">
        <v>29</v>
      </c>
      <c r="AC223" s="134"/>
    </row>
    <row r="224" spans="1:29">
      <c r="A224" s="182">
        <v>12</v>
      </c>
      <c r="B224" s="103" t="s">
        <v>255</v>
      </c>
      <c r="C224" s="4"/>
      <c r="D224" s="461">
        <v>37</v>
      </c>
      <c r="E224" s="493">
        <v>57</v>
      </c>
      <c r="F224" s="493">
        <f t="shared" si="28"/>
        <v>61</v>
      </c>
      <c r="G224" s="489">
        <v>39</v>
      </c>
      <c r="H224" s="479">
        <v>13</v>
      </c>
      <c r="I224" s="477">
        <v>9</v>
      </c>
      <c r="J224" s="496"/>
      <c r="K224" s="489">
        <f t="shared" si="29"/>
        <v>1480</v>
      </c>
      <c r="L224" s="475">
        <v>1</v>
      </c>
      <c r="M224" s="134">
        <v>1</v>
      </c>
      <c r="N224" s="28">
        <v>499</v>
      </c>
      <c r="O224" s="396">
        <v>487</v>
      </c>
      <c r="P224" s="123">
        <v>103</v>
      </c>
      <c r="Q224" s="134">
        <v>40</v>
      </c>
      <c r="R224" s="28"/>
      <c r="S224" s="28"/>
      <c r="T224" s="28">
        <v>148</v>
      </c>
      <c r="U224" s="28">
        <v>156</v>
      </c>
      <c r="V224" s="28">
        <v>21</v>
      </c>
      <c r="W224" s="45">
        <v>24</v>
      </c>
      <c r="X224" s="529">
        <f t="shared" si="30"/>
        <v>1345</v>
      </c>
      <c r="Y224" s="134">
        <v>568</v>
      </c>
      <c r="Z224" s="28">
        <v>508</v>
      </c>
      <c r="AA224" s="45">
        <v>123</v>
      </c>
      <c r="AB224" s="424">
        <v>146</v>
      </c>
      <c r="AC224" s="134"/>
    </row>
    <row r="225" spans="1:29">
      <c r="A225" s="182">
        <v>13</v>
      </c>
      <c r="B225" s="103" t="s">
        <v>256</v>
      </c>
      <c r="C225" s="4"/>
      <c r="D225" s="461">
        <v>32</v>
      </c>
      <c r="E225" s="493">
        <v>60</v>
      </c>
      <c r="F225" s="493">
        <f t="shared" si="28"/>
        <v>64</v>
      </c>
      <c r="G225" s="489">
        <v>43</v>
      </c>
      <c r="H225" s="479">
        <v>17</v>
      </c>
      <c r="I225" s="477">
        <v>4</v>
      </c>
      <c r="J225" s="496"/>
      <c r="K225" s="489">
        <f t="shared" si="29"/>
        <v>1406</v>
      </c>
      <c r="L225" s="473">
        <v>1</v>
      </c>
      <c r="M225" s="134">
        <v>2</v>
      </c>
      <c r="N225" s="28">
        <v>574</v>
      </c>
      <c r="O225" s="396">
        <v>559</v>
      </c>
      <c r="P225" s="123">
        <v>105</v>
      </c>
      <c r="Q225" s="134">
        <v>61</v>
      </c>
      <c r="R225" s="28"/>
      <c r="S225" s="28"/>
      <c r="T225" s="28">
        <v>30</v>
      </c>
      <c r="U225" s="28">
        <v>59</v>
      </c>
      <c r="V225" s="28">
        <v>8</v>
      </c>
      <c r="W225" s="45">
        <v>7</v>
      </c>
      <c r="X225" s="529">
        <f t="shared" si="30"/>
        <v>1253</v>
      </c>
      <c r="Y225" s="134">
        <v>603</v>
      </c>
      <c r="Z225" s="28">
        <v>567</v>
      </c>
      <c r="AA225" s="45">
        <v>30</v>
      </c>
      <c r="AB225" s="424">
        <v>53</v>
      </c>
      <c r="AC225" s="134"/>
    </row>
    <row r="226" spans="1:29">
      <c r="A226" s="182">
        <v>14</v>
      </c>
      <c r="B226" s="103" t="s">
        <v>257</v>
      </c>
      <c r="C226" s="4"/>
      <c r="D226" s="461">
        <v>50</v>
      </c>
      <c r="E226" s="493">
        <v>77</v>
      </c>
      <c r="F226" s="493">
        <f t="shared" si="28"/>
        <v>98</v>
      </c>
      <c r="G226" s="489">
        <v>52</v>
      </c>
      <c r="H226" s="479">
        <v>25</v>
      </c>
      <c r="I226" s="477">
        <v>18</v>
      </c>
      <c r="J226" s="496">
        <v>3</v>
      </c>
      <c r="K226" s="489">
        <f t="shared" si="29"/>
        <v>2606</v>
      </c>
      <c r="L226" s="473"/>
      <c r="M226" s="134">
        <v>1</v>
      </c>
      <c r="N226" s="28">
        <v>723</v>
      </c>
      <c r="O226" s="396">
        <v>642</v>
      </c>
      <c r="P226" s="123">
        <v>144</v>
      </c>
      <c r="Q226" s="134">
        <v>64</v>
      </c>
      <c r="R226" s="28">
        <v>4</v>
      </c>
      <c r="S226" s="28">
        <v>6</v>
      </c>
      <c r="T226" s="28">
        <v>326</v>
      </c>
      <c r="U226" s="28">
        <v>400</v>
      </c>
      <c r="V226" s="28">
        <v>206</v>
      </c>
      <c r="W226" s="45">
        <v>90</v>
      </c>
      <c r="X226" s="529">
        <f t="shared" si="30"/>
        <v>2391</v>
      </c>
      <c r="Y226" s="134">
        <v>807</v>
      </c>
      <c r="Z226" s="28">
        <v>658</v>
      </c>
      <c r="AA226" s="45">
        <v>475</v>
      </c>
      <c r="AB226" s="424">
        <v>451</v>
      </c>
      <c r="AC226" s="134"/>
    </row>
    <row r="227" spans="1:29">
      <c r="A227" s="182">
        <v>15</v>
      </c>
      <c r="B227" s="103" t="s">
        <v>258</v>
      </c>
      <c r="C227" s="4"/>
      <c r="D227" s="461">
        <v>11</v>
      </c>
      <c r="E227" s="493">
        <v>21</v>
      </c>
      <c r="F227" s="493">
        <f t="shared" si="28"/>
        <v>23</v>
      </c>
      <c r="G227" s="489">
        <v>8</v>
      </c>
      <c r="H227" s="479">
        <v>7</v>
      </c>
      <c r="I227" s="477">
        <v>3</v>
      </c>
      <c r="J227" s="496">
        <v>5</v>
      </c>
      <c r="K227" s="489">
        <f t="shared" si="29"/>
        <v>475</v>
      </c>
      <c r="L227" s="473"/>
      <c r="M227" s="134"/>
      <c r="N227" s="28">
        <v>117</v>
      </c>
      <c r="O227" s="396">
        <v>86</v>
      </c>
      <c r="P227" s="123">
        <v>15</v>
      </c>
      <c r="Q227" s="134">
        <v>11</v>
      </c>
      <c r="R227" s="28"/>
      <c r="S227" s="28"/>
      <c r="T227" s="28">
        <v>99</v>
      </c>
      <c r="U227" s="28">
        <v>89</v>
      </c>
      <c r="V227" s="28">
        <v>13</v>
      </c>
      <c r="W227" s="45">
        <v>45</v>
      </c>
      <c r="X227" s="529">
        <f t="shared" si="30"/>
        <v>435</v>
      </c>
      <c r="Y227" s="134">
        <v>127</v>
      </c>
      <c r="Z227" s="28">
        <v>94</v>
      </c>
      <c r="AA227" s="45">
        <v>97</v>
      </c>
      <c r="AB227" s="424">
        <v>117</v>
      </c>
      <c r="AC227" s="134"/>
    </row>
    <row r="228" spans="1:29">
      <c r="A228" s="182">
        <v>16</v>
      </c>
      <c r="B228" s="103" t="s">
        <v>259</v>
      </c>
      <c r="C228" s="4"/>
      <c r="D228" s="461">
        <v>83</v>
      </c>
      <c r="E228" s="493">
        <v>160</v>
      </c>
      <c r="F228" s="493">
        <f t="shared" si="28"/>
        <v>192</v>
      </c>
      <c r="G228" s="489">
        <v>104</v>
      </c>
      <c r="H228" s="479">
        <v>74</v>
      </c>
      <c r="I228" s="477">
        <v>9</v>
      </c>
      <c r="J228" s="496">
        <v>5</v>
      </c>
      <c r="K228" s="489">
        <f t="shared" si="29"/>
        <v>4979</v>
      </c>
      <c r="L228" s="473">
        <v>1</v>
      </c>
      <c r="M228" s="134">
        <v>4</v>
      </c>
      <c r="N228" s="28">
        <v>1925</v>
      </c>
      <c r="O228" s="396">
        <v>1835</v>
      </c>
      <c r="P228" s="123">
        <v>349</v>
      </c>
      <c r="Q228" s="134">
        <v>235</v>
      </c>
      <c r="R228" s="28">
        <v>9</v>
      </c>
      <c r="S228" s="28">
        <v>5</v>
      </c>
      <c r="T228" s="28">
        <v>200</v>
      </c>
      <c r="U228" s="28">
        <v>314</v>
      </c>
      <c r="V228" s="28">
        <v>50</v>
      </c>
      <c r="W228" s="45">
        <v>52</v>
      </c>
      <c r="X228" s="529">
        <f t="shared" si="30"/>
        <v>4510</v>
      </c>
      <c r="Y228" s="134">
        <v>2051</v>
      </c>
      <c r="Z228" s="28">
        <v>1909</v>
      </c>
      <c r="AA228" s="45">
        <v>225</v>
      </c>
      <c r="AB228" s="424">
        <v>325</v>
      </c>
      <c r="AC228" s="134"/>
    </row>
    <row r="229" spans="1:29">
      <c r="A229" s="182">
        <v>17</v>
      </c>
      <c r="B229" s="103" t="s">
        <v>260</v>
      </c>
      <c r="C229" s="4"/>
      <c r="D229" s="461">
        <v>62</v>
      </c>
      <c r="E229" s="493">
        <v>208</v>
      </c>
      <c r="F229" s="493">
        <f t="shared" si="28"/>
        <v>207</v>
      </c>
      <c r="G229" s="489">
        <v>88</v>
      </c>
      <c r="H229" s="479">
        <v>119</v>
      </c>
      <c r="I229" s="477"/>
      <c r="J229" s="496"/>
      <c r="K229" s="489">
        <f t="shared" si="29"/>
        <v>5938</v>
      </c>
      <c r="L229" s="473"/>
      <c r="M229" s="134">
        <v>1</v>
      </c>
      <c r="N229" s="28">
        <v>2910</v>
      </c>
      <c r="O229" s="396">
        <v>2641</v>
      </c>
      <c r="P229" s="123">
        <v>227</v>
      </c>
      <c r="Q229" s="134">
        <v>159</v>
      </c>
      <c r="R229" s="28"/>
      <c r="S229" s="28"/>
      <c r="T229" s="28"/>
      <c r="U229" s="28"/>
      <c r="W229" s="45"/>
      <c r="X229" s="529">
        <f t="shared" si="30"/>
        <v>5374</v>
      </c>
      <c r="Y229" s="134">
        <v>2826</v>
      </c>
      <c r="Z229" s="22">
        <v>2548</v>
      </c>
      <c r="AA229" s="28"/>
      <c r="AB229" s="636"/>
      <c r="AC229" s="134"/>
    </row>
    <row r="230" spans="1:29">
      <c r="A230" s="182">
        <v>18</v>
      </c>
      <c r="B230" s="103" t="s">
        <v>261</v>
      </c>
      <c r="C230" s="4"/>
      <c r="D230" s="461">
        <v>82</v>
      </c>
      <c r="E230" s="493">
        <v>124</v>
      </c>
      <c r="F230" s="493">
        <f t="shared" si="28"/>
        <v>142</v>
      </c>
      <c r="G230" s="489">
        <v>65</v>
      </c>
      <c r="H230" s="479">
        <v>30</v>
      </c>
      <c r="I230" s="477">
        <v>42</v>
      </c>
      <c r="J230" s="496">
        <v>5</v>
      </c>
      <c r="K230" s="489">
        <f t="shared" si="29"/>
        <v>3686</v>
      </c>
      <c r="L230" s="473">
        <v>1</v>
      </c>
      <c r="M230" s="134"/>
      <c r="N230" s="28">
        <v>1024</v>
      </c>
      <c r="O230" s="396">
        <v>904</v>
      </c>
      <c r="P230" s="123">
        <v>190</v>
      </c>
      <c r="Q230" s="134">
        <v>74</v>
      </c>
      <c r="R230" s="28"/>
      <c r="S230" s="28">
        <v>3</v>
      </c>
      <c r="T230" s="28">
        <v>251</v>
      </c>
      <c r="U230" s="28">
        <v>628</v>
      </c>
      <c r="V230" s="28">
        <v>156</v>
      </c>
      <c r="W230" s="45">
        <v>455</v>
      </c>
      <c r="X230" s="529">
        <f t="shared" si="30"/>
        <v>3279</v>
      </c>
      <c r="Y230" s="134">
        <v>1108</v>
      </c>
      <c r="Z230" s="28">
        <v>919</v>
      </c>
      <c r="AA230" s="45">
        <v>324</v>
      </c>
      <c r="AB230" s="424">
        <v>928</v>
      </c>
      <c r="AC230" s="134"/>
    </row>
    <row r="231" spans="1:29">
      <c r="A231" s="182">
        <v>19</v>
      </c>
      <c r="B231" s="103" t="s">
        <v>262</v>
      </c>
      <c r="C231" s="4"/>
      <c r="D231" s="461">
        <v>24</v>
      </c>
      <c r="E231" s="493">
        <v>53</v>
      </c>
      <c r="F231" s="493">
        <f t="shared" si="28"/>
        <v>48</v>
      </c>
      <c r="G231" s="489">
        <v>35</v>
      </c>
      <c r="H231" s="479">
        <v>11</v>
      </c>
      <c r="I231" s="477">
        <v>2</v>
      </c>
      <c r="J231" s="496"/>
      <c r="K231" s="489">
        <f t="shared" si="29"/>
        <v>1108</v>
      </c>
      <c r="L231" s="473">
        <v>1</v>
      </c>
      <c r="M231" s="134">
        <v>1</v>
      </c>
      <c r="N231" s="28">
        <v>458</v>
      </c>
      <c r="O231" s="396">
        <v>445</v>
      </c>
      <c r="P231" s="123">
        <v>89</v>
      </c>
      <c r="Q231" s="134">
        <v>56</v>
      </c>
      <c r="R231" s="28"/>
      <c r="S231" s="28"/>
      <c r="T231" s="28">
        <v>24</v>
      </c>
      <c r="U231" s="28">
        <v>27</v>
      </c>
      <c r="V231" s="28">
        <v>3</v>
      </c>
      <c r="W231" s="45">
        <v>4</v>
      </c>
      <c r="X231" s="529">
        <f t="shared" si="30"/>
        <v>996</v>
      </c>
      <c r="Y231" s="134">
        <v>500</v>
      </c>
      <c r="Z231" s="28">
        <v>444</v>
      </c>
      <c r="AA231" s="45">
        <v>24</v>
      </c>
      <c r="AB231" s="424">
        <v>28</v>
      </c>
      <c r="AC231" s="134"/>
    </row>
    <row r="232" spans="1:29">
      <c r="A232" s="182">
        <v>20</v>
      </c>
      <c r="B232" s="103" t="s">
        <v>263</v>
      </c>
      <c r="C232" s="4"/>
      <c r="D232" s="461">
        <v>23</v>
      </c>
      <c r="E232" s="493">
        <v>46</v>
      </c>
      <c r="F232" s="493">
        <f t="shared" si="28"/>
        <v>47</v>
      </c>
      <c r="G232" s="489">
        <v>30</v>
      </c>
      <c r="H232" s="479">
        <v>17</v>
      </c>
      <c r="I232" s="477"/>
      <c r="J232" s="496"/>
      <c r="K232" s="489">
        <f t="shared" si="29"/>
        <v>1100</v>
      </c>
      <c r="L232" s="473"/>
      <c r="M232" s="134"/>
      <c r="N232" s="28">
        <v>490</v>
      </c>
      <c r="O232" s="396">
        <v>466</v>
      </c>
      <c r="P232" s="123">
        <v>103</v>
      </c>
      <c r="Q232" s="134">
        <v>41</v>
      </c>
      <c r="R232" s="28"/>
      <c r="S232" s="28"/>
      <c r="T232" s="28"/>
      <c r="U232" s="28"/>
      <c r="V232" s="28"/>
      <c r="W232" s="45"/>
      <c r="X232" s="529">
        <f t="shared" si="30"/>
        <v>1015</v>
      </c>
      <c r="Y232" s="134">
        <v>547</v>
      </c>
      <c r="Z232" s="28">
        <v>468</v>
      </c>
      <c r="AA232" s="45"/>
      <c r="AB232" s="424"/>
      <c r="AC232" s="134"/>
    </row>
    <row r="233" spans="1:29">
      <c r="A233" s="182">
        <v>21</v>
      </c>
      <c r="B233" s="103" t="s">
        <v>264</v>
      </c>
      <c r="C233" s="4"/>
      <c r="D233" s="461">
        <v>41</v>
      </c>
      <c r="E233" s="493">
        <v>62</v>
      </c>
      <c r="F233" s="493">
        <f t="shared" si="28"/>
        <v>62</v>
      </c>
      <c r="G233" s="489">
        <v>25</v>
      </c>
      <c r="H233" s="479">
        <v>11</v>
      </c>
      <c r="I233" s="477">
        <v>20</v>
      </c>
      <c r="J233" s="496">
        <v>6</v>
      </c>
      <c r="K233" s="489">
        <f t="shared" si="29"/>
        <v>1722</v>
      </c>
      <c r="L233" s="473"/>
      <c r="M233" s="134"/>
      <c r="N233" s="28">
        <v>339</v>
      </c>
      <c r="O233" s="396">
        <v>308</v>
      </c>
      <c r="P233" s="123">
        <v>81</v>
      </c>
      <c r="Q233" s="134">
        <v>43</v>
      </c>
      <c r="R233" s="28"/>
      <c r="S233" s="28"/>
      <c r="T233" s="28">
        <v>352</v>
      </c>
      <c r="U233" s="28">
        <v>456</v>
      </c>
      <c r="V233" s="28">
        <v>78</v>
      </c>
      <c r="W233" s="45">
        <v>65</v>
      </c>
      <c r="X233" s="529">
        <f t="shared" si="30"/>
        <v>1545</v>
      </c>
      <c r="Y233" s="134">
        <v>382</v>
      </c>
      <c r="Z233" s="28">
        <v>318</v>
      </c>
      <c r="AA233" s="45">
        <v>373</v>
      </c>
      <c r="AB233" s="424">
        <v>472</v>
      </c>
      <c r="AC233" s="134"/>
    </row>
    <row r="234" spans="1:29">
      <c r="A234" s="182">
        <v>22</v>
      </c>
      <c r="B234" s="103" t="s">
        <v>265</v>
      </c>
      <c r="C234" s="4"/>
      <c r="D234" s="461">
        <v>23</v>
      </c>
      <c r="E234" s="493">
        <v>36</v>
      </c>
      <c r="F234" s="493">
        <f t="shared" si="28"/>
        <v>33</v>
      </c>
      <c r="G234" s="489">
        <v>27</v>
      </c>
      <c r="H234" s="479">
        <v>6</v>
      </c>
      <c r="I234" s="477"/>
      <c r="J234" s="496"/>
      <c r="K234" s="489">
        <f t="shared" si="29"/>
        <v>872</v>
      </c>
      <c r="L234" s="473">
        <v>2</v>
      </c>
      <c r="M234" s="134"/>
      <c r="N234" s="28">
        <v>366</v>
      </c>
      <c r="O234" s="396">
        <v>370</v>
      </c>
      <c r="P234" s="123">
        <v>92</v>
      </c>
      <c r="Q234" s="134">
        <v>42</v>
      </c>
      <c r="R234" s="28"/>
      <c r="S234" s="28"/>
      <c r="T234" s="28"/>
      <c r="U234" s="28"/>
      <c r="V234" s="28"/>
      <c r="W234" s="45"/>
      <c r="X234" s="529">
        <f t="shared" si="30"/>
        <v>787</v>
      </c>
      <c r="Y234" s="134">
        <v>410</v>
      </c>
      <c r="Z234" s="28">
        <v>377</v>
      </c>
      <c r="AA234" s="45"/>
      <c r="AB234" s="424"/>
      <c r="AC234" s="134"/>
    </row>
    <row r="235" spans="1:29">
      <c r="A235" s="182">
        <v>23</v>
      </c>
      <c r="B235" s="103" t="s">
        <v>266</v>
      </c>
      <c r="C235" s="4"/>
      <c r="D235" s="461">
        <v>77</v>
      </c>
      <c r="E235" s="493">
        <v>89</v>
      </c>
      <c r="F235" s="493">
        <f t="shared" si="28"/>
        <v>151</v>
      </c>
      <c r="G235" s="489">
        <v>33</v>
      </c>
      <c r="H235" s="479">
        <v>28</v>
      </c>
      <c r="I235" s="477">
        <v>56</v>
      </c>
      <c r="J235" s="496">
        <v>34</v>
      </c>
      <c r="K235" s="489">
        <f t="shared" si="29"/>
        <v>4001</v>
      </c>
      <c r="L235" s="473">
        <v>1</v>
      </c>
      <c r="M235" s="134">
        <v>8</v>
      </c>
      <c r="N235" s="28">
        <v>519</v>
      </c>
      <c r="O235" s="396">
        <v>485</v>
      </c>
      <c r="P235" s="123">
        <v>121</v>
      </c>
      <c r="Q235" s="134">
        <v>55</v>
      </c>
      <c r="R235" s="28">
        <v>38</v>
      </c>
      <c r="S235" s="28">
        <v>58</v>
      </c>
      <c r="T235" s="28">
        <v>1133</v>
      </c>
      <c r="U235" s="28">
        <v>1006</v>
      </c>
      <c r="V235" s="28">
        <v>295</v>
      </c>
      <c r="W235" s="45">
        <v>282</v>
      </c>
      <c r="X235" s="529">
        <f t="shared" si="30"/>
        <v>3628</v>
      </c>
      <c r="Y235" s="134">
        <v>599</v>
      </c>
      <c r="Z235" s="28">
        <v>514</v>
      </c>
      <c r="AA235" s="45">
        <v>1279</v>
      </c>
      <c r="AB235" s="424">
        <v>1236</v>
      </c>
      <c r="AC235" s="134"/>
    </row>
    <row r="236" spans="1:29">
      <c r="A236" s="595"/>
      <c r="B236" s="596"/>
      <c r="C236" s="203"/>
      <c r="D236" s="627"/>
      <c r="E236" s="508"/>
      <c r="F236" s="508"/>
      <c r="G236" s="513"/>
      <c r="H236" s="510"/>
      <c r="I236" s="511"/>
      <c r="J236" s="512"/>
      <c r="K236" s="513"/>
      <c r="L236" s="509"/>
      <c r="M236" s="256"/>
      <c r="N236" s="206"/>
      <c r="O236" s="581"/>
      <c r="P236" s="210"/>
      <c r="Q236" s="256"/>
      <c r="R236" s="206"/>
      <c r="S236" s="206"/>
      <c r="T236" s="206"/>
      <c r="U236" s="206"/>
      <c r="V236" s="206"/>
      <c r="W236" s="317"/>
      <c r="X236" s="609"/>
      <c r="Y236" s="256"/>
      <c r="Z236" s="206"/>
      <c r="AA236" s="317"/>
      <c r="AB236" s="516"/>
      <c r="AC236" s="134"/>
    </row>
    <row r="237" spans="1:29">
      <c r="A237" s="182" t="s">
        <v>296</v>
      </c>
      <c r="B237" s="103"/>
      <c r="C237" s="4"/>
      <c r="D237" s="461">
        <f>SUM(D213:D236)</f>
        <v>835</v>
      </c>
      <c r="E237" s="461">
        <f t="shared" ref="E237:AB237" si="31">SUM(E213:E236)</f>
        <v>1953</v>
      </c>
      <c r="F237" s="461">
        <f t="shared" si="31"/>
        <v>2162</v>
      </c>
      <c r="G237" s="461">
        <f t="shared" si="31"/>
        <v>978</v>
      </c>
      <c r="H237" s="462">
        <f t="shared" si="31"/>
        <v>921</v>
      </c>
      <c r="I237" s="462">
        <f t="shared" si="31"/>
        <v>195</v>
      </c>
      <c r="J237" s="474">
        <f t="shared" si="31"/>
        <v>68</v>
      </c>
      <c r="K237" s="461">
        <f t="shared" si="31"/>
        <v>61199</v>
      </c>
      <c r="L237" s="461">
        <f t="shared" si="31"/>
        <v>16</v>
      </c>
      <c r="M237" s="462">
        <f t="shared" si="31"/>
        <v>32</v>
      </c>
      <c r="N237" s="462">
        <f t="shared" si="31"/>
        <v>24260</v>
      </c>
      <c r="O237" s="462">
        <f t="shared" si="31"/>
        <v>22154</v>
      </c>
      <c r="P237" s="462">
        <f t="shared" si="31"/>
        <v>2707</v>
      </c>
      <c r="Q237" s="462">
        <f t="shared" si="31"/>
        <v>1761</v>
      </c>
      <c r="R237" s="462">
        <f t="shared" si="31"/>
        <v>61</v>
      </c>
      <c r="S237" s="462">
        <f t="shared" si="31"/>
        <v>88</v>
      </c>
      <c r="T237" s="462">
        <f t="shared" si="31"/>
        <v>3735</v>
      </c>
      <c r="U237" s="462">
        <f t="shared" si="31"/>
        <v>4325</v>
      </c>
      <c r="V237" s="462">
        <f t="shared" si="31"/>
        <v>937</v>
      </c>
      <c r="W237" s="463">
        <f t="shared" si="31"/>
        <v>1123</v>
      </c>
      <c r="X237" s="461">
        <f t="shared" si="31"/>
        <v>55605</v>
      </c>
      <c r="Y237" s="461">
        <f t="shared" si="31"/>
        <v>24771</v>
      </c>
      <c r="Z237" s="470">
        <f t="shared" si="31"/>
        <v>21992</v>
      </c>
      <c r="AA237" s="462">
        <f t="shared" si="31"/>
        <v>4013</v>
      </c>
      <c r="AB237" s="464">
        <f t="shared" si="31"/>
        <v>4829</v>
      </c>
      <c r="AC237" s="463"/>
    </row>
    <row r="238" spans="1:29" ht="15" thickBot="1">
      <c r="A238" s="597"/>
      <c r="B238" s="598"/>
      <c r="C238" s="104"/>
      <c r="D238" s="628"/>
      <c r="E238" s="501"/>
      <c r="F238" s="501"/>
      <c r="G238" s="524"/>
      <c r="H238" s="521"/>
      <c r="I238" s="522"/>
      <c r="J238" s="523"/>
      <c r="K238" s="524"/>
      <c r="L238" s="520"/>
      <c r="M238" s="253"/>
      <c r="N238" s="208"/>
      <c r="O238" s="587"/>
      <c r="P238" s="209"/>
      <c r="Q238" s="253"/>
      <c r="R238" s="208"/>
      <c r="S238" s="208"/>
      <c r="T238" s="208"/>
      <c r="U238" s="208"/>
      <c r="V238" s="208"/>
      <c r="W238" s="321"/>
      <c r="X238" s="611"/>
      <c r="Y238" s="253"/>
      <c r="Z238" s="208"/>
      <c r="AA238" s="321"/>
      <c r="AB238" s="527"/>
      <c r="AC238" s="134"/>
    </row>
    <row r="239" spans="1:29" ht="17" thickTop="1" thickBot="1">
      <c r="A239" s="179" t="s">
        <v>40</v>
      </c>
      <c r="B239" s="173"/>
      <c r="C239" s="4"/>
      <c r="D239" s="461"/>
      <c r="E239" s="493"/>
      <c r="F239" s="493"/>
      <c r="G239" s="489"/>
      <c r="H239" s="479"/>
      <c r="I239" s="477"/>
      <c r="J239" s="496"/>
      <c r="K239" s="489"/>
      <c r="L239" s="473"/>
      <c r="M239" s="134"/>
      <c r="N239" s="28"/>
      <c r="O239" s="396"/>
      <c r="P239" s="123"/>
      <c r="Q239" s="134"/>
      <c r="R239" s="28"/>
      <c r="S239" s="28"/>
      <c r="T239" s="28"/>
      <c r="U239" s="28"/>
      <c r="V239" s="28"/>
      <c r="W239" s="45"/>
      <c r="X239" s="529"/>
      <c r="Y239" s="134"/>
      <c r="Z239" s="28"/>
      <c r="AA239" s="45"/>
      <c r="AB239" s="424"/>
      <c r="AC239" s="134"/>
    </row>
    <row r="240" spans="1:29">
      <c r="A240" s="183">
        <v>1</v>
      </c>
      <c r="B240" s="103" t="s">
        <v>267</v>
      </c>
      <c r="C240" s="4"/>
      <c r="D240" s="461">
        <v>29</v>
      </c>
      <c r="E240" s="493">
        <v>51</v>
      </c>
      <c r="F240" s="493">
        <f>SUM(G240:J240)</f>
        <v>55</v>
      </c>
      <c r="G240" s="489">
        <v>21</v>
      </c>
      <c r="H240" s="479">
        <v>30</v>
      </c>
      <c r="I240" s="477">
        <v>4</v>
      </c>
      <c r="J240" s="496"/>
      <c r="K240" s="489">
        <f>SUM(L240:W240)</f>
        <v>996</v>
      </c>
      <c r="L240" s="473">
        <v>4</v>
      </c>
      <c r="M240" s="134"/>
      <c r="N240" s="28">
        <v>384</v>
      </c>
      <c r="O240" s="396">
        <v>361</v>
      </c>
      <c r="P240" s="123">
        <v>149</v>
      </c>
      <c r="Q240" s="134">
        <v>98</v>
      </c>
      <c r="R240" s="28"/>
      <c r="S240" s="28"/>
      <c r="T240" s="28"/>
      <c r="U240" s="28"/>
      <c r="V240" s="28"/>
      <c r="W240" s="45"/>
      <c r="X240" s="529">
        <f>SUM(Y240:AB240)</f>
        <v>958</v>
      </c>
      <c r="Y240" s="134">
        <v>521</v>
      </c>
      <c r="Z240" s="28">
        <v>437</v>
      </c>
      <c r="AA240" s="45"/>
      <c r="AB240" s="424"/>
      <c r="AC240" s="134"/>
    </row>
    <row r="241" spans="1:29">
      <c r="A241" s="182">
        <v>2</v>
      </c>
      <c r="B241" s="103" t="s">
        <v>268</v>
      </c>
      <c r="C241" s="4"/>
      <c r="D241" s="461">
        <v>10</v>
      </c>
      <c r="E241" s="493">
        <v>21</v>
      </c>
      <c r="F241" s="493">
        <f t="shared" ref="F241:F263" si="32">SUM(G241:J241)</f>
        <v>20</v>
      </c>
      <c r="G241" s="489">
        <v>11</v>
      </c>
      <c r="H241" s="472">
        <v>9</v>
      </c>
      <c r="I241" s="477"/>
      <c r="J241" s="496"/>
      <c r="K241" s="489">
        <f t="shared" ref="K241:K263" si="33">SUM(L241:W241)</f>
        <v>477</v>
      </c>
      <c r="L241" s="473"/>
      <c r="M241" s="134">
        <v>4</v>
      </c>
      <c r="N241" s="28">
        <v>186</v>
      </c>
      <c r="O241" s="396">
        <v>203</v>
      </c>
      <c r="P241" s="123">
        <v>44</v>
      </c>
      <c r="Q241" s="134">
        <v>40</v>
      </c>
      <c r="R241" s="28"/>
      <c r="S241" s="28"/>
      <c r="T241" s="28"/>
      <c r="U241" s="28"/>
      <c r="V241" s="28"/>
      <c r="W241" s="45"/>
      <c r="X241" s="529">
        <f t="shared" ref="X241:X263" si="34">SUM(Y241:AB241)</f>
        <v>447</v>
      </c>
      <c r="Y241" s="134">
        <v>220</v>
      </c>
      <c r="Z241" s="28">
        <v>227</v>
      </c>
      <c r="AA241" s="45"/>
      <c r="AB241" s="424"/>
      <c r="AC241" s="134"/>
    </row>
    <row r="242" spans="1:29">
      <c r="A242" s="182">
        <v>3</v>
      </c>
      <c r="B242" s="103" t="s">
        <v>269</v>
      </c>
      <c r="C242" s="4"/>
      <c r="D242" s="461">
        <v>62</v>
      </c>
      <c r="E242" s="493">
        <v>163</v>
      </c>
      <c r="F242" s="493">
        <f t="shared" si="32"/>
        <v>185</v>
      </c>
      <c r="G242" s="489">
        <v>67</v>
      </c>
      <c r="H242" s="479">
        <v>90</v>
      </c>
      <c r="I242" s="477">
        <v>14</v>
      </c>
      <c r="J242" s="496">
        <v>14</v>
      </c>
      <c r="K242" s="489">
        <f t="shared" si="33"/>
        <v>4134</v>
      </c>
      <c r="L242" s="473">
        <v>18</v>
      </c>
      <c r="M242" s="134">
        <v>18</v>
      </c>
      <c r="N242" s="28">
        <v>1149</v>
      </c>
      <c r="O242" s="396">
        <v>999</v>
      </c>
      <c r="P242" s="123">
        <v>373</v>
      </c>
      <c r="Q242" s="134">
        <v>346</v>
      </c>
      <c r="R242" s="28">
        <v>39</v>
      </c>
      <c r="S242" s="28">
        <v>44</v>
      </c>
      <c r="T242" s="28">
        <v>400</v>
      </c>
      <c r="U242" s="28">
        <v>540</v>
      </c>
      <c r="V242" s="28">
        <v>103</v>
      </c>
      <c r="W242" s="45">
        <v>105</v>
      </c>
      <c r="X242" s="529">
        <f t="shared" si="34"/>
        <v>3712</v>
      </c>
      <c r="Y242" s="134">
        <v>1401</v>
      </c>
      <c r="Z242" s="28">
        <v>1251</v>
      </c>
      <c r="AA242" s="45">
        <v>470</v>
      </c>
      <c r="AB242" s="424">
        <v>590</v>
      </c>
      <c r="AC242" s="134"/>
    </row>
    <row r="243" spans="1:29">
      <c r="A243" s="182">
        <v>4</v>
      </c>
      <c r="B243" s="103" t="s">
        <v>270</v>
      </c>
      <c r="C243" s="8"/>
      <c r="D243" s="461">
        <v>31</v>
      </c>
      <c r="E243" s="493">
        <v>39</v>
      </c>
      <c r="F243" s="493">
        <f t="shared" si="32"/>
        <v>42</v>
      </c>
      <c r="G243" s="489">
        <v>24</v>
      </c>
      <c r="H243" s="479">
        <v>18</v>
      </c>
      <c r="I243" s="477"/>
      <c r="J243" s="496"/>
      <c r="K243" s="489">
        <f t="shared" si="33"/>
        <v>893</v>
      </c>
      <c r="L243" s="473">
        <v>3</v>
      </c>
      <c r="M243" s="134">
        <v>14</v>
      </c>
      <c r="N243" s="28">
        <v>326</v>
      </c>
      <c r="O243" s="396">
        <v>337</v>
      </c>
      <c r="P243" s="123">
        <v>111</v>
      </c>
      <c r="Q243" s="134">
        <v>102</v>
      </c>
      <c r="R243" s="28"/>
      <c r="S243" s="28"/>
      <c r="T243" s="28"/>
      <c r="U243" s="28"/>
      <c r="V243" s="28"/>
      <c r="W243" s="45"/>
      <c r="X243" s="529">
        <f t="shared" si="34"/>
        <v>850</v>
      </c>
      <c r="Y243" s="134">
        <v>418</v>
      </c>
      <c r="Z243" s="28">
        <v>432</v>
      </c>
      <c r="AA243" s="45"/>
      <c r="AB243" s="424"/>
      <c r="AC243" s="134"/>
    </row>
    <row r="244" spans="1:29">
      <c r="A244" s="182">
        <v>5</v>
      </c>
      <c r="B244" s="103" t="s">
        <v>271</v>
      </c>
      <c r="C244" s="4"/>
      <c r="D244" s="461">
        <v>12</v>
      </c>
      <c r="E244" s="493">
        <v>24</v>
      </c>
      <c r="F244" s="493">
        <f t="shared" si="32"/>
        <v>26</v>
      </c>
      <c r="G244" s="489">
        <v>10</v>
      </c>
      <c r="H244" s="479">
        <v>11</v>
      </c>
      <c r="I244" s="477">
        <v>4</v>
      </c>
      <c r="J244" s="496">
        <v>1</v>
      </c>
      <c r="K244" s="489">
        <f t="shared" si="33"/>
        <v>735</v>
      </c>
      <c r="L244" s="473">
        <v>2</v>
      </c>
      <c r="M244" s="134">
        <v>3</v>
      </c>
      <c r="N244" s="28">
        <v>183</v>
      </c>
      <c r="O244" s="396">
        <v>178</v>
      </c>
      <c r="P244" s="123">
        <v>44</v>
      </c>
      <c r="Q244" s="134">
        <v>47</v>
      </c>
      <c r="R244" s="28"/>
      <c r="S244" s="28"/>
      <c r="T244" s="28">
        <v>122</v>
      </c>
      <c r="U244" s="28">
        <v>121</v>
      </c>
      <c r="V244" s="28">
        <v>21</v>
      </c>
      <c r="W244" s="45">
        <v>14</v>
      </c>
      <c r="X244" s="529">
        <f t="shared" si="34"/>
        <v>531</v>
      </c>
      <c r="Y244" s="134">
        <v>209</v>
      </c>
      <c r="Z244" s="28">
        <v>211</v>
      </c>
      <c r="AA244" s="45">
        <v>50</v>
      </c>
      <c r="AB244" s="424">
        <v>61</v>
      </c>
      <c r="AC244" s="134"/>
    </row>
    <row r="245" spans="1:29">
      <c r="A245" s="182">
        <v>6</v>
      </c>
      <c r="B245" s="103" t="s">
        <v>272</v>
      </c>
      <c r="C245" s="4"/>
      <c r="D245" s="461">
        <v>25</v>
      </c>
      <c r="E245" s="493">
        <v>52</v>
      </c>
      <c r="F245" s="493">
        <f t="shared" si="32"/>
        <v>52</v>
      </c>
      <c r="G245" s="489">
        <v>20</v>
      </c>
      <c r="H245" s="479">
        <v>22</v>
      </c>
      <c r="I245" s="477">
        <v>7</v>
      </c>
      <c r="J245" s="496">
        <v>3</v>
      </c>
      <c r="K245" s="489">
        <f t="shared" si="33"/>
        <v>1407</v>
      </c>
      <c r="L245" s="473">
        <v>7</v>
      </c>
      <c r="M245" s="134">
        <v>7</v>
      </c>
      <c r="N245" s="28">
        <v>432</v>
      </c>
      <c r="O245" s="396">
        <v>360</v>
      </c>
      <c r="P245" s="123">
        <v>100</v>
      </c>
      <c r="Q245" s="134">
        <v>68</v>
      </c>
      <c r="R245" s="28">
        <v>5</v>
      </c>
      <c r="S245" s="28">
        <v>10</v>
      </c>
      <c r="T245" s="28">
        <v>170</v>
      </c>
      <c r="U245" s="28">
        <v>208</v>
      </c>
      <c r="V245" s="28">
        <v>16</v>
      </c>
      <c r="W245" s="45">
        <v>24</v>
      </c>
      <c r="X245" s="529">
        <f t="shared" si="34"/>
        <v>1221</v>
      </c>
      <c r="Y245" s="134">
        <v>477</v>
      </c>
      <c r="Z245" s="28">
        <v>410</v>
      </c>
      <c r="AA245" s="45">
        <v>149</v>
      </c>
      <c r="AB245" s="424">
        <v>185</v>
      </c>
      <c r="AC245" s="134"/>
    </row>
    <row r="246" spans="1:29">
      <c r="A246" s="182">
        <v>7</v>
      </c>
      <c r="B246" s="103" t="s">
        <v>273</v>
      </c>
      <c r="C246" s="4"/>
      <c r="D246" s="461">
        <v>19</v>
      </c>
      <c r="E246" s="493">
        <v>33</v>
      </c>
      <c r="F246" s="493">
        <f t="shared" si="32"/>
        <v>33</v>
      </c>
      <c r="G246" s="489">
        <v>16</v>
      </c>
      <c r="H246" s="479">
        <v>16</v>
      </c>
      <c r="I246" s="477">
        <v>1</v>
      </c>
      <c r="J246" s="496"/>
      <c r="K246" s="489">
        <f t="shared" si="33"/>
        <v>711</v>
      </c>
      <c r="L246" s="473">
        <v>2</v>
      </c>
      <c r="M246" s="134">
        <v>2</v>
      </c>
      <c r="N246" s="28">
        <v>271</v>
      </c>
      <c r="O246" s="396">
        <v>262</v>
      </c>
      <c r="P246" s="123">
        <v>84</v>
      </c>
      <c r="Q246" s="134">
        <v>64</v>
      </c>
      <c r="R246" s="28"/>
      <c r="S246" s="28"/>
      <c r="T246" s="28">
        <v>8</v>
      </c>
      <c r="U246" s="28">
        <v>15</v>
      </c>
      <c r="V246" s="28">
        <v>2</v>
      </c>
      <c r="W246" s="45">
        <v>1</v>
      </c>
      <c r="X246" s="529">
        <f t="shared" si="34"/>
        <v>620</v>
      </c>
      <c r="Y246" s="134">
        <v>309</v>
      </c>
      <c r="Z246" s="28">
        <v>289</v>
      </c>
      <c r="AA246" s="45">
        <v>8</v>
      </c>
      <c r="AB246" s="424">
        <v>14</v>
      </c>
      <c r="AC246" s="134"/>
    </row>
    <row r="247" spans="1:29">
      <c r="A247" s="182">
        <v>8</v>
      </c>
      <c r="B247" s="103" t="s">
        <v>274</v>
      </c>
      <c r="C247" s="4"/>
      <c r="D247" s="461">
        <v>14</v>
      </c>
      <c r="E247" s="493">
        <v>23</v>
      </c>
      <c r="F247" s="493">
        <f t="shared" si="32"/>
        <v>22</v>
      </c>
      <c r="G247" s="489">
        <v>13</v>
      </c>
      <c r="H247" s="479">
        <v>9</v>
      </c>
      <c r="I247" s="477"/>
      <c r="J247" s="496"/>
      <c r="K247" s="489">
        <f t="shared" si="33"/>
        <v>526</v>
      </c>
      <c r="L247" s="473">
        <v>2</v>
      </c>
      <c r="M247" s="134">
        <v>10</v>
      </c>
      <c r="N247" s="28">
        <v>201</v>
      </c>
      <c r="O247" s="396">
        <v>213</v>
      </c>
      <c r="P247" s="123">
        <v>52</v>
      </c>
      <c r="Q247" s="134">
        <v>48</v>
      </c>
      <c r="R247" s="28"/>
      <c r="S247" s="28"/>
      <c r="T247" s="28"/>
      <c r="U247" s="28"/>
      <c r="V247" s="28"/>
      <c r="W247" s="45"/>
      <c r="X247" s="529">
        <f t="shared" si="34"/>
        <v>489</v>
      </c>
      <c r="Y247" s="134">
        <v>240</v>
      </c>
      <c r="Z247" s="28">
        <v>249</v>
      </c>
      <c r="AA247" s="45"/>
      <c r="AB247" s="424"/>
      <c r="AC247" s="134"/>
    </row>
    <row r="248" spans="1:29">
      <c r="A248" s="182">
        <v>9</v>
      </c>
      <c r="B248" s="103" t="s">
        <v>275</v>
      </c>
      <c r="C248" s="4"/>
      <c r="D248" s="461">
        <v>15</v>
      </c>
      <c r="E248" s="493">
        <v>28</v>
      </c>
      <c r="F248" s="493">
        <f t="shared" si="32"/>
        <v>27</v>
      </c>
      <c r="G248" s="489">
        <v>14</v>
      </c>
      <c r="H248" s="479">
        <v>13</v>
      </c>
      <c r="I248" s="477"/>
      <c r="J248" s="496"/>
      <c r="K248" s="489">
        <f t="shared" si="33"/>
        <v>557</v>
      </c>
      <c r="L248" s="473">
        <v>3</v>
      </c>
      <c r="M248" s="134">
        <v>4</v>
      </c>
      <c r="N248" s="28">
        <v>240</v>
      </c>
      <c r="O248" s="396">
        <v>216</v>
      </c>
      <c r="P248" s="123">
        <v>58</v>
      </c>
      <c r="Q248" s="134">
        <v>36</v>
      </c>
      <c r="R248" s="28"/>
      <c r="S248" s="28"/>
      <c r="T248" s="28"/>
      <c r="U248" s="28"/>
      <c r="V248" s="28"/>
      <c r="W248" s="45"/>
      <c r="X248" s="529">
        <f t="shared" si="34"/>
        <v>499</v>
      </c>
      <c r="Y248" s="134">
        <v>276</v>
      </c>
      <c r="Z248" s="28">
        <v>223</v>
      </c>
      <c r="AA248" s="45"/>
      <c r="AB248" s="424"/>
      <c r="AC248" s="134"/>
    </row>
    <row r="249" spans="1:29">
      <c r="A249" s="182">
        <v>10</v>
      </c>
      <c r="B249" s="103" t="s">
        <v>276</v>
      </c>
      <c r="C249" s="4"/>
      <c r="D249" s="461">
        <v>33</v>
      </c>
      <c r="E249" s="493">
        <v>43</v>
      </c>
      <c r="F249" s="493">
        <f t="shared" si="32"/>
        <v>46</v>
      </c>
      <c r="G249" s="489">
        <v>24</v>
      </c>
      <c r="H249" s="479">
        <v>16</v>
      </c>
      <c r="I249" s="477">
        <v>5</v>
      </c>
      <c r="J249" s="496">
        <v>1</v>
      </c>
      <c r="K249" s="489">
        <f t="shared" si="33"/>
        <v>1204</v>
      </c>
      <c r="L249" s="473">
        <v>7</v>
      </c>
      <c r="M249" s="134">
        <v>12</v>
      </c>
      <c r="N249" s="28">
        <v>439</v>
      </c>
      <c r="O249" s="396">
        <v>390</v>
      </c>
      <c r="P249" s="123">
        <v>100</v>
      </c>
      <c r="Q249" s="134">
        <v>70</v>
      </c>
      <c r="R249" s="28"/>
      <c r="S249" s="28"/>
      <c r="T249" s="28">
        <v>76</v>
      </c>
      <c r="U249" s="28">
        <v>75</v>
      </c>
      <c r="V249" s="28">
        <v>12</v>
      </c>
      <c r="W249" s="45">
        <v>23</v>
      </c>
      <c r="X249" s="529">
        <f t="shared" si="34"/>
        <v>1099</v>
      </c>
      <c r="Y249" s="134">
        <v>497</v>
      </c>
      <c r="Z249" s="28">
        <v>437</v>
      </c>
      <c r="AA249" s="45">
        <v>79</v>
      </c>
      <c r="AB249" s="424">
        <v>86</v>
      </c>
      <c r="AC249" s="134"/>
    </row>
    <row r="250" spans="1:29">
      <c r="A250" s="182">
        <v>11</v>
      </c>
      <c r="B250" s="103" t="s">
        <v>277</v>
      </c>
      <c r="C250" s="4"/>
      <c r="D250" s="461">
        <v>17</v>
      </c>
      <c r="E250" s="493">
        <v>23</v>
      </c>
      <c r="F250" s="493">
        <f t="shared" si="32"/>
        <v>22</v>
      </c>
      <c r="G250" s="489">
        <v>16</v>
      </c>
      <c r="H250" s="479">
        <v>6</v>
      </c>
      <c r="I250" s="477"/>
      <c r="J250" s="496"/>
      <c r="K250" s="489">
        <f t="shared" si="33"/>
        <v>495</v>
      </c>
      <c r="L250" s="473">
        <v>1</v>
      </c>
      <c r="M250" s="134">
        <v>1</v>
      </c>
      <c r="N250" s="28">
        <v>202</v>
      </c>
      <c r="O250" s="396">
        <v>190</v>
      </c>
      <c r="P250" s="123">
        <v>58</v>
      </c>
      <c r="Q250" s="134">
        <v>43</v>
      </c>
      <c r="R250" s="28"/>
      <c r="S250" s="28"/>
      <c r="T250" s="28"/>
      <c r="U250" s="28"/>
      <c r="V250" s="28"/>
      <c r="W250" s="45"/>
      <c r="X250" s="529">
        <f t="shared" si="34"/>
        <v>448</v>
      </c>
      <c r="Y250" s="134">
        <v>230</v>
      </c>
      <c r="Z250" s="28">
        <v>218</v>
      </c>
      <c r="AA250" s="45"/>
      <c r="AB250" s="424"/>
      <c r="AC250" s="134"/>
    </row>
    <row r="251" spans="1:29">
      <c r="A251" s="182">
        <v>12</v>
      </c>
      <c r="B251" s="103" t="s">
        <v>278</v>
      </c>
      <c r="C251" s="4"/>
      <c r="D251" s="461">
        <v>16</v>
      </c>
      <c r="E251" s="493">
        <v>17</v>
      </c>
      <c r="F251" s="493">
        <f t="shared" si="32"/>
        <v>17</v>
      </c>
      <c r="G251" s="489">
        <v>10</v>
      </c>
      <c r="H251" s="479">
        <v>7</v>
      </c>
      <c r="I251" s="477"/>
      <c r="J251" s="496"/>
      <c r="K251" s="489">
        <f t="shared" si="33"/>
        <v>322</v>
      </c>
      <c r="L251" s="473">
        <v>6</v>
      </c>
      <c r="M251" s="134">
        <v>8</v>
      </c>
      <c r="N251" s="28">
        <v>117</v>
      </c>
      <c r="O251" s="396">
        <v>115</v>
      </c>
      <c r="P251" s="123">
        <v>32</v>
      </c>
      <c r="Q251" s="134">
        <v>44</v>
      </c>
      <c r="R251" s="28"/>
      <c r="S251" s="28"/>
      <c r="T251" s="28"/>
      <c r="U251" s="28"/>
      <c r="V251" s="28"/>
      <c r="W251" s="45"/>
      <c r="X251" s="529">
        <f t="shared" si="34"/>
        <v>291</v>
      </c>
      <c r="Y251" s="134">
        <v>139</v>
      </c>
      <c r="Z251" s="28">
        <v>152</v>
      </c>
      <c r="AA251" s="45"/>
      <c r="AB251" s="424"/>
      <c r="AC251" s="134"/>
    </row>
    <row r="252" spans="1:29">
      <c r="A252" s="182">
        <v>13</v>
      </c>
      <c r="B252" s="103" t="s">
        <v>279</v>
      </c>
      <c r="C252" s="4"/>
      <c r="D252" s="461">
        <v>34</v>
      </c>
      <c r="E252" s="493">
        <v>54</v>
      </c>
      <c r="F252" s="493">
        <f t="shared" si="32"/>
        <v>55</v>
      </c>
      <c r="G252" s="489">
        <v>27</v>
      </c>
      <c r="H252" s="479">
        <v>21</v>
      </c>
      <c r="I252" s="477">
        <v>4</v>
      </c>
      <c r="J252" s="496">
        <v>3</v>
      </c>
      <c r="K252" s="489">
        <f t="shared" si="33"/>
        <v>1374</v>
      </c>
      <c r="L252" s="473">
        <v>3</v>
      </c>
      <c r="M252" s="134">
        <v>4</v>
      </c>
      <c r="N252" s="28">
        <v>477</v>
      </c>
      <c r="O252" s="396">
        <v>416</v>
      </c>
      <c r="P252" s="123">
        <v>113</v>
      </c>
      <c r="Q252" s="134">
        <v>81</v>
      </c>
      <c r="R252" s="28">
        <v>4</v>
      </c>
      <c r="S252" s="28">
        <v>4</v>
      </c>
      <c r="T252" s="28">
        <v>87</v>
      </c>
      <c r="U252" s="28">
        <v>123</v>
      </c>
      <c r="V252" s="28">
        <v>26</v>
      </c>
      <c r="W252" s="45">
        <v>36</v>
      </c>
      <c r="X252" s="529">
        <f t="shared" si="34"/>
        <v>1213</v>
      </c>
      <c r="Y252" s="134">
        <v>542</v>
      </c>
      <c r="Z252" s="28">
        <v>461</v>
      </c>
      <c r="AA252" s="45">
        <v>88</v>
      </c>
      <c r="AB252" s="424">
        <v>122</v>
      </c>
      <c r="AC252" s="134"/>
    </row>
    <row r="253" spans="1:29">
      <c r="A253" s="182">
        <v>14</v>
      </c>
      <c r="B253" s="103" t="s">
        <v>280</v>
      </c>
      <c r="C253" s="4"/>
      <c r="D253" s="461">
        <v>26</v>
      </c>
      <c r="E253" s="493">
        <v>53</v>
      </c>
      <c r="F253" s="493">
        <f t="shared" si="32"/>
        <v>51</v>
      </c>
      <c r="G253" s="489">
        <v>24</v>
      </c>
      <c r="H253" s="479">
        <v>27</v>
      </c>
      <c r="I253" s="477"/>
      <c r="J253" s="496"/>
      <c r="K253" s="489">
        <f t="shared" si="33"/>
        <v>1182</v>
      </c>
      <c r="L253" s="473">
        <v>4</v>
      </c>
      <c r="M253" s="134">
        <v>5</v>
      </c>
      <c r="N253" s="28">
        <v>475</v>
      </c>
      <c r="O253" s="396">
        <v>475</v>
      </c>
      <c r="P253" s="123">
        <v>138</v>
      </c>
      <c r="Q253" s="134">
        <v>85</v>
      </c>
      <c r="R253" s="28"/>
      <c r="S253" s="28"/>
      <c r="T253" s="28"/>
      <c r="U253" s="28"/>
      <c r="V253" s="28"/>
      <c r="W253" s="45"/>
      <c r="X253" s="529">
        <f t="shared" si="34"/>
        <v>991</v>
      </c>
      <c r="Y253" s="134">
        <v>507</v>
      </c>
      <c r="Z253" s="28">
        <v>484</v>
      </c>
      <c r="AA253" s="45"/>
      <c r="AB253" s="424"/>
      <c r="AC253" s="134"/>
    </row>
    <row r="254" spans="1:29">
      <c r="A254" s="182">
        <v>15</v>
      </c>
      <c r="B254" s="103" t="s">
        <v>281</v>
      </c>
      <c r="C254" s="4"/>
      <c r="D254" s="461">
        <v>21</v>
      </c>
      <c r="E254" s="493">
        <v>31</v>
      </c>
      <c r="F254" s="493">
        <f t="shared" si="32"/>
        <v>32</v>
      </c>
      <c r="G254" s="489">
        <v>18</v>
      </c>
      <c r="H254" s="479">
        <v>12</v>
      </c>
      <c r="I254" s="477">
        <v>1</v>
      </c>
      <c r="J254" s="496">
        <v>1</v>
      </c>
      <c r="K254" s="489">
        <f t="shared" si="33"/>
        <v>701</v>
      </c>
      <c r="L254" s="473">
        <v>3</v>
      </c>
      <c r="M254" s="134">
        <v>2</v>
      </c>
      <c r="N254" s="28">
        <v>251</v>
      </c>
      <c r="O254" s="396">
        <v>262</v>
      </c>
      <c r="P254" s="123">
        <v>69</v>
      </c>
      <c r="Q254" s="134">
        <v>37</v>
      </c>
      <c r="R254" s="28"/>
      <c r="S254" s="28"/>
      <c r="T254" s="28">
        <v>35</v>
      </c>
      <c r="U254" s="28">
        <v>34</v>
      </c>
      <c r="V254" s="28">
        <v>6</v>
      </c>
      <c r="W254" s="45">
        <v>2</v>
      </c>
      <c r="X254" s="529">
        <f t="shared" si="34"/>
        <v>649</v>
      </c>
      <c r="Y254" s="134">
        <v>300</v>
      </c>
      <c r="Z254" s="28">
        <v>284</v>
      </c>
      <c r="AA254" s="45">
        <v>33</v>
      </c>
      <c r="AB254" s="424">
        <v>32</v>
      </c>
      <c r="AC254" s="134"/>
    </row>
    <row r="255" spans="1:29">
      <c r="A255" s="182">
        <v>16</v>
      </c>
      <c r="B255" s="103" t="s">
        <v>282</v>
      </c>
      <c r="C255" s="4"/>
      <c r="D255" s="461">
        <v>7</v>
      </c>
      <c r="E255" s="493">
        <v>14</v>
      </c>
      <c r="F255" s="493">
        <f t="shared" si="32"/>
        <v>14</v>
      </c>
      <c r="G255" s="489">
        <v>6</v>
      </c>
      <c r="H255" s="479">
        <v>8</v>
      </c>
      <c r="I255" s="477"/>
      <c r="J255" s="496"/>
      <c r="K255" s="489">
        <f t="shared" si="33"/>
        <v>339</v>
      </c>
      <c r="L255" s="473">
        <v>1</v>
      </c>
      <c r="M255" s="134"/>
      <c r="N255" s="28">
        <v>128</v>
      </c>
      <c r="O255" s="396">
        <v>126</v>
      </c>
      <c r="P255" s="123">
        <v>55</v>
      </c>
      <c r="Q255" s="134">
        <v>29</v>
      </c>
      <c r="R255" s="28"/>
      <c r="S255" s="28"/>
      <c r="T255" s="28"/>
      <c r="U255" s="28"/>
      <c r="V255" s="28"/>
      <c r="W255" s="45"/>
      <c r="X255" s="529">
        <f t="shared" si="34"/>
        <v>319</v>
      </c>
      <c r="Y255" s="134">
        <v>175</v>
      </c>
      <c r="Z255" s="28">
        <v>144</v>
      </c>
      <c r="AA255" s="45"/>
      <c r="AB255" s="424"/>
      <c r="AC255" s="134"/>
    </row>
    <row r="256" spans="1:29">
      <c r="A256" s="182">
        <v>17</v>
      </c>
      <c r="B256" s="103" t="s">
        <v>283</v>
      </c>
      <c r="C256" s="4"/>
      <c r="D256" s="461">
        <v>17</v>
      </c>
      <c r="E256" s="493">
        <v>33</v>
      </c>
      <c r="F256" s="493">
        <f t="shared" si="32"/>
        <v>30</v>
      </c>
      <c r="G256" s="489">
        <v>15</v>
      </c>
      <c r="H256" s="479">
        <v>14</v>
      </c>
      <c r="I256" s="477">
        <v>1</v>
      </c>
      <c r="J256" s="496"/>
      <c r="K256" s="489">
        <f t="shared" si="33"/>
        <v>704</v>
      </c>
      <c r="L256" s="473">
        <v>5</v>
      </c>
      <c r="M256" s="134">
        <v>6</v>
      </c>
      <c r="N256" s="28">
        <v>282</v>
      </c>
      <c r="O256" s="396">
        <v>223</v>
      </c>
      <c r="P256" s="123">
        <v>92</v>
      </c>
      <c r="Q256" s="134">
        <v>56</v>
      </c>
      <c r="R256" s="28">
        <v>11</v>
      </c>
      <c r="S256" s="28">
        <v>4</v>
      </c>
      <c r="T256" s="28">
        <v>10</v>
      </c>
      <c r="U256" s="28">
        <v>15</v>
      </c>
      <c r="V256" s="28"/>
      <c r="W256" s="45"/>
      <c r="X256" s="529">
        <f t="shared" si="34"/>
        <v>634</v>
      </c>
      <c r="Y256" s="134">
        <v>347</v>
      </c>
      <c r="Z256" s="28">
        <v>256</v>
      </c>
      <c r="AA256" s="45">
        <v>20</v>
      </c>
      <c r="AB256" s="424">
        <v>11</v>
      </c>
      <c r="AC256" s="134"/>
    </row>
    <row r="257" spans="1:29">
      <c r="A257" s="182">
        <v>18</v>
      </c>
      <c r="B257" s="103" t="s">
        <v>284</v>
      </c>
      <c r="C257" s="4"/>
      <c r="D257" s="461">
        <v>29</v>
      </c>
      <c r="E257" s="493">
        <v>42</v>
      </c>
      <c r="F257" s="493">
        <f t="shared" si="32"/>
        <v>42</v>
      </c>
      <c r="G257" s="489">
        <v>21</v>
      </c>
      <c r="H257" s="479">
        <v>17</v>
      </c>
      <c r="I257" s="477">
        <v>4</v>
      </c>
      <c r="J257" s="496"/>
      <c r="K257" s="489">
        <f t="shared" si="33"/>
        <v>957</v>
      </c>
      <c r="L257" s="473">
        <v>4</v>
      </c>
      <c r="M257" s="134">
        <v>1</v>
      </c>
      <c r="N257" s="28">
        <v>354</v>
      </c>
      <c r="O257" s="396">
        <v>330</v>
      </c>
      <c r="P257" s="123">
        <v>82</v>
      </c>
      <c r="Q257" s="134">
        <v>73</v>
      </c>
      <c r="R257" s="28">
        <v>6</v>
      </c>
      <c r="S257" s="28">
        <v>4</v>
      </c>
      <c r="T257" s="28">
        <v>42</v>
      </c>
      <c r="U257" s="28">
        <v>59</v>
      </c>
      <c r="V257" s="28"/>
      <c r="W257" s="45">
        <v>2</v>
      </c>
      <c r="X257" s="529">
        <f t="shared" si="34"/>
        <v>893</v>
      </c>
      <c r="Y257" s="134">
        <v>419</v>
      </c>
      <c r="Z257" s="28">
        <v>385</v>
      </c>
      <c r="AA257" s="45">
        <v>38</v>
      </c>
      <c r="AB257" s="424">
        <v>51</v>
      </c>
      <c r="AC257" s="134"/>
    </row>
    <row r="258" spans="1:29">
      <c r="A258" s="182">
        <v>19</v>
      </c>
      <c r="B258" s="103" t="s">
        <v>285</v>
      </c>
      <c r="C258" s="4"/>
      <c r="D258" s="461">
        <v>17</v>
      </c>
      <c r="E258" s="493">
        <v>28</v>
      </c>
      <c r="F258" s="493">
        <f t="shared" si="32"/>
        <v>25</v>
      </c>
      <c r="G258" s="489">
        <v>12</v>
      </c>
      <c r="H258" s="479">
        <v>12</v>
      </c>
      <c r="I258" s="477">
        <v>1</v>
      </c>
      <c r="J258" s="496"/>
      <c r="K258" s="489">
        <f t="shared" si="33"/>
        <v>539</v>
      </c>
      <c r="L258" s="473">
        <v>1</v>
      </c>
      <c r="M258" s="134">
        <v>1</v>
      </c>
      <c r="N258" s="28">
        <v>217</v>
      </c>
      <c r="O258" s="396">
        <v>192</v>
      </c>
      <c r="P258" s="123">
        <v>65</v>
      </c>
      <c r="Q258" s="134">
        <v>41</v>
      </c>
      <c r="R258" s="28">
        <v>1</v>
      </c>
      <c r="S258" s="28">
        <v>1</v>
      </c>
      <c r="T258" s="28">
        <v>10</v>
      </c>
      <c r="U258" s="28">
        <v>9</v>
      </c>
      <c r="V258" s="28"/>
      <c r="W258" s="45">
        <v>1</v>
      </c>
      <c r="X258" s="529">
        <f t="shared" si="34"/>
        <v>488</v>
      </c>
      <c r="Y258" s="134">
        <v>261</v>
      </c>
      <c r="Z258" s="28">
        <v>207</v>
      </c>
      <c r="AA258" s="45">
        <v>10</v>
      </c>
      <c r="AB258" s="424">
        <v>10</v>
      </c>
      <c r="AC258" s="134"/>
    </row>
    <row r="259" spans="1:29">
      <c r="A259" s="182">
        <v>20</v>
      </c>
      <c r="B259" s="103" t="s">
        <v>286</v>
      </c>
      <c r="C259" s="4"/>
      <c r="D259" s="461">
        <v>39</v>
      </c>
      <c r="E259" s="493">
        <v>52</v>
      </c>
      <c r="F259" s="493">
        <f t="shared" si="32"/>
        <v>64</v>
      </c>
      <c r="G259" s="489">
        <v>6</v>
      </c>
      <c r="H259" s="479">
        <v>10</v>
      </c>
      <c r="I259" s="477">
        <v>33</v>
      </c>
      <c r="J259" s="496">
        <v>15</v>
      </c>
      <c r="K259" s="489">
        <f t="shared" si="33"/>
        <v>2062</v>
      </c>
      <c r="L259" s="473"/>
      <c r="M259" s="134">
        <v>6</v>
      </c>
      <c r="N259" s="28">
        <v>113</v>
      </c>
      <c r="O259" s="396">
        <v>113</v>
      </c>
      <c r="P259" s="123">
        <v>25</v>
      </c>
      <c r="Q259" s="134">
        <v>26</v>
      </c>
      <c r="R259" s="28">
        <v>44</v>
      </c>
      <c r="S259" s="28">
        <v>62</v>
      </c>
      <c r="T259" s="28">
        <v>349</v>
      </c>
      <c r="U259" s="28">
        <v>716</v>
      </c>
      <c r="V259" s="28">
        <v>240</v>
      </c>
      <c r="W259" s="45">
        <v>368</v>
      </c>
      <c r="X259" s="529">
        <f t="shared" si="34"/>
        <v>1873</v>
      </c>
      <c r="Y259" s="134">
        <v>119</v>
      </c>
      <c r="Z259" s="28">
        <v>128</v>
      </c>
      <c r="AA259" s="45">
        <v>581</v>
      </c>
      <c r="AB259" s="424">
        <v>1045</v>
      </c>
      <c r="AC259" s="134"/>
    </row>
    <row r="260" spans="1:29">
      <c r="A260" s="182">
        <v>21</v>
      </c>
      <c r="B260" s="103" t="s">
        <v>287</v>
      </c>
      <c r="C260" s="4"/>
      <c r="D260" s="461">
        <v>10</v>
      </c>
      <c r="E260" s="493">
        <v>15</v>
      </c>
      <c r="F260" s="493">
        <f t="shared" si="32"/>
        <v>16</v>
      </c>
      <c r="G260" s="489">
        <v>10</v>
      </c>
      <c r="H260" s="479">
        <v>6</v>
      </c>
      <c r="I260" s="477"/>
      <c r="J260" s="496"/>
      <c r="K260" s="489">
        <f t="shared" si="33"/>
        <v>314</v>
      </c>
      <c r="L260" s="473">
        <v>1</v>
      </c>
      <c r="M260" s="134">
        <v>2</v>
      </c>
      <c r="N260" s="28">
        <v>130</v>
      </c>
      <c r="O260" s="396">
        <v>126</v>
      </c>
      <c r="P260" s="123">
        <v>32</v>
      </c>
      <c r="Q260" s="134">
        <v>23</v>
      </c>
      <c r="R260" s="28"/>
      <c r="S260" s="28"/>
      <c r="T260" s="28"/>
      <c r="U260" s="28"/>
      <c r="V260" s="28"/>
      <c r="W260" s="45"/>
      <c r="X260" s="529">
        <f t="shared" si="34"/>
        <v>280</v>
      </c>
      <c r="Y260" s="134">
        <v>147</v>
      </c>
      <c r="Z260" s="28">
        <v>133</v>
      </c>
      <c r="AA260" s="45"/>
      <c r="AB260" s="424"/>
      <c r="AC260" s="134"/>
    </row>
    <row r="261" spans="1:29">
      <c r="A261" s="182">
        <v>22</v>
      </c>
      <c r="B261" s="103" t="s">
        <v>288</v>
      </c>
      <c r="C261" s="4"/>
      <c r="D261" s="461">
        <v>22</v>
      </c>
      <c r="E261" s="493">
        <v>36</v>
      </c>
      <c r="F261" s="493">
        <f t="shared" si="32"/>
        <v>41</v>
      </c>
      <c r="G261" s="489">
        <v>15</v>
      </c>
      <c r="H261" s="479">
        <v>19</v>
      </c>
      <c r="I261" s="477">
        <v>3</v>
      </c>
      <c r="J261" s="496">
        <v>4</v>
      </c>
      <c r="K261" s="489">
        <f t="shared" si="33"/>
        <v>1133</v>
      </c>
      <c r="L261" s="473">
        <v>3</v>
      </c>
      <c r="M261" s="134">
        <v>1</v>
      </c>
      <c r="N261" s="28">
        <v>392</v>
      </c>
      <c r="O261" s="396">
        <v>397</v>
      </c>
      <c r="P261" s="123">
        <v>81</v>
      </c>
      <c r="Q261" s="134">
        <v>59</v>
      </c>
      <c r="R261" s="28">
        <v>6</v>
      </c>
      <c r="S261" s="28">
        <v>8</v>
      </c>
      <c r="T261" s="28">
        <v>69</v>
      </c>
      <c r="U261" s="28">
        <v>86</v>
      </c>
      <c r="V261" s="28">
        <v>17</v>
      </c>
      <c r="W261" s="45">
        <v>14</v>
      </c>
      <c r="X261" s="529">
        <f t="shared" si="34"/>
        <v>932</v>
      </c>
      <c r="Y261" s="134">
        <v>381</v>
      </c>
      <c r="Z261" s="28">
        <v>371</v>
      </c>
      <c r="AA261" s="45">
        <v>81</v>
      </c>
      <c r="AB261" s="424">
        <v>99</v>
      </c>
      <c r="AC261" s="134"/>
    </row>
    <row r="262" spans="1:29">
      <c r="A262" s="182">
        <v>23</v>
      </c>
      <c r="B262" s="103" t="s">
        <v>289</v>
      </c>
      <c r="C262" s="4"/>
      <c r="D262" s="461">
        <v>9</v>
      </c>
      <c r="E262" s="493">
        <v>16</v>
      </c>
      <c r="F262" s="493">
        <f t="shared" si="32"/>
        <v>17</v>
      </c>
      <c r="G262" s="489">
        <v>8</v>
      </c>
      <c r="H262" s="479">
        <v>9</v>
      </c>
      <c r="I262" s="477"/>
      <c r="J262" s="496"/>
      <c r="K262" s="489">
        <f t="shared" si="33"/>
        <v>385</v>
      </c>
      <c r="L262" s="473">
        <v>3</v>
      </c>
      <c r="M262" s="134">
        <v>2</v>
      </c>
      <c r="N262" s="28">
        <v>136</v>
      </c>
      <c r="O262" s="396">
        <v>154</v>
      </c>
      <c r="P262" s="123">
        <v>48</v>
      </c>
      <c r="Q262" s="29">
        <v>42</v>
      </c>
      <c r="R262" s="28"/>
      <c r="S262" s="28"/>
      <c r="T262" s="28"/>
      <c r="U262" s="28"/>
      <c r="V262" s="28"/>
      <c r="W262" s="45"/>
      <c r="X262" s="529">
        <f t="shared" si="34"/>
        <v>350</v>
      </c>
      <c r="Y262" s="134">
        <v>168</v>
      </c>
      <c r="Z262" s="28">
        <v>182</v>
      </c>
      <c r="AA262" s="45"/>
      <c r="AB262" s="424"/>
      <c r="AC262" s="134"/>
    </row>
    <row r="263" spans="1:29">
      <c r="A263" s="182">
        <v>24</v>
      </c>
      <c r="B263" s="103" t="s">
        <v>290</v>
      </c>
      <c r="C263" s="4"/>
      <c r="D263" s="461">
        <v>41</v>
      </c>
      <c r="E263" s="493">
        <v>41</v>
      </c>
      <c r="F263" s="493">
        <f t="shared" si="32"/>
        <v>68</v>
      </c>
      <c r="G263" s="489">
        <v>28</v>
      </c>
      <c r="H263" s="479">
        <v>31</v>
      </c>
      <c r="I263" s="477">
        <v>8</v>
      </c>
      <c r="J263" s="496">
        <v>1</v>
      </c>
      <c r="K263" s="489">
        <f t="shared" si="33"/>
        <v>1770</v>
      </c>
      <c r="L263" s="473">
        <v>5</v>
      </c>
      <c r="M263" s="134">
        <v>14</v>
      </c>
      <c r="N263" s="28">
        <v>546</v>
      </c>
      <c r="O263" s="396">
        <v>482</v>
      </c>
      <c r="P263" s="123">
        <v>194</v>
      </c>
      <c r="Q263" s="134">
        <v>119</v>
      </c>
      <c r="R263" s="28"/>
      <c r="S263" s="28">
        <v>2</v>
      </c>
      <c r="T263" s="28">
        <v>113</v>
      </c>
      <c r="U263" s="28">
        <v>169</v>
      </c>
      <c r="V263" s="28">
        <v>57</v>
      </c>
      <c r="W263" s="45">
        <v>69</v>
      </c>
      <c r="X263" s="529">
        <f t="shared" si="34"/>
        <v>1640</v>
      </c>
      <c r="Y263" s="134">
        <v>693</v>
      </c>
      <c r="Z263" s="28">
        <v>575</v>
      </c>
      <c r="AA263" s="45">
        <v>149</v>
      </c>
      <c r="AB263" s="424">
        <v>223</v>
      </c>
      <c r="AC263" s="134"/>
    </row>
    <row r="264" spans="1:29">
      <c r="A264" s="595"/>
      <c r="B264" s="596"/>
      <c r="C264" s="203"/>
      <c r="D264" s="627"/>
      <c r="E264" s="508"/>
      <c r="F264" s="508"/>
      <c r="G264" s="577"/>
      <c r="H264" s="578"/>
      <c r="I264" s="511"/>
      <c r="J264" s="512"/>
      <c r="K264" s="513"/>
      <c r="L264" s="579"/>
      <c r="M264" s="580"/>
      <c r="N264" s="206"/>
      <c r="O264" s="581"/>
      <c r="P264" s="210"/>
      <c r="Q264" s="256"/>
      <c r="R264" s="206"/>
      <c r="S264" s="206"/>
      <c r="T264" s="206"/>
      <c r="U264" s="206"/>
      <c r="V264" s="206"/>
      <c r="W264" s="317"/>
      <c r="X264" s="609"/>
      <c r="Y264" s="256"/>
      <c r="Z264" s="206"/>
      <c r="AA264" s="317"/>
      <c r="AB264" s="516"/>
      <c r="AC264" s="134"/>
    </row>
    <row r="265" spans="1:29">
      <c r="A265" s="182" t="s">
        <v>295</v>
      </c>
      <c r="B265" s="103"/>
      <c r="C265" s="4"/>
      <c r="D265" s="461">
        <f>SUM(D240:D264)</f>
        <v>555</v>
      </c>
      <c r="E265" s="461">
        <f t="shared" ref="E265:AB265" si="35">SUM(E240:E264)</f>
        <v>932</v>
      </c>
      <c r="F265" s="461">
        <f t="shared" si="35"/>
        <v>1002</v>
      </c>
      <c r="G265" s="461">
        <f t="shared" si="35"/>
        <v>436</v>
      </c>
      <c r="H265" s="462">
        <f t="shared" si="35"/>
        <v>433</v>
      </c>
      <c r="I265" s="462">
        <f t="shared" si="35"/>
        <v>90</v>
      </c>
      <c r="J265" s="463">
        <f t="shared" si="35"/>
        <v>43</v>
      </c>
      <c r="K265" s="461">
        <f t="shared" si="35"/>
        <v>23917</v>
      </c>
      <c r="L265" s="461">
        <f t="shared" si="35"/>
        <v>88</v>
      </c>
      <c r="M265" s="462">
        <f t="shared" si="35"/>
        <v>127</v>
      </c>
      <c r="N265" s="462">
        <f t="shared" si="35"/>
        <v>7631</v>
      </c>
      <c r="O265" s="470">
        <f t="shared" si="35"/>
        <v>7120</v>
      </c>
      <c r="P265" s="462">
        <f t="shared" si="35"/>
        <v>2199</v>
      </c>
      <c r="Q265" s="470">
        <f t="shared" si="35"/>
        <v>1677</v>
      </c>
      <c r="R265" s="462">
        <f t="shared" si="35"/>
        <v>116</v>
      </c>
      <c r="S265" s="462">
        <f t="shared" si="35"/>
        <v>139</v>
      </c>
      <c r="T265" s="462">
        <f t="shared" si="35"/>
        <v>1491</v>
      </c>
      <c r="U265" s="462">
        <f t="shared" si="35"/>
        <v>2170</v>
      </c>
      <c r="V265" s="462">
        <f t="shared" si="35"/>
        <v>500</v>
      </c>
      <c r="W265" s="463">
        <f t="shared" si="35"/>
        <v>659</v>
      </c>
      <c r="X265" s="461">
        <f t="shared" si="35"/>
        <v>21427</v>
      </c>
      <c r="Y265" s="461">
        <f t="shared" si="35"/>
        <v>8996</v>
      </c>
      <c r="Z265" s="462">
        <f t="shared" si="35"/>
        <v>8146</v>
      </c>
      <c r="AA265" s="462">
        <f t="shared" si="35"/>
        <v>1756</v>
      </c>
      <c r="AB265" s="464">
        <f t="shared" si="35"/>
        <v>2529</v>
      </c>
      <c r="AC265" s="463"/>
    </row>
    <row r="266" spans="1:29" ht="15" thickBot="1">
      <c r="A266" s="182"/>
      <c r="B266" s="103"/>
      <c r="C266" s="104"/>
      <c r="D266" s="252"/>
      <c r="E266" s="119"/>
      <c r="F266" s="501"/>
      <c r="G266" s="105"/>
      <c r="H266" s="323"/>
      <c r="I266" s="445"/>
      <c r="J266" s="106"/>
      <c r="K266" s="105"/>
      <c r="L266" s="108"/>
      <c r="M266" s="105"/>
      <c r="N266" s="322"/>
      <c r="O266" s="450"/>
      <c r="P266" s="443"/>
      <c r="Q266" s="105"/>
      <c r="R266" s="322"/>
      <c r="S266" s="322"/>
      <c r="T266" s="322"/>
      <c r="U266" s="322"/>
      <c r="V266" s="322"/>
      <c r="W266" s="323"/>
      <c r="X266" s="611"/>
      <c r="Y266" s="105"/>
      <c r="Z266" s="322"/>
      <c r="AA266" s="323"/>
      <c r="AB266" s="459"/>
      <c r="AC266" s="92"/>
    </row>
    <row r="267" spans="1:29" ht="15" thickTop="1">
      <c r="A267" s="33"/>
      <c r="B267" s="33"/>
    </row>
  </sheetData>
  <mergeCells count="36">
    <mergeCell ref="X5:AB6"/>
    <mergeCell ref="F7:F10"/>
    <mergeCell ref="G7:G10"/>
    <mergeCell ref="H7:H10"/>
    <mergeCell ref="I7:I10"/>
    <mergeCell ref="AB7:AB10"/>
    <mergeCell ref="C5:C10"/>
    <mergeCell ref="D5:D10"/>
    <mergeCell ref="E5:E10"/>
    <mergeCell ref="F5:J6"/>
    <mergeCell ref="K5:W6"/>
    <mergeCell ref="T9:T10"/>
    <mergeCell ref="U9:U10"/>
    <mergeCell ref="V9:V10"/>
    <mergeCell ref="W9:W10"/>
    <mergeCell ref="J7:J10"/>
    <mergeCell ref="K7:K10"/>
    <mergeCell ref="L7:M8"/>
    <mergeCell ref="N7:O8"/>
    <mergeCell ref="P7:Q8"/>
    <mergeCell ref="R7:S8"/>
    <mergeCell ref="AC7:AC10"/>
    <mergeCell ref="L9:L10"/>
    <mergeCell ref="M9:M10"/>
    <mergeCell ref="N9:N10"/>
    <mergeCell ref="O9:O10"/>
    <mergeCell ref="P9:P10"/>
    <mergeCell ref="Q9:Q10"/>
    <mergeCell ref="R9:R10"/>
    <mergeCell ref="S9:S10"/>
    <mergeCell ref="T7:U8"/>
    <mergeCell ref="V7:W8"/>
    <mergeCell ref="X7:X10"/>
    <mergeCell ref="Y7:Y10"/>
    <mergeCell ref="Z7:Z10"/>
    <mergeCell ref="AA7:AA10"/>
  </mergeCells>
  <pageMargins left="0.75" right="0.75" top="1" bottom="1" header="0.5" footer="0.5"/>
  <pageSetup paperSize="9" orientation="portrait"/>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1"/>
  </sheetPr>
  <dimension ref="A2:AC267"/>
  <sheetViews>
    <sheetView topLeftCell="AC254" workbookViewId="0">
      <selection activeCell="AC16" sqref="AC16"/>
    </sheetView>
  </sheetViews>
  <sheetFormatPr baseColWidth="10" defaultColWidth="11.5" defaultRowHeight="14" x14ac:dyDescent="0"/>
  <cols>
    <col min="1" max="1" width="34.6640625" customWidth="1"/>
    <col min="2" max="2" width="21.5" customWidth="1"/>
    <col min="3" max="5" width="10.1640625" customWidth="1"/>
    <col min="6" max="6" width="9.33203125" customWidth="1"/>
    <col min="7" max="7" width="12.1640625" customWidth="1"/>
    <col min="8" max="8" width="13.5" customWidth="1"/>
    <col min="9" max="9" width="12" style="68" customWidth="1"/>
    <col min="10" max="11" width="13.5" customWidth="1"/>
    <col min="12" max="12" width="12.5" customWidth="1"/>
    <col min="13" max="13" width="16.5" customWidth="1"/>
    <col min="14" max="14" width="13.1640625" customWidth="1"/>
    <col min="15" max="15" width="14.5" style="73" customWidth="1"/>
    <col min="16" max="16" width="15.6640625" customWidth="1"/>
    <col min="17" max="17" width="15.1640625" customWidth="1"/>
    <col min="18" max="18" width="13.83203125" customWidth="1"/>
    <col min="19" max="19" width="15" customWidth="1"/>
    <col min="20" max="20" width="11.33203125" customWidth="1"/>
    <col min="21" max="21" width="13" customWidth="1"/>
    <col min="23" max="23" width="13.1640625" customWidth="1"/>
    <col min="25" max="25" width="12.6640625" customWidth="1"/>
    <col min="26" max="26" width="13" customWidth="1"/>
    <col min="27" max="27" width="12.6640625" customWidth="1"/>
    <col min="28" max="28" width="12.5" style="31" customWidth="1"/>
    <col min="29" max="29" width="12.6640625" style="31" customWidth="1"/>
  </cols>
  <sheetData>
    <row r="2" spans="1:29" ht="18">
      <c r="A2" s="1" t="s">
        <v>439</v>
      </c>
      <c r="B2" s="696" t="s">
        <v>481</v>
      </c>
      <c r="C2" s="696"/>
      <c r="D2" s="696"/>
      <c r="E2" s="696"/>
      <c r="F2" s="696"/>
      <c r="G2" s="696"/>
      <c r="H2" s="696"/>
      <c r="I2" s="645"/>
      <c r="J2" s="644"/>
      <c r="K2" s="644"/>
      <c r="L2" s="644"/>
      <c r="M2" s="644"/>
      <c r="N2" s="644"/>
      <c r="O2" s="646"/>
      <c r="P2" s="264"/>
      <c r="Q2" s="264"/>
      <c r="Y2" s="262"/>
      <c r="Z2" s="262"/>
      <c r="AA2" s="262"/>
    </row>
    <row r="3" spans="1:29" s="31" customFormat="1" ht="15">
      <c r="B3" s="644"/>
      <c r="C3" s="644"/>
      <c r="D3" s="644"/>
      <c r="E3" s="644"/>
      <c r="F3" s="644"/>
      <c r="G3" s="644"/>
      <c r="H3" s="644"/>
      <c r="I3" s="644"/>
      <c r="J3" s="644"/>
      <c r="K3" s="644"/>
      <c r="L3" s="647"/>
      <c r="M3" s="647"/>
      <c r="N3" s="647"/>
      <c r="O3" s="648"/>
      <c r="P3" s="68"/>
      <c r="Q3" s="68"/>
    </row>
    <row r="4" spans="1:29" s="31" customFormat="1" ht="16" thickBot="1">
      <c r="B4" s="262"/>
      <c r="C4" s="262"/>
      <c r="D4" s="262"/>
      <c r="E4" s="262"/>
      <c r="F4" s="262"/>
      <c r="G4" s="262"/>
      <c r="H4" s="262"/>
      <c r="I4" s="262"/>
      <c r="J4" s="262"/>
      <c r="K4" s="262"/>
      <c r="O4" s="68"/>
      <c r="P4" s="68"/>
      <c r="Q4" s="68"/>
    </row>
    <row r="5" spans="1:29" s="31" customFormat="1" ht="15" thickTop="1">
      <c r="A5" s="64"/>
      <c r="B5" s="64"/>
      <c r="C5" s="710" t="s">
        <v>35</v>
      </c>
      <c r="D5" s="759" t="s">
        <v>418</v>
      </c>
      <c r="E5" s="759" t="s">
        <v>426</v>
      </c>
      <c r="F5" s="721" t="s">
        <v>419</v>
      </c>
      <c r="G5" s="727"/>
      <c r="H5" s="727"/>
      <c r="I5" s="727"/>
      <c r="J5" s="722"/>
      <c r="K5" s="721" t="s">
        <v>422</v>
      </c>
      <c r="L5" s="727"/>
      <c r="M5" s="727"/>
      <c r="N5" s="727"/>
      <c r="O5" s="727"/>
      <c r="P5" s="727"/>
      <c r="Q5" s="727"/>
      <c r="R5" s="727"/>
      <c r="S5" s="727"/>
      <c r="T5" s="727"/>
      <c r="U5" s="727"/>
      <c r="V5" s="727"/>
      <c r="W5" s="727"/>
      <c r="X5" s="721" t="s">
        <v>436</v>
      </c>
      <c r="Y5" s="727"/>
      <c r="Z5" s="727"/>
      <c r="AA5" s="727"/>
      <c r="AB5" s="725"/>
      <c r="AC5" s="634"/>
    </row>
    <row r="6" spans="1:29">
      <c r="A6" s="48"/>
      <c r="B6" s="59"/>
      <c r="C6" s="711"/>
      <c r="D6" s="760"/>
      <c r="E6" s="760"/>
      <c r="F6" s="723"/>
      <c r="G6" s="728"/>
      <c r="H6" s="728"/>
      <c r="I6" s="728"/>
      <c r="J6" s="724"/>
      <c r="K6" s="723"/>
      <c r="L6" s="728"/>
      <c r="M6" s="728"/>
      <c r="N6" s="728"/>
      <c r="O6" s="728"/>
      <c r="P6" s="728"/>
      <c r="Q6" s="728"/>
      <c r="R6" s="728"/>
      <c r="S6" s="728"/>
      <c r="T6" s="728"/>
      <c r="U6" s="728"/>
      <c r="V6" s="728"/>
      <c r="W6" s="728"/>
      <c r="X6" s="723"/>
      <c r="Y6" s="728"/>
      <c r="Z6" s="728"/>
      <c r="AA6" s="728"/>
      <c r="AB6" s="726"/>
      <c r="AC6" s="634"/>
    </row>
    <row r="7" spans="1:29">
      <c r="A7" s="59" t="s">
        <v>42</v>
      </c>
      <c r="B7" s="138"/>
      <c r="C7" s="711"/>
      <c r="D7" s="760"/>
      <c r="E7" s="760"/>
      <c r="F7" s="758" t="s">
        <v>44</v>
      </c>
      <c r="G7" s="749" t="s">
        <v>8</v>
      </c>
      <c r="H7" s="742" t="s">
        <v>7</v>
      </c>
      <c r="I7" s="752" t="s">
        <v>421</v>
      </c>
      <c r="J7" s="755" t="s">
        <v>420</v>
      </c>
      <c r="K7" s="758" t="s">
        <v>427</v>
      </c>
      <c r="L7" s="768" t="s">
        <v>423</v>
      </c>
      <c r="M7" s="769"/>
      <c r="N7" s="762" t="s">
        <v>425</v>
      </c>
      <c r="O7" s="767"/>
      <c r="P7" s="772" t="s">
        <v>424</v>
      </c>
      <c r="Q7" s="769"/>
      <c r="R7" s="762" t="s">
        <v>423</v>
      </c>
      <c r="S7" s="767"/>
      <c r="T7" s="762" t="s">
        <v>425</v>
      </c>
      <c r="U7" s="767"/>
      <c r="V7" s="762" t="s">
        <v>424</v>
      </c>
      <c r="W7" s="763"/>
      <c r="X7" s="736" t="s">
        <v>389</v>
      </c>
      <c r="Y7" s="739" t="s">
        <v>11</v>
      </c>
      <c r="Z7" s="742" t="s">
        <v>7</v>
      </c>
      <c r="AA7" s="742" t="s">
        <v>421</v>
      </c>
      <c r="AB7" s="745" t="s">
        <v>420</v>
      </c>
      <c r="AC7" s="700"/>
    </row>
    <row r="8" spans="1:29">
      <c r="A8" s="138">
        <v>4145</v>
      </c>
      <c r="B8" s="138"/>
      <c r="C8" s="711"/>
      <c r="D8" s="760"/>
      <c r="E8" s="760"/>
      <c r="F8" s="711"/>
      <c r="G8" s="750"/>
      <c r="H8" s="743"/>
      <c r="I8" s="753"/>
      <c r="J8" s="756"/>
      <c r="K8" s="711"/>
      <c r="L8" s="770"/>
      <c r="M8" s="771"/>
      <c r="N8" s="764"/>
      <c r="O8" s="733"/>
      <c r="P8" s="773"/>
      <c r="Q8" s="771"/>
      <c r="R8" s="764"/>
      <c r="S8" s="733"/>
      <c r="T8" s="764"/>
      <c r="U8" s="733"/>
      <c r="V8" s="764"/>
      <c r="W8" s="732"/>
      <c r="X8" s="737"/>
      <c r="Y8" s="740"/>
      <c r="Z8" s="743"/>
      <c r="AA8" s="743"/>
      <c r="AB8" s="746"/>
      <c r="AC8" s="700"/>
    </row>
    <row r="9" spans="1:29">
      <c r="A9" s="138"/>
      <c r="B9" s="138"/>
      <c r="C9" s="711"/>
      <c r="D9" s="760"/>
      <c r="E9" s="760"/>
      <c r="F9" s="711"/>
      <c r="G9" s="750"/>
      <c r="H9" s="743"/>
      <c r="I9" s="753"/>
      <c r="J9" s="756"/>
      <c r="K9" s="711"/>
      <c r="L9" s="749" t="s">
        <v>11</v>
      </c>
      <c r="M9" s="765" t="s">
        <v>7</v>
      </c>
      <c r="N9" s="742" t="s">
        <v>11</v>
      </c>
      <c r="O9" s="752" t="s">
        <v>7</v>
      </c>
      <c r="P9" s="742" t="s">
        <v>11</v>
      </c>
      <c r="Q9" s="762" t="s">
        <v>7</v>
      </c>
      <c r="R9" s="742" t="s">
        <v>421</v>
      </c>
      <c r="S9" s="742" t="s">
        <v>420</v>
      </c>
      <c r="T9" s="742" t="s">
        <v>421</v>
      </c>
      <c r="U9" s="742" t="s">
        <v>420</v>
      </c>
      <c r="V9" s="742" t="s">
        <v>421</v>
      </c>
      <c r="W9" s="762" t="s">
        <v>420</v>
      </c>
      <c r="X9" s="737"/>
      <c r="Y9" s="740"/>
      <c r="Z9" s="743"/>
      <c r="AA9" s="743"/>
      <c r="AB9" s="746"/>
      <c r="AC9" s="700"/>
    </row>
    <row r="10" spans="1:29" s="31" customFormat="1">
      <c r="A10" s="44"/>
      <c r="B10" s="44"/>
      <c r="C10" s="712"/>
      <c r="D10" s="761"/>
      <c r="E10" s="761"/>
      <c r="F10" s="712"/>
      <c r="G10" s="751"/>
      <c r="H10" s="744"/>
      <c r="I10" s="754"/>
      <c r="J10" s="757"/>
      <c r="K10" s="712"/>
      <c r="L10" s="751"/>
      <c r="M10" s="766"/>
      <c r="N10" s="744"/>
      <c r="O10" s="754"/>
      <c r="P10" s="744"/>
      <c r="Q10" s="764"/>
      <c r="R10" s="744"/>
      <c r="S10" s="744"/>
      <c r="T10" s="744"/>
      <c r="U10" s="744"/>
      <c r="V10" s="744"/>
      <c r="W10" s="764"/>
      <c r="X10" s="738"/>
      <c r="Y10" s="741"/>
      <c r="Z10" s="744"/>
      <c r="AA10" s="744"/>
      <c r="AB10" s="747"/>
      <c r="AC10" s="700"/>
    </row>
    <row r="11" spans="1:29" s="31" customFormat="1">
      <c r="A11" s="48"/>
      <c r="B11" s="48"/>
      <c r="C11" s="435"/>
      <c r="D11" s="95"/>
      <c r="E11" s="460"/>
      <c r="G11" s="56"/>
      <c r="H11" s="440"/>
      <c r="I11" s="441"/>
      <c r="J11" s="90"/>
      <c r="K11" s="47"/>
      <c r="L11" s="20"/>
      <c r="N11" s="18"/>
      <c r="O11" s="255"/>
      <c r="P11" s="381"/>
      <c r="Q11" s="161"/>
      <c r="R11" s="161"/>
      <c r="S11" s="18"/>
      <c r="T11" s="161"/>
      <c r="U11" s="18"/>
      <c r="V11" s="161"/>
      <c r="W11" s="161"/>
      <c r="X11" s="8"/>
      <c r="Y11" s="47"/>
      <c r="Z11" s="161"/>
      <c r="AA11" s="161"/>
      <c r="AB11" s="360"/>
      <c r="AC11" s="47"/>
    </row>
    <row r="12" spans="1:29" s="31" customFormat="1">
      <c r="A12" s="145" t="s">
        <v>61</v>
      </c>
      <c r="B12" s="235"/>
      <c r="C12" s="244"/>
      <c r="D12" s="637">
        <f>SUM(D15:D18)</f>
        <v>1179</v>
      </c>
      <c r="E12" s="637">
        <f t="shared" ref="E12:AB12" si="0">SUM(E15:E18)</f>
        <v>1785</v>
      </c>
      <c r="F12" s="637">
        <f t="shared" si="0"/>
        <v>2084</v>
      </c>
      <c r="G12" s="637">
        <f t="shared" si="0"/>
        <v>366</v>
      </c>
      <c r="H12" s="151">
        <f t="shared" si="0"/>
        <v>1114</v>
      </c>
      <c r="I12" s="151">
        <f t="shared" si="0"/>
        <v>407</v>
      </c>
      <c r="J12" s="616">
        <f t="shared" si="0"/>
        <v>197</v>
      </c>
      <c r="K12" s="637">
        <f t="shared" si="0"/>
        <v>34446</v>
      </c>
      <c r="L12" s="637">
        <f t="shared" si="0"/>
        <v>252</v>
      </c>
      <c r="M12" s="151">
        <f t="shared" si="0"/>
        <v>282</v>
      </c>
      <c r="N12" s="151">
        <f t="shared" si="0"/>
        <v>5829</v>
      </c>
      <c r="O12" s="151">
        <f t="shared" si="0"/>
        <v>7134</v>
      </c>
      <c r="P12" s="151">
        <f t="shared" si="0"/>
        <v>1224</v>
      </c>
      <c r="Q12" s="151">
        <f t="shared" si="0"/>
        <v>1430</v>
      </c>
      <c r="R12" s="151">
        <f t="shared" si="0"/>
        <v>542</v>
      </c>
      <c r="S12" s="151">
        <f t="shared" si="0"/>
        <v>527</v>
      </c>
      <c r="T12" s="151">
        <f t="shared" si="0"/>
        <v>6382</v>
      </c>
      <c r="U12" s="151">
        <f t="shared" si="0"/>
        <v>7188</v>
      </c>
      <c r="V12" s="151">
        <f t="shared" si="0"/>
        <v>1891</v>
      </c>
      <c r="W12" s="616">
        <f t="shared" si="0"/>
        <v>1765</v>
      </c>
      <c r="X12" s="637">
        <f t="shared" si="0"/>
        <v>30366</v>
      </c>
      <c r="Y12" s="637">
        <f t="shared" si="0"/>
        <v>6999</v>
      </c>
      <c r="Z12" s="151">
        <f t="shared" si="0"/>
        <v>8390</v>
      </c>
      <c r="AA12" s="151">
        <f t="shared" si="0"/>
        <v>7102</v>
      </c>
      <c r="AB12" s="639">
        <f t="shared" si="0"/>
        <v>7875</v>
      </c>
      <c r="AC12" s="463"/>
    </row>
    <row r="13" spans="1:29" s="31" customFormat="1" ht="15" thickBot="1">
      <c r="A13" s="47" t="s">
        <v>62</v>
      </c>
      <c r="B13" s="8"/>
      <c r="C13" s="17"/>
      <c r="D13" s="465"/>
      <c r="E13" s="466"/>
      <c r="F13" s="493"/>
      <c r="G13" s="402"/>
      <c r="H13" s="415"/>
      <c r="I13" s="148"/>
      <c r="J13" s="398"/>
      <c r="K13" s="500"/>
      <c r="L13" s="453"/>
      <c r="M13" s="415"/>
      <c r="N13" s="415"/>
      <c r="O13" s="148"/>
      <c r="P13" s="149"/>
      <c r="Q13" s="415"/>
      <c r="R13" s="168"/>
      <c r="S13" s="28"/>
      <c r="T13" s="168"/>
      <c r="U13" s="28"/>
      <c r="V13" s="168"/>
      <c r="W13" s="45"/>
      <c r="X13" s="617"/>
      <c r="Y13" s="134"/>
      <c r="Z13" s="168"/>
      <c r="AA13" s="45"/>
      <c r="AB13" s="635"/>
      <c r="AC13" s="134"/>
    </row>
    <row r="14" spans="1:29" s="31" customFormat="1">
      <c r="A14" s="47"/>
      <c r="B14" s="8"/>
      <c r="C14" s="17"/>
      <c r="D14" s="467"/>
      <c r="E14" s="118"/>
      <c r="F14" s="499"/>
      <c r="G14" s="70"/>
      <c r="H14" s="23"/>
      <c r="I14" s="22"/>
      <c r="J14" s="49"/>
      <c r="K14" s="493"/>
      <c r="L14" s="162"/>
      <c r="M14" s="23"/>
      <c r="N14" s="23"/>
      <c r="O14" s="22"/>
      <c r="P14" s="32"/>
      <c r="Q14" s="23"/>
      <c r="R14" s="28"/>
      <c r="S14" s="451"/>
      <c r="T14" s="28"/>
      <c r="U14" s="451"/>
      <c r="V14" s="28"/>
      <c r="W14" s="630"/>
      <c r="X14" s="640"/>
      <c r="Y14" s="633"/>
      <c r="Z14" s="28"/>
      <c r="AA14" s="630"/>
      <c r="AB14" s="424"/>
      <c r="AC14" s="134"/>
    </row>
    <row r="15" spans="1:29" s="31" customFormat="1">
      <c r="A15" s="31" t="s">
        <v>4</v>
      </c>
      <c r="B15" s="4"/>
      <c r="C15" s="10"/>
      <c r="D15" s="162">
        <v>508</v>
      </c>
      <c r="E15" s="406">
        <v>815</v>
      </c>
      <c r="F15" s="493">
        <f>SUM(G15:J15)</f>
        <v>896</v>
      </c>
      <c r="G15" s="70">
        <v>164</v>
      </c>
      <c r="H15" s="23">
        <v>546</v>
      </c>
      <c r="I15" s="22">
        <v>115</v>
      </c>
      <c r="J15" s="49">
        <v>71</v>
      </c>
      <c r="K15" s="493">
        <f>SUM(L15:W15)</f>
        <v>14145</v>
      </c>
      <c r="L15" s="162">
        <v>96</v>
      </c>
      <c r="M15" s="23">
        <v>108</v>
      </c>
      <c r="N15" s="23">
        <v>3269</v>
      </c>
      <c r="O15" s="22">
        <v>3266</v>
      </c>
      <c r="P15" s="32">
        <v>837</v>
      </c>
      <c r="Q15" s="23">
        <v>610</v>
      </c>
      <c r="R15" s="28">
        <v>315</v>
      </c>
      <c r="S15" s="28">
        <v>262</v>
      </c>
      <c r="T15" s="28">
        <v>2448</v>
      </c>
      <c r="U15" s="28">
        <v>2223</v>
      </c>
      <c r="V15" s="28">
        <v>359</v>
      </c>
      <c r="W15" s="45">
        <v>352</v>
      </c>
      <c r="X15" s="529">
        <f>SUM(Y15:AB15)</f>
        <v>12697</v>
      </c>
      <c r="Y15" s="134">
        <v>4011</v>
      </c>
      <c r="Z15" s="28">
        <v>3690</v>
      </c>
      <c r="AA15" s="45">
        <v>2582</v>
      </c>
      <c r="AB15" s="424">
        <v>2414</v>
      </c>
      <c r="AC15" s="134"/>
    </row>
    <row r="16" spans="1:29" s="31" customFormat="1">
      <c r="A16" s="68" t="s">
        <v>1</v>
      </c>
      <c r="B16" s="111"/>
      <c r="C16" s="245"/>
      <c r="D16" s="468">
        <v>308</v>
      </c>
      <c r="E16" s="469">
        <v>439</v>
      </c>
      <c r="F16" s="493">
        <f t="shared" ref="F16:F18" si="1">SUM(G16:J16)</f>
        <v>541</v>
      </c>
      <c r="G16" s="70">
        <v>76</v>
      </c>
      <c r="H16" s="23">
        <v>225</v>
      </c>
      <c r="I16" s="22">
        <v>141</v>
      </c>
      <c r="J16" s="49">
        <v>99</v>
      </c>
      <c r="K16" s="493">
        <f t="shared" ref="K16:K79" si="2">SUM(L16:W16)</f>
        <v>9593</v>
      </c>
      <c r="L16" s="162">
        <v>51</v>
      </c>
      <c r="M16" s="23">
        <v>58</v>
      </c>
      <c r="N16" s="23">
        <v>787</v>
      </c>
      <c r="O16" s="22">
        <v>1319</v>
      </c>
      <c r="P16" s="32">
        <v>126</v>
      </c>
      <c r="Q16" s="23">
        <v>322</v>
      </c>
      <c r="R16" s="28">
        <v>133</v>
      </c>
      <c r="S16" s="28">
        <v>146</v>
      </c>
      <c r="T16" s="28">
        <v>2426</v>
      </c>
      <c r="U16" s="28">
        <v>2774</v>
      </c>
      <c r="V16" s="28">
        <v>716</v>
      </c>
      <c r="W16" s="45">
        <v>735</v>
      </c>
      <c r="X16" s="529">
        <f t="shared" ref="X16:X18" si="3">SUM(Y16:AB16)</f>
        <v>8116</v>
      </c>
      <c r="Y16" s="134">
        <v>960</v>
      </c>
      <c r="Z16" s="28">
        <v>1656</v>
      </c>
      <c r="AA16" s="45">
        <v>2562</v>
      </c>
      <c r="AB16" s="424">
        <v>2938</v>
      </c>
      <c r="AC16" s="134"/>
    </row>
    <row r="17" spans="1:29" s="31" customFormat="1">
      <c r="A17" s="68" t="s">
        <v>2</v>
      </c>
      <c r="B17" s="111"/>
      <c r="C17" s="245"/>
      <c r="D17" s="468">
        <v>197</v>
      </c>
      <c r="E17" s="469">
        <v>299</v>
      </c>
      <c r="F17" s="493">
        <f t="shared" si="1"/>
        <v>390</v>
      </c>
      <c r="G17" s="70">
        <v>66</v>
      </c>
      <c r="H17" s="23">
        <v>198</v>
      </c>
      <c r="I17" s="28">
        <v>109</v>
      </c>
      <c r="J17" s="49">
        <v>17</v>
      </c>
      <c r="K17" s="493">
        <f t="shared" si="2"/>
        <v>6890</v>
      </c>
      <c r="L17" s="162">
        <v>72</v>
      </c>
      <c r="M17" s="23">
        <v>79</v>
      </c>
      <c r="N17" s="23">
        <v>941</v>
      </c>
      <c r="O17" s="22">
        <v>1552</v>
      </c>
      <c r="P17" s="32">
        <v>165</v>
      </c>
      <c r="Q17" s="23">
        <v>266</v>
      </c>
      <c r="R17" s="28">
        <v>43</v>
      </c>
      <c r="S17" s="28">
        <v>66</v>
      </c>
      <c r="T17" s="28">
        <v>1027</v>
      </c>
      <c r="U17" s="28">
        <v>1539</v>
      </c>
      <c r="V17" s="28">
        <v>609</v>
      </c>
      <c r="W17" s="45">
        <v>531</v>
      </c>
      <c r="X17" s="529">
        <f t="shared" si="3"/>
        <v>6038</v>
      </c>
      <c r="Y17" s="134">
        <v>1085</v>
      </c>
      <c r="Z17" s="28">
        <v>1786</v>
      </c>
      <c r="AA17" s="45">
        <v>1346</v>
      </c>
      <c r="AB17" s="424">
        <v>1821</v>
      </c>
      <c r="AC17" s="134"/>
    </row>
    <row r="18" spans="1:29" s="31" customFormat="1">
      <c r="A18" s="68" t="s">
        <v>3</v>
      </c>
      <c r="B18" s="111"/>
      <c r="C18" s="245"/>
      <c r="D18" s="468">
        <v>166</v>
      </c>
      <c r="E18" s="469">
        <v>232</v>
      </c>
      <c r="F18" s="493">
        <f t="shared" si="1"/>
        <v>257</v>
      </c>
      <c r="G18" s="70">
        <v>60</v>
      </c>
      <c r="H18" s="23">
        <v>145</v>
      </c>
      <c r="I18" s="22">
        <v>42</v>
      </c>
      <c r="J18" s="49">
        <v>10</v>
      </c>
      <c r="K18" s="493">
        <f t="shared" si="2"/>
        <v>3818</v>
      </c>
      <c r="L18" s="162">
        <v>33</v>
      </c>
      <c r="M18" s="23">
        <v>37</v>
      </c>
      <c r="N18" s="23">
        <v>832</v>
      </c>
      <c r="O18" s="22">
        <v>997</v>
      </c>
      <c r="P18" s="32">
        <v>96</v>
      </c>
      <c r="Q18" s="23">
        <v>232</v>
      </c>
      <c r="R18" s="28">
        <v>51</v>
      </c>
      <c r="S18" s="28">
        <v>53</v>
      </c>
      <c r="T18" s="28">
        <v>481</v>
      </c>
      <c r="U18" s="28">
        <v>652</v>
      </c>
      <c r="V18" s="28">
        <v>207</v>
      </c>
      <c r="W18" s="45">
        <v>147</v>
      </c>
      <c r="X18" s="529">
        <f t="shared" si="3"/>
        <v>3515</v>
      </c>
      <c r="Y18" s="134">
        <v>943</v>
      </c>
      <c r="Z18" s="28">
        <v>1258</v>
      </c>
      <c r="AA18" s="45">
        <v>612</v>
      </c>
      <c r="AB18" s="424">
        <v>702</v>
      </c>
      <c r="AC18" s="134"/>
    </row>
    <row r="19" spans="1:29" ht="15">
      <c r="A19" s="44"/>
      <c r="B19" s="438"/>
      <c r="C19" s="439"/>
      <c r="D19" s="599"/>
      <c r="E19" s="600"/>
      <c r="F19" s="502"/>
      <c r="G19" s="231"/>
      <c r="H19" s="416"/>
      <c r="I19" s="601"/>
      <c r="J19" s="602"/>
      <c r="K19" s="493"/>
      <c r="L19" s="266"/>
      <c r="M19" s="42"/>
      <c r="N19" s="43"/>
      <c r="O19" s="603"/>
      <c r="P19" s="231"/>
      <c r="Q19" s="416"/>
      <c r="R19" s="416"/>
      <c r="S19" s="43"/>
      <c r="T19" s="416"/>
      <c r="U19" s="43"/>
      <c r="V19" s="416"/>
      <c r="W19" s="416"/>
      <c r="X19" s="642"/>
      <c r="Y19" s="42"/>
      <c r="Z19" s="416"/>
      <c r="AA19" s="416"/>
      <c r="AB19" s="604"/>
      <c r="AC19" s="32"/>
    </row>
    <row r="20" spans="1:29" ht="16" thickBot="1">
      <c r="A20" s="436" t="s">
        <v>5</v>
      </c>
      <c r="B20" s="172"/>
      <c r="C20" s="8"/>
      <c r="D20" s="117"/>
      <c r="E20" s="118"/>
      <c r="F20" s="493"/>
      <c r="G20" s="63"/>
      <c r="H20" s="23"/>
      <c r="I20" s="605"/>
      <c r="J20" s="69"/>
      <c r="K20" s="508"/>
      <c r="L20" s="63"/>
      <c r="M20" s="32"/>
      <c r="N20" s="22"/>
      <c r="O20" s="448"/>
      <c r="P20" s="70"/>
      <c r="Q20" s="23"/>
      <c r="R20" s="23"/>
      <c r="S20" s="22"/>
      <c r="T20" s="23"/>
      <c r="U20" s="22"/>
      <c r="V20" s="23"/>
      <c r="W20" s="23"/>
      <c r="X20" s="529"/>
      <c r="Y20" s="32"/>
      <c r="Z20" s="23"/>
      <c r="AA20" s="23"/>
      <c r="AB20" s="454"/>
      <c r="AC20" s="32"/>
    </row>
    <row r="21" spans="1:29">
      <c r="A21" s="146">
        <v>1</v>
      </c>
      <c r="B21" s="48" t="s">
        <v>87</v>
      </c>
      <c r="C21" s="4" t="s">
        <v>444</v>
      </c>
      <c r="D21" s="452">
        <v>8</v>
      </c>
      <c r="E21" s="406">
        <v>8</v>
      </c>
      <c r="F21" s="493">
        <f>SUM(G21:J21)</f>
        <v>8</v>
      </c>
      <c r="G21" s="23"/>
      <c r="H21" s="52">
        <v>8</v>
      </c>
      <c r="I21" s="32"/>
      <c r="J21" s="71"/>
      <c r="K21" s="493">
        <f t="shared" si="2"/>
        <v>67</v>
      </c>
      <c r="L21" s="120"/>
      <c r="M21" s="134">
        <v>4</v>
      </c>
      <c r="N21" s="22">
        <v>27</v>
      </c>
      <c r="O21" s="448">
        <v>31</v>
      </c>
      <c r="P21" s="70">
        <v>3</v>
      </c>
      <c r="Q21" s="23">
        <v>2</v>
      </c>
      <c r="R21" s="23"/>
      <c r="S21" s="22"/>
      <c r="T21" s="45"/>
      <c r="U21" s="28"/>
      <c r="V21" s="23"/>
      <c r="W21" s="23"/>
      <c r="X21" s="529">
        <f>SUM(Y21:AB21)</f>
        <v>61</v>
      </c>
      <c r="Y21" s="32">
        <v>26</v>
      </c>
      <c r="Z21" s="23">
        <v>35</v>
      </c>
      <c r="AA21" s="23"/>
      <c r="AB21" s="424"/>
      <c r="AC21" s="32"/>
    </row>
    <row r="22" spans="1:29">
      <c r="A22" s="146">
        <v>2</v>
      </c>
      <c r="B22" s="48" t="s">
        <v>88</v>
      </c>
      <c r="C22" s="4"/>
      <c r="D22" s="452">
        <v>1</v>
      </c>
      <c r="E22" s="406">
        <v>1</v>
      </c>
      <c r="F22" s="493">
        <f t="shared" ref="F22:F85" si="4">SUM(G22:J22)</f>
        <v>1</v>
      </c>
      <c r="G22" s="23"/>
      <c r="H22" s="52">
        <v>1</v>
      </c>
      <c r="I22" s="32"/>
      <c r="J22" s="71"/>
      <c r="K22" s="493">
        <f t="shared" si="2"/>
        <v>31</v>
      </c>
      <c r="L22" s="120"/>
      <c r="M22" s="606"/>
      <c r="N22" s="22">
        <v>15</v>
      </c>
      <c r="O22" s="448">
        <v>12</v>
      </c>
      <c r="P22" s="70">
        <v>2</v>
      </c>
      <c r="Q22" s="23">
        <v>2</v>
      </c>
      <c r="R22" s="23"/>
      <c r="S22" s="22"/>
      <c r="T22" s="45"/>
      <c r="U22" s="28"/>
      <c r="V22" s="23"/>
      <c r="W22" s="23"/>
      <c r="X22" s="529">
        <f t="shared" ref="X22:X85" si="5">SUM(Y22:AB22)</f>
        <v>26</v>
      </c>
      <c r="Y22" s="32">
        <v>14</v>
      </c>
      <c r="Z22" s="23">
        <v>12</v>
      </c>
      <c r="AA22" s="23"/>
      <c r="AB22" s="424"/>
      <c r="AC22" s="32"/>
    </row>
    <row r="23" spans="1:29">
      <c r="A23" s="146">
        <v>3</v>
      </c>
      <c r="B23" s="48" t="s">
        <v>89</v>
      </c>
      <c r="C23" s="4"/>
      <c r="D23" s="452">
        <v>10</v>
      </c>
      <c r="E23" s="406">
        <v>61</v>
      </c>
      <c r="F23" s="493">
        <f t="shared" si="4"/>
        <v>67</v>
      </c>
      <c r="G23" s="23">
        <v>34</v>
      </c>
      <c r="H23" s="52">
        <v>33</v>
      </c>
      <c r="I23" s="32"/>
      <c r="J23" s="71"/>
      <c r="K23" s="493">
        <f t="shared" si="2"/>
        <v>821</v>
      </c>
      <c r="L23" s="120">
        <v>1</v>
      </c>
      <c r="M23" s="606"/>
      <c r="N23" s="22">
        <v>325</v>
      </c>
      <c r="O23" s="448">
        <v>172</v>
      </c>
      <c r="P23" s="70">
        <v>222</v>
      </c>
      <c r="Q23" s="23">
        <v>101</v>
      </c>
      <c r="R23" s="23"/>
      <c r="S23" s="22"/>
      <c r="T23" s="45"/>
      <c r="U23" s="28"/>
      <c r="V23" s="23"/>
      <c r="W23" s="23"/>
      <c r="X23" s="529">
        <f t="shared" si="5"/>
        <v>802</v>
      </c>
      <c r="Y23" s="32">
        <v>541</v>
      </c>
      <c r="Z23" s="23">
        <v>261</v>
      </c>
      <c r="AA23" s="23"/>
      <c r="AB23" s="424"/>
      <c r="AC23" s="32"/>
    </row>
    <row r="24" spans="1:29">
      <c r="A24" s="146">
        <v>4</v>
      </c>
      <c r="B24" s="48" t="s">
        <v>90</v>
      </c>
      <c r="C24" s="4"/>
      <c r="D24" s="452">
        <v>2</v>
      </c>
      <c r="E24" s="406">
        <v>2</v>
      </c>
      <c r="F24" s="493">
        <f t="shared" si="4"/>
        <v>2</v>
      </c>
      <c r="G24" s="23">
        <v>1</v>
      </c>
      <c r="H24" s="52">
        <v>1</v>
      </c>
      <c r="I24" s="32"/>
      <c r="J24" s="71"/>
      <c r="K24" s="493">
        <f t="shared" si="2"/>
        <v>31</v>
      </c>
      <c r="L24" s="120"/>
      <c r="M24" s="606"/>
      <c r="N24" s="22"/>
      <c r="O24" s="448"/>
      <c r="P24" s="70"/>
      <c r="Q24" s="23"/>
      <c r="R24" s="23"/>
      <c r="S24" s="22"/>
      <c r="T24" s="45">
        <v>18</v>
      </c>
      <c r="U24" s="28">
        <v>13</v>
      </c>
      <c r="V24" s="23"/>
      <c r="W24" s="23"/>
      <c r="X24" s="529">
        <f t="shared" si="5"/>
        <v>24</v>
      </c>
      <c r="Y24" s="32">
        <v>1</v>
      </c>
      <c r="Z24" s="23"/>
      <c r="AA24" s="23">
        <v>14</v>
      </c>
      <c r="AB24" s="424">
        <v>9</v>
      </c>
      <c r="AC24" s="32"/>
    </row>
    <row r="25" spans="1:29">
      <c r="A25" s="146">
        <v>5</v>
      </c>
      <c r="B25" s="48" t="s">
        <v>91</v>
      </c>
      <c r="C25" s="4"/>
      <c r="D25" s="452">
        <v>4</v>
      </c>
      <c r="E25" s="406">
        <v>4</v>
      </c>
      <c r="F25" s="493">
        <f t="shared" si="4"/>
        <v>4</v>
      </c>
      <c r="G25" s="23">
        <v>2</v>
      </c>
      <c r="H25" s="52">
        <v>2</v>
      </c>
      <c r="I25" s="32"/>
      <c r="J25" s="49"/>
      <c r="K25" s="493">
        <f t="shared" si="2"/>
        <v>24</v>
      </c>
      <c r="L25" s="120"/>
      <c r="M25" s="606"/>
      <c r="N25" s="22">
        <v>7</v>
      </c>
      <c r="O25" s="448">
        <v>15</v>
      </c>
      <c r="P25" s="70">
        <v>1</v>
      </c>
      <c r="Q25" s="23">
        <v>1</v>
      </c>
      <c r="R25" s="23"/>
      <c r="S25" s="22"/>
      <c r="T25" s="45"/>
      <c r="U25" s="28"/>
      <c r="V25" s="23"/>
      <c r="W25" s="23"/>
      <c r="X25" s="529">
        <f t="shared" si="5"/>
        <v>24</v>
      </c>
      <c r="Y25" s="32">
        <v>8</v>
      </c>
      <c r="Z25" s="23">
        <v>16</v>
      </c>
      <c r="AA25" s="23"/>
      <c r="AB25" s="424"/>
      <c r="AC25" s="32"/>
    </row>
    <row r="26" spans="1:29">
      <c r="A26" s="146">
        <v>6</v>
      </c>
      <c r="B26" s="48" t="s">
        <v>92</v>
      </c>
      <c r="C26" s="4"/>
      <c r="D26" s="452">
        <v>3</v>
      </c>
      <c r="E26" s="406">
        <v>10</v>
      </c>
      <c r="F26" s="493">
        <f t="shared" si="4"/>
        <v>12</v>
      </c>
      <c r="G26" s="23">
        <v>1</v>
      </c>
      <c r="H26" s="52">
        <v>11</v>
      </c>
      <c r="I26" s="32"/>
      <c r="J26" s="71"/>
      <c r="K26" s="493">
        <f t="shared" si="2"/>
        <v>143</v>
      </c>
      <c r="L26" s="120">
        <v>4</v>
      </c>
      <c r="M26" s="606">
        <v>8</v>
      </c>
      <c r="N26" s="22">
        <v>32</v>
      </c>
      <c r="O26" s="448">
        <v>72</v>
      </c>
      <c r="P26" s="70">
        <v>1</v>
      </c>
      <c r="Q26" s="23">
        <v>26</v>
      </c>
      <c r="R26" s="23"/>
      <c r="S26" s="22"/>
      <c r="T26" s="45"/>
      <c r="U26" s="28"/>
      <c r="V26" s="23"/>
      <c r="W26" s="23"/>
      <c r="X26" s="529">
        <f t="shared" si="5"/>
        <v>140</v>
      </c>
      <c r="Y26" s="32">
        <v>36</v>
      </c>
      <c r="Z26" s="23">
        <v>104</v>
      </c>
      <c r="AA26" s="23"/>
      <c r="AB26" s="424"/>
      <c r="AC26" s="32"/>
    </row>
    <row r="27" spans="1:29">
      <c r="A27" s="146">
        <v>7</v>
      </c>
      <c r="B27" s="48" t="s">
        <v>93</v>
      </c>
      <c r="C27" s="4"/>
      <c r="D27" s="452">
        <v>10</v>
      </c>
      <c r="E27" s="406">
        <v>10</v>
      </c>
      <c r="F27" s="493">
        <f t="shared" si="4"/>
        <v>10</v>
      </c>
      <c r="G27" s="23">
        <v>1</v>
      </c>
      <c r="H27" s="52">
        <v>9</v>
      </c>
      <c r="I27" s="23"/>
      <c r="J27" s="49"/>
      <c r="K27" s="493">
        <f t="shared" si="2"/>
        <v>48</v>
      </c>
      <c r="L27" s="120"/>
      <c r="M27" s="32"/>
      <c r="N27" s="22">
        <v>26</v>
      </c>
      <c r="O27" s="448">
        <v>18</v>
      </c>
      <c r="P27" s="70">
        <v>2</v>
      </c>
      <c r="Q27" s="23">
        <v>2</v>
      </c>
      <c r="R27" s="23"/>
      <c r="S27" s="22"/>
      <c r="T27" s="45"/>
      <c r="U27" s="28"/>
      <c r="V27" s="23"/>
      <c r="W27" s="23"/>
      <c r="X27" s="529">
        <f t="shared" si="5"/>
        <v>47</v>
      </c>
      <c r="Y27" s="32">
        <v>27</v>
      </c>
      <c r="Z27" s="23">
        <v>20</v>
      </c>
      <c r="AA27" s="23"/>
      <c r="AB27" s="424"/>
      <c r="AC27" s="32"/>
    </row>
    <row r="28" spans="1:29">
      <c r="A28" s="146">
        <v>8</v>
      </c>
      <c r="B28" s="48" t="s">
        <v>94</v>
      </c>
      <c r="C28" s="4"/>
      <c r="D28" s="452">
        <v>1</v>
      </c>
      <c r="E28" s="406">
        <v>1</v>
      </c>
      <c r="F28" s="493">
        <f t="shared" si="4"/>
        <v>1</v>
      </c>
      <c r="G28" s="21"/>
      <c r="H28" s="52">
        <v>1</v>
      </c>
      <c r="I28" s="23"/>
      <c r="J28" s="49"/>
      <c r="K28" s="493">
        <f t="shared" si="2"/>
        <v>10</v>
      </c>
      <c r="L28" s="120"/>
      <c r="M28" s="32"/>
      <c r="N28" s="22">
        <v>4</v>
      </c>
      <c r="O28" s="448">
        <v>6</v>
      </c>
      <c r="P28" s="70"/>
      <c r="Q28" s="23"/>
      <c r="R28" s="23"/>
      <c r="S28" s="22"/>
      <c r="T28" s="45"/>
      <c r="U28" s="28"/>
      <c r="V28" s="23"/>
      <c r="W28" s="23"/>
      <c r="X28" s="529">
        <f t="shared" si="5"/>
        <v>10</v>
      </c>
      <c r="Y28" s="32">
        <v>4</v>
      </c>
      <c r="Z28" s="23">
        <v>6</v>
      </c>
      <c r="AA28" s="23"/>
      <c r="AB28" s="424"/>
      <c r="AC28" s="32"/>
    </row>
    <row r="29" spans="1:29">
      <c r="A29" s="146">
        <v>9</v>
      </c>
      <c r="B29" s="48" t="s">
        <v>95</v>
      </c>
      <c r="C29" s="4"/>
      <c r="D29" s="452"/>
      <c r="E29" s="406"/>
      <c r="F29" s="493">
        <f t="shared" si="4"/>
        <v>0</v>
      </c>
      <c r="G29" s="21"/>
      <c r="H29" s="52"/>
      <c r="I29" s="23"/>
      <c r="J29" s="49"/>
      <c r="K29" s="493">
        <f t="shared" si="2"/>
        <v>0</v>
      </c>
      <c r="L29" s="120"/>
      <c r="M29" s="32"/>
      <c r="N29" s="22"/>
      <c r="O29" s="448"/>
      <c r="P29" s="70"/>
      <c r="Q29" s="23"/>
      <c r="R29" s="23"/>
      <c r="S29" s="22"/>
      <c r="T29" s="45"/>
      <c r="U29" s="28"/>
      <c r="V29" s="23"/>
      <c r="W29" s="23"/>
      <c r="X29" s="529">
        <f t="shared" si="5"/>
        <v>0</v>
      </c>
      <c r="Y29" s="32"/>
      <c r="Z29" s="23"/>
      <c r="AA29" s="23"/>
      <c r="AB29" s="424"/>
      <c r="AC29" s="32"/>
    </row>
    <row r="30" spans="1:29">
      <c r="A30" s="146">
        <v>10</v>
      </c>
      <c r="B30" s="48" t="s">
        <v>96</v>
      </c>
      <c r="C30" s="4"/>
      <c r="D30" s="452">
        <v>2</v>
      </c>
      <c r="E30" s="406">
        <v>2</v>
      </c>
      <c r="F30" s="493">
        <f t="shared" si="4"/>
        <v>2</v>
      </c>
      <c r="G30" s="21"/>
      <c r="H30" s="52">
        <v>2</v>
      </c>
      <c r="I30" s="23"/>
      <c r="J30" s="49"/>
      <c r="K30" s="493">
        <f t="shared" si="2"/>
        <v>26</v>
      </c>
      <c r="L30" s="120"/>
      <c r="M30" s="32"/>
      <c r="N30" s="22">
        <v>16</v>
      </c>
      <c r="O30" s="448">
        <v>10</v>
      </c>
      <c r="P30" s="70"/>
      <c r="Q30" s="23"/>
      <c r="R30" s="23"/>
      <c r="S30" s="22"/>
      <c r="T30" s="45"/>
      <c r="U30" s="28"/>
      <c r="V30" s="23"/>
      <c r="W30" s="23"/>
      <c r="X30" s="529">
        <f t="shared" si="5"/>
        <v>26</v>
      </c>
      <c r="Y30" s="32">
        <v>16</v>
      </c>
      <c r="Z30" s="23">
        <v>10</v>
      </c>
      <c r="AA30" s="23"/>
      <c r="AB30" s="424"/>
      <c r="AC30" s="32"/>
    </row>
    <row r="31" spans="1:29">
      <c r="A31" s="146">
        <v>11</v>
      </c>
      <c r="B31" s="48" t="s">
        <v>97</v>
      </c>
      <c r="C31" s="4"/>
      <c r="D31" s="452">
        <v>1</v>
      </c>
      <c r="E31" s="406">
        <v>1</v>
      </c>
      <c r="F31" s="493">
        <f t="shared" si="4"/>
        <v>1</v>
      </c>
      <c r="G31" s="21"/>
      <c r="H31" s="52"/>
      <c r="I31" s="23"/>
      <c r="J31" s="49">
        <v>1</v>
      </c>
      <c r="K31" s="493">
        <f t="shared" si="2"/>
        <v>25</v>
      </c>
      <c r="L31" s="120"/>
      <c r="M31" s="32"/>
      <c r="N31" s="22"/>
      <c r="O31" s="52"/>
      <c r="P31" s="70"/>
      <c r="Q31" s="23"/>
      <c r="R31" s="23"/>
      <c r="S31" s="22">
        <v>1</v>
      </c>
      <c r="T31" s="45">
        <v>8</v>
      </c>
      <c r="U31" s="28">
        <v>16</v>
      </c>
      <c r="V31" s="23"/>
      <c r="W31" s="23"/>
      <c r="X31" s="529">
        <f t="shared" si="5"/>
        <v>22</v>
      </c>
      <c r="Y31" s="32"/>
      <c r="Z31" s="23"/>
      <c r="AA31" s="23">
        <v>7</v>
      </c>
      <c r="AB31" s="424">
        <v>15</v>
      </c>
      <c r="AC31" s="32"/>
    </row>
    <row r="32" spans="1:29">
      <c r="A32" s="146">
        <v>12</v>
      </c>
      <c r="B32" s="48" t="s">
        <v>98</v>
      </c>
      <c r="C32" s="4"/>
      <c r="D32" s="452"/>
      <c r="E32" s="406"/>
      <c r="F32" s="493">
        <f t="shared" si="4"/>
        <v>0</v>
      </c>
      <c r="G32" s="21"/>
      <c r="H32" s="52"/>
      <c r="I32" s="23"/>
      <c r="J32" s="49"/>
      <c r="K32" s="493">
        <f t="shared" si="2"/>
        <v>0</v>
      </c>
      <c r="L32" s="120"/>
      <c r="M32" s="32"/>
      <c r="N32" s="22"/>
      <c r="O32" s="448"/>
      <c r="P32" s="70"/>
      <c r="Q32" s="23"/>
      <c r="R32" s="23"/>
      <c r="S32" s="22"/>
      <c r="T32" s="45"/>
      <c r="U32" s="28"/>
      <c r="V32" s="23"/>
      <c r="W32" s="23"/>
      <c r="X32" s="529">
        <f t="shared" si="5"/>
        <v>0</v>
      </c>
      <c r="Y32" s="32"/>
      <c r="Z32" s="23"/>
      <c r="AA32" s="23"/>
      <c r="AB32" s="424"/>
      <c r="AC32" s="32"/>
    </row>
    <row r="33" spans="1:29">
      <c r="A33" s="146">
        <v>13</v>
      </c>
      <c r="B33" s="48" t="s">
        <v>99</v>
      </c>
      <c r="C33" s="4"/>
      <c r="D33" s="452">
        <v>11</v>
      </c>
      <c r="E33" s="406">
        <v>11</v>
      </c>
      <c r="F33" s="493">
        <f t="shared" si="4"/>
        <v>11</v>
      </c>
      <c r="G33" s="21">
        <v>2</v>
      </c>
      <c r="H33" s="52">
        <v>9</v>
      </c>
      <c r="I33" s="23"/>
      <c r="J33" s="49"/>
      <c r="K33" s="493">
        <f t="shared" si="2"/>
        <v>40</v>
      </c>
      <c r="L33" s="120">
        <v>2</v>
      </c>
      <c r="M33" s="32">
        <v>2</v>
      </c>
      <c r="N33" s="22">
        <v>22</v>
      </c>
      <c r="O33" s="448">
        <v>13</v>
      </c>
      <c r="P33" s="70"/>
      <c r="Q33" s="23">
        <v>1</v>
      </c>
      <c r="R33" s="23"/>
      <c r="S33" s="22"/>
      <c r="T33" s="45"/>
      <c r="U33" s="28"/>
      <c r="V33" s="23"/>
      <c r="W33" s="23"/>
      <c r="X33" s="529">
        <f t="shared" si="5"/>
        <v>40</v>
      </c>
      <c r="Y33" s="32">
        <v>24</v>
      </c>
      <c r="Z33" s="23">
        <v>16</v>
      </c>
      <c r="AA33" s="23"/>
      <c r="AB33" s="424"/>
      <c r="AC33" s="32"/>
    </row>
    <row r="34" spans="1:29">
      <c r="A34" s="146">
        <v>14</v>
      </c>
      <c r="B34" s="48" t="s">
        <v>100</v>
      </c>
      <c r="C34" s="4"/>
      <c r="D34" s="452">
        <v>1</v>
      </c>
      <c r="E34" s="406">
        <v>1</v>
      </c>
      <c r="F34" s="493">
        <f t="shared" si="4"/>
        <v>1</v>
      </c>
      <c r="G34" s="21"/>
      <c r="H34" s="52">
        <v>1</v>
      </c>
      <c r="I34" s="23"/>
      <c r="J34" s="49"/>
      <c r="K34" s="493">
        <f t="shared" si="2"/>
        <v>10</v>
      </c>
      <c r="L34" s="120"/>
      <c r="M34" s="32"/>
      <c r="N34" s="22">
        <v>3</v>
      </c>
      <c r="O34" s="448">
        <v>6</v>
      </c>
      <c r="P34" s="70">
        <v>1</v>
      </c>
      <c r="Q34" s="23"/>
      <c r="R34" s="23"/>
      <c r="S34" s="22"/>
      <c r="T34" s="45"/>
      <c r="U34" s="28"/>
      <c r="V34" s="23"/>
      <c r="W34" s="23"/>
      <c r="X34" s="529">
        <f t="shared" si="5"/>
        <v>10</v>
      </c>
      <c r="Y34" s="32">
        <v>4</v>
      </c>
      <c r="Z34" s="23">
        <v>6</v>
      </c>
      <c r="AA34" s="45"/>
      <c r="AB34" s="424"/>
      <c r="AC34" s="32"/>
    </row>
    <row r="35" spans="1:29">
      <c r="A35" s="146">
        <v>15</v>
      </c>
      <c r="B35" s="48" t="s">
        <v>101</v>
      </c>
      <c r="C35" s="4"/>
      <c r="D35" s="452">
        <v>1</v>
      </c>
      <c r="E35" s="406">
        <v>1</v>
      </c>
      <c r="F35" s="493">
        <f t="shared" si="4"/>
        <v>1</v>
      </c>
      <c r="G35" s="21">
        <v>1</v>
      </c>
      <c r="H35" s="52"/>
      <c r="I35" s="23"/>
      <c r="J35" s="49"/>
      <c r="K35" s="493">
        <f t="shared" si="2"/>
        <v>11</v>
      </c>
      <c r="L35" s="120"/>
      <c r="M35" s="32"/>
      <c r="N35" s="22">
        <v>1</v>
      </c>
      <c r="O35" s="448">
        <v>5</v>
      </c>
      <c r="P35" s="70">
        <v>4</v>
      </c>
      <c r="Q35" s="23">
        <v>1</v>
      </c>
      <c r="R35" s="23"/>
      <c r="S35" s="22"/>
      <c r="T35" s="45"/>
      <c r="U35" s="28"/>
      <c r="V35" s="23"/>
      <c r="W35" s="23"/>
      <c r="X35" s="529">
        <f t="shared" si="5"/>
        <v>11</v>
      </c>
      <c r="Y35" s="32">
        <v>5</v>
      </c>
      <c r="Z35" s="23">
        <v>6</v>
      </c>
      <c r="AA35" s="23"/>
      <c r="AB35" s="424"/>
      <c r="AC35" s="32"/>
    </row>
    <row r="36" spans="1:29">
      <c r="A36" s="146">
        <v>16</v>
      </c>
      <c r="B36" s="48" t="s">
        <v>102</v>
      </c>
      <c r="C36" s="4"/>
      <c r="D36" s="452">
        <v>75</v>
      </c>
      <c r="E36" s="406">
        <v>183</v>
      </c>
      <c r="F36" s="493">
        <f t="shared" si="4"/>
        <v>185</v>
      </c>
      <c r="G36" s="21">
        <v>29</v>
      </c>
      <c r="H36" s="52">
        <v>125</v>
      </c>
      <c r="I36" s="23">
        <v>28</v>
      </c>
      <c r="J36" s="49">
        <v>3</v>
      </c>
      <c r="K36" s="493">
        <f t="shared" si="2"/>
        <v>3536</v>
      </c>
      <c r="L36" s="120">
        <v>24</v>
      </c>
      <c r="M36" s="32">
        <v>27</v>
      </c>
      <c r="N36" s="22">
        <v>868</v>
      </c>
      <c r="O36" s="448">
        <v>897</v>
      </c>
      <c r="P36" s="70">
        <v>135</v>
      </c>
      <c r="Q36" s="23">
        <v>136</v>
      </c>
      <c r="R36" s="23">
        <v>166</v>
      </c>
      <c r="S36" s="22">
        <v>105</v>
      </c>
      <c r="T36" s="45">
        <v>723</v>
      </c>
      <c r="U36" s="28">
        <v>430</v>
      </c>
      <c r="V36" s="23">
        <v>21</v>
      </c>
      <c r="W36" s="23">
        <v>4</v>
      </c>
      <c r="X36" s="529">
        <f t="shared" si="5"/>
        <v>3175</v>
      </c>
      <c r="Y36" s="32">
        <v>977</v>
      </c>
      <c r="Z36" s="23">
        <v>965</v>
      </c>
      <c r="AA36" s="23">
        <v>777</v>
      </c>
      <c r="AB36" s="424">
        <v>456</v>
      </c>
      <c r="AC36" s="32"/>
    </row>
    <row r="37" spans="1:29">
      <c r="A37" s="146">
        <v>17</v>
      </c>
      <c r="B37" s="48" t="s">
        <v>103</v>
      </c>
      <c r="C37" s="8"/>
      <c r="D37" s="474"/>
      <c r="E37" s="493"/>
      <c r="F37" s="493">
        <f t="shared" si="4"/>
        <v>0</v>
      </c>
      <c r="G37" s="21"/>
      <c r="H37" s="52"/>
      <c r="I37" s="23"/>
      <c r="J37" s="49"/>
      <c r="K37" s="493">
        <f t="shared" si="2"/>
        <v>0</v>
      </c>
      <c r="L37" s="120"/>
      <c r="M37" s="32"/>
      <c r="N37" s="28"/>
      <c r="O37" s="396"/>
      <c r="P37" s="123"/>
      <c r="Q37" s="45"/>
      <c r="R37" s="45"/>
      <c r="S37" s="28"/>
      <c r="T37" s="45"/>
      <c r="U37" s="28"/>
      <c r="V37" s="45"/>
      <c r="W37" s="45"/>
      <c r="X37" s="529">
        <f t="shared" si="5"/>
        <v>0</v>
      </c>
      <c r="Y37" s="134"/>
      <c r="Z37" s="45"/>
      <c r="AA37" s="45"/>
      <c r="AB37" s="424"/>
      <c r="AC37" s="134"/>
    </row>
    <row r="38" spans="1:29">
      <c r="A38" s="146">
        <v>18</v>
      </c>
      <c r="B38" s="48" t="s">
        <v>104</v>
      </c>
      <c r="C38" s="4"/>
      <c r="D38" s="452"/>
      <c r="E38" s="406"/>
      <c r="F38" s="493">
        <f t="shared" si="4"/>
        <v>0</v>
      </c>
      <c r="G38" s="21"/>
      <c r="H38" s="52"/>
      <c r="I38" s="23"/>
      <c r="J38" s="49"/>
      <c r="K38" s="493">
        <f t="shared" si="2"/>
        <v>0</v>
      </c>
      <c r="L38" s="120"/>
      <c r="M38" s="29"/>
      <c r="N38" s="28"/>
      <c r="O38" s="396"/>
      <c r="P38" s="123"/>
      <c r="Q38" s="45"/>
      <c r="R38" s="45"/>
      <c r="S38" s="28"/>
      <c r="T38" s="45"/>
      <c r="U38" s="28"/>
      <c r="V38" s="45"/>
      <c r="W38" s="45"/>
      <c r="X38" s="529">
        <f t="shared" si="5"/>
        <v>0</v>
      </c>
      <c r="Y38" s="134"/>
      <c r="Z38" s="45"/>
      <c r="AA38" s="45"/>
      <c r="AB38" s="424"/>
      <c r="AC38" s="134"/>
    </row>
    <row r="39" spans="1:29">
      <c r="A39" s="146">
        <v>19</v>
      </c>
      <c r="B39" s="48" t="s">
        <v>105</v>
      </c>
      <c r="C39" s="4"/>
      <c r="D39" s="452"/>
      <c r="E39" s="406"/>
      <c r="F39" s="493">
        <f t="shared" si="4"/>
        <v>0</v>
      </c>
      <c r="G39" s="21"/>
      <c r="H39" s="52"/>
      <c r="I39" s="23"/>
      <c r="J39" s="49"/>
      <c r="K39" s="493">
        <f t="shared" si="2"/>
        <v>0</v>
      </c>
      <c r="L39" s="120"/>
      <c r="M39" s="134"/>
      <c r="N39" s="28"/>
      <c r="O39" s="396"/>
      <c r="P39" s="123"/>
      <c r="Q39" s="45"/>
      <c r="R39" s="45"/>
      <c r="S39" s="28"/>
      <c r="T39" s="45"/>
      <c r="U39" s="28"/>
      <c r="V39" s="45"/>
      <c r="W39" s="45"/>
      <c r="X39" s="529">
        <f t="shared" si="5"/>
        <v>0</v>
      </c>
      <c r="Y39" s="134"/>
      <c r="Z39" s="45"/>
      <c r="AA39" s="45"/>
      <c r="AB39" s="424"/>
      <c r="AC39" s="134"/>
    </row>
    <row r="40" spans="1:29">
      <c r="A40" s="146">
        <v>20</v>
      </c>
      <c r="B40" s="48" t="s">
        <v>106</v>
      </c>
      <c r="C40" s="4"/>
      <c r="D40" s="452"/>
      <c r="E40" s="406"/>
      <c r="F40" s="493">
        <f t="shared" si="4"/>
        <v>0</v>
      </c>
      <c r="G40" s="21"/>
      <c r="H40" s="52"/>
      <c r="I40" s="23"/>
      <c r="J40" s="49"/>
      <c r="K40" s="493">
        <f t="shared" si="2"/>
        <v>0</v>
      </c>
      <c r="L40" s="120"/>
      <c r="M40" s="134"/>
      <c r="N40" s="28"/>
      <c r="O40" s="396"/>
      <c r="P40" s="123"/>
      <c r="Q40" s="45"/>
      <c r="R40" s="45"/>
      <c r="S40" s="28"/>
      <c r="T40" s="45"/>
      <c r="U40" s="28"/>
      <c r="V40" s="45"/>
      <c r="W40" s="45"/>
      <c r="X40" s="529">
        <f t="shared" si="5"/>
        <v>0</v>
      </c>
      <c r="Y40" s="134"/>
      <c r="Z40" s="45"/>
      <c r="AA40" s="45"/>
      <c r="AB40" s="424"/>
      <c r="AC40" s="134"/>
    </row>
    <row r="41" spans="1:29">
      <c r="A41" s="146">
        <v>21</v>
      </c>
      <c r="B41" s="48" t="s">
        <v>107</v>
      </c>
      <c r="C41" s="96"/>
      <c r="D41" s="134">
        <v>3</v>
      </c>
      <c r="E41" s="404">
        <v>3</v>
      </c>
      <c r="F41" s="493">
        <f t="shared" si="4"/>
        <v>4</v>
      </c>
      <c r="G41" s="21">
        <v>1</v>
      </c>
      <c r="H41" s="52">
        <v>2</v>
      </c>
      <c r="I41" s="23">
        <v>1</v>
      </c>
      <c r="J41" s="49"/>
      <c r="K41" s="493">
        <f t="shared" si="2"/>
        <v>63</v>
      </c>
      <c r="L41" s="120"/>
      <c r="M41" s="134"/>
      <c r="N41" s="28">
        <v>14</v>
      </c>
      <c r="O41" s="396">
        <v>17</v>
      </c>
      <c r="P41" s="123"/>
      <c r="Q41" s="45"/>
      <c r="R41" s="45">
        <v>2</v>
      </c>
      <c r="S41" s="28"/>
      <c r="T41" s="45">
        <v>17</v>
      </c>
      <c r="U41" s="28">
        <v>11</v>
      </c>
      <c r="V41" s="45"/>
      <c r="W41" s="45">
        <v>2</v>
      </c>
      <c r="X41" s="529">
        <f t="shared" si="5"/>
        <v>60</v>
      </c>
      <c r="Y41" s="134">
        <v>15</v>
      </c>
      <c r="Z41" s="45">
        <v>17</v>
      </c>
      <c r="AA41" s="45">
        <v>17</v>
      </c>
      <c r="AB41" s="424">
        <v>11</v>
      </c>
      <c r="AC41" s="134"/>
    </row>
    <row r="42" spans="1:29">
      <c r="A42" s="174">
        <v>22</v>
      </c>
      <c r="B42" s="55" t="s">
        <v>108</v>
      </c>
      <c r="C42" s="4"/>
      <c r="D42" s="474">
        <v>2</v>
      </c>
      <c r="E42" s="493">
        <v>8</v>
      </c>
      <c r="F42" s="493">
        <f t="shared" si="4"/>
        <v>11</v>
      </c>
      <c r="G42" s="471"/>
      <c r="H42" s="472">
        <v>11</v>
      </c>
      <c r="I42" s="503"/>
      <c r="J42" s="494"/>
      <c r="K42" s="493">
        <f t="shared" si="2"/>
        <v>157</v>
      </c>
      <c r="L42" s="473"/>
      <c r="M42" s="134"/>
      <c r="N42" s="28">
        <v>34</v>
      </c>
      <c r="O42" s="396">
        <v>96</v>
      </c>
      <c r="P42" s="123">
        <v>1</v>
      </c>
      <c r="Q42" s="45">
        <v>24</v>
      </c>
      <c r="R42" s="45"/>
      <c r="S42" s="28"/>
      <c r="T42" s="45">
        <v>1</v>
      </c>
      <c r="U42" s="28">
        <v>1</v>
      </c>
      <c r="V42" s="45"/>
      <c r="W42" s="45"/>
      <c r="X42" s="529">
        <f t="shared" si="5"/>
        <v>141</v>
      </c>
      <c r="Y42" s="134">
        <v>31</v>
      </c>
      <c r="Z42" s="45">
        <v>108</v>
      </c>
      <c r="AA42" s="45">
        <v>1</v>
      </c>
      <c r="AB42" s="424">
        <v>1</v>
      </c>
      <c r="AC42" s="134"/>
    </row>
    <row r="43" spans="1:29">
      <c r="A43" s="146">
        <v>23</v>
      </c>
      <c r="B43" s="48" t="s">
        <v>109</v>
      </c>
      <c r="C43" s="4"/>
      <c r="D43" s="474">
        <v>5</v>
      </c>
      <c r="E43" s="493">
        <v>5</v>
      </c>
      <c r="F43" s="493">
        <f t="shared" si="4"/>
        <v>6</v>
      </c>
      <c r="G43" s="471">
        <v>3</v>
      </c>
      <c r="H43" s="472">
        <v>3</v>
      </c>
      <c r="I43" s="503"/>
      <c r="J43" s="494"/>
      <c r="K43" s="493">
        <f t="shared" si="2"/>
        <v>30</v>
      </c>
      <c r="L43" s="473"/>
      <c r="M43" s="134"/>
      <c r="N43" s="28">
        <v>7</v>
      </c>
      <c r="O43" s="396">
        <v>23</v>
      </c>
      <c r="P43" s="123"/>
      <c r="Q43" s="45"/>
      <c r="R43" s="45"/>
      <c r="S43" s="28"/>
      <c r="T43" s="45"/>
      <c r="U43" s="28"/>
      <c r="V43" s="45"/>
      <c r="W43" s="45"/>
      <c r="X43" s="529">
        <f t="shared" si="5"/>
        <v>30</v>
      </c>
      <c r="Y43" s="134">
        <v>7</v>
      </c>
      <c r="Z43" s="45">
        <v>23</v>
      </c>
      <c r="AA43" s="45"/>
      <c r="AB43" s="424"/>
      <c r="AC43" s="134"/>
    </row>
    <row r="44" spans="1:29">
      <c r="A44" s="146">
        <v>24</v>
      </c>
      <c r="B44" s="48" t="s">
        <v>110</v>
      </c>
      <c r="C44" s="4"/>
      <c r="D44" s="474">
        <v>13</v>
      </c>
      <c r="E44" s="493">
        <v>21</v>
      </c>
      <c r="F44" s="493">
        <f t="shared" si="4"/>
        <v>20</v>
      </c>
      <c r="G44" s="471">
        <v>6</v>
      </c>
      <c r="H44" s="472">
        <v>14</v>
      </c>
      <c r="I44" s="503"/>
      <c r="J44" s="494"/>
      <c r="K44" s="493">
        <f t="shared" si="2"/>
        <v>343</v>
      </c>
      <c r="L44" s="473">
        <v>3</v>
      </c>
      <c r="M44" s="134">
        <v>2</v>
      </c>
      <c r="N44" s="28">
        <v>110</v>
      </c>
      <c r="O44" s="396">
        <v>131</v>
      </c>
      <c r="P44" s="123">
        <v>18</v>
      </c>
      <c r="Q44" s="45">
        <v>29</v>
      </c>
      <c r="R44" s="45">
        <v>1</v>
      </c>
      <c r="S44" s="28">
        <v>1</v>
      </c>
      <c r="T44" s="45">
        <v>23</v>
      </c>
      <c r="U44" s="28">
        <v>14</v>
      </c>
      <c r="V44" s="45">
        <v>11</v>
      </c>
      <c r="W44" s="45"/>
      <c r="X44" s="529">
        <f t="shared" si="5"/>
        <v>319</v>
      </c>
      <c r="Y44" s="134">
        <v>122</v>
      </c>
      <c r="Z44" s="45">
        <v>153</v>
      </c>
      <c r="AA44" s="45">
        <v>32</v>
      </c>
      <c r="AB44" s="424">
        <v>12</v>
      </c>
      <c r="AC44" s="134"/>
    </row>
    <row r="45" spans="1:29">
      <c r="A45" s="146">
        <v>25</v>
      </c>
      <c r="B45" s="48" t="s">
        <v>111</v>
      </c>
      <c r="C45" s="4"/>
      <c r="D45" s="474">
        <v>1</v>
      </c>
      <c r="E45" s="493">
        <v>4</v>
      </c>
      <c r="F45" s="493">
        <f t="shared" si="4"/>
        <v>11</v>
      </c>
      <c r="G45" s="471"/>
      <c r="H45" s="472">
        <v>11</v>
      </c>
      <c r="I45" s="503"/>
      <c r="J45" s="494"/>
      <c r="K45" s="493">
        <f t="shared" si="2"/>
        <v>74</v>
      </c>
      <c r="L45" s="473">
        <v>2</v>
      </c>
      <c r="M45" s="134"/>
      <c r="N45" s="28">
        <v>31</v>
      </c>
      <c r="O45" s="396">
        <v>28</v>
      </c>
      <c r="P45" s="123">
        <v>1</v>
      </c>
      <c r="Q45" s="45">
        <v>12</v>
      </c>
      <c r="R45" s="45"/>
      <c r="S45" s="28"/>
      <c r="T45" s="45"/>
      <c r="U45" s="28"/>
      <c r="V45" s="45"/>
      <c r="W45" s="45"/>
      <c r="X45" s="529">
        <f t="shared" si="5"/>
        <v>61</v>
      </c>
      <c r="Y45" s="134">
        <v>29</v>
      </c>
      <c r="Z45" s="45">
        <v>32</v>
      </c>
      <c r="AA45" s="45"/>
      <c r="AB45" s="424"/>
      <c r="AC45" s="134"/>
    </row>
    <row r="46" spans="1:29">
      <c r="A46" s="146">
        <v>26</v>
      </c>
      <c r="B46" s="48" t="s">
        <v>112</v>
      </c>
      <c r="C46" s="4"/>
      <c r="D46" s="474">
        <v>6</v>
      </c>
      <c r="E46" s="493">
        <v>6</v>
      </c>
      <c r="F46" s="493">
        <f t="shared" si="4"/>
        <v>6</v>
      </c>
      <c r="G46" s="471">
        <v>1</v>
      </c>
      <c r="H46" s="472">
        <v>4</v>
      </c>
      <c r="I46" s="503">
        <v>1</v>
      </c>
      <c r="J46" s="494"/>
      <c r="K46" s="493">
        <f t="shared" si="2"/>
        <v>68</v>
      </c>
      <c r="L46" s="473"/>
      <c r="M46" s="134"/>
      <c r="N46" s="28">
        <v>9</v>
      </c>
      <c r="O46" s="396">
        <v>5</v>
      </c>
      <c r="P46" s="123">
        <v>2</v>
      </c>
      <c r="Q46" s="45">
        <v>2</v>
      </c>
      <c r="R46" s="45"/>
      <c r="S46" s="28"/>
      <c r="T46" s="45">
        <v>18</v>
      </c>
      <c r="U46" s="28">
        <v>28</v>
      </c>
      <c r="V46" s="45">
        <v>3</v>
      </c>
      <c r="W46" s="45">
        <v>1</v>
      </c>
      <c r="X46" s="529">
        <f t="shared" si="5"/>
        <v>62</v>
      </c>
      <c r="Y46" s="134">
        <v>11</v>
      </c>
      <c r="Z46" s="45">
        <v>7</v>
      </c>
      <c r="AA46" s="45">
        <v>18</v>
      </c>
      <c r="AB46" s="424">
        <v>26</v>
      </c>
      <c r="AC46" s="134"/>
    </row>
    <row r="47" spans="1:29">
      <c r="A47" s="146">
        <v>27</v>
      </c>
      <c r="B47" s="48" t="s">
        <v>113</v>
      </c>
      <c r="C47" s="4"/>
      <c r="D47" s="474"/>
      <c r="E47" s="493"/>
      <c r="F47" s="493">
        <f t="shared" si="4"/>
        <v>0</v>
      </c>
      <c r="G47" s="471"/>
      <c r="H47" s="472"/>
      <c r="I47" s="503"/>
      <c r="J47" s="494"/>
      <c r="K47" s="493">
        <f t="shared" si="2"/>
        <v>0</v>
      </c>
      <c r="L47" s="473"/>
      <c r="M47" s="134"/>
      <c r="N47" s="28"/>
      <c r="O47" s="396"/>
      <c r="P47" s="123"/>
      <c r="Q47" s="45"/>
      <c r="R47" s="45"/>
      <c r="S47" s="28"/>
      <c r="T47" s="45"/>
      <c r="U47" s="28"/>
      <c r="V47" s="45"/>
      <c r="W47" s="45"/>
      <c r="X47" s="529">
        <f t="shared" si="5"/>
        <v>0</v>
      </c>
      <c r="Y47" s="134"/>
      <c r="Z47" s="45"/>
      <c r="AA47" s="45"/>
      <c r="AB47" s="424"/>
      <c r="AC47" s="134"/>
    </row>
    <row r="48" spans="1:29">
      <c r="A48" s="146">
        <v>28</v>
      </c>
      <c r="B48" s="48" t="s">
        <v>114</v>
      </c>
      <c r="C48" s="4"/>
      <c r="D48" s="474">
        <v>1</v>
      </c>
      <c r="E48" s="493">
        <v>1</v>
      </c>
      <c r="F48" s="493">
        <f t="shared" si="4"/>
        <v>1</v>
      </c>
      <c r="G48" s="471"/>
      <c r="H48" s="472">
        <v>1</v>
      </c>
      <c r="I48" s="503"/>
      <c r="J48" s="494"/>
      <c r="K48" s="493">
        <f t="shared" si="2"/>
        <v>7</v>
      </c>
      <c r="L48" s="473"/>
      <c r="M48" s="134"/>
      <c r="N48" s="28">
        <v>5</v>
      </c>
      <c r="O48" s="396">
        <v>2</v>
      </c>
      <c r="P48" s="123"/>
      <c r="Q48" s="446"/>
      <c r="R48" s="45"/>
      <c r="S48" s="28"/>
      <c r="T48" s="45"/>
      <c r="U48" s="28"/>
      <c r="V48" s="45"/>
      <c r="W48" s="45"/>
      <c r="X48" s="529">
        <f t="shared" si="5"/>
        <v>7</v>
      </c>
      <c r="Y48" s="134">
        <v>5</v>
      </c>
      <c r="Z48" s="45">
        <v>2</v>
      </c>
      <c r="AA48" s="45"/>
      <c r="AB48" s="424"/>
      <c r="AC48" s="134"/>
    </row>
    <row r="49" spans="1:29">
      <c r="A49" s="146">
        <v>29</v>
      </c>
      <c r="B49" s="48" t="s">
        <v>115</v>
      </c>
      <c r="C49" s="4"/>
      <c r="D49" s="474">
        <v>11</v>
      </c>
      <c r="E49" s="493">
        <v>13</v>
      </c>
      <c r="F49" s="493">
        <f t="shared" si="4"/>
        <v>15</v>
      </c>
      <c r="G49" s="471"/>
      <c r="H49" s="472">
        <v>13</v>
      </c>
      <c r="I49" s="503">
        <v>1</v>
      </c>
      <c r="J49" s="494">
        <v>1</v>
      </c>
      <c r="K49" s="493">
        <f t="shared" si="2"/>
        <v>177</v>
      </c>
      <c r="L49" s="473">
        <v>3</v>
      </c>
      <c r="M49" s="134">
        <v>2</v>
      </c>
      <c r="N49" s="28">
        <v>59</v>
      </c>
      <c r="O49" s="396">
        <v>64</v>
      </c>
      <c r="P49" s="123"/>
      <c r="Q49" s="45">
        <v>6</v>
      </c>
      <c r="R49" s="45"/>
      <c r="S49" s="28"/>
      <c r="T49" s="45">
        <v>18</v>
      </c>
      <c r="U49" s="28">
        <v>21</v>
      </c>
      <c r="V49" s="45"/>
      <c r="W49" s="45">
        <v>4</v>
      </c>
      <c r="X49" s="529">
        <f t="shared" si="5"/>
        <v>159</v>
      </c>
      <c r="Y49" s="134">
        <v>59</v>
      </c>
      <c r="Z49" s="45">
        <v>68</v>
      </c>
      <c r="AA49" s="45">
        <v>15</v>
      </c>
      <c r="AB49" s="424">
        <v>17</v>
      </c>
      <c r="AC49" s="134"/>
    </row>
    <row r="50" spans="1:29">
      <c r="A50" s="146">
        <v>30</v>
      </c>
      <c r="B50" s="48" t="s">
        <v>116</v>
      </c>
      <c r="C50" s="4"/>
      <c r="D50" s="474"/>
      <c r="E50" s="493"/>
      <c r="F50" s="493">
        <f t="shared" si="4"/>
        <v>0</v>
      </c>
      <c r="G50" s="471"/>
      <c r="H50" s="472"/>
      <c r="I50" s="503"/>
      <c r="J50" s="494"/>
      <c r="K50" s="493">
        <f t="shared" si="2"/>
        <v>0</v>
      </c>
      <c r="L50" s="473"/>
      <c r="M50" s="134"/>
      <c r="N50" s="28"/>
      <c r="O50" s="396"/>
      <c r="P50" s="123"/>
      <c r="Q50" s="45"/>
      <c r="R50" s="45"/>
      <c r="S50" s="28"/>
      <c r="T50" s="45"/>
      <c r="U50" s="28"/>
      <c r="V50" s="45"/>
      <c r="W50" s="45"/>
      <c r="X50" s="529">
        <f t="shared" si="5"/>
        <v>0</v>
      </c>
      <c r="Y50" s="134"/>
      <c r="Z50" s="45"/>
      <c r="AA50" s="45"/>
      <c r="AB50" s="424"/>
      <c r="AC50" s="134"/>
    </row>
    <row r="51" spans="1:29">
      <c r="A51" s="146">
        <v>31</v>
      </c>
      <c r="B51" s="48" t="s">
        <v>117</v>
      </c>
      <c r="C51" s="4"/>
      <c r="D51" s="474">
        <v>8</v>
      </c>
      <c r="E51" s="493">
        <v>9</v>
      </c>
      <c r="F51" s="493">
        <f t="shared" si="4"/>
        <v>8</v>
      </c>
      <c r="G51" s="471">
        <v>3</v>
      </c>
      <c r="H51" s="472">
        <v>5</v>
      </c>
      <c r="I51" s="503"/>
      <c r="J51" s="494"/>
      <c r="K51" s="493">
        <f t="shared" si="2"/>
        <v>50</v>
      </c>
      <c r="L51" s="473">
        <v>1</v>
      </c>
      <c r="M51" s="134">
        <v>1</v>
      </c>
      <c r="N51" s="28">
        <v>22</v>
      </c>
      <c r="O51" s="396">
        <v>23</v>
      </c>
      <c r="P51" s="123">
        <v>1</v>
      </c>
      <c r="Q51" s="45">
        <v>2</v>
      </c>
      <c r="R51" s="45"/>
      <c r="S51" s="28"/>
      <c r="T51" s="45"/>
      <c r="U51" s="28"/>
      <c r="V51" s="45"/>
      <c r="W51" s="45"/>
      <c r="X51" s="529">
        <f t="shared" si="5"/>
        <v>50</v>
      </c>
      <c r="Y51" s="134">
        <v>24</v>
      </c>
      <c r="Z51" s="45">
        <v>26</v>
      </c>
      <c r="AA51" s="45"/>
      <c r="AB51" s="424"/>
      <c r="AC51" s="134"/>
    </row>
    <row r="52" spans="1:29">
      <c r="A52" s="146">
        <v>32</v>
      </c>
      <c r="B52" s="48" t="s">
        <v>118</v>
      </c>
      <c r="C52" s="4"/>
      <c r="D52" s="474">
        <v>2</v>
      </c>
      <c r="E52" s="493">
        <v>2</v>
      </c>
      <c r="F52" s="493">
        <f t="shared" si="4"/>
        <v>2</v>
      </c>
      <c r="G52" s="471"/>
      <c r="H52" s="472">
        <v>2</v>
      </c>
      <c r="I52" s="503"/>
      <c r="J52" s="494"/>
      <c r="K52" s="493">
        <f t="shared" si="2"/>
        <v>10</v>
      </c>
      <c r="L52" s="473"/>
      <c r="M52" s="134"/>
      <c r="N52" s="28">
        <v>7</v>
      </c>
      <c r="O52" s="396">
        <v>3</v>
      </c>
      <c r="P52" s="123"/>
      <c r="Q52" s="45"/>
      <c r="R52" s="45"/>
      <c r="S52" s="28"/>
      <c r="T52" s="45"/>
      <c r="U52" s="28"/>
      <c r="V52" s="45"/>
      <c r="W52" s="45"/>
      <c r="X52" s="529">
        <f t="shared" si="5"/>
        <v>10</v>
      </c>
      <c r="Y52" s="134">
        <v>7</v>
      </c>
      <c r="Z52" s="45">
        <v>3</v>
      </c>
      <c r="AA52" s="45"/>
      <c r="AB52" s="424"/>
      <c r="AC52" s="134"/>
    </row>
    <row r="53" spans="1:29">
      <c r="A53" s="146">
        <v>33</v>
      </c>
      <c r="B53" s="48" t="s">
        <v>119</v>
      </c>
      <c r="C53" s="4"/>
      <c r="D53" s="474">
        <v>6</v>
      </c>
      <c r="E53" s="493">
        <v>6</v>
      </c>
      <c r="F53" s="493">
        <f t="shared" si="4"/>
        <v>6</v>
      </c>
      <c r="G53" s="471"/>
      <c r="H53" s="472">
        <v>1</v>
      </c>
      <c r="I53" s="503">
        <v>2</v>
      </c>
      <c r="J53" s="494">
        <v>3</v>
      </c>
      <c r="K53" s="493">
        <f t="shared" si="2"/>
        <v>134</v>
      </c>
      <c r="L53" s="473"/>
      <c r="M53" s="134"/>
      <c r="N53" s="28"/>
      <c r="O53" s="396"/>
      <c r="P53" s="123"/>
      <c r="Q53" s="45"/>
      <c r="R53" s="45">
        <v>1</v>
      </c>
      <c r="S53" s="28"/>
      <c r="T53" s="45">
        <v>57</v>
      </c>
      <c r="U53" s="28">
        <v>48</v>
      </c>
      <c r="V53" s="45">
        <v>15</v>
      </c>
      <c r="W53" s="45">
        <v>13</v>
      </c>
      <c r="X53" s="529">
        <f t="shared" si="5"/>
        <v>112</v>
      </c>
      <c r="Y53" s="134"/>
      <c r="Z53" s="45"/>
      <c r="AA53" s="13">
        <v>59</v>
      </c>
      <c r="AB53" s="658">
        <v>53</v>
      </c>
      <c r="AC53" s="134"/>
    </row>
    <row r="54" spans="1:29">
      <c r="A54" s="146">
        <v>34</v>
      </c>
      <c r="B54" s="48" t="s">
        <v>120</v>
      </c>
      <c r="C54" s="4"/>
      <c r="D54" s="474">
        <v>1</v>
      </c>
      <c r="E54" s="493">
        <v>1</v>
      </c>
      <c r="F54" s="493">
        <f t="shared" si="4"/>
        <v>1</v>
      </c>
      <c r="G54" s="471"/>
      <c r="H54" s="472">
        <v>1</v>
      </c>
      <c r="I54" s="503"/>
      <c r="J54" s="494"/>
      <c r="K54" s="493">
        <f t="shared" si="2"/>
        <v>2</v>
      </c>
      <c r="L54" s="473"/>
      <c r="M54" s="134"/>
      <c r="N54" s="28">
        <v>1</v>
      </c>
      <c r="O54" s="396">
        <v>1</v>
      </c>
      <c r="P54" s="123"/>
      <c r="Q54" s="45"/>
      <c r="R54" s="45"/>
      <c r="S54" s="28"/>
      <c r="T54" s="45"/>
      <c r="U54" s="28"/>
      <c r="V54" s="45"/>
      <c r="W54" s="45"/>
      <c r="X54" s="529">
        <f t="shared" si="5"/>
        <v>2</v>
      </c>
      <c r="Y54" s="134">
        <v>1</v>
      </c>
      <c r="Z54" s="45">
        <v>1</v>
      </c>
      <c r="AA54" s="13"/>
      <c r="AB54" s="658"/>
      <c r="AC54" s="134"/>
    </row>
    <row r="55" spans="1:29">
      <c r="A55" s="146">
        <v>35</v>
      </c>
      <c r="B55" s="48" t="s">
        <v>121</v>
      </c>
      <c r="C55" s="4"/>
      <c r="D55" s="474">
        <v>16</v>
      </c>
      <c r="E55" s="493">
        <v>16</v>
      </c>
      <c r="F55" s="493">
        <f t="shared" si="4"/>
        <v>16</v>
      </c>
      <c r="G55" s="471">
        <v>2</v>
      </c>
      <c r="H55" s="472">
        <v>14</v>
      </c>
      <c r="I55" s="503"/>
      <c r="J55" s="494"/>
      <c r="K55" s="493">
        <f t="shared" si="2"/>
        <v>107</v>
      </c>
      <c r="L55" s="473">
        <v>14</v>
      </c>
      <c r="M55" s="134">
        <v>3</v>
      </c>
      <c r="N55" s="28">
        <v>47</v>
      </c>
      <c r="O55" s="396">
        <v>39</v>
      </c>
      <c r="P55" s="123">
        <v>2</v>
      </c>
      <c r="Q55" s="45">
        <v>2</v>
      </c>
      <c r="R55" s="45"/>
      <c r="S55" s="28"/>
      <c r="T55" s="45"/>
      <c r="U55" s="28"/>
      <c r="V55" s="45"/>
      <c r="W55" s="45"/>
      <c r="X55" s="529">
        <f t="shared" si="5"/>
        <v>90</v>
      </c>
      <c r="Y55" s="134">
        <v>47</v>
      </c>
      <c r="Z55" s="446">
        <v>43</v>
      </c>
      <c r="AA55" s="45"/>
      <c r="AB55" s="424"/>
      <c r="AC55" s="134"/>
    </row>
    <row r="56" spans="1:29">
      <c r="A56" s="146">
        <v>36</v>
      </c>
      <c r="B56" s="48" t="s">
        <v>122</v>
      </c>
      <c r="C56" s="4"/>
      <c r="D56" s="474">
        <v>2</v>
      </c>
      <c r="E56" s="493">
        <v>2</v>
      </c>
      <c r="F56" s="493">
        <f t="shared" si="4"/>
        <v>2</v>
      </c>
      <c r="G56" s="463"/>
      <c r="H56" s="472">
        <v>2</v>
      </c>
      <c r="I56" s="503"/>
      <c r="J56" s="494"/>
      <c r="K56" s="493">
        <f t="shared" si="2"/>
        <v>28</v>
      </c>
      <c r="L56" s="473"/>
      <c r="M56" s="134"/>
      <c r="N56" s="28">
        <v>15</v>
      </c>
      <c r="O56" s="396">
        <v>11</v>
      </c>
      <c r="P56" s="123">
        <v>1</v>
      </c>
      <c r="Q56" s="45">
        <v>1</v>
      </c>
      <c r="R56" s="45"/>
      <c r="S56" s="28"/>
      <c r="T56" s="45"/>
      <c r="U56" s="28"/>
      <c r="V56" s="45"/>
      <c r="W56" s="45"/>
      <c r="X56" s="529">
        <f t="shared" si="5"/>
        <v>26</v>
      </c>
      <c r="Y56" s="134">
        <v>14</v>
      </c>
      <c r="Z56" s="45">
        <v>12</v>
      </c>
      <c r="AA56" s="45"/>
      <c r="AB56" s="424"/>
      <c r="AC56" s="134"/>
    </row>
    <row r="57" spans="1:29">
      <c r="A57" s="146">
        <v>37</v>
      </c>
      <c r="B57" s="48" t="s">
        <v>123</v>
      </c>
      <c r="C57" s="4"/>
      <c r="D57" s="474">
        <v>6</v>
      </c>
      <c r="E57" s="493">
        <v>6</v>
      </c>
      <c r="F57" s="493">
        <f t="shared" si="4"/>
        <v>6</v>
      </c>
      <c r="G57" s="471">
        <v>1</v>
      </c>
      <c r="H57" s="472">
        <v>2</v>
      </c>
      <c r="I57" s="503">
        <v>1</v>
      </c>
      <c r="J57" s="494">
        <v>2</v>
      </c>
      <c r="K57" s="493">
        <f t="shared" si="2"/>
        <v>98</v>
      </c>
      <c r="L57" s="473"/>
      <c r="M57" s="134"/>
      <c r="N57" s="28">
        <v>10</v>
      </c>
      <c r="O57" s="396">
        <v>13</v>
      </c>
      <c r="P57" s="123">
        <v>4</v>
      </c>
      <c r="Q57" s="45">
        <v>1</v>
      </c>
      <c r="R57" s="45">
        <v>4</v>
      </c>
      <c r="S57" s="28">
        <v>2</v>
      </c>
      <c r="T57" s="45">
        <v>17</v>
      </c>
      <c r="U57" s="28">
        <v>21</v>
      </c>
      <c r="V57" s="45">
        <v>11</v>
      </c>
      <c r="W57" s="45">
        <v>15</v>
      </c>
      <c r="X57" s="529">
        <f>SUM(Y57:AB57)</f>
        <v>96</v>
      </c>
      <c r="Y57" s="134">
        <v>14</v>
      </c>
      <c r="Z57" s="45">
        <v>14</v>
      </c>
      <c r="AA57" s="45">
        <v>32</v>
      </c>
      <c r="AB57" s="424">
        <v>36</v>
      </c>
      <c r="AC57" s="134"/>
    </row>
    <row r="58" spans="1:29">
      <c r="A58" s="146">
        <v>38</v>
      </c>
      <c r="B58" s="48" t="s">
        <v>124</v>
      </c>
      <c r="C58" s="4"/>
      <c r="D58" s="474">
        <v>14</v>
      </c>
      <c r="E58" s="493">
        <v>39</v>
      </c>
      <c r="F58" s="493">
        <f t="shared" si="4"/>
        <v>42</v>
      </c>
      <c r="G58" s="471">
        <v>11</v>
      </c>
      <c r="H58" s="472">
        <v>30</v>
      </c>
      <c r="I58" s="503"/>
      <c r="J58" s="494">
        <v>1</v>
      </c>
      <c r="K58" s="493">
        <f t="shared" si="2"/>
        <v>1018</v>
      </c>
      <c r="L58" s="473">
        <v>1</v>
      </c>
      <c r="M58" s="134">
        <v>19</v>
      </c>
      <c r="N58" s="28">
        <v>450</v>
      </c>
      <c r="O58" s="396">
        <v>397</v>
      </c>
      <c r="P58" s="123">
        <v>97</v>
      </c>
      <c r="Q58" s="45">
        <v>28</v>
      </c>
      <c r="R58" s="45">
        <v>2</v>
      </c>
      <c r="S58" s="28">
        <v>1</v>
      </c>
      <c r="T58" s="45">
        <v>8</v>
      </c>
      <c r="U58" s="28">
        <v>15</v>
      </c>
      <c r="V58" s="45"/>
      <c r="W58" s="45"/>
      <c r="X58" s="529">
        <f>SUM(Y58:AB58)</f>
        <v>946</v>
      </c>
      <c r="Y58" s="134">
        <v>528</v>
      </c>
      <c r="Z58" s="45">
        <v>393</v>
      </c>
      <c r="AA58" s="45">
        <v>10</v>
      </c>
      <c r="AB58" s="424">
        <v>15</v>
      </c>
      <c r="AC58" s="134"/>
    </row>
    <row r="59" spans="1:29">
      <c r="A59" s="146">
        <v>39</v>
      </c>
      <c r="B59" s="48" t="s">
        <v>125</v>
      </c>
      <c r="C59" s="4"/>
      <c r="D59" s="474">
        <v>22</v>
      </c>
      <c r="E59" s="493">
        <v>25</v>
      </c>
      <c r="F59" s="493">
        <f t="shared" si="4"/>
        <v>30</v>
      </c>
      <c r="G59" s="471">
        <v>2</v>
      </c>
      <c r="H59" s="472">
        <v>1</v>
      </c>
      <c r="I59" s="503">
        <v>13</v>
      </c>
      <c r="J59" s="494">
        <v>14</v>
      </c>
      <c r="K59" s="493">
        <f t="shared" si="2"/>
        <v>933</v>
      </c>
      <c r="L59" s="473"/>
      <c r="M59" s="134"/>
      <c r="N59" s="28">
        <v>12</v>
      </c>
      <c r="O59" s="396"/>
      <c r="P59" s="123">
        <v>24</v>
      </c>
      <c r="Q59" s="45"/>
      <c r="R59" s="45">
        <v>2</v>
      </c>
      <c r="S59" s="28">
        <v>5</v>
      </c>
      <c r="T59" s="45">
        <v>317</v>
      </c>
      <c r="U59" s="28">
        <v>452</v>
      </c>
      <c r="V59" s="45">
        <v>62</v>
      </c>
      <c r="W59" s="45">
        <v>59</v>
      </c>
      <c r="X59" s="529">
        <f t="shared" si="5"/>
        <v>785</v>
      </c>
      <c r="Y59" s="134">
        <v>36</v>
      </c>
      <c r="Z59" s="45">
        <v>1</v>
      </c>
      <c r="AA59" s="45">
        <v>304</v>
      </c>
      <c r="AB59" s="424">
        <v>444</v>
      </c>
      <c r="AC59" s="134"/>
    </row>
    <row r="60" spans="1:29">
      <c r="A60" s="146">
        <v>40</v>
      </c>
      <c r="B60" s="48" t="s">
        <v>126</v>
      </c>
      <c r="C60" s="4"/>
      <c r="D60" s="474">
        <v>1</v>
      </c>
      <c r="E60" s="493">
        <v>1</v>
      </c>
      <c r="F60" s="493">
        <f t="shared" si="4"/>
        <v>1</v>
      </c>
      <c r="G60" s="471"/>
      <c r="H60" s="472">
        <v>1</v>
      </c>
      <c r="I60" s="503"/>
      <c r="J60" s="494"/>
      <c r="K60" s="493">
        <f t="shared" si="2"/>
        <v>9</v>
      </c>
      <c r="L60" s="473"/>
      <c r="M60" s="134"/>
      <c r="N60" s="28">
        <v>5</v>
      </c>
      <c r="O60" s="396">
        <v>4</v>
      </c>
      <c r="P60" s="123"/>
      <c r="Q60" s="45"/>
      <c r="R60" s="45"/>
      <c r="S60" s="28"/>
      <c r="T60" s="45"/>
      <c r="U60" s="28"/>
      <c r="V60" s="45"/>
      <c r="W60" s="45"/>
      <c r="X60" s="529">
        <f t="shared" si="5"/>
        <v>9</v>
      </c>
      <c r="Y60" s="134">
        <v>5</v>
      </c>
      <c r="Z60" s="45">
        <v>4</v>
      </c>
      <c r="AA60" s="45"/>
      <c r="AB60" s="424"/>
      <c r="AC60" s="134"/>
    </row>
    <row r="61" spans="1:29">
      <c r="A61" s="146">
        <v>41</v>
      </c>
      <c r="B61" s="48" t="s">
        <v>127</v>
      </c>
      <c r="C61" s="4"/>
      <c r="D61" s="474">
        <v>2</v>
      </c>
      <c r="E61" s="493">
        <v>2</v>
      </c>
      <c r="F61" s="493">
        <f t="shared" si="4"/>
        <v>2</v>
      </c>
      <c r="G61" s="471"/>
      <c r="H61" s="472">
        <v>2</v>
      </c>
      <c r="I61" s="503"/>
      <c r="J61" s="494"/>
      <c r="K61" s="493">
        <f t="shared" si="2"/>
        <v>14</v>
      </c>
      <c r="L61" s="473"/>
      <c r="M61" s="134"/>
      <c r="N61" s="28">
        <v>5</v>
      </c>
      <c r="O61" s="396">
        <v>9</v>
      </c>
      <c r="P61" s="123"/>
      <c r="Q61" s="45"/>
      <c r="R61" s="45"/>
      <c r="S61" s="28"/>
      <c r="T61" s="45"/>
      <c r="U61" s="28"/>
      <c r="V61" s="45"/>
      <c r="W61" s="45"/>
      <c r="X61" s="529">
        <f t="shared" si="5"/>
        <v>15</v>
      </c>
      <c r="Y61" s="134">
        <v>6</v>
      </c>
      <c r="Z61" s="45">
        <v>9</v>
      </c>
      <c r="AA61" s="45"/>
      <c r="AB61" s="424"/>
      <c r="AC61" s="134"/>
    </row>
    <row r="62" spans="1:29" s="73" customFormat="1">
      <c r="A62" s="146">
        <v>42</v>
      </c>
      <c r="B62" s="48" t="s">
        <v>128</v>
      </c>
      <c r="C62" s="110"/>
      <c r="D62" s="490"/>
      <c r="E62" s="572"/>
      <c r="F62" s="493">
        <f t="shared" si="4"/>
        <v>0</v>
      </c>
      <c r="G62" s="476"/>
      <c r="H62" s="477"/>
      <c r="I62" s="476"/>
      <c r="J62" s="495"/>
      <c r="K62" s="493">
        <f t="shared" si="2"/>
        <v>0</v>
      </c>
      <c r="L62" s="478"/>
      <c r="M62" s="446"/>
      <c r="N62" s="446"/>
      <c r="O62" s="205"/>
      <c r="P62" s="29"/>
      <c r="Q62" s="45"/>
      <c r="R62" s="446"/>
      <c r="S62" s="205"/>
      <c r="T62" s="446"/>
      <c r="U62" s="205"/>
      <c r="V62" s="446"/>
      <c r="W62" s="446"/>
      <c r="X62" s="529">
        <f t="shared" si="5"/>
        <v>0</v>
      </c>
      <c r="Y62" s="29"/>
      <c r="Z62" s="45"/>
      <c r="AA62" s="446"/>
      <c r="AB62" s="455"/>
      <c r="AC62" s="29"/>
    </row>
    <row r="63" spans="1:29">
      <c r="A63" s="175">
        <v>43</v>
      </c>
      <c r="B63" s="67" t="s">
        <v>129</v>
      </c>
      <c r="C63" s="111"/>
      <c r="D63" s="490"/>
      <c r="E63" s="572"/>
      <c r="F63" s="493">
        <f t="shared" si="4"/>
        <v>0</v>
      </c>
      <c r="G63" s="479"/>
      <c r="H63" s="477"/>
      <c r="I63" s="479"/>
      <c r="J63" s="496"/>
      <c r="K63" s="493">
        <f t="shared" si="2"/>
        <v>0</v>
      </c>
      <c r="L63" s="571"/>
      <c r="M63" s="45"/>
      <c r="N63" s="45"/>
      <c r="O63" s="205"/>
      <c r="P63" s="134"/>
      <c r="Q63" s="446"/>
      <c r="R63" s="45"/>
      <c r="S63" s="28"/>
      <c r="T63" s="45"/>
      <c r="U63" s="28"/>
      <c r="V63" s="45"/>
      <c r="W63" s="45"/>
      <c r="X63" s="529">
        <f t="shared" si="5"/>
        <v>0</v>
      </c>
      <c r="Y63" s="134"/>
      <c r="Z63" s="446"/>
      <c r="AA63" s="45"/>
      <c r="AB63" s="424"/>
      <c r="AC63" s="134"/>
    </row>
    <row r="64" spans="1:29">
      <c r="A64" s="175">
        <v>44</v>
      </c>
      <c r="B64" s="67" t="s">
        <v>130</v>
      </c>
      <c r="C64" s="111"/>
      <c r="D64" s="490">
        <v>6</v>
      </c>
      <c r="E64" s="572">
        <v>6</v>
      </c>
      <c r="F64" s="493">
        <f t="shared" si="4"/>
        <v>7</v>
      </c>
      <c r="G64" s="479">
        <v>2</v>
      </c>
      <c r="H64" s="477">
        <v>3</v>
      </c>
      <c r="I64" s="479">
        <v>1</v>
      </c>
      <c r="J64" s="496">
        <v>1</v>
      </c>
      <c r="K64" s="493">
        <f t="shared" si="2"/>
        <v>123</v>
      </c>
      <c r="L64" s="480"/>
      <c r="M64" s="45">
        <v>1</v>
      </c>
      <c r="N64" s="45">
        <v>5</v>
      </c>
      <c r="O64" s="205">
        <v>13</v>
      </c>
      <c r="P64" s="134"/>
      <c r="Q64" s="45">
        <v>1</v>
      </c>
      <c r="R64" s="45"/>
      <c r="S64" s="28"/>
      <c r="T64" s="45">
        <v>43</v>
      </c>
      <c r="U64" s="28">
        <v>59</v>
      </c>
      <c r="V64" s="45"/>
      <c r="W64" s="45">
        <v>1</v>
      </c>
      <c r="X64" s="529">
        <f t="shared" si="5"/>
        <v>85</v>
      </c>
      <c r="Y64" s="134">
        <v>5</v>
      </c>
      <c r="Z64" s="45">
        <v>15</v>
      </c>
      <c r="AA64" s="45">
        <v>25</v>
      </c>
      <c r="AB64" s="424">
        <v>40</v>
      </c>
      <c r="AC64" s="134"/>
    </row>
    <row r="65" spans="1:29">
      <c r="A65" s="175">
        <v>45</v>
      </c>
      <c r="B65" s="67" t="s">
        <v>131</v>
      </c>
      <c r="C65" s="111"/>
      <c r="D65" s="490">
        <v>2</v>
      </c>
      <c r="E65" s="572">
        <v>2</v>
      </c>
      <c r="F65" s="493">
        <f t="shared" si="4"/>
        <v>2</v>
      </c>
      <c r="G65" s="479">
        <v>1</v>
      </c>
      <c r="H65" s="477">
        <v>1</v>
      </c>
      <c r="I65" s="479"/>
      <c r="J65" s="496"/>
      <c r="K65" s="493">
        <f t="shared" si="2"/>
        <v>24</v>
      </c>
      <c r="L65" s="480"/>
      <c r="M65" s="45"/>
      <c r="N65" s="45">
        <v>9</v>
      </c>
      <c r="O65" s="205">
        <v>15</v>
      </c>
      <c r="P65" s="134"/>
      <c r="Q65" s="45"/>
      <c r="R65" s="45"/>
      <c r="S65" s="28"/>
      <c r="T65" s="45"/>
      <c r="U65" s="28"/>
      <c r="V65" s="45"/>
      <c r="W65" s="45"/>
      <c r="X65" s="529">
        <f t="shared" si="5"/>
        <v>24</v>
      </c>
      <c r="Y65" s="134">
        <v>9</v>
      </c>
      <c r="Z65" s="45">
        <v>15</v>
      </c>
      <c r="AA65" s="45"/>
      <c r="AB65" s="424"/>
      <c r="AC65" s="134"/>
    </row>
    <row r="66" spans="1:29">
      <c r="A66" s="175">
        <v>46</v>
      </c>
      <c r="B66" s="67" t="s">
        <v>132</v>
      </c>
      <c r="C66" s="111"/>
      <c r="D66" s="490">
        <v>1</v>
      </c>
      <c r="E66" s="572">
        <v>1</v>
      </c>
      <c r="F66" s="493">
        <f t="shared" si="4"/>
        <v>1</v>
      </c>
      <c r="G66" s="474"/>
      <c r="H66" s="477">
        <v>1</v>
      </c>
      <c r="I66" s="479"/>
      <c r="J66" s="496"/>
      <c r="K66" s="493">
        <f t="shared" si="2"/>
        <v>4</v>
      </c>
      <c r="L66" s="480"/>
      <c r="M66" s="45"/>
      <c r="N66" s="45"/>
      <c r="O66" s="205"/>
      <c r="P66" s="134"/>
      <c r="Q66" s="45"/>
      <c r="R66" s="45">
        <v>2</v>
      </c>
      <c r="S66" s="28"/>
      <c r="T66" s="45">
        <v>2</v>
      </c>
      <c r="U66" s="28"/>
      <c r="V66" s="45"/>
      <c r="W66" s="45"/>
      <c r="X66" s="529">
        <f t="shared" si="5"/>
        <v>4</v>
      </c>
      <c r="Y66" s="134"/>
      <c r="Z66" s="45"/>
      <c r="AA66" s="45">
        <v>4</v>
      </c>
      <c r="AB66" s="424"/>
      <c r="AC66" s="134"/>
    </row>
    <row r="67" spans="1:29">
      <c r="A67" s="175">
        <v>47</v>
      </c>
      <c r="B67" s="67" t="s">
        <v>133</v>
      </c>
      <c r="C67" s="111"/>
      <c r="D67" s="490">
        <v>1</v>
      </c>
      <c r="E67" s="572">
        <v>1</v>
      </c>
      <c r="F67" s="493">
        <f t="shared" si="4"/>
        <v>1</v>
      </c>
      <c r="G67" s="474"/>
      <c r="H67" s="477">
        <v>1</v>
      </c>
      <c r="I67" s="479"/>
      <c r="J67" s="496"/>
      <c r="K67" s="493">
        <f t="shared" si="2"/>
        <v>43</v>
      </c>
      <c r="L67" s="480"/>
      <c r="M67" s="45"/>
      <c r="N67" s="45"/>
      <c r="O67" s="205"/>
      <c r="P67" s="134"/>
      <c r="Q67" s="45"/>
      <c r="R67" s="45">
        <v>5</v>
      </c>
      <c r="S67" s="28">
        <v>5</v>
      </c>
      <c r="T67" s="45">
        <v>13</v>
      </c>
      <c r="U67" s="28">
        <v>19</v>
      </c>
      <c r="V67" s="45">
        <v>1</v>
      </c>
      <c r="W67" s="45"/>
      <c r="X67" s="529">
        <f t="shared" si="5"/>
        <v>35</v>
      </c>
      <c r="Y67" s="134"/>
      <c r="Z67" s="45"/>
      <c r="AA67" s="45">
        <v>15</v>
      </c>
      <c r="AB67" s="424">
        <v>20</v>
      </c>
      <c r="AC67" s="134"/>
    </row>
    <row r="68" spans="1:29">
      <c r="A68" s="175">
        <v>48</v>
      </c>
      <c r="B68" s="67" t="s">
        <v>134</v>
      </c>
      <c r="C68" s="111"/>
      <c r="D68" s="490">
        <v>3</v>
      </c>
      <c r="E68" s="572">
        <v>6</v>
      </c>
      <c r="F68" s="493">
        <f t="shared" si="4"/>
        <v>7</v>
      </c>
      <c r="G68" s="474"/>
      <c r="H68" s="477">
        <v>7</v>
      </c>
      <c r="I68" s="479"/>
      <c r="J68" s="496"/>
      <c r="K68" s="493">
        <f t="shared" si="2"/>
        <v>94</v>
      </c>
      <c r="L68" s="480"/>
      <c r="M68" s="45">
        <v>2</v>
      </c>
      <c r="N68" s="45">
        <v>48</v>
      </c>
      <c r="O68" s="205">
        <v>43</v>
      </c>
      <c r="P68" s="134">
        <v>1</v>
      </c>
      <c r="Q68" s="45"/>
      <c r="R68" s="45"/>
      <c r="S68" s="28"/>
      <c r="T68" s="45"/>
      <c r="U68" s="28"/>
      <c r="V68" s="45"/>
      <c r="W68" s="45"/>
      <c r="X68" s="529">
        <f t="shared" si="5"/>
        <v>88</v>
      </c>
      <c r="Y68" s="134">
        <v>46</v>
      </c>
      <c r="Z68" s="45">
        <v>42</v>
      </c>
      <c r="AA68" s="45"/>
      <c r="AB68" s="424"/>
      <c r="AC68" s="134"/>
    </row>
    <row r="69" spans="1:29">
      <c r="A69" s="175">
        <v>49</v>
      </c>
      <c r="B69" s="67" t="s">
        <v>135</v>
      </c>
      <c r="C69" s="111"/>
      <c r="D69" s="490">
        <v>7</v>
      </c>
      <c r="E69" s="572">
        <v>7</v>
      </c>
      <c r="F69" s="493">
        <f t="shared" si="4"/>
        <v>7</v>
      </c>
      <c r="G69" s="474"/>
      <c r="H69" s="477">
        <v>7</v>
      </c>
      <c r="I69" s="479"/>
      <c r="J69" s="496"/>
      <c r="K69" s="493">
        <f t="shared" si="2"/>
        <v>73</v>
      </c>
      <c r="L69" s="480">
        <v>2</v>
      </c>
      <c r="M69" s="45"/>
      <c r="N69" s="45">
        <v>16</v>
      </c>
      <c r="O69" s="205">
        <v>13</v>
      </c>
      <c r="P69" s="134">
        <v>6</v>
      </c>
      <c r="Q69" s="45">
        <v>5</v>
      </c>
      <c r="R69" s="45"/>
      <c r="S69" s="28"/>
      <c r="T69" s="45">
        <v>13</v>
      </c>
      <c r="U69" s="28">
        <v>18</v>
      </c>
      <c r="V69" s="45"/>
      <c r="W69" s="45"/>
      <c r="X69" s="529">
        <f t="shared" si="5"/>
        <v>61</v>
      </c>
      <c r="Y69" s="134">
        <v>21</v>
      </c>
      <c r="Z69" s="45">
        <v>16</v>
      </c>
      <c r="AA69" s="45">
        <v>10</v>
      </c>
      <c r="AB69" s="424">
        <v>14</v>
      </c>
      <c r="AC69" s="134"/>
    </row>
    <row r="70" spans="1:29">
      <c r="A70" s="175">
        <v>50</v>
      </c>
      <c r="B70" s="67" t="s">
        <v>136</v>
      </c>
      <c r="C70" s="111"/>
      <c r="D70" s="490">
        <v>3</v>
      </c>
      <c r="E70" s="572">
        <v>3</v>
      </c>
      <c r="F70" s="493">
        <f t="shared" si="4"/>
        <v>3</v>
      </c>
      <c r="G70" s="474">
        <v>1</v>
      </c>
      <c r="H70" s="477">
        <v>2</v>
      </c>
      <c r="I70" s="476"/>
      <c r="J70" s="495"/>
      <c r="K70" s="493">
        <f t="shared" si="2"/>
        <v>23</v>
      </c>
      <c r="L70" s="480"/>
      <c r="M70" s="45"/>
      <c r="N70" s="45">
        <v>6</v>
      </c>
      <c r="O70" s="205">
        <v>11</v>
      </c>
      <c r="P70" s="134">
        <v>5</v>
      </c>
      <c r="Q70" s="45">
        <v>1</v>
      </c>
      <c r="R70" s="45"/>
      <c r="S70" s="28"/>
      <c r="T70" s="45"/>
      <c r="U70" s="28"/>
      <c r="V70" s="45"/>
      <c r="W70" s="45"/>
      <c r="X70" s="529">
        <f t="shared" si="5"/>
        <v>23</v>
      </c>
      <c r="Y70" s="134">
        <v>11</v>
      </c>
      <c r="Z70" s="45">
        <v>12</v>
      </c>
      <c r="AA70" s="45"/>
      <c r="AB70" s="424"/>
      <c r="AC70" s="134"/>
    </row>
    <row r="71" spans="1:29">
      <c r="A71" s="175">
        <v>51</v>
      </c>
      <c r="B71" s="67" t="s">
        <v>137</v>
      </c>
      <c r="C71" s="111"/>
      <c r="D71" s="490">
        <v>4</v>
      </c>
      <c r="E71" s="572">
        <v>4</v>
      </c>
      <c r="F71" s="493">
        <f t="shared" si="4"/>
        <v>4</v>
      </c>
      <c r="G71" s="479"/>
      <c r="H71" s="477">
        <v>4</v>
      </c>
      <c r="I71" s="476"/>
      <c r="J71" s="495"/>
      <c r="K71" s="493">
        <f t="shared" si="2"/>
        <v>54</v>
      </c>
      <c r="L71" s="480"/>
      <c r="M71" s="45">
        <v>1</v>
      </c>
      <c r="N71" s="45">
        <v>18</v>
      </c>
      <c r="O71" s="205">
        <v>23</v>
      </c>
      <c r="P71" s="134">
        <v>5</v>
      </c>
      <c r="Q71" s="45">
        <v>7</v>
      </c>
      <c r="R71" s="45"/>
      <c r="S71" s="28"/>
      <c r="T71" s="45"/>
      <c r="U71" s="28"/>
      <c r="V71" s="45"/>
      <c r="W71" s="45"/>
      <c r="X71" s="529">
        <f t="shared" si="5"/>
        <v>49</v>
      </c>
      <c r="Y71" s="134">
        <v>21</v>
      </c>
      <c r="Z71" s="45">
        <v>28</v>
      </c>
      <c r="AA71" s="45"/>
      <c r="AB71" s="424"/>
      <c r="AC71" s="134"/>
    </row>
    <row r="72" spans="1:29">
      <c r="A72" s="175">
        <v>52</v>
      </c>
      <c r="B72" s="67" t="s">
        <v>138</v>
      </c>
      <c r="C72" s="111"/>
      <c r="D72" s="490">
        <v>9</v>
      </c>
      <c r="E72" s="572">
        <v>11</v>
      </c>
      <c r="F72" s="493">
        <f t="shared" si="4"/>
        <v>12</v>
      </c>
      <c r="G72" s="479">
        <v>3</v>
      </c>
      <c r="H72" s="477">
        <v>6</v>
      </c>
      <c r="I72" s="479">
        <v>1</v>
      </c>
      <c r="J72" s="496">
        <v>2</v>
      </c>
      <c r="K72" s="493">
        <f t="shared" si="2"/>
        <v>225</v>
      </c>
      <c r="L72" s="480">
        <v>1</v>
      </c>
      <c r="M72" s="45">
        <v>1</v>
      </c>
      <c r="N72" s="45">
        <v>30</v>
      </c>
      <c r="O72" s="205">
        <v>26</v>
      </c>
      <c r="P72" s="134">
        <v>18</v>
      </c>
      <c r="Q72" s="45">
        <v>21</v>
      </c>
      <c r="R72" s="45">
        <v>6</v>
      </c>
      <c r="S72" s="28">
        <v>3</v>
      </c>
      <c r="T72" s="45">
        <v>30</v>
      </c>
      <c r="U72" s="28">
        <v>36</v>
      </c>
      <c r="V72" s="45">
        <v>25</v>
      </c>
      <c r="W72" s="45">
        <v>28</v>
      </c>
      <c r="X72" s="529">
        <f t="shared" si="5"/>
        <v>209</v>
      </c>
      <c r="Y72" s="134">
        <v>48</v>
      </c>
      <c r="Z72" s="45">
        <v>49</v>
      </c>
      <c r="AA72" s="45">
        <v>55</v>
      </c>
      <c r="AB72" s="424">
        <v>57</v>
      </c>
      <c r="AC72" s="134"/>
    </row>
    <row r="73" spans="1:29">
      <c r="A73" s="175">
        <v>53</v>
      </c>
      <c r="B73" s="67" t="s">
        <v>139</v>
      </c>
      <c r="C73" s="111"/>
      <c r="D73" s="490"/>
      <c r="E73" s="572"/>
      <c r="F73" s="493">
        <f t="shared" si="4"/>
        <v>0</v>
      </c>
      <c r="G73" s="479"/>
      <c r="H73" s="477"/>
      <c r="I73" s="479"/>
      <c r="J73" s="496"/>
      <c r="K73" s="493">
        <f t="shared" si="2"/>
        <v>0</v>
      </c>
      <c r="L73" s="480"/>
      <c r="M73" s="45"/>
      <c r="N73" s="45"/>
      <c r="O73" s="205"/>
      <c r="P73" s="134"/>
      <c r="Q73" s="45"/>
      <c r="R73" s="45"/>
      <c r="S73" s="28"/>
      <c r="T73" s="45"/>
      <c r="U73" s="28"/>
      <c r="V73" s="45"/>
      <c r="W73" s="45"/>
      <c r="X73" s="529">
        <f t="shared" si="5"/>
        <v>0</v>
      </c>
      <c r="Y73" s="134"/>
      <c r="Z73" s="45"/>
      <c r="AA73" s="45"/>
      <c r="AB73" s="424"/>
      <c r="AC73" s="134"/>
    </row>
    <row r="74" spans="1:29">
      <c r="A74" s="175">
        <v>54</v>
      </c>
      <c r="B74" s="67" t="s">
        <v>140</v>
      </c>
      <c r="C74" s="111"/>
      <c r="D74" s="490">
        <v>10</v>
      </c>
      <c r="E74" s="572">
        <v>10</v>
      </c>
      <c r="F74" s="493">
        <f t="shared" si="4"/>
        <v>12</v>
      </c>
      <c r="G74" s="479">
        <v>4</v>
      </c>
      <c r="H74" s="477">
        <v>8</v>
      </c>
      <c r="I74" s="479"/>
      <c r="J74" s="496"/>
      <c r="K74" s="493">
        <f t="shared" si="2"/>
        <v>38</v>
      </c>
      <c r="L74" s="480"/>
      <c r="M74" s="45"/>
      <c r="N74" s="45">
        <v>13</v>
      </c>
      <c r="O74" s="205">
        <v>21</v>
      </c>
      <c r="P74" s="134">
        <v>2</v>
      </c>
      <c r="Q74" s="45">
        <v>2</v>
      </c>
      <c r="R74" s="45"/>
      <c r="S74" s="28"/>
      <c r="T74" s="45"/>
      <c r="U74" s="28"/>
      <c r="V74" s="45"/>
      <c r="W74" s="45"/>
      <c r="X74" s="529">
        <f t="shared" si="5"/>
        <v>36</v>
      </c>
      <c r="Y74" s="134">
        <v>14</v>
      </c>
      <c r="Z74" s="45">
        <v>22</v>
      </c>
      <c r="AA74" s="45"/>
      <c r="AB74" s="424"/>
      <c r="AC74" s="134"/>
    </row>
    <row r="75" spans="1:29">
      <c r="A75" s="175">
        <v>55</v>
      </c>
      <c r="B75" s="67" t="s">
        <v>141</v>
      </c>
      <c r="C75" s="111"/>
      <c r="D75" s="490">
        <v>3</v>
      </c>
      <c r="E75" s="572">
        <v>3</v>
      </c>
      <c r="F75" s="493">
        <f t="shared" si="4"/>
        <v>3</v>
      </c>
      <c r="G75" s="479"/>
      <c r="H75" s="477">
        <v>3</v>
      </c>
      <c r="I75" s="479"/>
      <c r="J75" s="496"/>
      <c r="K75" s="493">
        <f t="shared" si="2"/>
        <v>31</v>
      </c>
      <c r="L75" s="480"/>
      <c r="M75" s="45">
        <v>1</v>
      </c>
      <c r="N75" s="45">
        <v>19</v>
      </c>
      <c r="O75" s="205">
        <v>11</v>
      </c>
      <c r="P75" s="134"/>
      <c r="Q75" s="45"/>
      <c r="R75" s="45"/>
      <c r="S75" s="28"/>
      <c r="T75" s="45"/>
      <c r="U75" s="28"/>
      <c r="V75" s="45"/>
      <c r="W75" s="45"/>
      <c r="X75" s="529">
        <f t="shared" si="5"/>
        <v>28</v>
      </c>
      <c r="Y75" s="134">
        <v>17</v>
      </c>
      <c r="Z75" s="45">
        <v>11</v>
      </c>
      <c r="AA75" s="45"/>
      <c r="AB75" s="424"/>
      <c r="AC75" s="134"/>
    </row>
    <row r="76" spans="1:29">
      <c r="A76" s="175">
        <v>56</v>
      </c>
      <c r="B76" s="67" t="s">
        <v>142</v>
      </c>
      <c r="C76" s="111"/>
      <c r="D76" s="490">
        <v>19</v>
      </c>
      <c r="E76" s="572">
        <v>52</v>
      </c>
      <c r="F76" s="493">
        <f t="shared" si="4"/>
        <v>56</v>
      </c>
      <c r="G76" s="479">
        <v>10</v>
      </c>
      <c r="H76" s="477">
        <v>42</v>
      </c>
      <c r="I76" s="479">
        <v>3</v>
      </c>
      <c r="J76" s="496">
        <v>1</v>
      </c>
      <c r="K76" s="493">
        <f t="shared" si="2"/>
        <v>710</v>
      </c>
      <c r="L76" s="480">
        <v>12</v>
      </c>
      <c r="M76" s="45">
        <v>15</v>
      </c>
      <c r="N76" s="45">
        <v>293</v>
      </c>
      <c r="O76" s="205">
        <v>219</v>
      </c>
      <c r="P76" s="134">
        <v>29</v>
      </c>
      <c r="Q76" s="45">
        <v>19</v>
      </c>
      <c r="R76" s="45"/>
      <c r="S76" s="28"/>
      <c r="T76" s="45">
        <v>75</v>
      </c>
      <c r="U76" s="28">
        <v>39</v>
      </c>
      <c r="V76" s="45">
        <v>9</v>
      </c>
      <c r="W76" s="45"/>
      <c r="X76" s="529">
        <f t="shared" si="5"/>
        <v>626</v>
      </c>
      <c r="Y76" s="134">
        <v>314</v>
      </c>
      <c r="Z76" s="45">
        <v>218</v>
      </c>
      <c r="AA76" s="45">
        <v>66</v>
      </c>
      <c r="AB76" s="424">
        <v>28</v>
      </c>
      <c r="AC76" s="134"/>
    </row>
    <row r="77" spans="1:29">
      <c r="A77" s="175">
        <v>57</v>
      </c>
      <c r="B77" s="67" t="s">
        <v>143</v>
      </c>
      <c r="C77" s="111"/>
      <c r="D77" s="490"/>
      <c r="E77" s="572"/>
      <c r="F77" s="493">
        <f t="shared" si="4"/>
        <v>0</v>
      </c>
      <c r="G77" s="479"/>
      <c r="H77" s="477"/>
      <c r="I77" s="479"/>
      <c r="J77" s="496"/>
      <c r="K77" s="493">
        <f t="shared" si="2"/>
        <v>0</v>
      </c>
      <c r="L77" s="480"/>
      <c r="M77" s="45"/>
      <c r="N77" s="45"/>
      <c r="O77" s="205"/>
      <c r="P77" s="134"/>
      <c r="Q77" s="45"/>
      <c r="R77" s="45"/>
      <c r="S77" s="28"/>
      <c r="T77" s="45"/>
      <c r="U77" s="28"/>
      <c r="V77" s="45"/>
      <c r="W77" s="45"/>
      <c r="X77" s="529">
        <f t="shared" si="5"/>
        <v>0</v>
      </c>
      <c r="Y77" s="134"/>
      <c r="Z77" s="45"/>
      <c r="AA77" s="45"/>
      <c r="AB77" s="424"/>
      <c r="AC77" s="134"/>
    </row>
    <row r="78" spans="1:29">
      <c r="A78" s="175">
        <v>58</v>
      </c>
      <c r="B78" s="67" t="s">
        <v>144</v>
      </c>
      <c r="C78" s="111"/>
      <c r="D78" s="490"/>
      <c r="E78" s="572"/>
      <c r="F78" s="493">
        <f t="shared" si="4"/>
        <v>0</v>
      </c>
      <c r="G78" s="479"/>
      <c r="H78" s="477"/>
      <c r="I78" s="479"/>
      <c r="J78" s="496"/>
      <c r="K78" s="493">
        <f t="shared" si="2"/>
        <v>0</v>
      </c>
      <c r="L78" s="480"/>
      <c r="M78" s="45"/>
      <c r="N78" s="45"/>
      <c r="O78" s="205"/>
      <c r="P78" s="134"/>
      <c r="Q78" s="45"/>
      <c r="R78" s="45"/>
      <c r="S78" s="28"/>
      <c r="T78" s="45"/>
      <c r="U78" s="28"/>
      <c r="V78" s="45"/>
      <c r="W78" s="45"/>
      <c r="X78" s="529">
        <f t="shared" si="5"/>
        <v>0</v>
      </c>
      <c r="Y78" s="134"/>
      <c r="Z78" s="45"/>
      <c r="AA78" s="45"/>
      <c r="AB78" s="424"/>
      <c r="AC78" s="134"/>
    </row>
    <row r="79" spans="1:29">
      <c r="A79" s="175">
        <v>59</v>
      </c>
      <c r="B79" s="67" t="s">
        <v>145</v>
      </c>
      <c r="C79" s="111" t="s">
        <v>445</v>
      </c>
      <c r="D79" s="607">
        <v>1</v>
      </c>
      <c r="E79" s="572">
        <v>1</v>
      </c>
      <c r="F79" s="493">
        <f t="shared" si="4"/>
        <v>1</v>
      </c>
      <c r="G79" s="473"/>
      <c r="H79" s="479"/>
      <c r="I79" s="477"/>
      <c r="J79" s="496">
        <v>1</v>
      </c>
      <c r="K79" s="493">
        <f t="shared" si="2"/>
        <v>24</v>
      </c>
      <c r="L79" s="480">
        <v>1</v>
      </c>
      <c r="M79" s="45">
        <v>1</v>
      </c>
      <c r="N79" s="45"/>
      <c r="O79" s="205"/>
      <c r="P79" s="134"/>
      <c r="Q79" s="45"/>
      <c r="R79" s="45">
        <v>3</v>
      </c>
      <c r="S79" s="28">
        <v>1</v>
      </c>
      <c r="T79" s="45">
        <v>8</v>
      </c>
      <c r="U79" s="28">
        <v>10</v>
      </c>
      <c r="V79" s="45"/>
      <c r="W79" s="45"/>
      <c r="X79" s="529">
        <f t="shared" si="5"/>
        <v>16</v>
      </c>
      <c r="Y79" s="134">
        <v>1</v>
      </c>
      <c r="Z79" s="45">
        <v>1</v>
      </c>
      <c r="AA79" s="45">
        <v>4</v>
      </c>
      <c r="AB79" s="424">
        <v>10</v>
      </c>
      <c r="AC79" s="134"/>
    </row>
    <row r="80" spans="1:29">
      <c r="A80" s="175">
        <v>60</v>
      </c>
      <c r="B80" s="67" t="s">
        <v>146</v>
      </c>
      <c r="C80" s="111"/>
      <c r="D80" s="607">
        <v>11</v>
      </c>
      <c r="E80" s="572">
        <v>23</v>
      </c>
      <c r="F80" s="493">
        <f t="shared" si="4"/>
        <v>28</v>
      </c>
      <c r="G80" s="473">
        <v>2</v>
      </c>
      <c r="H80" s="479">
        <v>26</v>
      </c>
      <c r="I80" s="477"/>
      <c r="J80" s="496"/>
      <c r="K80" s="493">
        <f t="shared" ref="K80:K102" si="6">SUM(L80:W80)</f>
        <v>361</v>
      </c>
      <c r="L80" s="480">
        <v>3</v>
      </c>
      <c r="M80" s="45">
        <v>3</v>
      </c>
      <c r="N80" s="45">
        <v>88</v>
      </c>
      <c r="O80" s="205">
        <v>189</v>
      </c>
      <c r="P80" s="134"/>
      <c r="Q80" s="45">
        <v>78</v>
      </c>
      <c r="R80" s="45"/>
      <c r="S80" s="28"/>
      <c r="T80" s="45"/>
      <c r="U80" s="28"/>
      <c r="V80" s="45"/>
      <c r="W80" s="45"/>
      <c r="X80" s="529">
        <f t="shared" si="5"/>
        <v>332</v>
      </c>
      <c r="Y80" s="134">
        <v>81</v>
      </c>
      <c r="Z80" s="45">
        <v>251</v>
      </c>
      <c r="AA80" s="45"/>
      <c r="AB80" s="424"/>
      <c r="AC80" s="134"/>
    </row>
    <row r="81" spans="1:29">
      <c r="A81" s="175">
        <v>61</v>
      </c>
      <c r="B81" s="67" t="s">
        <v>147</v>
      </c>
      <c r="C81" s="111"/>
      <c r="D81" s="607">
        <v>3</v>
      </c>
      <c r="E81" s="572">
        <v>3</v>
      </c>
      <c r="F81" s="493">
        <f t="shared" si="4"/>
        <v>4</v>
      </c>
      <c r="G81" s="473"/>
      <c r="H81" s="479">
        <v>4</v>
      </c>
      <c r="I81" s="477"/>
      <c r="J81" s="496"/>
      <c r="K81" s="493">
        <f t="shared" si="6"/>
        <v>22</v>
      </c>
      <c r="L81" s="480"/>
      <c r="M81" s="45"/>
      <c r="N81" s="45">
        <v>8</v>
      </c>
      <c r="O81" s="205">
        <v>12</v>
      </c>
      <c r="P81" s="134">
        <v>1</v>
      </c>
      <c r="Q81" s="45">
        <v>1</v>
      </c>
      <c r="R81" s="45"/>
      <c r="S81" s="28"/>
      <c r="T81" s="45"/>
      <c r="U81" s="28"/>
      <c r="V81" s="45"/>
      <c r="W81" s="45"/>
      <c r="X81" s="529">
        <f t="shared" si="5"/>
        <v>22</v>
      </c>
      <c r="Y81" s="134">
        <v>9</v>
      </c>
      <c r="Z81" s="45">
        <v>13</v>
      </c>
      <c r="AA81" s="45"/>
      <c r="AB81" s="424"/>
      <c r="AC81" s="134"/>
    </row>
    <row r="82" spans="1:29">
      <c r="A82" s="175">
        <v>62</v>
      </c>
      <c r="B82" s="67" t="s">
        <v>148</v>
      </c>
      <c r="C82" s="111"/>
      <c r="D82" s="607">
        <v>3</v>
      </c>
      <c r="E82" s="572">
        <v>3</v>
      </c>
      <c r="F82" s="493">
        <f t="shared" si="4"/>
        <v>3</v>
      </c>
      <c r="G82" s="473"/>
      <c r="H82" s="479">
        <v>3</v>
      </c>
      <c r="I82" s="477"/>
      <c r="J82" s="496"/>
      <c r="K82" s="493">
        <f t="shared" si="6"/>
        <v>17</v>
      </c>
      <c r="L82" s="480">
        <v>1</v>
      </c>
      <c r="M82" s="45">
        <v>1</v>
      </c>
      <c r="N82" s="45">
        <v>4</v>
      </c>
      <c r="O82" s="205">
        <v>11</v>
      </c>
      <c r="P82" s="134"/>
      <c r="Q82" s="45"/>
      <c r="R82" s="45"/>
      <c r="S82" s="28"/>
      <c r="T82" s="446"/>
      <c r="U82" s="28"/>
      <c r="V82" s="45"/>
      <c r="W82" s="45"/>
      <c r="X82" s="529">
        <f t="shared" si="5"/>
        <v>17</v>
      </c>
      <c r="Y82" s="134">
        <v>5</v>
      </c>
      <c r="Z82" s="45">
        <v>12</v>
      </c>
      <c r="AA82" s="45"/>
      <c r="AB82" s="424"/>
      <c r="AC82" s="134"/>
    </row>
    <row r="83" spans="1:29">
      <c r="A83" s="175">
        <v>63</v>
      </c>
      <c r="B83" s="67" t="s">
        <v>149</v>
      </c>
      <c r="C83" s="111"/>
      <c r="D83" s="607">
        <v>5</v>
      </c>
      <c r="E83" s="572">
        <v>5</v>
      </c>
      <c r="F83" s="493">
        <f t="shared" si="4"/>
        <v>5</v>
      </c>
      <c r="G83" s="473">
        <v>1</v>
      </c>
      <c r="H83" s="479">
        <v>4</v>
      </c>
      <c r="I83" s="477"/>
      <c r="J83" s="496"/>
      <c r="K83" s="493">
        <f t="shared" si="6"/>
        <v>40</v>
      </c>
      <c r="L83" s="480"/>
      <c r="M83" s="45"/>
      <c r="N83" s="45">
        <v>26</v>
      </c>
      <c r="O83" s="205">
        <v>13</v>
      </c>
      <c r="P83" s="134"/>
      <c r="Q83" s="45">
        <v>1</v>
      </c>
      <c r="R83" s="45"/>
      <c r="S83" s="28"/>
      <c r="T83" s="45"/>
      <c r="U83" s="28"/>
      <c r="V83" s="45"/>
      <c r="W83" s="45"/>
      <c r="X83" s="529">
        <f t="shared" si="5"/>
        <v>37</v>
      </c>
      <c r="Y83" s="134">
        <v>23</v>
      </c>
      <c r="Z83" s="45">
        <v>14</v>
      </c>
      <c r="AA83" s="45"/>
      <c r="AB83" s="424"/>
      <c r="AC83" s="134"/>
    </row>
    <row r="84" spans="1:29">
      <c r="A84" s="175">
        <v>64</v>
      </c>
      <c r="B84" s="67" t="s">
        <v>150</v>
      </c>
      <c r="C84" s="111"/>
      <c r="D84" s="607">
        <v>9</v>
      </c>
      <c r="E84" s="572">
        <v>13</v>
      </c>
      <c r="F84" s="493">
        <f t="shared" si="4"/>
        <v>17</v>
      </c>
      <c r="G84" s="473"/>
      <c r="H84" s="479">
        <v>15</v>
      </c>
      <c r="I84" s="477">
        <v>1</v>
      </c>
      <c r="J84" s="496">
        <v>1</v>
      </c>
      <c r="K84" s="493">
        <f t="shared" si="6"/>
        <v>210</v>
      </c>
      <c r="L84" s="480">
        <v>4</v>
      </c>
      <c r="M84" s="45">
        <v>4</v>
      </c>
      <c r="N84" s="45">
        <v>36</v>
      </c>
      <c r="O84" s="205">
        <v>96</v>
      </c>
      <c r="P84" s="134">
        <v>2</v>
      </c>
      <c r="Q84" s="45">
        <v>21</v>
      </c>
      <c r="R84" s="45">
        <v>3</v>
      </c>
      <c r="S84" s="28">
        <v>1</v>
      </c>
      <c r="T84" s="45">
        <v>17</v>
      </c>
      <c r="U84" s="28">
        <v>26</v>
      </c>
      <c r="V84" s="45"/>
      <c r="W84" s="45"/>
      <c r="X84" s="529">
        <f t="shared" si="5"/>
        <v>201</v>
      </c>
      <c r="Y84" s="134">
        <v>39</v>
      </c>
      <c r="Z84" s="45">
        <v>119</v>
      </c>
      <c r="AA84" s="45">
        <v>17</v>
      </c>
      <c r="AB84" s="424">
        <v>26</v>
      </c>
      <c r="AC84" s="134"/>
    </row>
    <row r="85" spans="1:29">
      <c r="A85" s="175">
        <v>65</v>
      </c>
      <c r="B85" s="67" t="s">
        <v>151</v>
      </c>
      <c r="C85" s="111"/>
      <c r="D85" s="607">
        <v>9</v>
      </c>
      <c r="E85" s="572">
        <v>9</v>
      </c>
      <c r="F85" s="493">
        <f t="shared" si="4"/>
        <v>9</v>
      </c>
      <c r="G85" s="473">
        <v>2</v>
      </c>
      <c r="H85" s="479">
        <v>6</v>
      </c>
      <c r="I85" s="477">
        <v>1</v>
      </c>
      <c r="J85" s="496"/>
      <c r="K85" s="493">
        <f t="shared" si="6"/>
        <v>100</v>
      </c>
      <c r="L85" s="480"/>
      <c r="M85" s="45"/>
      <c r="N85" s="45">
        <v>27</v>
      </c>
      <c r="O85" s="205">
        <v>29</v>
      </c>
      <c r="P85" s="134"/>
      <c r="Q85" s="446">
        <v>3</v>
      </c>
      <c r="R85" s="45"/>
      <c r="S85" s="28">
        <v>1</v>
      </c>
      <c r="T85" s="45">
        <v>16</v>
      </c>
      <c r="U85" s="28">
        <v>22</v>
      </c>
      <c r="V85" s="45">
        <v>1</v>
      </c>
      <c r="W85" s="45">
        <v>1</v>
      </c>
      <c r="X85" s="529">
        <f t="shared" si="5"/>
        <v>96</v>
      </c>
      <c r="Y85" s="134">
        <v>26</v>
      </c>
      <c r="Z85" s="45">
        <v>30</v>
      </c>
      <c r="AA85" s="45">
        <v>17</v>
      </c>
      <c r="AB85" s="424">
        <v>23</v>
      </c>
      <c r="AC85" s="134"/>
    </row>
    <row r="86" spans="1:29">
      <c r="A86" s="175">
        <v>66</v>
      </c>
      <c r="B86" s="67" t="s">
        <v>152</v>
      </c>
      <c r="C86" s="111"/>
      <c r="D86" s="607">
        <v>3</v>
      </c>
      <c r="E86" s="572">
        <v>6</v>
      </c>
      <c r="F86" s="493">
        <f t="shared" ref="F86:F102" si="7">SUM(G86:J86)</f>
        <v>6</v>
      </c>
      <c r="G86" s="473">
        <v>4</v>
      </c>
      <c r="H86" s="479">
        <v>1</v>
      </c>
      <c r="I86" s="477">
        <v>1</v>
      </c>
      <c r="J86" s="496"/>
      <c r="K86" s="493">
        <f t="shared" si="6"/>
        <v>125</v>
      </c>
      <c r="L86" s="480">
        <v>2</v>
      </c>
      <c r="M86" s="45"/>
      <c r="N86" s="45">
        <v>18</v>
      </c>
      <c r="O86" s="205">
        <v>8</v>
      </c>
      <c r="P86" s="134">
        <v>78</v>
      </c>
      <c r="Q86" s="45"/>
      <c r="R86" s="45">
        <v>1</v>
      </c>
      <c r="S86" s="28"/>
      <c r="T86" s="45">
        <v>9</v>
      </c>
      <c r="U86" s="28">
        <v>9</v>
      </c>
      <c r="V86" s="45"/>
      <c r="W86" s="45"/>
      <c r="X86" s="529">
        <f t="shared" ref="X86:X102" si="8">SUM(Y86:AB86)</f>
        <v>124</v>
      </c>
      <c r="Y86" s="134">
        <v>98</v>
      </c>
      <c r="Z86" s="45">
        <v>7</v>
      </c>
      <c r="AA86" s="45">
        <v>10</v>
      </c>
      <c r="AB86" s="424">
        <v>9</v>
      </c>
      <c r="AC86" s="134"/>
    </row>
    <row r="87" spans="1:29">
      <c r="A87" s="175">
        <v>67</v>
      </c>
      <c r="B87" s="67" t="s">
        <v>153</v>
      </c>
      <c r="C87" s="110"/>
      <c r="D87" s="607">
        <v>4</v>
      </c>
      <c r="E87" s="572">
        <v>9</v>
      </c>
      <c r="F87" s="493">
        <f t="shared" si="7"/>
        <v>6</v>
      </c>
      <c r="G87" s="473">
        <v>3</v>
      </c>
      <c r="H87" s="479">
        <v>1</v>
      </c>
      <c r="I87" s="477">
        <v>2</v>
      </c>
      <c r="J87" s="496"/>
      <c r="K87" s="493">
        <f t="shared" si="6"/>
        <v>183</v>
      </c>
      <c r="L87" s="480"/>
      <c r="M87" s="45"/>
      <c r="N87" s="45">
        <v>73</v>
      </c>
      <c r="O87" s="205">
        <v>55</v>
      </c>
      <c r="P87" s="134">
        <v>44</v>
      </c>
      <c r="Q87" s="45">
        <v>11</v>
      </c>
      <c r="R87" s="45"/>
      <c r="S87" s="28"/>
      <c r="T87" s="45"/>
      <c r="U87" s="28"/>
      <c r="V87" s="45"/>
      <c r="W87" s="45"/>
      <c r="X87" s="529">
        <f t="shared" si="8"/>
        <v>179</v>
      </c>
      <c r="Y87" s="134">
        <v>115</v>
      </c>
      <c r="Z87" s="45">
        <v>64</v>
      </c>
      <c r="AA87" s="45"/>
      <c r="AB87" s="424"/>
      <c r="AC87" s="134"/>
    </row>
    <row r="88" spans="1:29">
      <c r="A88" s="175">
        <v>68</v>
      </c>
      <c r="B88" s="67" t="s">
        <v>154</v>
      </c>
      <c r="C88" s="111"/>
      <c r="D88" s="607"/>
      <c r="E88" s="572"/>
      <c r="F88" s="493">
        <f t="shared" si="7"/>
        <v>0</v>
      </c>
      <c r="G88" s="473"/>
      <c r="H88" s="479"/>
      <c r="I88" s="477"/>
      <c r="J88" s="496"/>
      <c r="K88" s="493">
        <f t="shared" si="6"/>
        <v>0</v>
      </c>
      <c r="L88" s="480"/>
      <c r="M88" s="45"/>
      <c r="N88" s="45"/>
      <c r="O88" s="205"/>
      <c r="P88" s="134"/>
      <c r="Q88" s="45"/>
      <c r="R88" s="45"/>
      <c r="S88" s="28"/>
      <c r="T88" s="45"/>
      <c r="U88" s="28"/>
      <c r="V88" s="45"/>
      <c r="W88" s="45"/>
      <c r="X88" s="529">
        <f t="shared" si="8"/>
        <v>0</v>
      </c>
      <c r="Y88" s="134"/>
      <c r="Z88" s="45"/>
      <c r="AA88" s="45"/>
      <c r="AB88" s="424"/>
      <c r="AC88" s="134"/>
    </row>
    <row r="89" spans="1:29">
      <c r="A89" s="175">
        <v>69</v>
      </c>
      <c r="B89" s="67" t="s">
        <v>155</v>
      </c>
      <c r="C89" s="111"/>
      <c r="D89" s="607"/>
      <c r="E89" s="572"/>
      <c r="F89" s="493">
        <f t="shared" si="7"/>
        <v>0</v>
      </c>
      <c r="G89" s="473"/>
      <c r="H89" s="479"/>
      <c r="I89" s="477"/>
      <c r="J89" s="496"/>
      <c r="K89" s="493">
        <f t="shared" si="6"/>
        <v>0</v>
      </c>
      <c r="L89" s="480"/>
      <c r="M89" s="45"/>
      <c r="N89" s="45"/>
      <c r="O89" s="205"/>
      <c r="P89" s="134"/>
      <c r="Q89" s="45"/>
      <c r="R89" s="45"/>
      <c r="S89" s="28"/>
      <c r="T89" s="45"/>
      <c r="U89" s="28"/>
      <c r="V89" s="45"/>
      <c r="W89" s="45"/>
      <c r="X89" s="529">
        <f t="shared" si="8"/>
        <v>0</v>
      </c>
      <c r="Y89" s="134"/>
      <c r="Z89" s="45"/>
      <c r="AA89" s="45"/>
      <c r="AB89" s="424"/>
      <c r="AC89" s="134"/>
    </row>
    <row r="90" spans="1:29">
      <c r="A90" s="175">
        <v>70</v>
      </c>
      <c r="B90" s="67" t="s">
        <v>156</v>
      </c>
      <c r="C90" s="111"/>
      <c r="D90" s="607">
        <v>1</v>
      </c>
      <c r="E90" s="572">
        <v>1</v>
      </c>
      <c r="F90" s="493">
        <f t="shared" si="7"/>
        <v>1</v>
      </c>
      <c r="G90" s="473"/>
      <c r="H90" s="479"/>
      <c r="I90" s="477"/>
      <c r="J90" s="496">
        <v>1</v>
      </c>
      <c r="K90" s="493">
        <f t="shared" si="6"/>
        <v>43</v>
      </c>
      <c r="L90" s="480"/>
      <c r="M90" s="45"/>
      <c r="N90" s="45"/>
      <c r="O90" s="205"/>
      <c r="P90" s="134"/>
      <c r="Q90" s="45"/>
      <c r="R90" s="45">
        <v>17</v>
      </c>
      <c r="S90" s="28">
        <v>6</v>
      </c>
      <c r="T90" s="45">
        <v>10</v>
      </c>
      <c r="U90" s="28">
        <v>10</v>
      </c>
      <c r="V90" s="45"/>
      <c r="W90" s="45"/>
      <c r="X90" s="529">
        <f t="shared" si="8"/>
        <v>42</v>
      </c>
      <c r="Y90" s="134"/>
      <c r="Z90" s="45"/>
      <c r="AA90" s="45">
        <v>26</v>
      </c>
      <c r="AB90" s="424">
        <v>16</v>
      </c>
      <c r="AC90" s="134"/>
    </row>
    <row r="91" spans="1:29">
      <c r="A91" s="175">
        <v>71</v>
      </c>
      <c r="B91" s="67" t="s">
        <v>157</v>
      </c>
      <c r="C91" s="111"/>
      <c r="D91" s="607"/>
      <c r="E91" s="572"/>
      <c r="F91" s="493">
        <f t="shared" si="7"/>
        <v>0</v>
      </c>
      <c r="G91" s="473"/>
      <c r="H91" s="479"/>
      <c r="I91" s="477"/>
      <c r="J91" s="496"/>
      <c r="K91" s="493">
        <f t="shared" si="6"/>
        <v>0</v>
      </c>
      <c r="L91" s="480"/>
      <c r="M91" s="45"/>
      <c r="N91" s="45"/>
      <c r="O91" s="205"/>
      <c r="P91" s="134"/>
      <c r="Q91" s="45"/>
      <c r="R91" s="45"/>
      <c r="S91" s="28"/>
      <c r="T91" s="45"/>
      <c r="U91" s="28"/>
      <c r="V91" s="45"/>
      <c r="W91" s="45"/>
      <c r="X91" s="529">
        <f t="shared" si="8"/>
        <v>0</v>
      </c>
      <c r="Y91" s="134"/>
      <c r="Z91" s="45"/>
      <c r="AA91" s="45"/>
      <c r="AB91" s="424"/>
      <c r="AC91" s="134"/>
    </row>
    <row r="92" spans="1:29">
      <c r="A92" s="175">
        <v>72</v>
      </c>
      <c r="B92" s="67" t="s">
        <v>158</v>
      </c>
      <c r="C92" s="111"/>
      <c r="D92" s="607">
        <v>3</v>
      </c>
      <c r="E92" s="572">
        <v>4</v>
      </c>
      <c r="F92" s="493">
        <f t="shared" si="7"/>
        <v>5</v>
      </c>
      <c r="G92" s="473"/>
      <c r="H92" s="479">
        <v>1</v>
      </c>
      <c r="I92" s="477">
        <v>3</v>
      </c>
      <c r="J92" s="496">
        <v>1</v>
      </c>
      <c r="K92" s="493">
        <f t="shared" si="6"/>
        <v>63</v>
      </c>
      <c r="L92" s="480"/>
      <c r="M92" s="45"/>
      <c r="N92" s="45">
        <v>4</v>
      </c>
      <c r="O92" s="205">
        <v>6</v>
      </c>
      <c r="P92" s="134"/>
      <c r="Q92" s="45"/>
      <c r="R92" s="45">
        <v>1</v>
      </c>
      <c r="S92" s="28"/>
      <c r="T92" s="45">
        <v>30</v>
      </c>
      <c r="U92" s="28">
        <v>17</v>
      </c>
      <c r="V92" s="45">
        <v>3</v>
      </c>
      <c r="W92" s="45">
        <v>2</v>
      </c>
      <c r="X92" s="529">
        <f t="shared" si="8"/>
        <v>60</v>
      </c>
      <c r="Y92" s="134">
        <v>4</v>
      </c>
      <c r="Z92" s="45">
        <v>5</v>
      </c>
      <c r="AA92" s="45">
        <v>33</v>
      </c>
      <c r="AB92" s="424">
        <v>18</v>
      </c>
      <c r="AC92" s="134"/>
    </row>
    <row r="93" spans="1:29">
      <c r="A93" s="175">
        <v>73</v>
      </c>
      <c r="B93" s="67" t="s">
        <v>159</v>
      </c>
      <c r="C93" s="111"/>
      <c r="D93" s="607">
        <v>9</v>
      </c>
      <c r="E93" s="572">
        <v>9</v>
      </c>
      <c r="F93" s="493">
        <f t="shared" si="7"/>
        <v>9</v>
      </c>
      <c r="G93" s="473">
        <v>2</v>
      </c>
      <c r="H93" s="479">
        <v>7</v>
      </c>
      <c r="I93" s="477"/>
      <c r="J93" s="496"/>
      <c r="K93" s="493">
        <f t="shared" si="6"/>
        <v>34</v>
      </c>
      <c r="L93" s="480"/>
      <c r="M93" s="45"/>
      <c r="N93" s="45">
        <v>12</v>
      </c>
      <c r="O93" s="205">
        <v>17</v>
      </c>
      <c r="P93" s="134">
        <v>4</v>
      </c>
      <c r="Q93" s="45">
        <v>1</v>
      </c>
      <c r="R93" s="45"/>
      <c r="S93" s="28"/>
      <c r="T93" s="45"/>
      <c r="U93" s="28"/>
      <c r="V93" s="45"/>
      <c r="W93" s="45"/>
      <c r="X93" s="529">
        <f t="shared" si="8"/>
        <v>34</v>
      </c>
      <c r="Y93" s="134">
        <v>16</v>
      </c>
      <c r="Z93" s="45">
        <v>18</v>
      </c>
      <c r="AA93" s="45"/>
      <c r="AB93" s="424"/>
      <c r="AC93" s="134"/>
    </row>
    <row r="94" spans="1:29">
      <c r="A94" s="175">
        <v>74</v>
      </c>
      <c r="B94" s="67" t="s">
        <v>160</v>
      </c>
      <c r="C94" s="111"/>
      <c r="D94" s="607">
        <v>1</v>
      </c>
      <c r="E94" s="572">
        <v>1</v>
      </c>
      <c r="F94" s="493">
        <f t="shared" si="7"/>
        <v>1</v>
      </c>
      <c r="G94" s="473"/>
      <c r="H94" s="479">
        <v>1</v>
      </c>
      <c r="I94" s="477"/>
      <c r="J94" s="496"/>
      <c r="K94" s="493">
        <f t="shared" si="6"/>
        <v>7</v>
      </c>
      <c r="L94" s="480"/>
      <c r="M94" s="45"/>
      <c r="N94" s="45">
        <v>2</v>
      </c>
      <c r="O94" s="205">
        <v>5</v>
      </c>
      <c r="P94" s="134"/>
      <c r="Q94" s="45"/>
      <c r="R94" s="45"/>
      <c r="S94" s="28"/>
      <c r="T94" s="45"/>
      <c r="U94" s="28"/>
      <c r="V94" s="45"/>
      <c r="W94" s="45"/>
      <c r="X94" s="529">
        <f t="shared" si="8"/>
        <v>7</v>
      </c>
      <c r="Y94" s="134">
        <v>2</v>
      </c>
      <c r="Z94" s="45">
        <v>5</v>
      </c>
      <c r="AA94" s="45"/>
      <c r="AB94" s="424"/>
      <c r="AC94" s="134"/>
    </row>
    <row r="95" spans="1:29">
      <c r="A95" s="175">
        <v>75</v>
      </c>
      <c r="B95" s="67" t="s">
        <v>161</v>
      </c>
      <c r="C95" s="111"/>
      <c r="D95" s="607">
        <v>4</v>
      </c>
      <c r="E95" s="572">
        <v>6</v>
      </c>
      <c r="F95" s="493">
        <f t="shared" si="7"/>
        <v>20</v>
      </c>
      <c r="G95" s="473">
        <v>15</v>
      </c>
      <c r="H95" s="479">
        <v>5</v>
      </c>
      <c r="I95" s="477"/>
      <c r="J95" s="496"/>
      <c r="K95" s="493">
        <f t="shared" si="6"/>
        <v>329</v>
      </c>
      <c r="L95" s="480">
        <v>1</v>
      </c>
      <c r="M95" s="45"/>
      <c r="N95" s="45">
        <v>181</v>
      </c>
      <c r="O95" s="205">
        <v>45</v>
      </c>
      <c r="P95" s="134">
        <v>98</v>
      </c>
      <c r="Q95" s="45">
        <v>4</v>
      </c>
      <c r="R95" s="45"/>
      <c r="S95" s="28"/>
      <c r="T95" s="45"/>
      <c r="U95" s="28"/>
      <c r="V95" s="45"/>
      <c r="W95" s="45"/>
      <c r="X95" s="529">
        <f t="shared" si="8"/>
        <v>315</v>
      </c>
      <c r="Y95" s="134">
        <v>271</v>
      </c>
      <c r="Z95" s="45">
        <v>44</v>
      </c>
      <c r="AA95" s="45"/>
      <c r="AB95" s="424"/>
      <c r="AC95" s="134"/>
    </row>
    <row r="96" spans="1:29">
      <c r="A96" s="175">
        <v>76</v>
      </c>
      <c r="B96" s="67" t="s">
        <v>162</v>
      </c>
      <c r="C96" s="111"/>
      <c r="D96" s="607">
        <v>4</v>
      </c>
      <c r="E96" s="572">
        <v>4</v>
      </c>
      <c r="F96" s="493">
        <f t="shared" si="7"/>
        <v>4</v>
      </c>
      <c r="G96" s="473"/>
      <c r="H96" s="479">
        <v>4</v>
      </c>
      <c r="I96" s="477"/>
      <c r="J96" s="496"/>
      <c r="K96" s="493">
        <f t="shared" si="6"/>
        <v>29</v>
      </c>
      <c r="L96" s="480"/>
      <c r="M96" s="45"/>
      <c r="N96" s="45">
        <v>13</v>
      </c>
      <c r="O96" s="205">
        <v>14</v>
      </c>
      <c r="P96" s="134">
        <v>2</v>
      </c>
      <c r="Q96" s="45"/>
      <c r="R96" s="45"/>
      <c r="S96" s="28"/>
      <c r="T96" s="45"/>
      <c r="U96" s="28"/>
      <c r="V96" s="45"/>
      <c r="W96" s="45"/>
      <c r="X96" s="529">
        <f t="shared" si="8"/>
        <v>29</v>
      </c>
      <c r="Y96" s="134">
        <v>15</v>
      </c>
      <c r="Z96" s="45">
        <v>14</v>
      </c>
      <c r="AA96" s="45"/>
      <c r="AB96" s="424"/>
      <c r="AC96" s="134"/>
    </row>
    <row r="97" spans="1:29">
      <c r="A97" s="175">
        <v>77</v>
      </c>
      <c r="B97" s="67" t="s">
        <v>163</v>
      </c>
      <c r="C97" s="111"/>
      <c r="D97" s="607"/>
      <c r="E97" s="572"/>
      <c r="F97" s="493">
        <f t="shared" si="7"/>
        <v>0</v>
      </c>
      <c r="G97" s="473"/>
      <c r="H97" s="479"/>
      <c r="I97" s="477"/>
      <c r="J97" s="496"/>
      <c r="K97" s="493">
        <f t="shared" si="6"/>
        <v>0</v>
      </c>
      <c r="L97" s="480"/>
      <c r="M97" s="45"/>
      <c r="N97" s="45"/>
      <c r="O97" s="205"/>
      <c r="P97" s="134"/>
      <c r="Q97" s="45"/>
      <c r="R97" s="45"/>
      <c r="S97" s="28"/>
      <c r="T97" s="45"/>
      <c r="U97" s="28"/>
      <c r="V97" s="45"/>
      <c r="W97" s="45"/>
      <c r="X97" s="529">
        <f t="shared" si="8"/>
        <v>0</v>
      </c>
      <c r="Y97" s="134"/>
      <c r="Z97" s="45"/>
      <c r="AA97" s="45"/>
      <c r="AB97" s="424"/>
      <c r="AC97" s="134"/>
    </row>
    <row r="98" spans="1:29">
      <c r="A98" s="175">
        <v>78</v>
      </c>
      <c r="B98" s="67" t="s">
        <v>164</v>
      </c>
      <c r="C98" s="111"/>
      <c r="D98" s="607">
        <v>1</v>
      </c>
      <c r="E98" s="572">
        <v>1</v>
      </c>
      <c r="F98" s="493">
        <f t="shared" si="7"/>
        <v>1</v>
      </c>
      <c r="G98" s="473"/>
      <c r="H98" s="479">
        <v>1</v>
      </c>
      <c r="I98" s="477"/>
      <c r="J98" s="496"/>
      <c r="K98" s="493">
        <f t="shared" si="6"/>
        <v>6</v>
      </c>
      <c r="L98" s="480"/>
      <c r="M98" s="45"/>
      <c r="N98" s="45">
        <v>3</v>
      </c>
      <c r="O98" s="205">
        <v>2</v>
      </c>
      <c r="P98" s="134">
        <v>1</v>
      </c>
      <c r="Q98" s="45"/>
      <c r="R98" s="45"/>
      <c r="S98" s="28"/>
      <c r="T98" s="45"/>
      <c r="U98" s="28"/>
      <c r="V98" s="45"/>
      <c r="W98" s="45"/>
      <c r="X98" s="529">
        <f t="shared" si="8"/>
        <v>6</v>
      </c>
      <c r="Y98" s="134">
        <v>4</v>
      </c>
      <c r="Z98" s="45">
        <v>2</v>
      </c>
      <c r="AA98" s="45"/>
      <c r="AB98" s="424"/>
      <c r="AC98" s="134"/>
    </row>
    <row r="99" spans="1:29">
      <c r="A99" s="175">
        <v>79</v>
      </c>
      <c r="B99" s="67" t="s">
        <v>165</v>
      </c>
      <c r="C99" s="111"/>
      <c r="D99" s="607">
        <v>1</v>
      </c>
      <c r="E99" s="572">
        <v>1</v>
      </c>
      <c r="F99" s="493">
        <f t="shared" si="7"/>
        <v>1</v>
      </c>
      <c r="G99" s="473"/>
      <c r="H99" s="479">
        <v>1</v>
      </c>
      <c r="I99" s="477"/>
      <c r="J99" s="496"/>
      <c r="K99" s="493">
        <f t="shared" si="6"/>
        <v>61</v>
      </c>
      <c r="L99" s="480"/>
      <c r="M99" s="45"/>
      <c r="N99" s="45"/>
      <c r="O99" s="205"/>
      <c r="P99" s="134"/>
      <c r="Q99" s="45"/>
      <c r="R99" s="45"/>
      <c r="S99" s="28"/>
      <c r="T99" s="45">
        <v>21</v>
      </c>
      <c r="U99" s="28">
        <v>23</v>
      </c>
      <c r="V99" s="45">
        <v>7</v>
      </c>
      <c r="W99" s="45">
        <v>10</v>
      </c>
      <c r="X99" s="529">
        <f t="shared" si="8"/>
        <v>57</v>
      </c>
      <c r="Y99" s="134"/>
      <c r="Z99" s="45"/>
      <c r="AA99" s="45">
        <v>26</v>
      </c>
      <c r="AB99" s="424">
        <v>31</v>
      </c>
      <c r="AC99" s="134"/>
    </row>
    <row r="100" spans="1:29">
      <c r="A100" s="175">
        <v>80</v>
      </c>
      <c r="B100" s="67" t="s">
        <v>166</v>
      </c>
      <c r="C100" s="111"/>
      <c r="D100" s="607"/>
      <c r="E100" s="572"/>
      <c r="F100" s="493">
        <f t="shared" si="7"/>
        <v>0</v>
      </c>
      <c r="G100" s="473"/>
      <c r="H100" s="479"/>
      <c r="I100" s="477"/>
      <c r="J100" s="496"/>
      <c r="K100" s="493">
        <f t="shared" si="6"/>
        <v>0</v>
      </c>
      <c r="L100" s="480"/>
      <c r="M100" s="45"/>
      <c r="N100" s="45"/>
      <c r="O100" s="205"/>
      <c r="P100" s="134"/>
      <c r="Q100" s="45"/>
      <c r="R100" s="45"/>
      <c r="S100" s="28"/>
      <c r="T100" s="45"/>
      <c r="U100" s="28"/>
      <c r="V100" s="45"/>
      <c r="W100" s="45"/>
      <c r="X100" s="529">
        <f t="shared" si="8"/>
        <v>0</v>
      </c>
      <c r="Y100" s="134"/>
      <c r="Z100" s="45"/>
      <c r="AA100" s="45"/>
      <c r="AB100" s="424"/>
      <c r="AC100" s="134"/>
    </row>
    <row r="101" spans="1:29">
      <c r="A101" s="175">
        <v>81</v>
      </c>
      <c r="B101" s="67" t="s">
        <v>167</v>
      </c>
      <c r="C101" s="111"/>
      <c r="D101" s="607">
        <v>3</v>
      </c>
      <c r="E101" s="572">
        <v>3</v>
      </c>
      <c r="F101" s="493">
        <f t="shared" si="7"/>
        <v>3</v>
      </c>
      <c r="G101" s="473"/>
      <c r="H101" s="479">
        <v>3</v>
      </c>
      <c r="I101" s="477"/>
      <c r="J101" s="496"/>
      <c r="K101" s="493">
        <f t="shared" si="6"/>
        <v>9</v>
      </c>
      <c r="L101" s="480"/>
      <c r="M101" s="45">
        <v>1</v>
      </c>
      <c r="N101" s="45">
        <v>2</v>
      </c>
      <c r="O101" s="205">
        <v>6</v>
      </c>
      <c r="P101" s="134"/>
      <c r="Q101" s="45"/>
      <c r="R101" s="45"/>
      <c r="S101" s="28"/>
      <c r="T101" s="45"/>
      <c r="U101" s="28"/>
      <c r="V101" s="45"/>
      <c r="W101" s="45"/>
      <c r="X101" s="529">
        <f t="shared" si="8"/>
        <v>9</v>
      </c>
      <c r="Y101" s="134">
        <v>2</v>
      </c>
      <c r="Z101" s="45">
        <v>7</v>
      </c>
      <c r="AA101" s="45"/>
      <c r="AB101" s="424"/>
      <c r="AC101" s="134"/>
    </row>
    <row r="102" spans="1:29">
      <c r="A102" s="175">
        <v>82</v>
      </c>
      <c r="B102" s="67" t="s">
        <v>168</v>
      </c>
      <c r="C102" s="97"/>
      <c r="D102" s="528">
        <v>5</v>
      </c>
      <c r="E102" s="529">
        <v>7</v>
      </c>
      <c r="F102" s="493">
        <f t="shared" si="7"/>
        <v>6</v>
      </c>
      <c r="G102" s="473"/>
      <c r="H102" s="479">
        <v>3</v>
      </c>
      <c r="I102" s="477">
        <v>1</v>
      </c>
      <c r="J102" s="496">
        <v>2</v>
      </c>
      <c r="K102" s="493">
        <f t="shared" si="6"/>
        <v>180</v>
      </c>
      <c r="L102" s="480"/>
      <c r="M102" s="45"/>
      <c r="N102" s="45">
        <v>12</v>
      </c>
      <c r="O102" s="205">
        <v>12</v>
      </c>
      <c r="P102" s="134">
        <v>1</v>
      </c>
      <c r="Q102" s="45"/>
      <c r="R102" s="45">
        <v>4</v>
      </c>
      <c r="S102" s="28">
        <v>8</v>
      </c>
      <c r="T102" s="45">
        <v>62</v>
      </c>
      <c r="U102" s="28">
        <v>81</v>
      </c>
      <c r="V102" s="45"/>
      <c r="W102" s="45"/>
      <c r="X102" s="529">
        <f t="shared" si="8"/>
        <v>120</v>
      </c>
      <c r="Y102" s="134">
        <v>13</v>
      </c>
      <c r="Z102" s="45">
        <v>11</v>
      </c>
      <c r="AA102" s="45">
        <v>41</v>
      </c>
      <c r="AB102" s="424">
        <v>55</v>
      </c>
      <c r="AC102" s="134"/>
    </row>
    <row r="103" spans="1:29">
      <c r="A103" s="506"/>
      <c r="B103" s="507"/>
      <c r="C103" s="333"/>
      <c r="D103" s="608"/>
      <c r="E103" s="609"/>
      <c r="F103" s="508"/>
      <c r="G103" s="509"/>
      <c r="H103" s="510"/>
      <c r="I103" s="511"/>
      <c r="J103" s="512"/>
      <c r="K103" s="513"/>
      <c r="L103" s="514"/>
      <c r="M103" s="317"/>
      <c r="N103" s="317"/>
      <c r="O103" s="515"/>
      <c r="P103" s="256"/>
      <c r="Q103" s="317"/>
      <c r="R103" s="317"/>
      <c r="S103" s="206"/>
      <c r="T103" s="317"/>
      <c r="U103" s="206"/>
      <c r="V103" s="317"/>
      <c r="W103" s="317"/>
      <c r="X103" s="609"/>
      <c r="Y103" s="256"/>
      <c r="Z103" s="317"/>
      <c r="AA103" s="317"/>
      <c r="AB103" s="516"/>
      <c r="AC103" s="134"/>
    </row>
    <row r="104" spans="1:29">
      <c r="A104" s="505" t="s">
        <v>429</v>
      </c>
      <c r="B104" s="67"/>
      <c r="C104" s="97"/>
      <c r="D104" s="504">
        <f>SUM(D21:D102)</f>
        <v>400</v>
      </c>
      <c r="E104" s="504">
        <f t="shared" ref="E104:AB104" si="9">SUM(E21:E102)</f>
        <v>681</v>
      </c>
      <c r="F104" s="504">
        <f t="shared" si="9"/>
        <v>741</v>
      </c>
      <c r="G104" s="480">
        <f t="shared" si="9"/>
        <v>151</v>
      </c>
      <c r="H104" s="470">
        <f t="shared" si="9"/>
        <v>494</v>
      </c>
      <c r="I104" s="470">
        <f t="shared" si="9"/>
        <v>61</v>
      </c>
      <c r="J104" s="649">
        <f t="shared" si="9"/>
        <v>35</v>
      </c>
      <c r="K104" s="504">
        <f t="shared" si="9"/>
        <v>11430</v>
      </c>
      <c r="L104" s="480">
        <f t="shared" si="9"/>
        <v>82</v>
      </c>
      <c r="M104" s="470">
        <f t="shared" si="9"/>
        <v>99</v>
      </c>
      <c r="N104" s="470">
        <f t="shared" si="9"/>
        <v>3155</v>
      </c>
      <c r="O104" s="470">
        <f t="shared" si="9"/>
        <v>3038</v>
      </c>
      <c r="P104" s="470">
        <f t="shared" si="9"/>
        <v>819</v>
      </c>
      <c r="Q104" s="470">
        <f t="shared" si="9"/>
        <v>555</v>
      </c>
      <c r="R104" s="470">
        <f t="shared" si="9"/>
        <v>220</v>
      </c>
      <c r="S104" s="470">
        <f t="shared" si="9"/>
        <v>140</v>
      </c>
      <c r="T104" s="470">
        <f t="shared" si="9"/>
        <v>1574</v>
      </c>
      <c r="U104" s="470">
        <f t="shared" si="9"/>
        <v>1439</v>
      </c>
      <c r="V104" s="470">
        <f t="shared" si="9"/>
        <v>169</v>
      </c>
      <c r="W104" s="649">
        <f t="shared" si="9"/>
        <v>140</v>
      </c>
      <c r="X104" s="504">
        <f t="shared" si="9"/>
        <v>10369</v>
      </c>
      <c r="Y104" s="480">
        <f t="shared" si="9"/>
        <v>3874</v>
      </c>
      <c r="Z104" s="470">
        <f t="shared" si="9"/>
        <v>3418</v>
      </c>
      <c r="AA104" s="470">
        <f t="shared" si="9"/>
        <v>1635</v>
      </c>
      <c r="AB104" s="574">
        <f t="shared" si="9"/>
        <v>1442</v>
      </c>
      <c r="AC104" s="474"/>
    </row>
    <row r="105" spans="1:29">
      <c r="A105" s="505" t="s">
        <v>430</v>
      </c>
      <c r="B105" s="67"/>
      <c r="C105" s="97"/>
      <c r="D105" s="528"/>
      <c r="E105" s="529"/>
      <c r="F105" s="493"/>
      <c r="G105" s="473"/>
      <c r="H105" s="479"/>
      <c r="I105" s="477"/>
      <c r="J105" s="496"/>
      <c r="K105" s="474"/>
      <c r="L105" s="480"/>
      <c r="M105" s="45"/>
      <c r="N105" s="45"/>
      <c r="O105" s="205"/>
      <c r="P105" s="134"/>
      <c r="Q105" s="45"/>
      <c r="R105" s="45"/>
      <c r="S105" s="28"/>
      <c r="T105" s="45"/>
      <c r="U105" s="28"/>
      <c r="V105" s="45"/>
      <c r="W105" s="45"/>
      <c r="X105" s="529"/>
      <c r="Y105" s="134"/>
      <c r="Z105" s="45"/>
      <c r="AA105" s="45"/>
      <c r="AB105" s="424"/>
      <c r="AC105" s="134"/>
    </row>
    <row r="106" spans="1:29" ht="15" thickBot="1">
      <c r="A106" s="517"/>
      <c r="B106" s="518"/>
      <c r="C106" s="519"/>
      <c r="D106" s="610"/>
      <c r="E106" s="611"/>
      <c r="F106" s="501"/>
      <c r="G106" s="520"/>
      <c r="H106" s="521"/>
      <c r="I106" s="522"/>
      <c r="J106" s="523"/>
      <c r="K106" s="524"/>
      <c r="L106" s="525"/>
      <c r="M106" s="321"/>
      <c r="N106" s="321"/>
      <c r="O106" s="526"/>
      <c r="P106" s="253"/>
      <c r="Q106" s="321"/>
      <c r="R106" s="321"/>
      <c r="S106" s="208"/>
      <c r="T106" s="321"/>
      <c r="U106" s="208"/>
      <c r="V106" s="321"/>
      <c r="W106" s="321"/>
      <c r="X106" s="611"/>
      <c r="Y106" s="253"/>
      <c r="Z106" s="321"/>
      <c r="AA106" s="321"/>
      <c r="AB106" s="527"/>
      <c r="AC106" s="134"/>
    </row>
    <row r="107" spans="1:29" ht="15" thickTop="1">
      <c r="A107" s="176" t="s">
        <v>21</v>
      </c>
      <c r="B107" s="59"/>
      <c r="C107" s="4"/>
      <c r="D107" s="463"/>
      <c r="E107" s="493"/>
      <c r="F107" s="493"/>
      <c r="G107" s="473"/>
      <c r="H107" s="479"/>
      <c r="I107" s="477"/>
      <c r="J107" s="496"/>
      <c r="K107" s="474"/>
      <c r="L107" s="480"/>
      <c r="M107" s="45"/>
      <c r="N107" s="45"/>
      <c r="O107" s="205"/>
      <c r="P107" s="134"/>
      <c r="Q107" s="45"/>
      <c r="R107" s="45"/>
      <c r="S107" s="28"/>
      <c r="T107" s="45"/>
      <c r="U107" s="28"/>
      <c r="V107" s="45"/>
      <c r="W107" s="45"/>
      <c r="X107" s="529"/>
      <c r="Y107" s="134"/>
      <c r="Z107" s="45"/>
      <c r="AA107" s="45"/>
      <c r="AB107" s="424"/>
      <c r="AC107" s="134"/>
    </row>
    <row r="108" spans="1:29">
      <c r="A108" s="146">
        <v>83</v>
      </c>
      <c r="B108" s="48" t="s">
        <v>169</v>
      </c>
      <c r="C108" s="4"/>
      <c r="D108" s="463">
        <v>1</v>
      </c>
      <c r="E108" s="493">
        <v>1</v>
      </c>
      <c r="F108" s="493">
        <f>SUM(G108:J108)</f>
        <v>2</v>
      </c>
      <c r="G108" s="473">
        <v>1</v>
      </c>
      <c r="H108" s="479"/>
      <c r="I108" s="477"/>
      <c r="J108" s="496">
        <v>1</v>
      </c>
      <c r="K108" s="474">
        <f>SUM(L108:W108)</f>
        <v>30</v>
      </c>
      <c r="L108" s="480"/>
      <c r="M108" s="45"/>
      <c r="N108" s="45"/>
      <c r="O108" s="205"/>
      <c r="P108" s="134"/>
      <c r="Q108" s="45"/>
      <c r="R108" s="45"/>
      <c r="S108" s="28"/>
      <c r="T108" s="45">
        <v>10</v>
      </c>
      <c r="U108" s="28">
        <v>17</v>
      </c>
      <c r="V108" s="45"/>
      <c r="W108" s="45">
        <v>3</v>
      </c>
      <c r="X108" s="529">
        <f>SUM(Y108:AB108)</f>
        <v>29</v>
      </c>
      <c r="Y108" s="134"/>
      <c r="Z108" s="45"/>
      <c r="AA108" s="45">
        <v>10</v>
      </c>
      <c r="AB108" s="424">
        <v>19</v>
      </c>
      <c r="AC108" s="134"/>
    </row>
    <row r="109" spans="1:29">
      <c r="A109" s="146">
        <v>84</v>
      </c>
      <c r="B109" s="48" t="s">
        <v>170</v>
      </c>
      <c r="C109" s="4"/>
      <c r="D109" s="463"/>
      <c r="E109" s="493"/>
      <c r="F109" s="493">
        <f t="shared" ref="F109:F112" si="10">SUM(G109:J109)</f>
        <v>0</v>
      </c>
      <c r="G109" s="473"/>
      <c r="H109" s="479"/>
      <c r="I109" s="477"/>
      <c r="J109" s="496"/>
      <c r="K109" s="474">
        <f t="shared" ref="K109:K112" si="11">SUM(L109:W109)</f>
        <v>0</v>
      </c>
      <c r="L109" s="480"/>
      <c r="M109" s="45"/>
      <c r="N109" s="45"/>
      <c r="O109" s="205"/>
      <c r="P109" s="134"/>
      <c r="Q109" s="45"/>
      <c r="R109" s="45"/>
      <c r="S109" s="28"/>
      <c r="T109" s="45"/>
      <c r="U109" s="28"/>
      <c r="V109" s="45"/>
      <c r="W109" s="45"/>
      <c r="X109" s="529">
        <f t="shared" ref="X109:X112" si="12">SUM(Y109:AB109)</f>
        <v>0</v>
      </c>
      <c r="Y109" s="134"/>
      <c r="Z109" s="45"/>
      <c r="AA109" s="45"/>
      <c r="AB109" s="424"/>
      <c r="AC109" s="134"/>
    </row>
    <row r="110" spans="1:29">
      <c r="A110" s="146">
        <v>85</v>
      </c>
      <c r="B110" s="48" t="s">
        <v>171</v>
      </c>
      <c r="C110" s="4"/>
      <c r="D110" s="463">
        <v>8</v>
      </c>
      <c r="E110" s="493">
        <v>11</v>
      </c>
      <c r="F110" s="493">
        <f t="shared" si="10"/>
        <v>21</v>
      </c>
      <c r="G110" s="473">
        <v>1</v>
      </c>
      <c r="H110" s="479">
        <v>17</v>
      </c>
      <c r="I110" s="477">
        <v>3</v>
      </c>
      <c r="J110" s="496"/>
      <c r="K110" s="474">
        <f t="shared" si="11"/>
        <v>233</v>
      </c>
      <c r="L110" s="480">
        <v>4</v>
      </c>
      <c r="M110" s="45">
        <v>1</v>
      </c>
      <c r="N110" s="45">
        <v>33</v>
      </c>
      <c r="O110" s="205">
        <v>64</v>
      </c>
      <c r="P110" s="134">
        <v>2</v>
      </c>
      <c r="Q110" s="45">
        <v>6</v>
      </c>
      <c r="R110" s="45">
        <v>26</v>
      </c>
      <c r="S110" s="28">
        <v>35</v>
      </c>
      <c r="T110" s="45">
        <v>13</v>
      </c>
      <c r="U110" s="28">
        <v>40</v>
      </c>
      <c r="V110" s="45"/>
      <c r="W110" s="45">
        <v>9</v>
      </c>
      <c r="X110" s="529">
        <f t="shared" si="12"/>
        <v>218</v>
      </c>
      <c r="Y110" s="134">
        <v>34</v>
      </c>
      <c r="Z110" s="45">
        <v>71</v>
      </c>
      <c r="AA110" s="45">
        <v>35</v>
      </c>
      <c r="AB110" s="424">
        <v>78</v>
      </c>
      <c r="AC110" s="134"/>
    </row>
    <row r="111" spans="1:29">
      <c r="A111" s="146">
        <v>86</v>
      </c>
      <c r="B111" s="48" t="s">
        <v>172</v>
      </c>
      <c r="C111" s="4"/>
      <c r="D111" s="463">
        <v>2</v>
      </c>
      <c r="E111" s="493">
        <v>2</v>
      </c>
      <c r="F111" s="493">
        <f t="shared" si="10"/>
        <v>2</v>
      </c>
      <c r="G111" s="473"/>
      <c r="H111" s="479">
        <v>2</v>
      </c>
      <c r="I111" s="477"/>
      <c r="J111" s="496"/>
      <c r="K111" s="474">
        <f t="shared" si="11"/>
        <v>14</v>
      </c>
      <c r="L111" s="480"/>
      <c r="M111" s="45"/>
      <c r="N111" s="45">
        <v>2</v>
      </c>
      <c r="O111" s="205">
        <v>10</v>
      </c>
      <c r="P111" s="134">
        <v>2</v>
      </c>
      <c r="Q111" s="45"/>
      <c r="R111" s="45"/>
      <c r="S111" s="28"/>
      <c r="T111" s="45"/>
      <c r="U111" s="28"/>
      <c r="V111" s="45"/>
      <c r="W111" s="45"/>
      <c r="X111" s="529">
        <f t="shared" si="12"/>
        <v>14</v>
      </c>
      <c r="Y111" s="134">
        <v>4</v>
      </c>
      <c r="Z111" s="45">
        <v>10</v>
      </c>
      <c r="AA111" s="45"/>
      <c r="AB111" s="424"/>
      <c r="AC111" s="134"/>
    </row>
    <row r="112" spans="1:29">
      <c r="A112" s="146">
        <v>87</v>
      </c>
      <c r="B112" s="48" t="s">
        <v>173</v>
      </c>
      <c r="C112" s="112"/>
      <c r="D112" s="528">
        <v>5</v>
      </c>
      <c r="E112" s="529">
        <v>8</v>
      </c>
      <c r="F112" s="493">
        <f t="shared" si="10"/>
        <v>9</v>
      </c>
      <c r="G112" s="473"/>
      <c r="H112" s="479">
        <v>5</v>
      </c>
      <c r="I112" s="477">
        <v>3</v>
      </c>
      <c r="J112" s="496">
        <v>1</v>
      </c>
      <c r="K112" s="474">
        <f t="shared" si="11"/>
        <v>201</v>
      </c>
      <c r="L112" s="480">
        <v>1</v>
      </c>
      <c r="M112" s="45"/>
      <c r="N112" s="45">
        <v>1</v>
      </c>
      <c r="O112" s="205">
        <v>7</v>
      </c>
      <c r="P112" s="134"/>
      <c r="Q112" s="45"/>
      <c r="R112" s="45"/>
      <c r="S112" s="28">
        <v>1</v>
      </c>
      <c r="T112" s="45">
        <v>50</v>
      </c>
      <c r="U112" s="28">
        <v>86</v>
      </c>
      <c r="V112" s="45">
        <v>21</v>
      </c>
      <c r="W112" s="45">
        <v>34</v>
      </c>
      <c r="X112" s="529">
        <f t="shared" si="12"/>
        <v>186</v>
      </c>
      <c r="Y112" s="134">
        <v>2</v>
      </c>
      <c r="Z112" s="45">
        <v>6</v>
      </c>
      <c r="AA112" s="45">
        <v>65</v>
      </c>
      <c r="AB112" s="424">
        <v>113</v>
      </c>
      <c r="AC112" s="134"/>
    </row>
    <row r="113" spans="1:29">
      <c r="A113" s="530"/>
      <c r="B113" s="437"/>
      <c r="C113" s="531"/>
      <c r="D113" s="612"/>
      <c r="E113" s="613"/>
      <c r="F113" s="508"/>
      <c r="G113" s="532"/>
      <c r="H113" s="533"/>
      <c r="I113" s="534"/>
      <c r="J113" s="535"/>
      <c r="K113" s="536"/>
      <c r="L113" s="537"/>
      <c r="M113" s="538"/>
      <c r="N113" s="538"/>
      <c r="O113" s="539"/>
      <c r="P113" s="540"/>
      <c r="Q113" s="538"/>
      <c r="R113" s="538"/>
      <c r="S113" s="541"/>
      <c r="T113" s="538"/>
      <c r="U113" s="541"/>
      <c r="V113" s="538"/>
      <c r="W113" s="538"/>
      <c r="X113" s="609"/>
      <c r="Y113" s="540"/>
      <c r="Z113" s="538"/>
      <c r="AA113" s="538"/>
      <c r="AB113" s="542"/>
      <c r="AC113" s="456"/>
    </row>
    <row r="114" spans="1:29">
      <c r="A114" s="146" t="s">
        <v>293</v>
      </c>
      <c r="B114" s="48"/>
      <c r="C114" s="112"/>
      <c r="D114" s="528">
        <f>SUM(D108:D112)</f>
        <v>16</v>
      </c>
      <c r="E114" s="529">
        <f t="shared" ref="E114:AB114" si="13">SUM(E108:E112)</f>
        <v>22</v>
      </c>
      <c r="F114" s="529">
        <f t="shared" si="13"/>
        <v>34</v>
      </c>
      <c r="G114" s="528">
        <f t="shared" si="13"/>
        <v>2</v>
      </c>
      <c r="H114" s="568">
        <f t="shared" si="13"/>
        <v>24</v>
      </c>
      <c r="I114" s="568">
        <f t="shared" si="13"/>
        <v>6</v>
      </c>
      <c r="J114" s="653">
        <f t="shared" si="13"/>
        <v>2</v>
      </c>
      <c r="K114" s="528">
        <f t="shared" si="13"/>
        <v>478</v>
      </c>
      <c r="L114" s="654">
        <f t="shared" si="13"/>
        <v>5</v>
      </c>
      <c r="M114" s="568">
        <f t="shared" si="13"/>
        <v>1</v>
      </c>
      <c r="N114" s="568">
        <f t="shared" si="13"/>
        <v>36</v>
      </c>
      <c r="O114" s="568">
        <f t="shared" si="13"/>
        <v>81</v>
      </c>
      <c r="P114" s="568">
        <f t="shared" si="13"/>
        <v>4</v>
      </c>
      <c r="Q114" s="568">
        <f t="shared" si="13"/>
        <v>6</v>
      </c>
      <c r="R114" s="568">
        <f t="shared" si="13"/>
        <v>26</v>
      </c>
      <c r="S114" s="568">
        <f t="shared" si="13"/>
        <v>36</v>
      </c>
      <c r="T114" s="568">
        <f t="shared" si="13"/>
        <v>73</v>
      </c>
      <c r="U114" s="568">
        <f t="shared" si="13"/>
        <v>143</v>
      </c>
      <c r="V114" s="568">
        <f t="shared" si="13"/>
        <v>21</v>
      </c>
      <c r="W114" s="528">
        <f t="shared" si="13"/>
        <v>46</v>
      </c>
      <c r="X114" s="529">
        <f t="shared" si="13"/>
        <v>447</v>
      </c>
      <c r="Y114" s="528">
        <f t="shared" si="13"/>
        <v>40</v>
      </c>
      <c r="Z114" s="568">
        <f t="shared" si="13"/>
        <v>87</v>
      </c>
      <c r="AA114" s="568">
        <f t="shared" si="13"/>
        <v>110</v>
      </c>
      <c r="AB114" s="569">
        <f t="shared" si="13"/>
        <v>210</v>
      </c>
      <c r="AC114" s="528"/>
    </row>
    <row r="115" spans="1:29" ht="15" thickBot="1">
      <c r="A115" s="543"/>
      <c r="B115" s="184"/>
      <c r="C115" s="544"/>
      <c r="D115" s="614"/>
      <c r="E115" s="615"/>
      <c r="F115" s="501"/>
      <c r="G115" s="545"/>
      <c r="H115" s="546"/>
      <c r="I115" s="547"/>
      <c r="J115" s="548"/>
      <c r="K115" s="549"/>
      <c r="L115" s="550"/>
      <c r="M115" s="551"/>
      <c r="N115" s="551"/>
      <c r="O115" s="552"/>
      <c r="P115" s="553"/>
      <c r="Q115" s="551"/>
      <c r="R115" s="551"/>
      <c r="S115" s="554"/>
      <c r="T115" s="551"/>
      <c r="U115" s="554"/>
      <c r="V115" s="551"/>
      <c r="W115" s="551"/>
      <c r="X115" s="611"/>
      <c r="Y115" s="553"/>
      <c r="Z115" s="551"/>
      <c r="AA115" s="551"/>
      <c r="AB115" s="555"/>
      <c r="AC115" s="456"/>
    </row>
    <row r="116" spans="1:29" ht="15" thickTop="1">
      <c r="A116" s="177" t="s">
        <v>22</v>
      </c>
      <c r="B116" s="84"/>
      <c r="C116" s="97"/>
      <c r="D116" s="616"/>
      <c r="E116" s="617"/>
      <c r="F116" s="493"/>
      <c r="G116" s="481"/>
      <c r="H116" s="482"/>
      <c r="I116" s="483"/>
      <c r="J116" s="497"/>
      <c r="K116" s="492"/>
      <c r="L116" s="484"/>
      <c r="M116" s="447"/>
      <c r="N116" s="447"/>
      <c r="O116" s="444"/>
      <c r="P116" s="456"/>
      <c r="Q116" s="447"/>
      <c r="R116" s="447"/>
      <c r="S116" s="270"/>
      <c r="T116" s="447"/>
      <c r="U116" s="270"/>
      <c r="V116" s="447"/>
      <c r="W116" s="447"/>
      <c r="X116" s="529"/>
      <c r="Y116" s="456"/>
      <c r="Z116" s="447"/>
      <c r="AA116" s="447"/>
      <c r="AB116" s="457"/>
      <c r="AC116" s="456"/>
    </row>
    <row r="117" spans="1:29">
      <c r="A117" s="176" t="s">
        <v>23</v>
      </c>
      <c r="B117" s="59"/>
      <c r="C117" s="8"/>
      <c r="D117" s="463"/>
      <c r="E117" s="493"/>
      <c r="F117" s="493"/>
      <c r="G117" s="473"/>
      <c r="H117" s="479"/>
      <c r="I117" s="477"/>
      <c r="J117" s="496"/>
      <c r="K117" s="474"/>
      <c r="L117" s="480"/>
      <c r="M117" s="45"/>
      <c r="N117" s="45"/>
      <c r="O117" s="205"/>
      <c r="P117" s="134"/>
      <c r="Q117" s="45"/>
      <c r="R117" s="45"/>
      <c r="S117" s="28"/>
      <c r="T117" s="45"/>
      <c r="U117" s="28"/>
      <c r="V117" s="45"/>
      <c r="W117" s="45"/>
      <c r="X117" s="529"/>
      <c r="Y117" s="134"/>
      <c r="Z117" s="45"/>
      <c r="AA117" s="45"/>
      <c r="AB117" s="424"/>
      <c r="AC117" s="134"/>
    </row>
    <row r="118" spans="1:29">
      <c r="A118" s="146">
        <v>88</v>
      </c>
      <c r="B118" s="48" t="s">
        <v>174</v>
      </c>
      <c r="C118" s="4"/>
      <c r="D118" s="463"/>
      <c r="E118" s="493"/>
      <c r="F118" s="493">
        <f>SUM(G118:J118)</f>
        <v>0</v>
      </c>
      <c r="G118" s="473"/>
      <c r="H118" s="479"/>
      <c r="I118" s="477"/>
      <c r="J118" s="496"/>
      <c r="K118" s="474">
        <f>SUM(L118:W118)</f>
        <v>0</v>
      </c>
      <c r="L118" s="480"/>
      <c r="M118" s="45"/>
      <c r="N118" s="45"/>
      <c r="O118" s="205"/>
      <c r="P118" s="134"/>
      <c r="Q118" s="45"/>
      <c r="R118" s="45"/>
      <c r="S118" s="28"/>
      <c r="T118" s="45"/>
      <c r="U118" s="28"/>
      <c r="V118" s="45"/>
      <c r="W118" s="45"/>
      <c r="X118" s="529">
        <f>SUM(Y118:AB118)</f>
        <v>0</v>
      </c>
      <c r="Y118" s="134"/>
      <c r="Z118" s="45"/>
      <c r="AA118" s="45"/>
      <c r="AB118" s="424"/>
      <c r="AC118" s="134"/>
    </row>
    <row r="119" spans="1:29">
      <c r="A119" s="146">
        <v>89</v>
      </c>
      <c r="B119" s="48" t="s">
        <v>175</v>
      </c>
      <c r="C119" s="4"/>
      <c r="D119" s="463"/>
      <c r="E119" s="493"/>
      <c r="F119" s="493">
        <f t="shared" ref="F119:F126" si="14">SUM(G119:J119)</f>
        <v>0</v>
      </c>
      <c r="G119" s="473"/>
      <c r="H119" s="479"/>
      <c r="I119" s="477"/>
      <c r="J119" s="496"/>
      <c r="K119" s="474">
        <f t="shared" ref="K119:K149" si="15">SUM(L119:W119)</f>
        <v>0</v>
      </c>
      <c r="L119" s="480"/>
      <c r="M119" s="45"/>
      <c r="N119" s="45"/>
      <c r="O119" s="205"/>
      <c r="P119" s="134"/>
      <c r="Q119" s="45"/>
      <c r="R119" s="45"/>
      <c r="S119" s="28"/>
      <c r="T119" s="45"/>
      <c r="U119" s="28"/>
      <c r="V119" s="45"/>
      <c r="W119" s="45"/>
      <c r="X119" s="529">
        <f t="shared" ref="X119:X149" si="16">SUM(Y119:AB119)</f>
        <v>0</v>
      </c>
      <c r="Y119" s="134"/>
      <c r="Z119" s="45"/>
      <c r="AA119" s="45"/>
      <c r="AB119" s="424"/>
      <c r="AC119" s="134"/>
    </row>
    <row r="120" spans="1:29">
      <c r="A120" s="146">
        <v>90</v>
      </c>
      <c r="B120" s="48" t="s">
        <v>176</v>
      </c>
      <c r="C120" s="4"/>
      <c r="D120" s="463">
        <v>1</v>
      </c>
      <c r="E120" s="493">
        <v>1</v>
      </c>
      <c r="F120" s="493">
        <f t="shared" si="14"/>
        <v>1</v>
      </c>
      <c r="G120" s="473"/>
      <c r="H120" s="479"/>
      <c r="I120" s="477">
        <v>1</v>
      </c>
      <c r="J120" s="496"/>
      <c r="K120" s="474">
        <f t="shared" si="15"/>
        <v>12</v>
      </c>
      <c r="L120" s="480"/>
      <c r="M120" s="45"/>
      <c r="N120" s="45"/>
      <c r="O120" s="205"/>
      <c r="P120" s="134"/>
      <c r="Q120" s="45"/>
      <c r="R120" s="45"/>
      <c r="S120" s="28"/>
      <c r="T120" s="45">
        <v>10</v>
      </c>
      <c r="U120" s="28"/>
      <c r="V120" s="45">
        <v>2</v>
      </c>
      <c r="W120" s="45"/>
      <c r="X120" s="529">
        <f t="shared" si="16"/>
        <v>12</v>
      </c>
      <c r="Y120" s="134"/>
      <c r="Z120" s="45"/>
      <c r="AA120" s="45">
        <v>12</v>
      </c>
      <c r="AB120" s="424"/>
      <c r="AC120" s="134"/>
    </row>
    <row r="121" spans="1:29">
      <c r="A121" s="146">
        <v>91</v>
      </c>
      <c r="B121" s="48" t="s">
        <v>177</v>
      </c>
      <c r="C121" s="4"/>
      <c r="D121" s="463">
        <v>1</v>
      </c>
      <c r="E121" s="493">
        <v>2</v>
      </c>
      <c r="F121" s="493">
        <f t="shared" si="14"/>
        <v>2</v>
      </c>
      <c r="G121" s="473"/>
      <c r="H121" s="479"/>
      <c r="I121" s="477">
        <v>2</v>
      </c>
      <c r="J121" s="496"/>
      <c r="K121" s="474">
        <f t="shared" si="15"/>
        <v>33</v>
      </c>
      <c r="L121" s="480"/>
      <c r="M121" s="45"/>
      <c r="N121" s="45"/>
      <c r="O121" s="205">
        <v>19</v>
      </c>
      <c r="P121" s="134"/>
      <c r="Q121" s="45">
        <v>14</v>
      </c>
      <c r="R121" s="45"/>
      <c r="S121" s="28"/>
      <c r="T121" s="45"/>
      <c r="U121" s="28"/>
      <c r="V121" s="45"/>
      <c r="W121" s="45"/>
      <c r="X121" s="529">
        <f t="shared" si="16"/>
        <v>32</v>
      </c>
      <c r="Y121" s="134"/>
      <c r="Z121" s="45">
        <v>32</v>
      </c>
      <c r="AA121" s="45"/>
      <c r="AB121" s="424"/>
      <c r="AC121" s="134"/>
    </row>
    <row r="122" spans="1:29">
      <c r="A122" s="146">
        <v>92</v>
      </c>
      <c r="B122" s="48" t="s">
        <v>178</v>
      </c>
      <c r="C122" s="4"/>
      <c r="D122" s="463">
        <v>5</v>
      </c>
      <c r="E122" s="493">
        <v>5</v>
      </c>
      <c r="F122" s="493">
        <f t="shared" si="14"/>
        <v>5</v>
      </c>
      <c r="G122" s="473"/>
      <c r="H122" s="479"/>
      <c r="I122" s="477">
        <v>4</v>
      </c>
      <c r="J122" s="496">
        <v>1</v>
      </c>
      <c r="K122" s="474">
        <f t="shared" si="15"/>
        <v>99</v>
      </c>
      <c r="L122" s="480"/>
      <c r="M122" s="45"/>
      <c r="N122" s="45">
        <v>2</v>
      </c>
      <c r="O122" s="205">
        <v>2</v>
      </c>
      <c r="P122" s="134"/>
      <c r="Q122" s="45"/>
      <c r="R122" s="45">
        <v>6</v>
      </c>
      <c r="S122" s="28">
        <v>10</v>
      </c>
      <c r="T122" s="45">
        <v>34</v>
      </c>
      <c r="U122" s="28">
        <v>35</v>
      </c>
      <c r="V122" s="45">
        <v>8</v>
      </c>
      <c r="W122" s="45">
        <v>2</v>
      </c>
      <c r="X122" s="529">
        <f t="shared" si="16"/>
        <v>95</v>
      </c>
      <c r="Y122" s="134">
        <v>3</v>
      </c>
      <c r="Z122" s="45">
        <v>1</v>
      </c>
      <c r="AA122" s="45">
        <v>46</v>
      </c>
      <c r="AB122" s="424">
        <v>45</v>
      </c>
      <c r="AC122" s="134"/>
    </row>
    <row r="123" spans="1:29">
      <c r="A123" s="146">
        <v>93</v>
      </c>
      <c r="B123" s="48" t="s">
        <v>179</v>
      </c>
      <c r="C123" s="4"/>
      <c r="D123" s="463">
        <v>3</v>
      </c>
      <c r="E123" s="493">
        <v>3</v>
      </c>
      <c r="F123" s="493">
        <f t="shared" si="14"/>
        <v>3</v>
      </c>
      <c r="G123" s="473"/>
      <c r="H123" s="479">
        <v>1</v>
      </c>
      <c r="I123" s="477">
        <v>1</v>
      </c>
      <c r="J123" s="496">
        <v>1</v>
      </c>
      <c r="K123" s="474">
        <f t="shared" si="15"/>
        <v>57</v>
      </c>
      <c r="L123" s="480"/>
      <c r="M123" s="45"/>
      <c r="N123" s="45">
        <v>1</v>
      </c>
      <c r="O123" s="205">
        <v>3</v>
      </c>
      <c r="P123" s="134"/>
      <c r="Q123" s="45"/>
      <c r="R123" s="45">
        <v>2</v>
      </c>
      <c r="S123" s="28">
        <v>4</v>
      </c>
      <c r="T123" s="45">
        <v>23</v>
      </c>
      <c r="U123" s="28">
        <v>24</v>
      </c>
      <c r="V123" s="45"/>
      <c r="W123" s="45"/>
      <c r="X123" s="529">
        <f t="shared" si="16"/>
        <v>44</v>
      </c>
      <c r="Y123" s="134">
        <v>1</v>
      </c>
      <c r="Z123" s="45">
        <v>3</v>
      </c>
      <c r="AA123" s="45">
        <v>18</v>
      </c>
      <c r="AB123" s="424">
        <v>22</v>
      </c>
      <c r="AC123" s="134"/>
    </row>
    <row r="124" spans="1:29">
      <c r="A124" s="146">
        <v>94</v>
      </c>
      <c r="B124" s="48" t="s">
        <v>180</v>
      </c>
      <c r="C124" s="4"/>
      <c r="D124" s="463">
        <v>4</v>
      </c>
      <c r="E124" s="493">
        <v>4</v>
      </c>
      <c r="F124" s="493">
        <f t="shared" si="14"/>
        <v>4</v>
      </c>
      <c r="G124" s="473"/>
      <c r="H124" s="479"/>
      <c r="I124" s="477">
        <v>2</v>
      </c>
      <c r="J124" s="496">
        <v>2</v>
      </c>
      <c r="K124" s="474">
        <f t="shared" si="15"/>
        <v>119</v>
      </c>
      <c r="L124" s="480"/>
      <c r="M124" s="45"/>
      <c r="N124" s="45"/>
      <c r="O124" s="205"/>
      <c r="P124" s="134"/>
      <c r="Q124" s="45"/>
      <c r="R124" s="45">
        <v>6</v>
      </c>
      <c r="S124" s="28">
        <v>3</v>
      </c>
      <c r="T124" s="45">
        <v>50</v>
      </c>
      <c r="U124" s="28">
        <v>50</v>
      </c>
      <c r="V124" s="45">
        <v>9</v>
      </c>
      <c r="W124" s="45">
        <v>1</v>
      </c>
      <c r="X124" s="529">
        <f t="shared" si="16"/>
        <v>103</v>
      </c>
      <c r="Y124" s="134"/>
      <c r="Z124" s="45"/>
      <c r="AA124" s="45">
        <v>50</v>
      </c>
      <c r="AB124" s="424">
        <v>53</v>
      </c>
      <c r="AC124" s="134"/>
    </row>
    <row r="125" spans="1:29">
      <c r="A125" s="146">
        <v>95</v>
      </c>
      <c r="B125" s="48" t="s">
        <v>181</v>
      </c>
      <c r="C125" s="4"/>
      <c r="D125" s="528">
        <v>1</v>
      </c>
      <c r="E125" s="493">
        <v>1</v>
      </c>
      <c r="F125" s="493">
        <f t="shared" si="14"/>
        <v>1</v>
      </c>
      <c r="G125" s="473"/>
      <c r="H125" s="479"/>
      <c r="I125" s="477">
        <v>1</v>
      </c>
      <c r="J125" s="496"/>
      <c r="K125" s="474">
        <f t="shared" si="15"/>
        <v>34</v>
      </c>
      <c r="L125" s="480"/>
      <c r="M125" s="45"/>
      <c r="N125" s="45"/>
      <c r="O125" s="205"/>
      <c r="P125" s="134"/>
      <c r="Q125" s="45"/>
      <c r="R125" s="45"/>
      <c r="S125" s="28"/>
      <c r="T125" s="45">
        <v>20</v>
      </c>
      <c r="U125" s="28">
        <v>10</v>
      </c>
      <c r="V125" s="45">
        <v>4</v>
      </c>
      <c r="W125" s="45"/>
      <c r="X125" s="529">
        <f t="shared" si="16"/>
        <v>30</v>
      </c>
      <c r="Y125" s="134"/>
      <c r="Z125" s="45"/>
      <c r="AA125" s="45">
        <v>21</v>
      </c>
      <c r="AB125" s="424">
        <v>9</v>
      </c>
      <c r="AC125" s="134"/>
    </row>
    <row r="126" spans="1:29">
      <c r="A126" s="146">
        <v>96</v>
      </c>
      <c r="B126" s="48" t="s">
        <v>182</v>
      </c>
      <c r="C126" s="97"/>
      <c r="D126" s="657">
        <v>3</v>
      </c>
      <c r="E126" s="529">
        <v>3</v>
      </c>
      <c r="F126" s="493">
        <f t="shared" si="14"/>
        <v>3</v>
      </c>
      <c r="G126" s="473"/>
      <c r="H126" s="479"/>
      <c r="I126" s="477">
        <v>2</v>
      </c>
      <c r="J126" s="496">
        <v>1</v>
      </c>
      <c r="K126" s="474">
        <f t="shared" si="15"/>
        <v>64</v>
      </c>
      <c r="L126" s="480"/>
      <c r="M126" s="45"/>
      <c r="N126" s="45"/>
      <c r="O126" s="205"/>
      <c r="P126" s="134"/>
      <c r="Q126" s="45"/>
      <c r="R126" s="45"/>
      <c r="S126" s="28"/>
      <c r="T126" s="45">
        <v>18</v>
      </c>
      <c r="U126" s="28">
        <v>21</v>
      </c>
      <c r="V126" s="45">
        <v>9</v>
      </c>
      <c r="W126" s="45">
        <v>16</v>
      </c>
      <c r="X126" s="529">
        <f t="shared" si="16"/>
        <v>54</v>
      </c>
      <c r="Y126" s="134"/>
      <c r="Z126" s="45"/>
      <c r="AA126" s="45">
        <v>21</v>
      </c>
      <c r="AB126" s="424">
        <v>33</v>
      </c>
      <c r="AC126" s="134"/>
    </row>
    <row r="127" spans="1:29">
      <c r="A127" s="176" t="s">
        <v>24</v>
      </c>
      <c r="B127" s="59"/>
      <c r="C127" s="113"/>
      <c r="D127" s="528"/>
      <c r="E127" s="529"/>
      <c r="F127" s="493"/>
      <c r="G127" s="473"/>
      <c r="H127" s="479"/>
      <c r="I127" s="477"/>
      <c r="J127" s="496"/>
      <c r="K127" s="474"/>
      <c r="L127" s="480"/>
      <c r="M127" s="45"/>
      <c r="N127" s="45"/>
      <c r="O127" s="205"/>
      <c r="P127" s="134"/>
      <c r="Q127" s="45"/>
      <c r="R127" s="45"/>
      <c r="S127" s="28"/>
      <c r="T127" s="45"/>
      <c r="U127" s="28"/>
      <c r="V127" s="45"/>
      <c r="W127" s="45"/>
      <c r="X127" s="529"/>
      <c r="Y127" s="134"/>
      <c r="Z127" s="45"/>
      <c r="AA127" s="45"/>
      <c r="AB127" s="424"/>
      <c r="AC127" s="134"/>
    </row>
    <row r="128" spans="1:29">
      <c r="A128" s="178">
        <v>97</v>
      </c>
      <c r="B128" s="85" t="s">
        <v>183</v>
      </c>
      <c r="C128" s="4"/>
      <c r="D128" s="463">
        <v>1</v>
      </c>
      <c r="E128" s="493">
        <v>1</v>
      </c>
      <c r="F128" s="493">
        <f>SUM(G128:J128)</f>
        <v>1</v>
      </c>
      <c r="G128" s="473"/>
      <c r="H128" s="479">
        <v>1</v>
      </c>
      <c r="I128" s="477"/>
      <c r="J128" s="496"/>
      <c r="K128" s="474">
        <f t="shared" si="15"/>
        <v>6</v>
      </c>
      <c r="L128" s="480"/>
      <c r="M128" s="45">
        <v>1</v>
      </c>
      <c r="N128" s="45">
        <v>2</v>
      </c>
      <c r="O128" s="205">
        <v>3</v>
      </c>
      <c r="P128" s="134"/>
      <c r="Q128" s="45"/>
      <c r="R128" s="45"/>
      <c r="S128" s="28"/>
      <c r="T128" s="45"/>
      <c r="U128" s="28"/>
      <c r="V128" s="45"/>
      <c r="W128" s="45"/>
      <c r="X128" s="529">
        <f t="shared" si="16"/>
        <v>2</v>
      </c>
      <c r="Y128" s="134">
        <v>1</v>
      </c>
      <c r="Z128" s="45">
        <v>1</v>
      </c>
      <c r="AA128" s="45"/>
      <c r="AB128" s="424"/>
      <c r="AC128" s="134"/>
    </row>
    <row r="129" spans="1:29">
      <c r="A129" s="146">
        <v>98</v>
      </c>
      <c r="B129" s="48" t="s">
        <v>184</v>
      </c>
      <c r="C129" s="4"/>
      <c r="D129" s="463">
        <v>2</v>
      </c>
      <c r="E129" s="493">
        <v>2</v>
      </c>
      <c r="F129" s="493">
        <f t="shared" ref="F129:F149" si="17">SUM(G129:J129)</f>
        <v>2</v>
      </c>
      <c r="G129" s="473"/>
      <c r="H129" s="479"/>
      <c r="I129" s="477">
        <v>2</v>
      </c>
      <c r="J129" s="496"/>
      <c r="K129" s="474">
        <f t="shared" si="15"/>
        <v>64</v>
      </c>
      <c r="L129" s="480"/>
      <c r="M129" s="45"/>
      <c r="N129" s="45"/>
      <c r="O129" s="205"/>
      <c r="P129" s="134"/>
      <c r="Q129" s="45"/>
      <c r="R129" s="45"/>
      <c r="S129" s="28"/>
      <c r="T129" s="45">
        <v>37</v>
      </c>
      <c r="U129" s="28">
        <v>17</v>
      </c>
      <c r="V129" s="45">
        <v>8</v>
      </c>
      <c r="W129" s="45">
        <v>2</v>
      </c>
      <c r="X129" s="529">
        <f t="shared" si="16"/>
        <v>45</v>
      </c>
      <c r="Y129" s="134"/>
      <c r="Z129" s="45"/>
      <c r="AA129" s="45">
        <v>31</v>
      </c>
      <c r="AB129" s="424">
        <v>14</v>
      </c>
      <c r="AC129" s="134"/>
    </row>
    <row r="130" spans="1:29">
      <c r="A130" s="146">
        <v>99</v>
      </c>
      <c r="B130" s="48" t="s">
        <v>185</v>
      </c>
      <c r="C130" s="4"/>
      <c r="D130" s="463"/>
      <c r="E130" s="493"/>
      <c r="F130" s="493">
        <f t="shared" si="17"/>
        <v>0</v>
      </c>
      <c r="G130" s="473"/>
      <c r="H130" s="479"/>
      <c r="I130" s="477"/>
      <c r="J130" s="496"/>
      <c r="K130" s="474">
        <f t="shared" si="15"/>
        <v>0</v>
      </c>
      <c r="L130" s="480"/>
      <c r="M130" s="45"/>
      <c r="N130" s="45"/>
      <c r="O130" s="205"/>
      <c r="P130" s="134"/>
      <c r="Q130" s="45"/>
      <c r="R130" s="45"/>
      <c r="S130" s="28"/>
      <c r="T130" s="45"/>
      <c r="U130" s="28"/>
      <c r="V130" s="45"/>
      <c r="W130" s="45"/>
      <c r="X130" s="529">
        <f t="shared" si="16"/>
        <v>0</v>
      </c>
      <c r="Y130" s="134"/>
      <c r="Z130" s="45"/>
      <c r="AA130" s="45"/>
      <c r="AB130" s="424"/>
      <c r="AC130" s="134"/>
    </row>
    <row r="131" spans="1:29">
      <c r="A131" s="146">
        <v>100</v>
      </c>
      <c r="B131" s="48" t="s">
        <v>186</v>
      </c>
      <c r="C131" s="4"/>
      <c r="D131" s="463">
        <v>4</v>
      </c>
      <c r="E131" s="493">
        <v>4</v>
      </c>
      <c r="F131" s="493">
        <f t="shared" si="17"/>
        <v>4</v>
      </c>
      <c r="G131" s="473"/>
      <c r="H131" s="479">
        <v>2</v>
      </c>
      <c r="I131" s="477">
        <v>1</v>
      </c>
      <c r="J131" s="496">
        <v>1</v>
      </c>
      <c r="K131" s="474">
        <f t="shared" si="15"/>
        <v>33</v>
      </c>
      <c r="L131" s="480"/>
      <c r="M131" s="45"/>
      <c r="N131" s="45">
        <v>6</v>
      </c>
      <c r="O131" s="205">
        <v>2</v>
      </c>
      <c r="P131" s="134"/>
      <c r="Q131" s="45"/>
      <c r="R131" s="45"/>
      <c r="S131" s="28"/>
      <c r="T131" s="45">
        <v>16</v>
      </c>
      <c r="U131" s="28">
        <v>5</v>
      </c>
      <c r="V131" s="45">
        <v>4</v>
      </c>
      <c r="W131" s="45"/>
      <c r="X131" s="529">
        <f t="shared" si="16"/>
        <v>26</v>
      </c>
      <c r="Y131" s="134">
        <v>6</v>
      </c>
      <c r="Z131" s="45">
        <v>2</v>
      </c>
      <c r="AA131" s="45">
        <v>13</v>
      </c>
      <c r="AB131" s="424">
        <v>5</v>
      </c>
      <c r="AC131" s="134"/>
    </row>
    <row r="132" spans="1:29">
      <c r="A132" s="146">
        <v>101</v>
      </c>
      <c r="B132" s="48" t="s">
        <v>291</v>
      </c>
      <c r="C132" s="4"/>
      <c r="D132" s="463">
        <v>4</v>
      </c>
      <c r="E132" s="493">
        <v>4</v>
      </c>
      <c r="F132" s="493">
        <f t="shared" si="17"/>
        <v>4</v>
      </c>
      <c r="G132" s="473"/>
      <c r="H132" s="479"/>
      <c r="I132" s="477">
        <v>3</v>
      </c>
      <c r="J132" s="496">
        <v>1</v>
      </c>
      <c r="K132" s="474">
        <f t="shared" si="15"/>
        <v>124</v>
      </c>
      <c r="L132" s="480"/>
      <c r="M132" s="45"/>
      <c r="N132" s="45"/>
      <c r="O132" s="205"/>
      <c r="P132" s="134"/>
      <c r="Q132" s="45"/>
      <c r="R132" s="45"/>
      <c r="S132" s="28"/>
      <c r="T132" s="45">
        <v>77</v>
      </c>
      <c r="U132" s="28">
        <v>40</v>
      </c>
      <c r="V132" s="45">
        <v>2</v>
      </c>
      <c r="W132" s="45">
        <v>5</v>
      </c>
      <c r="X132" s="529">
        <f t="shared" si="16"/>
        <v>87</v>
      </c>
      <c r="Y132" s="134"/>
      <c r="Z132" s="45"/>
      <c r="AA132" s="45">
        <v>54</v>
      </c>
      <c r="AB132" s="424">
        <v>33</v>
      </c>
      <c r="AC132" s="134"/>
    </row>
    <row r="133" spans="1:29">
      <c r="A133" s="146">
        <v>102</v>
      </c>
      <c r="B133" s="48" t="s">
        <v>187</v>
      </c>
      <c r="C133" s="4"/>
      <c r="D133" s="463">
        <v>4</v>
      </c>
      <c r="E133" s="493">
        <v>11</v>
      </c>
      <c r="F133" s="493">
        <f t="shared" si="17"/>
        <v>12</v>
      </c>
      <c r="G133" s="473"/>
      <c r="H133" s="479">
        <v>10</v>
      </c>
      <c r="I133" s="477">
        <v>1</v>
      </c>
      <c r="J133" s="496">
        <v>1</v>
      </c>
      <c r="K133" s="474">
        <f t="shared" si="15"/>
        <v>176</v>
      </c>
      <c r="L133" s="480">
        <v>5</v>
      </c>
      <c r="M133" s="45">
        <v>5</v>
      </c>
      <c r="N133" s="45">
        <v>18</v>
      </c>
      <c r="O133" s="205">
        <v>80</v>
      </c>
      <c r="P133" s="134"/>
      <c r="Q133" s="45">
        <v>15</v>
      </c>
      <c r="R133" s="45"/>
      <c r="S133" s="28"/>
      <c r="T133" s="45">
        <v>34</v>
      </c>
      <c r="U133" s="28">
        <v>14</v>
      </c>
      <c r="V133" s="45">
        <v>3</v>
      </c>
      <c r="W133" s="45">
        <v>2</v>
      </c>
      <c r="X133" s="529">
        <f t="shared" si="16"/>
        <v>154</v>
      </c>
      <c r="Y133" s="134">
        <v>19</v>
      </c>
      <c r="Z133" s="45">
        <v>93</v>
      </c>
      <c r="AA133" s="45">
        <v>28</v>
      </c>
      <c r="AB133" s="424">
        <v>14</v>
      </c>
      <c r="AC133" s="134"/>
    </row>
    <row r="134" spans="1:29">
      <c r="A134" s="146">
        <v>103</v>
      </c>
      <c r="B134" s="48" t="s">
        <v>188</v>
      </c>
      <c r="C134" s="97"/>
      <c r="D134" s="528">
        <v>2</v>
      </c>
      <c r="E134" s="529">
        <v>7</v>
      </c>
      <c r="F134" s="493">
        <f t="shared" si="17"/>
        <v>16</v>
      </c>
      <c r="G134" s="473">
        <v>8</v>
      </c>
      <c r="H134" s="479">
        <v>8</v>
      </c>
      <c r="I134" s="477"/>
      <c r="J134" s="496"/>
      <c r="K134" s="474">
        <f t="shared" si="15"/>
        <v>113</v>
      </c>
      <c r="L134" s="480">
        <v>4</v>
      </c>
      <c r="M134" s="45">
        <v>2</v>
      </c>
      <c r="N134" s="45">
        <v>41</v>
      </c>
      <c r="O134" s="205">
        <v>32</v>
      </c>
      <c r="P134" s="134">
        <v>14</v>
      </c>
      <c r="Q134" s="45">
        <v>20</v>
      </c>
      <c r="R134" s="45"/>
      <c r="S134" s="28"/>
      <c r="T134" s="45"/>
      <c r="U134" s="28"/>
      <c r="V134" s="45"/>
      <c r="W134" s="45"/>
      <c r="X134" s="529">
        <f t="shared" si="16"/>
        <v>106</v>
      </c>
      <c r="Y134" s="134">
        <v>59</v>
      </c>
      <c r="Z134" s="45">
        <v>47</v>
      </c>
      <c r="AA134" s="45"/>
      <c r="AB134" s="424"/>
      <c r="AC134" s="134"/>
    </row>
    <row r="135" spans="1:29">
      <c r="A135" s="176" t="s">
        <v>25</v>
      </c>
      <c r="B135" s="59"/>
      <c r="C135" s="4"/>
      <c r="D135" s="463"/>
      <c r="E135" s="493"/>
      <c r="F135" s="493"/>
      <c r="G135" s="473"/>
      <c r="H135" s="479"/>
      <c r="I135" s="477"/>
      <c r="J135" s="496"/>
      <c r="K135" s="474"/>
      <c r="L135" s="480"/>
      <c r="M135" s="45"/>
      <c r="N135" s="45"/>
      <c r="O135" s="205"/>
      <c r="P135" s="134"/>
      <c r="Q135" s="45"/>
      <c r="R135" s="45"/>
      <c r="S135" s="28"/>
      <c r="T135" s="45"/>
      <c r="U135" s="28"/>
      <c r="V135" s="45"/>
      <c r="W135" s="45"/>
      <c r="X135" s="529"/>
      <c r="Y135" s="134"/>
      <c r="Z135" s="45"/>
      <c r="AA135" s="45"/>
      <c r="AB135" s="424"/>
      <c r="AC135" s="134"/>
    </row>
    <row r="136" spans="1:29">
      <c r="A136" s="146">
        <v>104</v>
      </c>
      <c r="B136" s="48" t="s">
        <v>189</v>
      </c>
      <c r="C136" s="4"/>
      <c r="D136" s="463"/>
      <c r="E136" s="493"/>
      <c r="F136" s="493">
        <f t="shared" si="17"/>
        <v>0</v>
      </c>
      <c r="G136" s="473"/>
      <c r="H136" s="479"/>
      <c r="I136" s="477"/>
      <c r="J136" s="496"/>
      <c r="K136" s="474">
        <f t="shared" si="15"/>
        <v>0</v>
      </c>
      <c r="L136" s="480"/>
      <c r="M136" s="45"/>
      <c r="N136" s="45"/>
      <c r="O136" s="205"/>
      <c r="P136" s="134"/>
      <c r="Q136" s="45"/>
      <c r="R136" s="45"/>
      <c r="S136" s="28"/>
      <c r="T136" s="45"/>
      <c r="U136" s="28"/>
      <c r="V136" s="45"/>
      <c r="W136" s="45"/>
      <c r="X136" s="529">
        <f t="shared" si="16"/>
        <v>0</v>
      </c>
      <c r="Y136" s="134"/>
      <c r="Z136" s="45"/>
      <c r="AA136" s="45"/>
      <c r="AB136" s="424"/>
      <c r="AC136" s="134"/>
    </row>
    <row r="137" spans="1:29">
      <c r="A137" s="146">
        <v>105</v>
      </c>
      <c r="B137" s="48" t="s">
        <v>190</v>
      </c>
      <c r="C137" s="4"/>
      <c r="D137" s="463">
        <v>7</v>
      </c>
      <c r="E137" s="493">
        <v>10</v>
      </c>
      <c r="F137" s="493">
        <f t="shared" si="17"/>
        <v>8</v>
      </c>
      <c r="G137" s="473"/>
      <c r="H137" s="479">
        <v>2</v>
      </c>
      <c r="I137" s="477">
        <v>2</v>
      </c>
      <c r="J137" s="496">
        <v>4</v>
      </c>
      <c r="K137" s="474">
        <f t="shared" si="15"/>
        <v>351</v>
      </c>
      <c r="L137" s="480"/>
      <c r="M137" s="45"/>
      <c r="N137" s="45">
        <v>3</v>
      </c>
      <c r="O137" s="205">
        <v>5</v>
      </c>
      <c r="P137" s="134"/>
      <c r="Q137" s="45"/>
      <c r="R137" s="45">
        <v>28</v>
      </c>
      <c r="S137" s="28">
        <v>43</v>
      </c>
      <c r="T137" s="45">
        <v>75</v>
      </c>
      <c r="U137" s="28">
        <v>71</v>
      </c>
      <c r="V137" s="45">
        <v>74</v>
      </c>
      <c r="W137" s="45">
        <v>52</v>
      </c>
      <c r="X137" s="529">
        <f t="shared" si="16"/>
        <v>284</v>
      </c>
      <c r="Y137" s="134">
        <v>3</v>
      </c>
      <c r="Z137" s="45">
        <v>5</v>
      </c>
      <c r="AA137" s="45">
        <v>145</v>
      </c>
      <c r="AB137" s="424">
        <v>131</v>
      </c>
      <c r="AC137" s="134"/>
    </row>
    <row r="138" spans="1:29">
      <c r="A138" s="146">
        <v>106</v>
      </c>
      <c r="B138" s="48" t="s">
        <v>191</v>
      </c>
      <c r="C138" s="4"/>
      <c r="D138" s="463"/>
      <c r="E138" s="493"/>
      <c r="F138" s="493">
        <f t="shared" si="17"/>
        <v>0</v>
      </c>
      <c r="G138" s="473"/>
      <c r="H138" s="479"/>
      <c r="I138" s="477"/>
      <c r="J138" s="496"/>
      <c r="K138" s="474">
        <f t="shared" si="15"/>
        <v>0</v>
      </c>
      <c r="L138" s="480"/>
      <c r="M138" s="45"/>
      <c r="N138" s="45"/>
      <c r="O138" s="205"/>
      <c r="P138" s="134"/>
      <c r="Q138" s="45"/>
      <c r="R138" s="45"/>
      <c r="S138" s="28"/>
      <c r="T138" s="45"/>
      <c r="U138" s="28"/>
      <c r="V138" s="45"/>
      <c r="W138" s="45"/>
      <c r="X138" s="529">
        <f t="shared" si="16"/>
        <v>0</v>
      </c>
      <c r="Y138" s="134"/>
      <c r="Z138" s="45"/>
      <c r="AA138" s="45"/>
      <c r="AB138" s="424"/>
      <c r="AC138" s="134"/>
    </row>
    <row r="139" spans="1:29">
      <c r="A139" s="146">
        <v>107</v>
      </c>
      <c r="B139" s="48" t="s">
        <v>192</v>
      </c>
      <c r="C139" s="4"/>
      <c r="D139" s="463">
        <v>3</v>
      </c>
      <c r="E139" s="493">
        <v>3</v>
      </c>
      <c r="F139" s="493">
        <f t="shared" si="17"/>
        <v>3</v>
      </c>
      <c r="G139" s="473"/>
      <c r="H139" s="479">
        <v>2</v>
      </c>
      <c r="I139" s="477">
        <v>1</v>
      </c>
      <c r="J139" s="496"/>
      <c r="K139" s="474">
        <f t="shared" si="15"/>
        <v>68</v>
      </c>
      <c r="L139" s="480"/>
      <c r="M139" s="45"/>
      <c r="N139" s="45"/>
      <c r="O139" s="205"/>
      <c r="P139" s="134"/>
      <c r="Q139" s="45"/>
      <c r="R139" s="45">
        <v>2</v>
      </c>
      <c r="S139" s="28">
        <v>2</v>
      </c>
      <c r="T139" s="45">
        <v>15</v>
      </c>
      <c r="U139" s="28">
        <v>41</v>
      </c>
      <c r="V139" s="45">
        <v>3</v>
      </c>
      <c r="W139" s="45">
        <v>5</v>
      </c>
      <c r="X139" s="529">
        <f t="shared" si="16"/>
        <v>60</v>
      </c>
      <c r="Y139" s="134"/>
      <c r="Z139" s="45"/>
      <c r="AA139" s="45">
        <v>18</v>
      </c>
      <c r="AB139" s="424">
        <v>42</v>
      </c>
      <c r="AC139" s="134"/>
    </row>
    <row r="140" spans="1:29">
      <c r="A140" s="146">
        <v>108</v>
      </c>
      <c r="B140" s="48" t="s">
        <v>193</v>
      </c>
      <c r="C140" s="4"/>
      <c r="D140" s="463"/>
      <c r="E140" s="493"/>
      <c r="F140" s="493">
        <f t="shared" si="17"/>
        <v>0</v>
      </c>
      <c r="G140" s="473"/>
      <c r="H140" s="479"/>
      <c r="I140" s="477"/>
      <c r="J140" s="496"/>
      <c r="K140" s="474">
        <f t="shared" si="15"/>
        <v>0</v>
      </c>
      <c r="L140" s="480"/>
      <c r="M140" s="45"/>
      <c r="N140" s="45"/>
      <c r="O140" s="205"/>
      <c r="P140" s="134"/>
      <c r="Q140" s="45"/>
      <c r="R140" s="45"/>
      <c r="S140" s="28"/>
      <c r="T140" s="45"/>
      <c r="U140" s="28"/>
      <c r="V140" s="45"/>
      <c r="W140" s="45"/>
      <c r="X140" s="529">
        <f t="shared" si="16"/>
        <v>0</v>
      </c>
      <c r="Y140" s="134"/>
      <c r="Z140" s="45"/>
      <c r="AA140" s="45"/>
      <c r="AB140" s="424"/>
      <c r="AC140" s="134"/>
    </row>
    <row r="141" spans="1:29">
      <c r="A141" s="146">
        <v>109</v>
      </c>
      <c r="B141" s="48" t="s">
        <v>194</v>
      </c>
      <c r="C141" s="97"/>
      <c r="D141" s="528"/>
      <c r="E141" s="529"/>
      <c r="F141" s="493">
        <f t="shared" si="17"/>
        <v>0</v>
      </c>
      <c r="G141" s="473"/>
      <c r="H141" s="479"/>
      <c r="I141" s="477"/>
      <c r="J141" s="496"/>
      <c r="K141" s="474">
        <f t="shared" si="15"/>
        <v>0</v>
      </c>
      <c r="L141" s="480"/>
      <c r="M141" s="45"/>
      <c r="N141" s="45"/>
      <c r="O141" s="205"/>
      <c r="P141" s="134"/>
      <c r="Q141" s="45"/>
      <c r="R141" s="45"/>
      <c r="S141" s="28"/>
      <c r="T141" s="45"/>
      <c r="U141" s="28"/>
      <c r="V141" s="45"/>
      <c r="W141" s="45"/>
      <c r="X141" s="529">
        <f t="shared" si="16"/>
        <v>0</v>
      </c>
      <c r="Y141" s="134"/>
      <c r="Z141" s="45"/>
      <c r="AA141" s="45"/>
      <c r="AB141" s="424"/>
      <c r="AC141" s="134"/>
    </row>
    <row r="142" spans="1:29">
      <c r="A142" s="176" t="s">
        <v>26</v>
      </c>
      <c r="B142" s="59"/>
      <c r="C142" s="8"/>
      <c r="D142" s="463"/>
      <c r="E142" s="493"/>
      <c r="F142" s="493"/>
      <c r="G142" s="473"/>
      <c r="H142" s="479"/>
      <c r="I142" s="477"/>
      <c r="J142" s="496"/>
      <c r="K142" s="474"/>
      <c r="L142" s="480"/>
      <c r="M142" s="45"/>
      <c r="N142" s="45"/>
      <c r="O142" s="205"/>
      <c r="P142" s="134"/>
      <c r="Q142" s="45"/>
      <c r="R142" s="45"/>
      <c r="S142" s="28"/>
      <c r="T142" s="45"/>
      <c r="U142" s="28"/>
      <c r="V142" s="45"/>
      <c r="W142" s="45"/>
      <c r="X142" s="529"/>
      <c r="Y142" s="134"/>
      <c r="Z142" s="45"/>
      <c r="AA142" s="45"/>
      <c r="AB142" s="424"/>
      <c r="AC142" s="134"/>
    </row>
    <row r="143" spans="1:29">
      <c r="A143" s="146">
        <v>110</v>
      </c>
      <c r="B143" s="48" t="s">
        <v>195</v>
      </c>
      <c r="C143" s="4" t="s">
        <v>446</v>
      </c>
      <c r="D143" s="463">
        <v>8</v>
      </c>
      <c r="E143" s="493">
        <v>8</v>
      </c>
      <c r="F143" s="493">
        <f t="shared" si="17"/>
        <v>9</v>
      </c>
      <c r="G143" s="473"/>
      <c r="H143" s="479">
        <v>1</v>
      </c>
      <c r="I143" s="477">
        <v>1</v>
      </c>
      <c r="J143" s="496">
        <v>7</v>
      </c>
      <c r="K143" s="474">
        <f t="shared" si="15"/>
        <v>167</v>
      </c>
      <c r="L143" s="480"/>
      <c r="M143" s="45"/>
      <c r="N143" s="45"/>
      <c r="O143" s="205"/>
      <c r="P143" s="134"/>
      <c r="Q143" s="45"/>
      <c r="R143" s="45">
        <v>13</v>
      </c>
      <c r="S143" s="28">
        <v>11</v>
      </c>
      <c r="T143" s="45">
        <v>69</v>
      </c>
      <c r="U143" s="28">
        <v>55</v>
      </c>
      <c r="V143" s="45">
        <v>7</v>
      </c>
      <c r="W143" s="45">
        <v>12</v>
      </c>
      <c r="X143" s="529">
        <f t="shared" si="16"/>
        <v>136</v>
      </c>
      <c r="Y143" s="134"/>
      <c r="Z143" s="45"/>
      <c r="AA143" s="45">
        <v>71</v>
      </c>
      <c r="AB143" s="424">
        <v>65</v>
      </c>
      <c r="AC143" s="134"/>
    </row>
    <row r="144" spans="1:29">
      <c r="A144" s="146">
        <v>111</v>
      </c>
      <c r="B144" s="48" t="s">
        <v>196</v>
      </c>
      <c r="C144" s="4"/>
      <c r="D144" s="463">
        <v>3</v>
      </c>
      <c r="E144" s="493">
        <v>3</v>
      </c>
      <c r="F144" s="493">
        <f t="shared" si="17"/>
        <v>3</v>
      </c>
      <c r="G144" s="473"/>
      <c r="H144" s="479"/>
      <c r="I144" s="477">
        <v>2</v>
      </c>
      <c r="J144" s="496">
        <v>1</v>
      </c>
      <c r="K144" s="474">
        <f t="shared" si="15"/>
        <v>72</v>
      </c>
      <c r="L144" s="480"/>
      <c r="M144" s="45"/>
      <c r="N144" s="45"/>
      <c r="O144" s="205"/>
      <c r="P144" s="134"/>
      <c r="Q144" s="45"/>
      <c r="R144" s="45"/>
      <c r="S144" s="22"/>
      <c r="T144" s="45">
        <v>21</v>
      </c>
      <c r="U144" s="28">
        <v>38</v>
      </c>
      <c r="V144" s="45">
        <v>6</v>
      </c>
      <c r="W144" s="45">
        <v>7</v>
      </c>
      <c r="X144" s="529">
        <f t="shared" si="16"/>
        <v>61</v>
      </c>
      <c r="Y144" s="134"/>
      <c r="Z144" s="45"/>
      <c r="AA144" s="45">
        <v>21</v>
      </c>
      <c r="AB144" s="424">
        <v>40</v>
      </c>
      <c r="AC144" s="134"/>
    </row>
    <row r="145" spans="1:29">
      <c r="A145" s="146">
        <v>112</v>
      </c>
      <c r="B145" s="48" t="s">
        <v>197</v>
      </c>
      <c r="C145" s="4"/>
      <c r="D145" s="463">
        <v>8</v>
      </c>
      <c r="E145" s="493">
        <v>9</v>
      </c>
      <c r="F145" s="493">
        <f t="shared" si="17"/>
        <v>8</v>
      </c>
      <c r="G145" s="473"/>
      <c r="H145" s="479"/>
      <c r="I145" s="477">
        <v>5</v>
      </c>
      <c r="J145" s="496">
        <v>3</v>
      </c>
      <c r="K145" s="474">
        <f t="shared" si="15"/>
        <v>137</v>
      </c>
      <c r="L145" s="480"/>
      <c r="M145" s="45"/>
      <c r="N145" s="45">
        <v>5</v>
      </c>
      <c r="O145" s="205">
        <v>1</v>
      </c>
      <c r="P145" s="134"/>
      <c r="Q145" s="45"/>
      <c r="R145" s="45">
        <v>1</v>
      </c>
      <c r="S145" s="28">
        <v>1</v>
      </c>
      <c r="T145" s="45">
        <v>54</v>
      </c>
      <c r="U145" s="28">
        <v>49</v>
      </c>
      <c r="V145" s="45">
        <v>4</v>
      </c>
      <c r="W145" s="45">
        <v>22</v>
      </c>
      <c r="X145" s="529">
        <f t="shared" si="16"/>
        <v>114</v>
      </c>
      <c r="Y145" s="134">
        <v>5</v>
      </c>
      <c r="Z145" s="45">
        <v>1</v>
      </c>
      <c r="AA145" s="45">
        <v>45</v>
      </c>
      <c r="AB145" s="424">
        <v>63</v>
      </c>
      <c r="AC145" s="134"/>
    </row>
    <row r="146" spans="1:29">
      <c r="A146" s="146">
        <v>113</v>
      </c>
      <c r="B146" s="48" t="s">
        <v>198</v>
      </c>
      <c r="C146" s="4"/>
      <c r="D146" s="463">
        <v>8</v>
      </c>
      <c r="E146" s="493">
        <v>10</v>
      </c>
      <c r="F146" s="493">
        <f t="shared" si="17"/>
        <v>12</v>
      </c>
      <c r="G146" s="473">
        <v>1</v>
      </c>
      <c r="H146" s="479">
        <v>1</v>
      </c>
      <c r="I146" s="477">
        <v>4</v>
      </c>
      <c r="J146" s="496">
        <v>6</v>
      </c>
      <c r="K146" s="474">
        <f t="shared" si="15"/>
        <v>114</v>
      </c>
      <c r="L146" s="480"/>
      <c r="M146" s="45"/>
      <c r="N146" s="45"/>
      <c r="O146" s="205"/>
      <c r="P146" s="134"/>
      <c r="Q146" s="45"/>
      <c r="R146" s="45">
        <v>4</v>
      </c>
      <c r="S146" s="28">
        <v>4</v>
      </c>
      <c r="T146" s="45">
        <v>35</v>
      </c>
      <c r="U146" s="28">
        <v>37</v>
      </c>
      <c r="V146" s="45">
        <v>10</v>
      </c>
      <c r="W146" s="45">
        <v>24</v>
      </c>
      <c r="X146" s="529">
        <f t="shared" si="16"/>
        <v>98</v>
      </c>
      <c r="Y146" s="134"/>
      <c r="Z146" s="45"/>
      <c r="AA146" s="45">
        <v>34</v>
      </c>
      <c r="AB146" s="424">
        <v>64</v>
      </c>
      <c r="AC146" s="134"/>
    </row>
    <row r="147" spans="1:29">
      <c r="A147" s="146">
        <v>114</v>
      </c>
      <c r="B147" s="48" t="s">
        <v>199</v>
      </c>
      <c r="C147" s="4"/>
      <c r="D147" s="463">
        <v>15</v>
      </c>
      <c r="E147" s="493">
        <v>15</v>
      </c>
      <c r="F147" s="493">
        <f t="shared" si="17"/>
        <v>15</v>
      </c>
      <c r="G147" s="473">
        <v>1</v>
      </c>
      <c r="H147" s="479"/>
      <c r="I147" s="477">
        <v>11</v>
      </c>
      <c r="J147" s="496">
        <v>3</v>
      </c>
      <c r="K147" s="474">
        <f t="shared" si="15"/>
        <v>230</v>
      </c>
      <c r="L147" s="480"/>
      <c r="M147" s="45"/>
      <c r="N147" s="45"/>
      <c r="O147" s="205"/>
      <c r="P147" s="134"/>
      <c r="Q147" s="45"/>
      <c r="R147" s="45">
        <v>7</v>
      </c>
      <c r="S147" s="28">
        <v>6</v>
      </c>
      <c r="T147" s="45">
        <v>132</v>
      </c>
      <c r="U147" s="28">
        <v>70</v>
      </c>
      <c r="V147" s="45">
        <v>6</v>
      </c>
      <c r="W147" s="45">
        <v>9</v>
      </c>
      <c r="X147" s="529">
        <f t="shared" si="16"/>
        <v>188</v>
      </c>
      <c r="Y147" s="134"/>
      <c r="Z147" s="45"/>
      <c r="AA147" s="45">
        <v>121</v>
      </c>
      <c r="AB147" s="424">
        <v>67</v>
      </c>
      <c r="AC147" s="134"/>
    </row>
    <row r="148" spans="1:29">
      <c r="A148" s="146">
        <v>115</v>
      </c>
      <c r="B148" s="48" t="s">
        <v>292</v>
      </c>
      <c r="C148" s="4"/>
      <c r="D148" s="463">
        <v>4</v>
      </c>
      <c r="E148" s="493">
        <v>4</v>
      </c>
      <c r="F148" s="493">
        <f t="shared" si="17"/>
        <v>4</v>
      </c>
      <c r="G148" s="473"/>
      <c r="H148" s="479"/>
      <c r="I148" s="477">
        <v>2</v>
      </c>
      <c r="J148" s="496">
        <v>2</v>
      </c>
      <c r="K148" s="474">
        <f t="shared" si="15"/>
        <v>130</v>
      </c>
      <c r="L148" s="480"/>
      <c r="M148" s="45"/>
      <c r="N148" s="45"/>
      <c r="O148" s="205"/>
      <c r="P148" s="134"/>
      <c r="Q148" s="45"/>
      <c r="R148" s="45"/>
      <c r="S148" s="28">
        <v>2</v>
      </c>
      <c r="T148" s="45">
        <v>64</v>
      </c>
      <c r="U148" s="28">
        <v>47</v>
      </c>
      <c r="V148" s="45">
        <v>10</v>
      </c>
      <c r="W148" s="45">
        <v>7</v>
      </c>
      <c r="X148" s="529">
        <f t="shared" si="16"/>
        <v>120</v>
      </c>
      <c r="Y148" s="134"/>
      <c r="Z148" s="45"/>
      <c r="AA148" s="45">
        <v>72</v>
      </c>
      <c r="AB148" s="424">
        <v>48</v>
      </c>
      <c r="AC148" s="134"/>
    </row>
    <row r="149" spans="1:29">
      <c r="A149" s="146">
        <v>116</v>
      </c>
      <c r="B149" s="48" t="s">
        <v>200</v>
      </c>
      <c r="C149" s="111"/>
      <c r="D149" s="607"/>
      <c r="E149" s="572"/>
      <c r="F149" s="493">
        <f t="shared" si="17"/>
        <v>0</v>
      </c>
      <c r="G149" s="473"/>
      <c r="H149" s="479"/>
      <c r="I149" s="477"/>
      <c r="J149" s="496"/>
      <c r="K149" s="474">
        <f t="shared" si="15"/>
        <v>0</v>
      </c>
      <c r="L149" s="480"/>
      <c r="M149" s="45"/>
      <c r="N149" s="45"/>
      <c r="O149" s="205"/>
      <c r="P149" s="134"/>
      <c r="Q149" s="45"/>
      <c r="R149" s="45"/>
      <c r="S149" s="28"/>
      <c r="T149" s="45"/>
      <c r="U149" s="28"/>
      <c r="V149" s="45"/>
      <c r="W149" s="45"/>
      <c r="X149" s="529">
        <f t="shared" si="16"/>
        <v>0</v>
      </c>
      <c r="Y149" s="134"/>
      <c r="Z149" s="45"/>
      <c r="AA149" s="45"/>
      <c r="AB149" s="424"/>
      <c r="AC149" s="134"/>
    </row>
    <row r="150" spans="1:29">
      <c r="A150" s="530"/>
      <c r="B150" s="437"/>
      <c r="C150" s="240"/>
      <c r="D150" s="618"/>
      <c r="E150" s="619"/>
      <c r="F150" s="508"/>
      <c r="G150" s="509"/>
      <c r="H150" s="510"/>
      <c r="I150" s="511"/>
      <c r="J150" s="512"/>
      <c r="K150" s="513"/>
      <c r="L150" s="514"/>
      <c r="M150" s="317"/>
      <c r="N150" s="317"/>
      <c r="O150" s="515"/>
      <c r="P150" s="256"/>
      <c r="Q150" s="317"/>
      <c r="R150" s="317"/>
      <c r="S150" s="206"/>
      <c r="T150" s="317"/>
      <c r="U150" s="206"/>
      <c r="V150" s="317"/>
      <c r="W150" s="317"/>
      <c r="X150" s="609"/>
      <c r="Y150" s="256"/>
      <c r="Z150" s="317"/>
      <c r="AA150" s="317"/>
      <c r="AB150" s="516"/>
      <c r="AC150" s="134"/>
    </row>
    <row r="151" spans="1:29">
      <c r="A151" s="146" t="s">
        <v>431</v>
      </c>
      <c r="B151" s="48"/>
      <c r="C151" s="111"/>
      <c r="D151" s="490">
        <f>SUM(D118:D149)</f>
        <v>91</v>
      </c>
      <c r="E151" s="655">
        <f t="shared" ref="E151:AB151" si="18">SUM(E118:E149)</f>
        <v>110</v>
      </c>
      <c r="F151" s="490">
        <f t="shared" si="18"/>
        <v>120</v>
      </c>
      <c r="G151" s="475">
        <f t="shared" si="18"/>
        <v>10</v>
      </c>
      <c r="H151" s="477">
        <f t="shared" si="18"/>
        <v>28</v>
      </c>
      <c r="I151" s="477">
        <f t="shared" si="18"/>
        <v>48</v>
      </c>
      <c r="J151" s="495">
        <f t="shared" si="18"/>
        <v>34</v>
      </c>
      <c r="K151" s="490">
        <f t="shared" si="18"/>
        <v>2203</v>
      </c>
      <c r="L151" s="475">
        <f t="shared" si="18"/>
        <v>9</v>
      </c>
      <c r="M151" s="477">
        <f t="shared" si="18"/>
        <v>8</v>
      </c>
      <c r="N151" s="477">
        <f t="shared" si="18"/>
        <v>78</v>
      </c>
      <c r="O151" s="477">
        <f t="shared" si="18"/>
        <v>147</v>
      </c>
      <c r="P151" s="477">
        <f t="shared" si="18"/>
        <v>14</v>
      </c>
      <c r="Q151" s="477">
        <f t="shared" si="18"/>
        <v>49</v>
      </c>
      <c r="R151" s="477">
        <f t="shared" si="18"/>
        <v>69</v>
      </c>
      <c r="S151" s="477">
        <f t="shared" si="18"/>
        <v>86</v>
      </c>
      <c r="T151" s="477">
        <f t="shared" si="18"/>
        <v>784</v>
      </c>
      <c r="U151" s="477">
        <f t="shared" si="18"/>
        <v>624</v>
      </c>
      <c r="V151" s="477">
        <f t="shared" si="18"/>
        <v>169</v>
      </c>
      <c r="W151" s="495">
        <f t="shared" si="18"/>
        <v>166</v>
      </c>
      <c r="X151" s="490">
        <f t="shared" si="18"/>
        <v>1851</v>
      </c>
      <c r="Y151" s="475">
        <f t="shared" si="18"/>
        <v>97</v>
      </c>
      <c r="Z151" s="477">
        <f t="shared" si="18"/>
        <v>185</v>
      </c>
      <c r="AA151" s="477">
        <f t="shared" si="18"/>
        <v>821</v>
      </c>
      <c r="AB151" s="656">
        <f t="shared" si="18"/>
        <v>748</v>
      </c>
      <c r="AC151" s="474"/>
    </row>
    <row r="152" spans="1:29" ht="15" thickBot="1">
      <c r="A152" s="543"/>
      <c r="B152" s="184"/>
      <c r="C152" s="234"/>
      <c r="D152" s="620"/>
      <c r="E152" s="621"/>
      <c r="F152" s="501"/>
      <c r="G152" s="520"/>
      <c r="H152" s="521"/>
      <c r="I152" s="522"/>
      <c r="J152" s="523"/>
      <c r="K152" s="524"/>
      <c r="L152" s="525"/>
      <c r="M152" s="321"/>
      <c r="N152" s="321"/>
      <c r="O152" s="526"/>
      <c r="P152" s="253"/>
      <c r="Q152" s="321"/>
      <c r="R152" s="321"/>
      <c r="S152" s="208"/>
      <c r="T152" s="321"/>
      <c r="U152" s="208"/>
      <c r="V152" s="321"/>
      <c r="W152" s="321"/>
      <c r="X152" s="611"/>
      <c r="Y152" s="253"/>
      <c r="Z152" s="321"/>
      <c r="AA152" s="321"/>
      <c r="AB152" s="527"/>
      <c r="AC152" s="134"/>
    </row>
    <row r="153" spans="1:29" ht="15" thickTop="1">
      <c r="A153" s="146"/>
      <c r="B153" s="48"/>
      <c r="C153" s="111"/>
      <c r="D153" s="607"/>
      <c r="E153" s="572"/>
      <c r="F153" s="493"/>
      <c r="G153" s="473"/>
      <c r="H153" s="479"/>
      <c r="I153" s="477"/>
      <c r="J153" s="496"/>
      <c r="K153" s="474"/>
      <c r="L153" s="480"/>
      <c r="M153" s="45"/>
      <c r="N153" s="45"/>
      <c r="O153" s="205"/>
      <c r="P153" s="134"/>
      <c r="Q153" s="45"/>
      <c r="R153" s="45"/>
      <c r="S153" s="28"/>
      <c r="T153" s="45"/>
      <c r="U153" s="28"/>
      <c r="V153" s="45"/>
      <c r="W153" s="45"/>
      <c r="X153" s="529"/>
      <c r="Y153" s="134"/>
      <c r="Z153" s="45"/>
      <c r="AA153" s="45"/>
      <c r="AB153" s="424"/>
      <c r="AC153" s="134"/>
    </row>
    <row r="154" spans="1:29">
      <c r="A154" s="175">
        <v>117</v>
      </c>
      <c r="B154" s="67" t="s">
        <v>201</v>
      </c>
      <c r="C154" s="111"/>
      <c r="D154" s="607">
        <v>1</v>
      </c>
      <c r="E154" s="572">
        <v>2</v>
      </c>
      <c r="F154" s="493"/>
      <c r="G154" s="473">
        <v>1</v>
      </c>
      <c r="H154" s="479"/>
      <c r="I154" s="477"/>
      <c r="J154" s="496"/>
      <c r="K154" s="474"/>
      <c r="L154" s="480"/>
      <c r="M154" s="45"/>
      <c r="N154" s="45"/>
      <c r="O154" s="205"/>
      <c r="P154" s="134"/>
      <c r="Q154" s="45"/>
      <c r="R154" s="45"/>
      <c r="S154" s="28"/>
      <c r="T154" s="45"/>
      <c r="U154" s="28"/>
      <c r="V154" s="45"/>
      <c r="W154" s="45"/>
      <c r="X154" s="529"/>
      <c r="Y154" s="134"/>
      <c r="Z154" s="45"/>
      <c r="AA154" s="45"/>
      <c r="AB154" s="424"/>
      <c r="AC154" s="134"/>
    </row>
    <row r="155" spans="1:29">
      <c r="A155" s="44"/>
      <c r="C155" s="111"/>
      <c r="D155" s="607"/>
      <c r="E155" s="572"/>
      <c r="F155" s="21"/>
      <c r="G155" s="485"/>
      <c r="H155" s="486"/>
      <c r="I155" s="477"/>
      <c r="J155" s="496"/>
      <c r="K155" s="474"/>
      <c r="L155" s="480"/>
      <c r="M155" s="45"/>
      <c r="N155" s="45"/>
      <c r="O155" s="205"/>
      <c r="P155" s="134"/>
      <c r="Q155" s="45"/>
      <c r="R155" s="45"/>
      <c r="S155" s="28"/>
      <c r="T155" s="45"/>
      <c r="U155" s="28"/>
      <c r="V155" s="45"/>
      <c r="W155" s="45"/>
      <c r="X155" s="529"/>
      <c r="Y155" s="134"/>
      <c r="Z155" s="45"/>
      <c r="AA155" s="45"/>
      <c r="AB155" s="424"/>
      <c r="AC155" s="134"/>
    </row>
    <row r="156" spans="1:29" ht="15">
      <c r="A156" s="506"/>
      <c r="B156" s="507"/>
      <c r="C156" s="556"/>
      <c r="D156" s="622"/>
      <c r="E156" s="623"/>
      <c r="F156" s="508"/>
      <c r="G156" s="557"/>
      <c r="H156" s="558"/>
      <c r="I156" s="559"/>
      <c r="J156" s="560"/>
      <c r="K156" s="561"/>
      <c r="L156" s="537"/>
      <c r="M156" s="538"/>
      <c r="N156" s="538"/>
      <c r="O156" s="539"/>
      <c r="P156" s="540"/>
      <c r="Q156" s="538"/>
      <c r="R156" s="538"/>
      <c r="S156" s="541"/>
      <c r="T156" s="538"/>
      <c r="U156" s="541"/>
      <c r="V156" s="538"/>
      <c r="W156" s="538"/>
      <c r="X156" s="609"/>
      <c r="Y156" s="540"/>
      <c r="Z156" s="538"/>
      <c r="AA156" s="538"/>
      <c r="AB156" s="542"/>
      <c r="AC156" s="456"/>
    </row>
    <row r="157" spans="1:29" ht="15">
      <c r="A157" s="175" t="s">
        <v>86</v>
      </c>
      <c r="B157" s="67"/>
      <c r="C157" s="94"/>
      <c r="D157" s="529">
        <f>D154+D151+D114+D104</f>
        <v>508</v>
      </c>
      <c r="E157" s="529">
        <f t="shared" ref="E157:AB157" si="19">E154+E151+E114+E104</f>
        <v>815</v>
      </c>
      <c r="F157" s="529">
        <f t="shared" si="19"/>
        <v>895</v>
      </c>
      <c r="G157" s="309">
        <f t="shared" si="19"/>
        <v>164</v>
      </c>
      <c r="H157" s="568">
        <f t="shared" si="19"/>
        <v>546</v>
      </c>
      <c r="I157" s="568">
        <f t="shared" si="19"/>
        <v>115</v>
      </c>
      <c r="J157" s="575">
        <f t="shared" si="19"/>
        <v>71</v>
      </c>
      <c r="K157" s="529">
        <f t="shared" si="19"/>
        <v>14111</v>
      </c>
      <c r="L157" s="309">
        <f t="shared" si="19"/>
        <v>96</v>
      </c>
      <c r="M157" s="568">
        <f t="shared" si="19"/>
        <v>108</v>
      </c>
      <c r="N157" s="568">
        <f t="shared" si="19"/>
        <v>3269</v>
      </c>
      <c r="O157" s="568">
        <f t="shared" si="19"/>
        <v>3266</v>
      </c>
      <c r="P157" s="568">
        <f t="shared" si="19"/>
        <v>837</v>
      </c>
      <c r="Q157" s="568">
        <f t="shared" si="19"/>
        <v>610</v>
      </c>
      <c r="R157" s="568">
        <f t="shared" si="19"/>
        <v>315</v>
      </c>
      <c r="S157" s="568">
        <f t="shared" si="19"/>
        <v>262</v>
      </c>
      <c r="T157" s="568">
        <f t="shared" si="19"/>
        <v>2431</v>
      </c>
      <c r="U157" s="568">
        <f t="shared" si="19"/>
        <v>2206</v>
      </c>
      <c r="V157" s="568">
        <f t="shared" si="19"/>
        <v>359</v>
      </c>
      <c r="W157" s="575">
        <f t="shared" si="19"/>
        <v>352</v>
      </c>
      <c r="X157" s="529">
        <f t="shared" si="19"/>
        <v>12667</v>
      </c>
      <c r="Y157" s="309">
        <f t="shared" si="19"/>
        <v>4011</v>
      </c>
      <c r="Z157" s="568">
        <f t="shared" si="19"/>
        <v>3690</v>
      </c>
      <c r="AA157" s="568">
        <f t="shared" si="19"/>
        <v>2566</v>
      </c>
      <c r="AB157" s="569">
        <f t="shared" si="19"/>
        <v>2400</v>
      </c>
      <c r="AC157" s="528"/>
    </row>
    <row r="158" spans="1:29" ht="16" thickBot="1">
      <c r="A158" s="517"/>
      <c r="B158" s="518"/>
      <c r="C158" s="562"/>
      <c r="D158" s="610"/>
      <c r="E158" s="624"/>
      <c r="F158" s="501"/>
      <c r="G158" s="563"/>
      <c r="H158" s="564"/>
      <c r="I158" s="565"/>
      <c r="J158" s="566"/>
      <c r="K158" s="567"/>
      <c r="L158" s="550"/>
      <c r="M158" s="551"/>
      <c r="N158" s="551"/>
      <c r="O158" s="552"/>
      <c r="P158" s="553"/>
      <c r="Q158" s="551"/>
      <c r="R158" s="551"/>
      <c r="S158" s="554"/>
      <c r="T158" s="551"/>
      <c r="U158" s="554"/>
      <c r="V158" s="551"/>
      <c r="W158" s="551"/>
      <c r="X158" s="611"/>
      <c r="Y158" s="553"/>
      <c r="Z158" s="551"/>
      <c r="AA158" s="551"/>
      <c r="AB158" s="555"/>
      <c r="AC158" s="456"/>
    </row>
    <row r="159" spans="1:29" ht="17" thickTop="1" thickBot="1">
      <c r="A159" s="179" t="s">
        <v>27</v>
      </c>
      <c r="B159" s="173"/>
      <c r="C159" s="4"/>
      <c r="D159" s="463"/>
      <c r="E159" s="493"/>
      <c r="F159" s="493"/>
      <c r="G159" s="473"/>
      <c r="H159" s="479"/>
      <c r="I159" s="477"/>
      <c r="J159" s="496"/>
      <c r="K159" s="474"/>
      <c r="L159" s="480"/>
      <c r="M159" s="45"/>
      <c r="N159" s="45"/>
      <c r="O159" s="205"/>
      <c r="P159" s="134"/>
      <c r="Q159" s="45"/>
      <c r="R159" s="45"/>
      <c r="S159" s="28"/>
      <c r="T159" s="45"/>
      <c r="U159" s="28"/>
      <c r="V159" s="45"/>
      <c r="W159" s="45"/>
      <c r="X159" s="529"/>
      <c r="Y159" s="134"/>
      <c r="Z159" s="45"/>
      <c r="AA159" s="45"/>
      <c r="AB159" s="424"/>
      <c r="AC159" s="134"/>
    </row>
    <row r="160" spans="1:29">
      <c r="A160" s="180">
        <v>1</v>
      </c>
      <c r="B160" t="s">
        <v>203</v>
      </c>
      <c r="C160" s="4"/>
      <c r="D160" s="463">
        <v>2</v>
      </c>
      <c r="E160" s="493">
        <v>4</v>
      </c>
      <c r="F160" s="493">
        <f>SUM(G160:J160)</f>
        <v>8</v>
      </c>
      <c r="G160" s="473">
        <v>1</v>
      </c>
      <c r="H160" s="479">
        <v>6</v>
      </c>
      <c r="I160" s="477"/>
      <c r="J160" s="496">
        <v>1</v>
      </c>
      <c r="K160" s="474">
        <f>SUM(L160:W160)</f>
        <v>109</v>
      </c>
      <c r="L160" s="480">
        <v>1</v>
      </c>
      <c r="M160" s="45">
        <v>4</v>
      </c>
      <c r="N160" s="45">
        <v>11</v>
      </c>
      <c r="O160" s="205">
        <v>27</v>
      </c>
      <c r="P160" s="134"/>
      <c r="Q160" s="45">
        <v>25</v>
      </c>
      <c r="R160" s="45"/>
      <c r="S160" s="28">
        <v>6</v>
      </c>
      <c r="T160" s="45">
        <v>12</v>
      </c>
      <c r="U160" s="28">
        <v>23</v>
      </c>
      <c r="V160" s="45"/>
      <c r="W160" s="45"/>
      <c r="X160" s="529">
        <f>SUM(Y160:AB160)</f>
        <v>104</v>
      </c>
      <c r="Y160" s="134">
        <v>12</v>
      </c>
      <c r="Z160" s="45">
        <v>56</v>
      </c>
      <c r="AA160" s="45">
        <v>10</v>
      </c>
      <c r="AB160" s="424">
        <v>26</v>
      </c>
      <c r="AC160" s="134"/>
    </row>
    <row r="161" spans="1:29">
      <c r="A161" s="146">
        <v>2</v>
      </c>
      <c r="B161" t="s">
        <v>204</v>
      </c>
      <c r="C161" s="4"/>
      <c r="D161" s="463">
        <v>5</v>
      </c>
      <c r="E161" s="493">
        <v>5</v>
      </c>
      <c r="F161" s="493">
        <f t="shared" ref="F161:F190" si="20">SUM(G161:J161)</f>
        <v>6</v>
      </c>
      <c r="G161" s="473"/>
      <c r="H161" s="479">
        <v>3</v>
      </c>
      <c r="I161" s="477"/>
      <c r="J161" s="496">
        <v>3</v>
      </c>
      <c r="K161" s="474">
        <f t="shared" ref="K161:K190" si="21">SUM(L161:W161)</f>
        <v>83</v>
      </c>
      <c r="L161" s="480"/>
      <c r="M161" s="45"/>
      <c r="N161" s="45">
        <v>10</v>
      </c>
      <c r="O161" s="205">
        <v>8</v>
      </c>
      <c r="P161" s="134">
        <v>1</v>
      </c>
      <c r="Q161" s="45">
        <v>2</v>
      </c>
      <c r="R161" s="45"/>
      <c r="S161" s="28"/>
      <c r="T161" s="45">
        <v>24</v>
      </c>
      <c r="U161" s="28">
        <v>37</v>
      </c>
      <c r="V161" s="45"/>
      <c r="W161" s="45">
        <v>1</v>
      </c>
      <c r="X161" s="529">
        <f t="shared" ref="X161:X190" si="22">SUM(Y161:AB161)</f>
        <v>70</v>
      </c>
      <c r="Y161" s="134">
        <v>10</v>
      </c>
      <c r="Z161" s="45">
        <v>9</v>
      </c>
      <c r="AA161" s="45">
        <v>18</v>
      </c>
      <c r="AB161" s="424">
        <v>33</v>
      </c>
      <c r="AC161" s="134"/>
    </row>
    <row r="162" spans="1:29">
      <c r="A162" s="146">
        <v>3</v>
      </c>
      <c r="B162" t="s">
        <v>205</v>
      </c>
      <c r="C162" s="4"/>
      <c r="D162" s="463">
        <v>7</v>
      </c>
      <c r="E162" s="493">
        <v>8</v>
      </c>
      <c r="F162" s="493">
        <f t="shared" si="20"/>
        <v>9</v>
      </c>
      <c r="G162" s="473">
        <v>2</v>
      </c>
      <c r="H162" s="479">
        <v>6</v>
      </c>
      <c r="I162" s="477">
        <v>1</v>
      </c>
      <c r="J162" s="496"/>
      <c r="K162" s="474">
        <f t="shared" si="21"/>
        <v>27</v>
      </c>
      <c r="L162" s="480">
        <v>1</v>
      </c>
      <c r="M162" s="45"/>
      <c r="N162" s="45">
        <v>13</v>
      </c>
      <c r="O162" s="205">
        <v>8</v>
      </c>
      <c r="P162" s="134">
        <v>1</v>
      </c>
      <c r="Q162" s="45"/>
      <c r="R162" s="45"/>
      <c r="S162" s="28"/>
      <c r="T162" s="45"/>
      <c r="U162" s="28"/>
      <c r="V162" s="45">
        <v>4</v>
      </c>
      <c r="W162" s="45"/>
      <c r="X162" s="529">
        <f t="shared" si="22"/>
        <v>27</v>
      </c>
      <c r="Y162" s="134">
        <v>15</v>
      </c>
      <c r="Z162" s="45">
        <v>8</v>
      </c>
      <c r="AA162" s="45">
        <v>4</v>
      </c>
      <c r="AB162" s="424"/>
      <c r="AC162" s="134"/>
    </row>
    <row r="163" spans="1:29">
      <c r="A163" s="146">
        <v>4</v>
      </c>
      <c r="B163" t="s">
        <v>206</v>
      </c>
      <c r="C163" s="4"/>
      <c r="D163" s="463"/>
      <c r="E163" s="493"/>
      <c r="F163" s="493">
        <f t="shared" si="20"/>
        <v>0</v>
      </c>
      <c r="G163" s="473"/>
      <c r="H163" s="479"/>
      <c r="I163" s="477"/>
      <c r="J163" s="496"/>
      <c r="K163" s="474">
        <f t="shared" si="21"/>
        <v>0</v>
      </c>
      <c r="L163" s="480"/>
      <c r="M163" s="45"/>
      <c r="N163" s="45"/>
      <c r="O163" s="205"/>
      <c r="P163" s="134"/>
      <c r="Q163" s="45"/>
      <c r="R163" s="45"/>
      <c r="S163" s="28"/>
      <c r="T163" s="45"/>
      <c r="U163" s="28"/>
      <c r="V163" s="45"/>
      <c r="W163" s="45"/>
      <c r="X163" s="529">
        <f t="shared" si="22"/>
        <v>0</v>
      </c>
      <c r="Y163" s="134"/>
      <c r="Z163" s="45"/>
      <c r="AA163" s="45"/>
      <c r="AB163" s="424"/>
      <c r="AC163" s="134"/>
    </row>
    <row r="164" spans="1:29">
      <c r="A164" s="146">
        <v>5</v>
      </c>
      <c r="B164" t="s">
        <v>207</v>
      </c>
      <c r="C164" s="4"/>
      <c r="D164" s="463">
        <v>7</v>
      </c>
      <c r="E164" s="493">
        <v>36</v>
      </c>
      <c r="F164" s="493">
        <f t="shared" si="20"/>
        <v>48</v>
      </c>
      <c r="G164" s="473">
        <v>6</v>
      </c>
      <c r="H164" s="479">
        <v>41</v>
      </c>
      <c r="I164" s="477"/>
      <c r="J164" s="496">
        <v>1</v>
      </c>
      <c r="K164" s="474">
        <f t="shared" si="21"/>
        <v>555</v>
      </c>
      <c r="L164" s="480"/>
      <c r="M164" s="45">
        <v>6</v>
      </c>
      <c r="N164" s="45">
        <v>79</v>
      </c>
      <c r="O164" s="205">
        <v>317</v>
      </c>
      <c r="P164" s="134">
        <v>14</v>
      </c>
      <c r="Q164" s="45">
        <v>118</v>
      </c>
      <c r="R164" s="45"/>
      <c r="S164" s="28"/>
      <c r="T164" s="45">
        <v>5</v>
      </c>
      <c r="U164" s="28">
        <v>3</v>
      </c>
      <c r="V164" s="45">
        <v>13</v>
      </c>
      <c r="W164" s="45"/>
      <c r="X164" s="529">
        <f t="shared" si="22"/>
        <v>539</v>
      </c>
      <c r="Y164" s="134">
        <v>90</v>
      </c>
      <c r="Z164" s="45">
        <v>432</v>
      </c>
      <c r="AA164" s="45">
        <v>14</v>
      </c>
      <c r="AB164" s="424">
        <v>3</v>
      </c>
      <c r="AC164" s="134"/>
    </row>
    <row r="165" spans="1:29">
      <c r="A165" s="146">
        <v>6</v>
      </c>
      <c r="B165" t="s">
        <v>208</v>
      </c>
      <c r="C165" s="4"/>
      <c r="D165" s="463">
        <v>5</v>
      </c>
      <c r="E165" s="493">
        <v>13</v>
      </c>
      <c r="F165" s="493">
        <f t="shared" si="20"/>
        <v>12</v>
      </c>
      <c r="G165" s="473"/>
      <c r="H165" s="479">
        <v>10</v>
      </c>
      <c r="I165" s="477"/>
      <c r="J165" s="496">
        <v>2</v>
      </c>
      <c r="K165" s="474">
        <f t="shared" si="21"/>
        <v>187</v>
      </c>
      <c r="L165" s="480"/>
      <c r="M165" s="45">
        <v>2</v>
      </c>
      <c r="N165" s="45">
        <v>11</v>
      </c>
      <c r="O165" s="205">
        <v>77</v>
      </c>
      <c r="P165" s="134"/>
      <c r="Q165" s="45">
        <v>12</v>
      </c>
      <c r="R165" s="45"/>
      <c r="S165" s="28">
        <v>1</v>
      </c>
      <c r="T165" s="45">
        <v>42</v>
      </c>
      <c r="U165" s="28">
        <v>31</v>
      </c>
      <c r="V165" s="45">
        <v>2</v>
      </c>
      <c r="W165" s="45">
        <v>9</v>
      </c>
      <c r="X165" s="529">
        <f t="shared" si="22"/>
        <v>170</v>
      </c>
      <c r="Y165" s="134">
        <v>8</v>
      </c>
      <c r="Z165" s="45">
        <v>90</v>
      </c>
      <c r="AA165" s="45">
        <v>43</v>
      </c>
      <c r="AB165" s="424">
        <v>29</v>
      </c>
      <c r="AC165" s="134"/>
    </row>
    <row r="166" spans="1:29">
      <c r="A166" s="146">
        <v>7</v>
      </c>
      <c r="B166" t="s">
        <v>209</v>
      </c>
      <c r="C166" s="4"/>
      <c r="D166" s="463">
        <v>28</v>
      </c>
      <c r="E166" s="493">
        <v>50</v>
      </c>
      <c r="F166" s="493">
        <f t="shared" si="20"/>
        <v>87</v>
      </c>
      <c r="G166" s="473">
        <v>6</v>
      </c>
      <c r="H166" s="479">
        <v>59</v>
      </c>
      <c r="I166" s="477">
        <v>22</v>
      </c>
      <c r="J166" s="496"/>
      <c r="K166" s="474">
        <f t="shared" si="21"/>
        <v>1281</v>
      </c>
      <c r="L166" s="480">
        <v>27</v>
      </c>
      <c r="M166" s="45">
        <v>21</v>
      </c>
      <c r="N166" s="45">
        <v>235</v>
      </c>
      <c r="O166" s="205">
        <v>503</v>
      </c>
      <c r="P166" s="134">
        <v>2</v>
      </c>
      <c r="Q166" s="45">
        <v>75</v>
      </c>
      <c r="R166" s="45"/>
      <c r="S166" s="28"/>
      <c r="T166" s="45">
        <v>172</v>
      </c>
      <c r="U166" s="28">
        <v>1</v>
      </c>
      <c r="V166" s="45">
        <v>245</v>
      </c>
      <c r="W166" s="45"/>
      <c r="X166" s="529">
        <f t="shared" si="22"/>
        <v>1091</v>
      </c>
      <c r="Y166" s="134">
        <v>253</v>
      </c>
      <c r="Z166" s="45">
        <v>575</v>
      </c>
      <c r="AA166" s="45">
        <v>263</v>
      </c>
      <c r="AB166" s="424"/>
      <c r="AC166" s="134"/>
    </row>
    <row r="167" spans="1:29">
      <c r="A167" s="146">
        <v>8</v>
      </c>
      <c r="B167" t="s">
        <v>210</v>
      </c>
      <c r="C167" s="4"/>
      <c r="D167" s="463">
        <v>14</v>
      </c>
      <c r="E167" s="493">
        <v>23</v>
      </c>
      <c r="F167" s="493">
        <f t="shared" si="20"/>
        <v>29</v>
      </c>
      <c r="G167" s="473">
        <v>10</v>
      </c>
      <c r="H167" s="479">
        <v>10</v>
      </c>
      <c r="I167" s="477">
        <v>3</v>
      </c>
      <c r="J167" s="496">
        <v>6</v>
      </c>
      <c r="K167" s="474">
        <f t="shared" si="21"/>
        <v>678</v>
      </c>
      <c r="L167" s="480"/>
      <c r="M167" s="45">
        <v>7</v>
      </c>
      <c r="N167" s="45">
        <v>88</v>
      </c>
      <c r="O167" s="205">
        <v>31</v>
      </c>
      <c r="P167" s="134">
        <v>22</v>
      </c>
      <c r="Q167" s="45">
        <v>10</v>
      </c>
      <c r="R167" s="45">
        <v>2</v>
      </c>
      <c r="S167" s="28">
        <v>3</v>
      </c>
      <c r="T167" s="45">
        <v>181</v>
      </c>
      <c r="U167" s="28">
        <v>225</v>
      </c>
      <c r="V167" s="45">
        <v>49</v>
      </c>
      <c r="W167" s="45">
        <v>60</v>
      </c>
      <c r="X167" s="529">
        <f t="shared" si="22"/>
        <v>353</v>
      </c>
      <c r="Y167" s="134">
        <v>102</v>
      </c>
      <c r="Z167" s="45">
        <v>34</v>
      </c>
      <c r="AA167" s="45">
        <v>89</v>
      </c>
      <c r="AB167" s="424">
        <v>128</v>
      </c>
      <c r="AC167" s="134"/>
    </row>
    <row r="168" spans="1:29">
      <c r="A168" s="146">
        <v>9</v>
      </c>
      <c r="B168" t="s">
        <v>211</v>
      </c>
      <c r="C168" s="4"/>
      <c r="D168" s="463">
        <v>10</v>
      </c>
      <c r="E168" s="493">
        <v>10</v>
      </c>
      <c r="F168" s="493">
        <f t="shared" si="20"/>
        <v>10</v>
      </c>
      <c r="G168" s="473"/>
      <c r="H168" s="479">
        <v>4</v>
      </c>
      <c r="I168" s="477">
        <v>2</v>
      </c>
      <c r="J168" s="496">
        <v>4</v>
      </c>
      <c r="K168" s="474">
        <f t="shared" si="21"/>
        <v>149</v>
      </c>
      <c r="L168" s="480"/>
      <c r="M168" s="45"/>
      <c r="N168" s="45">
        <v>3</v>
      </c>
      <c r="O168" s="205">
        <v>6</v>
      </c>
      <c r="P168" s="134"/>
      <c r="Q168" s="45"/>
      <c r="R168" s="45">
        <v>14</v>
      </c>
      <c r="S168" s="28">
        <v>17</v>
      </c>
      <c r="T168" s="45">
        <v>34</v>
      </c>
      <c r="U168" s="28">
        <v>69</v>
      </c>
      <c r="V168" s="45"/>
      <c r="W168" s="45">
        <v>6</v>
      </c>
      <c r="X168" s="529">
        <f t="shared" si="22"/>
        <v>104</v>
      </c>
      <c r="Y168" s="134">
        <v>3</v>
      </c>
      <c r="Z168" s="45">
        <v>6</v>
      </c>
      <c r="AA168" s="45">
        <v>29</v>
      </c>
      <c r="AB168" s="424">
        <v>66</v>
      </c>
      <c r="AC168" s="134"/>
    </row>
    <row r="169" spans="1:29">
      <c r="A169" s="146">
        <v>10</v>
      </c>
      <c r="B169" t="s">
        <v>212</v>
      </c>
      <c r="C169" s="8"/>
      <c r="D169" s="463">
        <v>3</v>
      </c>
      <c r="E169" s="493">
        <v>4</v>
      </c>
      <c r="F169" s="493">
        <f t="shared" si="20"/>
        <v>3</v>
      </c>
      <c r="G169" s="473"/>
      <c r="H169" s="479"/>
      <c r="I169" s="477">
        <v>1</v>
      </c>
      <c r="J169" s="496">
        <v>2</v>
      </c>
      <c r="K169" s="474">
        <f t="shared" si="21"/>
        <v>86</v>
      </c>
      <c r="L169" s="480"/>
      <c r="M169" s="45"/>
      <c r="N169" s="45"/>
      <c r="O169" s="205"/>
      <c r="P169" s="134"/>
      <c r="Q169" s="45"/>
      <c r="R169" s="45"/>
      <c r="S169" s="28"/>
      <c r="T169" s="45">
        <v>25</v>
      </c>
      <c r="U169" s="28">
        <v>55</v>
      </c>
      <c r="V169" s="45">
        <v>1</v>
      </c>
      <c r="W169" s="45">
        <v>5</v>
      </c>
      <c r="X169" s="529">
        <f t="shared" si="22"/>
        <v>76</v>
      </c>
      <c r="Y169" s="134"/>
      <c r="Z169" s="45"/>
      <c r="AA169" s="45">
        <v>24</v>
      </c>
      <c r="AB169" s="424">
        <v>52</v>
      </c>
      <c r="AC169" s="134"/>
    </row>
    <row r="170" spans="1:29">
      <c r="A170" s="146">
        <v>11</v>
      </c>
      <c r="B170" t="s">
        <v>213</v>
      </c>
      <c r="C170" s="4"/>
      <c r="D170" s="463">
        <v>3</v>
      </c>
      <c r="E170" s="493">
        <v>3</v>
      </c>
      <c r="F170" s="493">
        <f t="shared" si="20"/>
        <v>3</v>
      </c>
      <c r="G170" s="473"/>
      <c r="H170" s="479"/>
      <c r="I170" s="477">
        <v>2</v>
      </c>
      <c r="J170" s="496">
        <v>1</v>
      </c>
      <c r="K170" s="474">
        <f t="shared" si="21"/>
        <v>105</v>
      </c>
      <c r="L170" s="480"/>
      <c r="M170" s="45"/>
      <c r="N170" s="45"/>
      <c r="O170" s="205"/>
      <c r="P170" s="134"/>
      <c r="Q170" s="45"/>
      <c r="R170" s="45"/>
      <c r="S170" s="28">
        <v>1</v>
      </c>
      <c r="T170" s="45">
        <v>18</v>
      </c>
      <c r="U170" s="205">
        <v>61</v>
      </c>
      <c r="V170" s="45">
        <v>10</v>
      </c>
      <c r="W170" s="45">
        <v>15</v>
      </c>
      <c r="X170" s="529">
        <f t="shared" si="22"/>
        <v>66</v>
      </c>
      <c r="Y170" s="134"/>
      <c r="Z170" s="45"/>
      <c r="AA170" s="45">
        <v>20</v>
      </c>
      <c r="AB170" s="424">
        <v>46</v>
      </c>
      <c r="AC170" s="134"/>
    </row>
    <row r="171" spans="1:29">
      <c r="A171" s="146">
        <v>12</v>
      </c>
      <c r="B171" t="s">
        <v>214</v>
      </c>
      <c r="C171" s="4"/>
      <c r="D171" s="463">
        <v>15</v>
      </c>
      <c r="E171" s="493">
        <v>17</v>
      </c>
      <c r="F171" s="493">
        <f t="shared" si="20"/>
        <v>17</v>
      </c>
      <c r="G171" s="473"/>
      <c r="H171" s="479">
        <v>4</v>
      </c>
      <c r="I171" s="477">
        <v>7</v>
      </c>
      <c r="J171" s="496">
        <v>6</v>
      </c>
      <c r="K171" s="474">
        <f t="shared" si="21"/>
        <v>364</v>
      </c>
      <c r="L171" s="480">
        <v>5</v>
      </c>
      <c r="M171" s="45">
        <v>4</v>
      </c>
      <c r="N171" s="45">
        <v>19</v>
      </c>
      <c r="O171" s="205">
        <v>20</v>
      </c>
      <c r="P171" s="134"/>
      <c r="Q171" s="45"/>
      <c r="R171" s="45">
        <v>3</v>
      </c>
      <c r="S171" s="28">
        <v>6</v>
      </c>
      <c r="T171" s="45">
        <v>183</v>
      </c>
      <c r="U171" s="28">
        <v>116</v>
      </c>
      <c r="V171" s="45">
        <v>5</v>
      </c>
      <c r="W171" s="45">
        <v>3</v>
      </c>
      <c r="X171" s="529">
        <f t="shared" si="22"/>
        <v>300</v>
      </c>
      <c r="Y171" s="134">
        <v>21</v>
      </c>
      <c r="Z171" s="45">
        <v>22</v>
      </c>
      <c r="AA171" s="45">
        <v>146</v>
      </c>
      <c r="AB171" s="424">
        <v>111</v>
      </c>
      <c r="AC171" s="134"/>
    </row>
    <row r="172" spans="1:29">
      <c r="A172" s="146">
        <v>13</v>
      </c>
      <c r="B172" t="s">
        <v>215</v>
      </c>
      <c r="C172" s="4"/>
      <c r="D172" s="463">
        <v>2</v>
      </c>
      <c r="E172" s="493">
        <v>2</v>
      </c>
      <c r="F172" s="493">
        <f t="shared" si="20"/>
        <v>2</v>
      </c>
      <c r="G172" s="473"/>
      <c r="H172" s="479">
        <v>1</v>
      </c>
      <c r="I172" s="477"/>
      <c r="J172" s="496">
        <v>1</v>
      </c>
      <c r="K172" s="474">
        <f t="shared" si="21"/>
        <v>91</v>
      </c>
      <c r="L172" s="480"/>
      <c r="M172" s="45"/>
      <c r="N172" s="45"/>
      <c r="O172" s="205"/>
      <c r="P172" s="134"/>
      <c r="Q172" s="45"/>
      <c r="R172" s="45"/>
      <c r="S172" s="28"/>
      <c r="T172" s="45">
        <v>37</v>
      </c>
      <c r="U172" s="28">
        <v>49</v>
      </c>
      <c r="V172" s="45">
        <v>2</v>
      </c>
      <c r="W172" s="45">
        <v>3</v>
      </c>
      <c r="X172" s="529">
        <f t="shared" si="22"/>
        <v>80</v>
      </c>
      <c r="Y172" s="134"/>
      <c r="Z172" s="45"/>
      <c r="AA172" s="45">
        <v>33</v>
      </c>
      <c r="AB172" s="424">
        <v>47</v>
      </c>
      <c r="AC172" s="134"/>
    </row>
    <row r="173" spans="1:29">
      <c r="A173" s="146">
        <v>14</v>
      </c>
      <c r="B173" t="s">
        <v>216</v>
      </c>
      <c r="C173" s="4"/>
      <c r="D173" s="463">
        <v>3</v>
      </c>
      <c r="E173" s="493">
        <v>3</v>
      </c>
      <c r="F173" s="493">
        <f t="shared" si="20"/>
        <v>3</v>
      </c>
      <c r="G173" s="473"/>
      <c r="H173" s="479"/>
      <c r="I173" s="477">
        <v>1</v>
      </c>
      <c r="J173" s="496">
        <v>2</v>
      </c>
      <c r="K173" s="474">
        <f t="shared" si="21"/>
        <v>70</v>
      </c>
      <c r="L173" s="480"/>
      <c r="M173" s="45"/>
      <c r="N173" s="45"/>
      <c r="O173" s="205"/>
      <c r="P173" s="134"/>
      <c r="Q173" s="45"/>
      <c r="R173" s="45"/>
      <c r="S173" s="28"/>
      <c r="T173" s="45">
        <v>43</v>
      </c>
      <c r="U173" s="28">
        <v>27</v>
      </c>
      <c r="V173" s="45"/>
      <c r="W173" s="45"/>
      <c r="X173" s="529">
        <f t="shared" si="22"/>
        <v>64</v>
      </c>
      <c r="Y173" s="134"/>
      <c r="Z173" s="45"/>
      <c r="AA173" s="45">
        <v>39</v>
      </c>
      <c r="AB173" s="424">
        <v>25</v>
      </c>
      <c r="AC173" s="134"/>
    </row>
    <row r="174" spans="1:29">
      <c r="A174" s="146">
        <v>15</v>
      </c>
      <c r="B174" t="s">
        <v>217</v>
      </c>
      <c r="C174" s="4"/>
      <c r="D174" s="463">
        <v>13</v>
      </c>
      <c r="E174" s="493">
        <v>14</v>
      </c>
      <c r="F174" s="493">
        <f t="shared" si="20"/>
        <v>18</v>
      </c>
      <c r="G174" s="473"/>
      <c r="H174" s="479">
        <v>5</v>
      </c>
      <c r="I174" s="477">
        <v>2</v>
      </c>
      <c r="J174" s="496">
        <v>11</v>
      </c>
      <c r="K174" s="474">
        <f t="shared" si="21"/>
        <v>447</v>
      </c>
      <c r="L174" s="480">
        <v>8</v>
      </c>
      <c r="M174" s="45">
        <v>2</v>
      </c>
      <c r="N174" s="45">
        <v>16</v>
      </c>
      <c r="O174" s="205">
        <v>40</v>
      </c>
      <c r="P174" s="134"/>
      <c r="Q174" s="45">
        <v>3</v>
      </c>
      <c r="R174" s="45"/>
      <c r="S174" s="28"/>
      <c r="T174" s="45">
        <v>118</v>
      </c>
      <c r="U174" s="28">
        <v>251</v>
      </c>
      <c r="V174" s="45"/>
      <c r="W174" s="45">
        <v>9</v>
      </c>
      <c r="X174" s="529">
        <f t="shared" si="22"/>
        <v>408</v>
      </c>
      <c r="Y174" s="134">
        <v>23</v>
      </c>
      <c r="Z174" s="45">
        <v>44</v>
      </c>
      <c r="AA174" s="45">
        <v>102</v>
      </c>
      <c r="AB174" s="424">
        <v>239</v>
      </c>
      <c r="AC174" s="134"/>
    </row>
    <row r="175" spans="1:29">
      <c r="A175" s="146">
        <v>16</v>
      </c>
      <c r="B175" t="s">
        <v>218</v>
      </c>
      <c r="C175" s="4"/>
      <c r="D175" s="463">
        <v>7</v>
      </c>
      <c r="E175" s="493">
        <v>9</v>
      </c>
      <c r="F175" s="493">
        <f t="shared" si="20"/>
        <v>9</v>
      </c>
      <c r="G175" s="473">
        <v>2</v>
      </c>
      <c r="H175" s="479"/>
      <c r="I175" s="477">
        <v>7</v>
      </c>
      <c r="J175" s="496"/>
      <c r="K175" s="474">
        <f t="shared" si="21"/>
        <v>366</v>
      </c>
      <c r="L175" s="480"/>
      <c r="M175" s="45"/>
      <c r="N175" s="45">
        <v>6</v>
      </c>
      <c r="O175" s="205">
        <v>3</v>
      </c>
      <c r="P175" s="134">
        <v>2</v>
      </c>
      <c r="Q175" s="45">
        <v>2</v>
      </c>
      <c r="R175" s="45">
        <v>4</v>
      </c>
      <c r="S175" s="28">
        <v>9</v>
      </c>
      <c r="T175" s="45">
        <v>63</v>
      </c>
      <c r="U175" s="28">
        <v>89</v>
      </c>
      <c r="V175" s="45">
        <v>44</v>
      </c>
      <c r="W175" s="45">
        <v>144</v>
      </c>
      <c r="X175" s="529">
        <f t="shared" si="22"/>
        <v>297</v>
      </c>
      <c r="Y175" s="134">
        <v>8</v>
      </c>
      <c r="Z175" s="45">
        <v>5</v>
      </c>
      <c r="AA175" s="45">
        <v>94</v>
      </c>
      <c r="AB175" s="424">
        <v>190</v>
      </c>
      <c r="AC175" s="134"/>
    </row>
    <row r="176" spans="1:29">
      <c r="A176" s="146">
        <v>17</v>
      </c>
      <c r="B176" t="s">
        <v>219</v>
      </c>
      <c r="C176" s="4"/>
      <c r="D176" s="463">
        <v>4</v>
      </c>
      <c r="E176" s="493">
        <v>22</v>
      </c>
      <c r="F176" s="493">
        <f t="shared" si="20"/>
        <v>21</v>
      </c>
      <c r="G176" s="473">
        <v>15</v>
      </c>
      <c r="H176" s="479">
        <v>6</v>
      </c>
      <c r="I176" s="477"/>
      <c r="J176" s="496"/>
      <c r="K176" s="474">
        <f t="shared" si="21"/>
        <v>221</v>
      </c>
      <c r="L176" s="480"/>
      <c r="M176" s="45"/>
      <c r="N176" s="45">
        <v>110</v>
      </c>
      <c r="O176" s="205">
        <v>27</v>
      </c>
      <c r="P176" s="134">
        <v>69</v>
      </c>
      <c r="Q176" s="45">
        <v>15</v>
      </c>
      <c r="R176" s="45"/>
      <c r="S176" s="28"/>
      <c r="T176" s="45"/>
      <c r="U176" s="28"/>
      <c r="V176" s="45"/>
      <c r="W176" s="45"/>
      <c r="X176" s="529">
        <f t="shared" si="22"/>
        <v>218</v>
      </c>
      <c r="Y176" s="134">
        <v>176</v>
      </c>
      <c r="Z176" s="45">
        <v>42</v>
      </c>
      <c r="AA176" s="45"/>
      <c r="AB176" s="424"/>
      <c r="AC176" s="134"/>
    </row>
    <row r="177" spans="1:29">
      <c r="A177" s="146">
        <v>18</v>
      </c>
      <c r="B177" t="s">
        <v>220</v>
      </c>
      <c r="C177" s="4"/>
      <c r="D177" s="463">
        <v>23</v>
      </c>
      <c r="E177" s="493">
        <v>24</v>
      </c>
      <c r="F177" s="493">
        <f t="shared" si="20"/>
        <v>28</v>
      </c>
      <c r="G177" s="473">
        <v>4</v>
      </c>
      <c r="H177" s="479">
        <v>1</v>
      </c>
      <c r="I177" s="477">
        <v>5</v>
      </c>
      <c r="J177" s="496">
        <v>18</v>
      </c>
      <c r="K177" s="474">
        <f t="shared" si="21"/>
        <v>635</v>
      </c>
      <c r="L177" s="480"/>
      <c r="M177" s="45"/>
      <c r="N177" s="45"/>
      <c r="O177" s="205">
        <v>2</v>
      </c>
      <c r="P177" s="134"/>
      <c r="Q177" s="45"/>
      <c r="R177" s="45">
        <v>25</v>
      </c>
      <c r="S177" s="28">
        <v>24</v>
      </c>
      <c r="T177" s="45">
        <v>205</v>
      </c>
      <c r="U177" s="28">
        <v>305</v>
      </c>
      <c r="V177" s="45">
        <v>15</v>
      </c>
      <c r="W177" s="45">
        <v>59</v>
      </c>
      <c r="X177" s="529">
        <f t="shared" si="22"/>
        <v>529</v>
      </c>
      <c r="Y177" s="134"/>
      <c r="Z177" s="45">
        <v>2</v>
      </c>
      <c r="AA177" s="45">
        <v>214</v>
      </c>
      <c r="AB177" s="424">
        <v>313</v>
      </c>
      <c r="AC177" s="134"/>
    </row>
    <row r="178" spans="1:29">
      <c r="A178" s="146">
        <v>19</v>
      </c>
      <c r="B178" t="s">
        <v>221</v>
      </c>
      <c r="C178" s="4"/>
      <c r="D178" s="463">
        <v>12</v>
      </c>
      <c r="E178" s="493">
        <v>18</v>
      </c>
      <c r="F178" s="493">
        <f t="shared" si="20"/>
        <v>18</v>
      </c>
      <c r="G178" s="473">
        <v>3</v>
      </c>
      <c r="H178" s="479">
        <v>8</v>
      </c>
      <c r="I178" s="477">
        <v>2</v>
      </c>
      <c r="J178" s="496">
        <v>5</v>
      </c>
      <c r="K178" s="474">
        <f t="shared" si="21"/>
        <v>307</v>
      </c>
      <c r="L178" s="480"/>
      <c r="M178" s="45"/>
      <c r="N178" s="45">
        <v>10</v>
      </c>
      <c r="O178" s="205">
        <v>7</v>
      </c>
      <c r="P178" s="134"/>
      <c r="Q178" s="45"/>
      <c r="R178" s="45">
        <v>5</v>
      </c>
      <c r="S178" s="28">
        <v>23</v>
      </c>
      <c r="T178" s="45">
        <v>88</v>
      </c>
      <c r="U178" s="28">
        <v>112</v>
      </c>
      <c r="V178" s="45">
        <v>31</v>
      </c>
      <c r="W178" s="45">
        <v>31</v>
      </c>
      <c r="X178" s="529">
        <f t="shared" si="22"/>
        <v>283</v>
      </c>
      <c r="Y178" s="134">
        <v>7</v>
      </c>
      <c r="Z178" s="45">
        <v>4</v>
      </c>
      <c r="AA178" s="45">
        <v>122</v>
      </c>
      <c r="AB178" s="424">
        <v>150</v>
      </c>
      <c r="AC178" s="134"/>
    </row>
    <row r="179" spans="1:29">
      <c r="A179" s="146">
        <v>20</v>
      </c>
      <c r="B179" t="s">
        <v>222</v>
      </c>
      <c r="C179" s="4"/>
      <c r="D179" s="463"/>
      <c r="E179" s="493"/>
      <c r="F179" s="493">
        <f t="shared" si="20"/>
        <v>0</v>
      </c>
      <c r="G179" s="473"/>
      <c r="H179" s="479"/>
      <c r="I179" s="477"/>
      <c r="J179" s="496"/>
      <c r="K179" s="474">
        <f t="shared" si="21"/>
        <v>0</v>
      </c>
      <c r="L179" s="480"/>
      <c r="M179" s="45"/>
      <c r="N179" s="45"/>
      <c r="O179" s="205"/>
      <c r="P179" s="134"/>
      <c r="Q179" s="45"/>
      <c r="R179" s="45"/>
      <c r="S179" s="28"/>
      <c r="T179" s="45"/>
      <c r="U179" s="28"/>
      <c r="V179" s="45"/>
      <c r="W179" s="45"/>
      <c r="X179" s="529">
        <f t="shared" si="22"/>
        <v>0</v>
      </c>
      <c r="Y179" s="134"/>
      <c r="Z179" s="45"/>
      <c r="AA179" s="45"/>
      <c r="AB179" s="424"/>
      <c r="AC179" s="134"/>
    </row>
    <row r="180" spans="1:29">
      <c r="A180" s="146">
        <v>21</v>
      </c>
      <c r="B180" t="s">
        <v>223</v>
      </c>
      <c r="C180" s="4"/>
      <c r="D180" s="463">
        <v>3</v>
      </c>
      <c r="E180" s="493">
        <v>6</v>
      </c>
      <c r="F180" s="493">
        <f t="shared" si="20"/>
        <v>6</v>
      </c>
      <c r="G180" s="473">
        <v>4</v>
      </c>
      <c r="H180" s="479">
        <v>1</v>
      </c>
      <c r="I180" s="477">
        <v>1</v>
      </c>
      <c r="J180" s="496"/>
      <c r="K180" s="474">
        <f t="shared" si="21"/>
        <v>113</v>
      </c>
      <c r="L180" s="480"/>
      <c r="M180" s="45"/>
      <c r="N180" s="45">
        <v>15</v>
      </c>
      <c r="O180" s="205">
        <v>15</v>
      </c>
      <c r="P180" s="134">
        <v>1</v>
      </c>
      <c r="Q180" s="45"/>
      <c r="R180" s="45"/>
      <c r="S180" s="28"/>
      <c r="T180" s="45">
        <v>30</v>
      </c>
      <c r="U180" s="28">
        <v>33</v>
      </c>
      <c r="V180" s="45">
        <v>19</v>
      </c>
      <c r="W180" s="45"/>
      <c r="X180" s="529">
        <f t="shared" si="22"/>
        <v>102</v>
      </c>
      <c r="Y180" s="134">
        <v>15</v>
      </c>
      <c r="Z180" s="45">
        <v>14</v>
      </c>
      <c r="AA180" s="45">
        <v>45</v>
      </c>
      <c r="AB180" s="424">
        <v>28</v>
      </c>
      <c r="AC180" s="134"/>
    </row>
    <row r="181" spans="1:29">
      <c r="A181" s="146">
        <v>22</v>
      </c>
      <c r="B181" t="s">
        <v>224</v>
      </c>
      <c r="C181" s="4"/>
      <c r="D181" s="463">
        <v>15</v>
      </c>
      <c r="E181" s="493">
        <v>15</v>
      </c>
      <c r="F181" s="493">
        <f t="shared" si="20"/>
        <v>15</v>
      </c>
      <c r="G181" s="473"/>
      <c r="H181" s="479">
        <v>5</v>
      </c>
      <c r="I181" s="477">
        <v>2</v>
      </c>
      <c r="J181" s="496">
        <v>8</v>
      </c>
      <c r="K181" s="474">
        <f t="shared" si="21"/>
        <v>266</v>
      </c>
      <c r="L181" s="480"/>
      <c r="M181" s="45"/>
      <c r="N181" s="45">
        <v>12</v>
      </c>
      <c r="O181" s="205">
        <v>12</v>
      </c>
      <c r="P181" s="134">
        <v>1</v>
      </c>
      <c r="Q181" s="45">
        <v>1</v>
      </c>
      <c r="R181" s="45">
        <v>13</v>
      </c>
      <c r="S181" s="28">
        <v>17</v>
      </c>
      <c r="T181" s="45">
        <v>70</v>
      </c>
      <c r="U181" s="28">
        <v>113</v>
      </c>
      <c r="V181" s="45">
        <v>11</v>
      </c>
      <c r="W181" s="45">
        <v>16</v>
      </c>
      <c r="X181" s="529">
        <f t="shared" si="22"/>
        <v>238</v>
      </c>
      <c r="Y181" s="134">
        <v>13</v>
      </c>
      <c r="Z181" s="45">
        <v>13</v>
      </c>
      <c r="AA181" s="45">
        <v>81</v>
      </c>
      <c r="AB181" s="424">
        <v>131</v>
      </c>
      <c r="AC181" s="134"/>
    </row>
    <row r="182" spans="1:29">
      <c r="A182" s="146">
        <v>23</v>
      </c>
      <c r="B182" t="s">
        <v>225</v>
      </c>
      <c r="C182" s="4"/>
      <c r="D182" s="463">
        <v>2</v>
      </c>
      <c r="E182" s="493">
        <v>2</v>
      </c>
      <c r="F182" s="493">
        <f t="shared" si="20"/>
        <v>2</v>
      </c>
      <c r="G182" s="473">
        <v>2</v>
      </c>
      <c r="H182" s="479"/>
      <c r="I182" s="477"/>
      <c r="J182" s="496"/>
      <c r="K182" s="474">
        <f t="shared" si="21"/>
        <v>121</v>
      </c>
      <c r="L182" s="480"/>
      <c r="M182" s="45"/>
      <c r="N182" s="45"/>
      <c r="O182" s="205"/>
      <c r="P182" s="134"/>
      <c r="Q182" s="45"/>
      <c r="R182" s="45"/>
      <c r="S182" s="28"/>
      <c r="T182" s="45">
        <v>24</v>
      </c>
      <c r="U182" s="28">
        <v>12</v>
      </c>
      <c r="V182" s="45">
        <v>42</v>
      </c>
      <c r="W182" s="45">
        <v>43</v>
      </c>
      <c r="X182" s="529">
        <f t="shared" si="22"/>
        <v>108</v>
      </c>
      <c r="Y182" s="134"/>
      <c r="Z182" s="45"/>
      <c r="AA182" s="45">
        <v>65</v>
      </c>
      <c r="AB182" s="424">
        <v>43</v>
      </c>
      <c r="AC182" s="134"/>
    </row>
    <row r="183" spans="1:29">
      <c r="A183" s="146">
        <v>24</v>
      </c>
      <c r="B183" t="s">
        <v>226</v>
      </c>
      <c r="C183" s="4"/>
      <c r="D183" s="463">
        <v>3</v>
      </c>
      <c r="E183" s="493">
        <v>3</v>
      </c>
      <c r="F183" s="493">
        <f t="shared" si="20"/>
        <v>3</v>
      </c>
      <c r="G183" s="473"/>
      <c r="H183" s="479">
        <v>2</v>
      </c>
      <c r="I183" s="477">
        <v>1</v>
      </c>
      <c r="J183" s="496"/>
      <c r="K183" s="474">
        <f t="shared" si="21"/>
        <v>28</v>
      </c>
      <c r="L183" s="480">
        <v>1</v>
      </c>
      <c r="M183" s="45">
        <v>1</v>
      </c>
      <c r="N183" s="45">
        <v>2</v>
      </c>
      <c r="O183" s="205">
        <v>2</v>
      </c>
      <c r="P183" s="134">
        <v>2</v>
      </c>
      <c r="Q183" s="45"/>
      <c r="R183" s="45"/>
      <c r="S183" s="28"/>
      <c r="T183" s="45">
        <v>11</v>
      </c>
      <c r="U183" s="28">
        <v>9</v>
      </c>
      <c r="V183" s="45"/>
      <c r="W183" s="45"/>
      <c r="X183" s="529">
        <f t="shared" si="22"/>
        <v>28</v>
      </c>
      <c r="Y183" s="134">
        <v>16</v>
      </c>
      <c r="Z183" s="45">
        <v>12</v>
      </c>
      <c r="AA183" s="45"/>
      <c r="AB183" s="424"/>
      <c r="AC183" s="134"/>
    </row>
    <row r="184" spans="1:29">
      <c r="A184" s="146">
        <v>25</v>
      </c>
      <c r="B184" t="s">
        <v>147</v>
      </c>
      <c r="C184" s="4"/>
      <c r="D184" s="463">
        <v>1</v>
      </c>
      <c r="E184" s="493">
        <v>1</v>
      </c>
      <c r="F184" s="493">
        <f t="shared" si="20"/>
        <v>1</v>
      </c>
      <c r="G184" s="473"/>
      <c r="H184" s="479">
        <v>1</v>
      </c>
      <c r="I184" s="477"/>
      <c r="J184" s="496"/>
      <c r="K184" s="474">
        <f t="shared" si="21"/>
        <v>5</v>
      </c>
      <c r="L184" s="480"/>
      <c r="M184" s="45"/>
      <c r="N184" s="45">
        <v>5</v>
      </c>
      <c r="O184" s="205"/>
      <c r="P184" s="134"/>
      <c r="Q184" s="45"/>
      <c r="R184" s="45"/>
      <c r="S184" s="28"/>
      <c r="T184" s="45"/>
      <c r="U184" s="28"/>
      <c r="V184" s="45"/>
      <c r="W184" s="45"/>
      <c r="X184" s="529">
        <f t="shared" si="22"/>
        <v>5</v>
      </c>
      <c r="Y184" s="134">
        <v>5</v>
      </c>
      <c r="Z184" s="45"/>
      <c r="AA184" s="45"/>
      <c r="AB184" s="424"/>
      <c r="AC184" s="134"/>
    </row>
    <row r="185" spans="1:29">
      <c r="A185" s="146">
        <v>26</v>
      </c>
      <c r="B185" t="s">
        <v>227</v>
      </c>
      <c r="C185" s="4"/>
      <c r="D185" s="463">
        <v>8</v>
      </c>
      <c r="E185" s="493">
        <v>13</v>
      </c>
      <c r="F185" s="493">
        <f t="shared" si="20"/>
        <v>20</v>
      </c>
      <c r="G185" s="473"/>
      <c r="H185" s="479">
        <v>14</v>
      </c>
      <c r="I185" s="477">
        <v>1</v>
      </c>
      <c r="J185" s="496">
        <v>5</v>
      </c>
      <c r="K185" s="474">
        <f t="shared" si="21"/>
        <v>227</v>
      </c>
      <c r="L185" s="480"/>
      <c r="M185" s="45"/>
      <c r="N185" s="45">
        <v>9</v>
      </c>
      <c r="O185" s="205">
        <v>50</v>
      </c>
      <c r="P185" s="134"/>
      <c r="Q185" s="45">
        <v>40</v>
      </c>
      <c r="R185" s="45"/>
      <c r="S185" s="28"/>
      <c r="T185" s="45">
        <v>37</v>
      </c>
      <c r="U185" s="28">
        <v>72</v>
      </c>
      <c r="V185" s="45">
        <v>8</v>
      </c>
      <c r="W185" s="45">
        <v>11</v>
      </c>
      <c r="X185" s="529">
        <f t="shared" si="22"/>
        <v>209</v>
      </c>
      <c r="Y185" s="134">
        <v>9</v>
      </c>
      <c r="Z185" s="45">
        <v>90</v>
      </c>
      <c r="AA185" s="45">
        <v>42</v>
      </c>
      <c r="AB185" s="424">
        <v>68</v>
      </c>
      <c r="AC185" s="134"/>
    </row>
    <row r="186" spans="1:29">
      <c r="A186" s="146">
        <v>27</v>
      </c>
      <c r="B186" t="s">
        <v>228</v>
      </c>
      <c r="C186" s="4"/>
      <c r="D186" s="463">
        <v>19</v>
      </c>
      <c r="E186" s="493">
        <v>27</v>
      </c>
      <c r="F186" s="493">
        <f t="shared" si="20"/>
        <v>32</v>
      </c>
      <c r="G186" s="473">
        <v>2</v>
      </c>
      <c r="H186" s="479">
        <v>13</v>
      </c>
      <c r="I186" s="477">
        <v>15</v>
      </c>
      <c r="J186" s="496">
        <v>2</v>
      </c>
      <c r="K186" s="474">
        <f t="shared" si="21"/>
        <v>653</v>
      </c>
      <c r="L186" s="480">
        <v>7</v>
      </c>
      <c r="M186" s="45">
        <v>10</v>
      </c>
      <c r="N186" s="45">
        <v>82</v>
      </c>
      <c r="O186" s="205">
        <v>108</v>
      </c>
      <c r="P186" s="134">
        <v>5</v>
      </c>
      <c r="Q186" s="45">
        <v>16</v>
      </c>
      <c r="R186" s="45">
        <v>34</v>
      </c>
      <c r="S186" s="28">
        <v>18</v>
      </c>
      <c r="T186" s="45">
        <v>283</v>
      </c>
      <c r="U186" s="28">
        <v>80</v>
      </c>
      <c r="V186" s="45">
        <v>7</v>
      </c>
      <c r="W186" s="45">
        <v>3</v>
      </c>
      <c r="X186" s="529">
        <f t="shared" si="22"/>
        <v>589</v>
      </c>
      <c r="Y186" s="134">
        <v>91</v>
      </c>
      <c r="Z186" s="45">
        <v>129</v>
      </c>
      <c r="AA186" s="45">
        <v>289</v>
      </c>
      <c r="AB186" s="424">
        <v>80</v>
      </c>
      <c r="AC186" s="134"/>
    </row>
    <row r="187" spans="1:29">
      <c r="A187" s="146">
        <v>28</v>
      </c>
      <c r="B187" t="s">
        <v>229</v>
      </c>
      <c r="C187" s="4"/>
      <c r="D187" s="463">
        <v>9</v>
      </c>
      <c r="E187" s="493">
        <v>12</v>
      </c>
      <c r="F187" s="493">
        <f t="shared" si="20"/>
        <v>15</v>
      </c>
      <c r="G187" s="473">
        <v>5</v>
      </c>
      <c r="H187" s="479">
        <v>6</v>
      </c>
      <c r="I187" s="477">
        <v>3</v>
      </c>
      <c r="J187" s="496">
        <v>1</v>
      </c>
      <c r="K187" s="474">
        <f t="shared" si="21"/>
        <v>188</v>
      </c>
      <c r="L187" s="480"/>
      <c r="M187" s="45"/>
      <c r="N187" s="45">
        <v>33</v>
      </c>
      <c r="O187" s="205">
        <v>24</v>
      </c>
      <c r="P187" s="134">
        <v>2</v>
      </c>
      <c r="Q187" s="45">
        <v>1</v>
      </c>
      <c r="R187" s="45"/>
      <c r="S187" s="28"/>
      <c r="T187" s="45">
        <v>40</v>
      </c>
      <c r="U187" s="28">
        <v>61</v>
      </c>
      <c r="V187" s="45">
        <v>8</v>
      </c>
      <c r="W187" s="45">
        <v>19</v>
      </c>
      <c r="X187" s="529">
        <f t="shared" si="22"/>
        <v>171</v>
      </c>
      <c r="Y187" s="134">
        <v>35</v>
      </c>
      <c r="Z187" s="45">
        <v>24</v>
      </c>
      <c r="AA187" s="45">
        <v>48</v>
      </c>
      <c r="AB187" s="424">
        <v>64</v>
      </c>
      <c r="AC187" s="134"/>
    </row>
    <row r="188" spans="1:29">
      <c r="A188" s="146">
        <v>29</v>
      </c>
      <c r="B188" t="s">
        <v>230</v>
      </c>
      <c r="C188" s="4"/>
      <c r="D188" s="463">
        <v>9</v>
      </c>
      <c r="E188" s="493">
        <v>9</v>
      </c>
      <c r="F188" s="493">
        <f t="shared" si="20"/>
        <v>9</v>
      </c>
      <c r="G188" s="473">
        <v>1</v>
      </c>
      <c r="H188" s="479">
        <v>7</v>
      </c>
      <c r="I188" s="477">
        <v>1</v>
      </c>
      <c r="J188" s="496"/>
      <c r="K188" s="474">
        <f t="shared" si="21"/>
        <v>80</v>
      </c>
      <c r="L188" s="480"/>
      <c r="M188" s="45">
        <v>1</v>
      </c>
      <c r="N188" s="45">
        <v>14</v>
      </c>
      <c r="O188" s="205">
        <v>18</v>
      </c>
      <c r="P188" s="134">
        <v>4</v>
      </c>
      <c r="Q188" s="45">
        <v>1</v>
      </c>
      <c r="R188" s="45"/>
      <c r="S188" s="28"/>
      <c r="T188" s="45">
        <v>11</v>
      </c>
      <c r="U188" s="28">
        <v>13</v>
      </c>
      <c r="V188" s="45">
        <v>4</v>
      </c>
      <c r="W188" s="45">
        <v>14</v>
      </c>
      <c r="X188" s="529">
        <f t="shared" si="22"/>
        <v>78</v>
      </c>
      <c r="Y188" s="134">
        <v>18</v>
      </c>
      <c r="Z188" s="45">
        <v>20</v>
      </c>
      <c r="AA188" s="45">
        <v>14</v>
      </c>
      <c r="AB188" s="424">
        <v>26</v>
      </c>
      <c r="AC188" s="134"/>
    </row>
    <row r="189" spans="1:29">
      <c r="A189" s="146">
        <v>30</v>
      </c>
      <c r="B189" t="s">
        <v>231</v>
      </c>
      <c r="C189" s="4"/>
      <c r="D189" s="463">
        <v>6</v>
      </c>
      <c r="E189" s="493">
        <v>6</v>
      </c>
      <c r="F189" s="493">
        <f t="shared" si="20"/>
        <v>7</v>
      </c>
      <c r="G189" s="480">
        <v>3</v>
      </c>
      <c r="H189" s="479">
        <v>4</v>
      </c>
      <c r="I189" s="477"/>
      <c r="J189" s="496"/>
      <c r="K189" s="474">
        <f t="shared" si="21"/>
        <v>88</v>
      </c>
      <c r="L189" s="473">
        <v>1</v>
      </c>
      <c r="M189" s="134"/>
      <c r="N189" s="28">
        <v>3</v>
      </c>
      <c r="O189" s="396">
        <v>9</v>
      </c>
      <c r="P189" s="134"/>
      <c r="Q189" s="45">
        <v>1</v>
      </c>
      <c r="R189" s="45"/>
      <c r="S189" s="28"/>
      <c r="T189" s="45">
        <v>24</v>
      </c>
      <c r="U189" s="28">
        <v>23</v>
      </c>
      <c r="V189" s="45">
        <v>18</v>
      </c>
      <c r="W189" s="45">
        <v>9</v>
      </c>
      <c r="X189" s="529">
        <f t="shared" si="22"/>
        <v>81</v>
      </c>
      <c r="Y189" s="134">
        <v>29</v>
      </c>
      <c r="Z189" s="45">
        <v>20</v>
      </c>
      <c r="AA189" s="45">
        <v>13</v>
      </c>
      <c r="AB189" s="424">
        <v>19</v>
      </c>
      <c r="AC189" s="134"/>
    </row>
    <row r="190" spans="1:29" s="25" customFormat="1">
      <c r="A190" s="146">
        <v>31</v>
      </c>
      <c r="B190" t="s">
        <v>232</v>
      </c>
      <c r="C190" s="96"/>
      <c r="D190" s="480">
        <v>2</v>
      </c>
      <c r="E190" s="504">
        <v>2</v>
      </c>
      <c r="F190" s="493">
        <f t="shared" si="20"/>
        <v>2</v>
      </c>
      <c r="G190" s="474"/>
      <c r="H190" s="479"/>
      <c r="I190" s="477"/>
      <c r="J190" s="496">
        <v>2</v>
      </c>
      <c r="K190" s="474">
        <f t="shared" si="21"/>
        <v>46</v>
      </c>
      <c r="L190" s="488"/>
      <c r="M190" s="134"/>
      <c r="N190" s="28"/>
      <c r="O190" s="396"/>
      <c r="P190" s="123"/>
      <c r="Q190" s="134"/>
      <c r="R190" s="28">
        <v>7</v>
      </c>
      <c r="S190" s="28">
        <v>9</v>
      </c>
      <c r="T190" s="28">
        <v>6</v>
      </c>
      <c r="U190" s="28">
        <v>22</v>
      </c>
      <c r="V190" s="28"/>
      <c r="W190" s="45">
        <v>2</v>
      </c>
      <c r="X190" s="529">
        <f t="shared" si="22"/>
        <v>42</v>
      </c>
      <c r="Y190" s="134"/>
      <c r="Z190" s="28"/>
      <c r="AA190" s="45">
        <v>13</v>
      </c>
      <c r="AB190" s="424">
        <v>29</v>
      </c>
      <c r="AC190" s="134"/>
    </row>
    <row r="191" spans="1:29" s="25" customFormat="1">
      <c r="A191" s="530"/>
      <c r="B191" s="11"/>
      <c r="C191" s="576"/>
      <c r="D191" s="514"/>
      <c r="E191" s="625"/>
      <c r="F191" s="508"/>
      <c r="G191" s="577"/>
      <c r="H191" s="578"/>
      <c r="I191" s="511"/>
      <c r="J191" s="512"/>
      <c r="K191" s="513"/>
      <c r="L191" s="579"/>
      <c r="M191" s="580"/>
      <c r="N191" s="206"/>
      <c r="O191" s="581"/>
      <c r="P191" s="582"/>
      <c r="Q191" s="580"/>
      <c r="R191" s="206"/>
      <c r="S191" s="206"/>
      <c r="T191" s="206"/>
      <c r="U191" s="206"/>
      <c r="V191" s="206"/>
      <c r="W191" s="317"/>
      <c r="X191" s="609"/>
      <c r="Y191" s="256"/>
      <c r="Z191" s="206"/>
      <c r="AA191" s="317"/>
      <c r="AB191" s="516"/>
      <c r="AC191" s="134"/>
    </row>
    <row r="192" spans="1:29" s="25" customFormat="1">
      <c r="A192" s="146" t="s">
        <v>433</v>
      </c>
      <c r="B192" s="31"/>
      <c r="C192" s="96"/>
      <c r="D192" s="480">
        <f>SUM(D160:D190)</f>
        <v>240</v>
      </c>
      <c r="E192" s="480">
        <f t="shared" ref="E192:AB192" si="23">SUM(E160:E190)</f>
        <v>361</v>
      </c>
      <c r="F192" s="480">
        <f t="shared" si="23"/>
        <v>443</v>
      </c>
      <c r="G192" s="480">
        <f t="shared" si="23"/>
        <v>66</v>
      </c>
      <c r="H192" s="470">
        <f t="shared" si="23"/>
        <v>217</v>
      </c>
      <c r="I192" s="470">
        <f t="shared" si="23"/>
        <v>79</v>
      </c>
      <c r="J192" s="474">
        <f t="shared" si="23"/>
        <v>81</v>
      </c>
      <c r="K192" s="480">
        <f t="shared" si="23"/>
        <v>7576</v>
      </c>
      <c r="L192" s="480">
        <f t="shared" si="23"/>
        <v>51</v>
      </c>
      <c r="M192" s="470">
        <f t="shared" si="23"/>
        <v>58</v>
      </c>
      <c r="N192" s="470">
        <f t="shared" si="23"/>
        <v>786</v>
      </c>
      <c r="O192" s="470">
        <f t="shared" si="23"/>
        <v>1314</v>
      </c>
      <c r="P192" s="470">
        <f t="shared" si="23"/>
        <v>126</v>
      </c>
      <c r="Q192" s="470">
        <f t="shared" si="23"/>
        <v>322</v>
      </c>
      <c r="R192" s="470">
        <f t="shared" si="23"/>
        <v>107</v>
      </c>
      <c r="S192" s="470">
        <f t="shared" si="23"/>
        <v>134</v>
      </c>
      <c r="T192" s="470">
        <f t="shared" si="23"/>
        <v>1786</v>
      </c>
      <c r="U192" s="470">
        <f t="shared" si="23"/>
        <v>1892</v>
      </c>
      <c r="V192" s="470">
        <f t="shared" si="23"/>
        <v>538</v>
      </c>
      <c r="W192" s="474">
        <f t="shared" si="23"/>
        <v>462</v>
      </c>
      <c r="X192" s="480">
        <f t="shared" si="23"/>
        <v>6430</v>
      </c>
      <c r="Y192" s="480">
        <f t="shared" si="23"/>
        <v>959</v>
      </c>
      <c r="Z192" s="470">
        <f t="shared" si="23"/>
        <v>1651</v>
      </c>
      <c r="AA192" s="470">
        <f t="shared" si="23"/>
        <v>1874</v>
      </c>
      <c r="AB192" s="574">
        <f t="shared" si="23"/>
        <v>1946</v>
      </c>
      <c r="AC192" s="474"/>
    </row>
    <row r="193" spans="1:29" s="25" customFormat="1" ht="15" thickBot="1">
      <c r="A193" s="543"/>
      <c r="B193" s="6"/>
      <c r="C193" s="583"/>
      <c r="D193" s="525"/>
      <c r="E193" s="626"/>
      <c r="F193" s="501"/>
      <c r="G193" s="584"/>
      <c r="H193" s="585"/>
      <c r="I193" s="522"/>
      <c r="J193" s="523"/>
      <c r="K193" s="524"/>
      <c r="L193" s="586"/>
      <c r="M193" s="105"/>
      <c r="N193" s="208"/>
      <c r="O193" s="587"/>
      <c r="P193" s="443"/>
      <c r="Q193" s="105"/>
      <c r="R193" s="208"/>
      <c r="S193" s="208"/>
      <c r="T193" s="208"/>
      <c r="U193" s="208"/>
      <c r="V193" s="208"/>
      <c r="W193" s="321"/>
      <c r="X193" s="611"/>
      <c r="Y193" s="253"/>
      <c r="Z193" s="208"/>
      <c r="AA193" s="321"/>
      <c r="AB193" s="527"/>
      <c r="AC193" s="134"/>
    </row>
    <row r="194" spans="1:29" ht="15" thickTop="1">
      <c r="A194" s="176" t="s">
        <v>28</v>
      </c>
      <c r="B194" s="59"/>
      <c r="C194" s="8"/>
      <c r="D194" s="461"/>
      <c r="E194" s="493"/>
      <c r="F194" s="493"/>
      <c r="G194" s="489"/>
      <c r="H194" s="479"/>
      <c r="I194" s="477"/>
      <c r="J194" s="495"/>
      <c r="K194" s="490"/>
      <c r="L194" s="473"/>
      <c r="M194" s="134"/>
      <c r="N194" s="28"/>
      <c r="O194" s="396"/>
      <c r="P194" s="123"/>
      <c r="Q194" s="134"/>
      <c r="R194" s="28"/>
      <c r="S194" s="28"/>
      <c r="T194" s="28"/>
      <c r="U194" s="28"/>
      <c r="V194" s="28"/>
      <c r="W194" s="45"/>
      <c r="X194" s="529"/>
      <c r="Y194" s="134"/>
      <c r="Z194" s="28"/>
      <c r="AA194" s="45"/>
      <c r="AB194" s="424"/>
      <c r="AC194" s="134"/>
    </row>
    <row r="195" spans="1:29">
      <c r="A195" s="181">
        <v>33</v>
      </c>
      <c r="B195" s="100" t="s">
        <v>233</v>
      </c>
      <c r="C195" s="4" t="s">
        <v>482</v>
      </c>
      <c r="D195" s="461">
        <v>5</v>
      </c>
      <c r="E195" s="493">
        <v>7</v>
      </c>
      <c r="F195" s="493">
        <f>SUM(G195:J195)</f>
        <v>8</v>
      </c>
      <c r="G195" s="489"/>
      <c r="H195" s="479">
        <v>1</v>
      </c>
      <c r="I195" s="477">
        <v>6</v>
      </c>
      <c r="J195" s="495">
        <v>1</v>
      </c>
      <c r="K195" s="490">
        <f>SUM(L195:W195)</f>
        <v>196</v>
      </c>
      <c r="L195" s="473"/>
      <c r="M195" s="29"/>
      <c r="N195" s="28"/>
      <c r="O195" s="396"/>
      <c r="P195" s="123"/>
      <c r="Q195" s="134"/>
      <c r="R195" s="28">
        <v>2</v>
      </c>
      <c r="S195" s="28">
        <v>1</v>
      </c>
      <c r="T195" s="28">
        <v>71</v>
      </c>
      <c r="U195" s="28">
        <v>90</v>
      </c>
      <c r="V195" s="28">
        <v>17</v>
      </c>
      <c r="W195" s="45">
        <v>15</v>
      </c>
      <c r="X195" s="529">
        <f>SUM(Y195:AB195)</f>
        <v>158</v>
      </c>
      <c r="Y195" s="134"/>
      <c r="Z195" s="28"/>
      <c r="AA195" s="45">
        <v>70</v>
      </c>
      <c r="AB195" s="424">
        <v>88</v>
      </c>
      <c r="AC195" s="134"/>
    </row>
    <row r="196" spans="1:29">
      <c r="A196" s="146">
        <v>34</v>
      </c>
      <c r="B196" t="s">
        <v>234</v>
      </c>
      <c r="C196" s="4"/>
      <c r="D196" s="461">
        <v>18</v>
      </c>
      <c r="E196" s="493">
        <v>18</v>
      </c>
      <c r="F196" s="493">
        <f t="shared" ref="F196:F204" si="24">SUM(G196:J196)</f>
        <v>22</v>
      </c>
      <c r="G196" s="489">
        <v>2</v>
      </c>
      <c r="H196" s="479">
        <v>1</v>
      </c>
      <c r="I196" s="477">
        <v>14</v>
      </c>
      <c r="J196" s="495">
        <v>5</v>
      </c>
      <c r="K196" s="490">
        <f t="shared" ref="K196:K205" si="25">SUM(L196:W196)</f>
        <v>411</v>
      </c>
      <c r="L196" s="473"/>
      <c r="M196" s="134"/>
      <c r="N196" s="28">
        <v>1</v>
      </c>
      <c r="O196" s="396">
        <v>5</v>
      </c>
      <c r="P196" s="123"/>
      <c r="Q196" s="134"/>
      <c r="R196" s="28"/>
      <c r="S196" s="28"/>
      <c r="T196" s="28">
        <v>157</v>
      </c>
      <c r="U196" s="28">
        <v>156</v>
      </c>
      <c r="V196" s="28">
        <v>37</v>
      </c>
      <c r="W196" s="45">
        <v>55</v>
      </c>
      <c r="X196" s="529">
        <f t="shared" ref="X196:X205" si="26">SUM(Y196:AB196)</f>
        <v>327</v>
      </c>
      <c r="Y196" s="134">
        <v>1</v>
      </c>
      <c r="Z196" s="28">
        <v>5</v>
      </c>
      <c r="AA196" s="45">
        <v>153</v>
      </c>
      <c r="AB196" s="424">
        <v>168</v>
      </c>
      <c r="AC196" s="134"/>
    </row>
    <row r="197" spans="1:29">
      <c r="A197" s="146">
        <v>35</v>
      </c>
      <c r="B197" t="s">
        <v>235</v>
      </c>
      <c r="C197" s="4"/>
      <c r="D197" s="461">
        <v>7</v>
      </c>
      <c r="E197" s="493">
        <v>7</v>
      </c>
      <c r="F197" s="493">
        <f t="shared" si="24"/>
        <v>13</v>
      </c>
      <c r="G197" s="489">
        <v>3</v>
      </c>
      <c r="H197" s="479">
        <v>4</v>
      </c>
      <c r="I197" s="477">
        <v>3</v>
      </c>
      <c r="J197" s="496">
        <v>3</v>
      </c>
      <c r="K197" s="490">
        <f t="shared" si="25"/>
        <v>163</v>
      </c>
      <c r="L197" s="473"/>
      <c r="M197" s="134"/>
      <c r="N197" s="28"/>
      <c r="O197" s="396"/>
      <c r="P197" s="123"/>
      <c r="Q197" s="134"/>
      <c r="R197" s="28">
        <v>5</v>
      </c>
      <c r="S197" s="28">
        <v>4</v>
      </c>
      <c r="T197" s="28">
        <v>43</v>
      </c>
      <c r="U197" s="28">
        <v>44</v>
      </c>
      <c r="V197" s="28">
        <v>37</v>
      </c>
      <c r="W197" s="45">
        <v>30</v>
      </c>
      <c r="X197" s="529">
        <f t="shared" si="26"/>
        <v>142</v>
      </c>
      <c r="Y197" s="134"/>
      <c r="Z197" s="28"/>
      <c r="AA197" s="45">
        <v>77</v>
      </c>
      <c r="AB197" s="424">
        <v>65</v>
      </c>
      <c r="AC197" s="134"/>
    </row>
    <row r="198" spans="1:29">
      <c r="A198" s="146">
        <v>36</v>
      </c>
      <c r="B198" t="s">
        <v>236</v>
      </c>
      <c r="C198" s="4"/>
      <c r="D198" s="461">
        <v>1</v>
      </c>
      <c r="E198" s="493">
        <v>1</v>
      </c>
      <c r="F198" s="493">
        <f t="shared" si="24"/>
        <v>2</v>
      </c>
      <c r="G198" s="489"/>
      <c r="H198" s="479"/>
      <c r="I198" s="477">
        <v>2</v>
      </c>
      <c r="J198" s="496"/>
      <c r="K198" s="490">
        <f t="shared" si="25"/>
        <v>16</v>
      </c>
      <c r="L198" s="473"/>
      <c r="M198" s="134"/>
      <c r="N198" s="28"/>
      <c r="O198" s="396"/>
      <c r="P198" s="123"/>
      <c r="Q198" s="134"/>
      <c r="R198" s="28"/>
      <c r="S198" s="28"/>
      <c r="T198" s="28">
        <v>1</v>
      </c>
      <c r="U198" s="28">
        <v>7</v>
      </c>
      <c r="V198" s="28">
        <v>4</v>
      </c>
      <c r="W198" s="45">
        <v>4</v>
      </c>
      <c r="X198" s="529">
        <f t="shared" si="26"/>
        <v>16</v>
      </c>
      <c r="Y198" s="134"/>
      <c r="Z198" s="28"/>
      <c r="AA198" s="45">
        <v>5</v>
      </c>
      <c r="AB198" s="424">
        <v>11</v>
      </c>
      <c r="AC198" s="134"/>
    </row>
    <row r="199" spans="1:29">
      <c r="A199" s="146">
        <v>37</v>
      </c>
      <c r="B199" t="s">
        <v>237</v>
      </c>
      <c r="C199" s="4"/>
      <c r="D199" s="461">
        <v>2</v>
      </c>
      <c r="E199" s="493">
        <v>3</v>
      </c>
      <c r="F199" s="493">
        <f t="shared" si="24"/>
        <v>4</v>
      </c>
      <c r="G199" s="489">
        <v>1</v>
      </c>
      <c r="H199" s="479">
        <v>1</v>
      </c>
      <c r="I199" s="477">
        <v>1</v>
      </c>
      <c r="J199" s="496">
        <v>1</v>
      </c>
      <c r="K199" s="490">
        <f t="shared" si="25"/>
        <v>80</v>
      </c>
      <c r="L199" s="473"/>
      <c r="M199" s="134"/>
      <c r="N199" s="28"/>
      <c r="O199" s="396"/>
      <c r="P199" s="123"/>
      <c r="Q199" s="134"/>
      <c r="R199" s="28"/>
      <c r="S199" s="28"/>
      <c r="T199" s="28">
        <v>31</v>
      </c>
      <c r="U199" s="28">
        <v>33</v>
      </c>
      <c r="V199" s="28">
        <v>10</v>
      </c>
      <c r="W199" s="45">
        <v>6</v>
      </c>
      <c r="X199" s="529">
        <f t="shared" si="26"/>
        <v>72</v>
      </c>
      <c r="Y199" s="134"/>
      <c r="Z199" s="28"/>
      <c r="AA199" s="45">
        <v>38</v>
      </c>
      <c r="AB199" s="424">
        <v>34</v>
      </c>
      <c r="AC199" s="134"/>
    </row>
    <row r="200" spans="1:29">
      <c r="A200" s="146">
        <v>38</v>
      </c>
      <c r="B200" t="s">
        <v>238</v>
      </c>
      <c r="C200" s="4"/>
      <c r="D200" s="461">
        <v>4</v>
      </c>
      <c r="E200" s="493">
        <v>8</v>
      </c>
      <c r="F200" s="493">
        <f t="shared" si="24"/>
        <v>13</v>
      </c>
      <c r="G200" s="489">
        <v>3</v>
      </c>
      <c r="H200" s="479"/>
      <c r="I200" s="477">
        <v>6</v>
      </c>
      <c r="J200" s="496">
        <v>4</v>
      </c>
      <c r="K200" s="490">
        <f t="shared" si="25"/>
        <v>257</v>
      </c>
      <c r="L200" s="488"/>
      <c r="M200" s="92"/>
      <c r="N200" s="28"/>
      <c r="O200" s="396"/>
      <c r="P200" s="123"/>
      <c r="Q200" s="92"/>
      <c r="R200" s="28"/>
      <c r="S200" s="28"/>
      <c r="T200" s="28">
        <v>80</v>
      </c>
      <c r="U200" s="28">
        <v>129</v>
      </c>
      <c r="V200" s="28">
        <v>22</v>
      </c>
      <c r="W200" s="45">
        <v>26</v>
      </c>
      <c r="X200" s="529">
        <f t="shared" si="26"/>
        <v>209</v>
      </c>
      <c r="Y200" s="134"/>
      <c r="Z200" s="28"/>
      <c r="AA200" s="45">
        <v>78</v>
      </c>
      <c r="AB200" s="424">
        <v>131</v>
      </c>
      <c r="AC200" s="134"/>
    </row>
    <row r="201" spans="1:29">
      <c r="A201" s="146">
        <v>39</v>
      </c>
      <c r="B201" t="s">
        <v>239</v>
      </c>
      <c r="C201" s="4"/>
      <c r="D201" s="461">
        <v>3</v>
      </c>
      <c r="E201" s="493">
        <v>3</v>
      </c>
      <c r="F201" s="493">
        <f t="shared" si="24"/>
        <v>3</v>
      </c>
      <c r="G201" s="489"/>
      <c r="H201" s="479"/>
      <c r="I201" s="477">
        <v>3</v>
      </c>
      <c r="J201" s="496"/>
      <c r="K201" s="490">
        <f t="shared" si="25"/>
        <v>75</v>
      </c>
      <c r="L201" s="473"/>
      <c r="M201" s="134"/>
      <c r="N201" s="28"/>
      <c r="O201" s="396"/>
      <c r="P201" s="123"/>
      <c r="Q201" s="134"/>
      <c r="R201" s="28"/>
      <c r="S201" s="28"/>
      <c r="T201" s="28">
        <v>38</v>
      </c>
      <c r="U201" s="28">
        <v>37</v>
      </c>
      <c r="V201" s="28"/>
      <c r="W201" s="45"/>
      <c r="X201" s="529">
        <f t="shared" si="26"/>
        <v>46</v>
      </c>
      <c r="Y201" s="134"/>
      <c r="Z201" s="28"/>
      <c r="AA201" s="45">
        <v>20</v>
      </c>
      <c r="AB201" s="424">
        <v>26</v>
      </c>
      <c r="AC201" s="134"/>
    </row>
    <row r="202" spans="1:29">
      <c r="A202" s="146">
        <v>40</v>
      </c>
      <c r="B202" t="s">
        <v>240</v>
      </c>
      <c r="C202" s="4"/>
      <c r="D202" s="461">
        <v>12</v>
      </c>
      <c r="E202" s="493">
        <v>13</v>
      </c>
      <c r="F202" s="493">
        <f t="shared" si="24"/>
        <v>15</v>
      </c>
      <c r="G202" s="489"/>
      <c r="H202" s="479"/>
      <c r="I202" s="477">
        <v>13</v>
      </c>
      <c r="J202" s="496">
        <v>2</v>
      </c>
      <c r="K202" s="490">
        <f t="shared" si="25"/>
        <v>404</v>
      </c>
      <c r="L202" s="473"/>
      <c r="M202" s="134"/>
      <c r="N202" s="28"/>
      <c r="O202" s="396"/>
      <c r="P202" s="123"/>
      <c r="Q202" s="134"/>
      <c r="R202" s="28">
        <v>4</v>
      </c>
      <c r="S202" s="28">
        <v>4</v>
      </c>
      <c r="T202" s="28">
        <v>120</v>
      </c>
      <c r="U202" s="28">
        <v>196</v>
      </c>
      <c r="V202" s="28">
        <v>25</v>
      </c>
      <c r="W202" s="45">
        <v>55</v>
      </c>
      <c r="X202" s="529">
        <f t="shared" si="26"/>
        <v>347</v>
      </c>
      <c r="Y202" s="134"/>
      <c r="Z202" s="28"/>
      <c r="AA202" s="45">
        <v>124</v>
      </c>
      <c r="AB202" s="424">
        <v>223</v>
      </c>
      <c r="AC202" s="134"/>
    </row>
    <row r="203" spans="1:29">
      <c r="A203" s="146">
        <v>41</v>
      </c>
      <c r="B203" t="s">
        <v>241</v>
      </c>
      <c r="C203" s="4"/>
      <c r="D203" s="461">
        <v>15</v>
      </c>
      <c r="E203" s="493">
        <v>17</v>
      </c>
      <c r="F203" s="493">
        <f t="shared" si="24"/>
        <v>16</v>
      </c>
      <c r="G203" s="489">
        <v>1</v>
      </c>
      <c r="H203" s="479"/>
      <c r="I203" s="477">
        <v>13</v>
      </c>
      <c r="J203" s="496">
        <v>2</v>
      </c>
      <c r="K203" s="490">
        <f t="shared" si="25"/>
        <v>394</v>
      </c>
      <c r="L203" s="488"/>
      <c r="M203" s="92"/>
      <c r="N203" s="28"/>
      <c r="O203" s="396"/>
      <c r="P203" s="442"/>
      <c r="Q203" s="92"/>
      <c r="R203" s="28"/>
      <c r="S203" s="28"/>
      <c r="T203" s="28">
        <v>99</v>
      </c>
      <c r="U203" s="28">
        <v>190</v>
      </c>
      <c r="V203" s="28">
        <v>24</v>
      </c>
      <c r="W203" s="45">
        <v>81</v>
      </c>
      <c r="X203" s="529">
        <f t="shared" si="26"/>
        <v>353</v>
      </c>
      <c r="Y203" s="134"/>
      <c r="Z203" s="28"/>
      <c r="AA203" s="45">
        <v>109</v>
      </c>
      <c r="AB203" s="424">
        <v>244</v>
      </c>
      <c r="AC203" s="134"/>
    </row>
    <row r="204" spans="1:29">
      <c r="A204" s="146">
        <v>42</v>
      </c>
      <c r="B204" t="s">
        <v>242</v>
      </c>
      <c r="C204" s="4"/>
      <c r="D204" s="461">
        <v>1</v>
      </c>
      <c r="E204" s="493">
        <v>1</v>
      </c>
      <c r="F204" s="493">
        <f t="shared" si="24"/>
        <v>2</v>
      </c>
      <c r="G204" s="489"/>
      <c r="H204" s="479">
        <v>1</v>
      </c>
      <c r="I204" s="477">
        <v>1</v>
      </c>
      <c r="J204" s="496"/>
      <c r="K204" s="490">
        <f t="shared" si="25"/>
        <v>21</v>
      </c>
      <c r="L204" s="473"/>
      <c r="M204" s="134"/>
      <c r="N204" s="28"/>
      <c r="O204" s="396"/>
      <c r="P204" s="123"/>
      <c r="Q204" s="134"/>
      <c r="R204" s="28">
        <v>15</v>
      </c>
      <c r="S204" s="28">
        <v>3</v>
      </c>
      <c r="T204" s="28"/>
      <c r="U204" s="28"/>
      <c r="V204" s="28">
        <v>2</v>
      </c>
      <c r="W204" s="45">
        <v>1</v>
      </c>
      <c r="X204" s="529">
        <f t="shared" si="26"/>
        <v>16</v>
      </c>
      <c r="Y204" s="134"/>
      <c r="Z204" s="28"/>
      <c r="AA204" s="45">
        <v>14</v>
      </c>
      <c r="AB204" s="424">
        <v>2</v>
      </c>
      <c r="AC204" s="134"/>
    </row>
    <row r="205" spans="1:29">
      <c r="A205" s="146">
        <v>43</v>
      </c>
      <c r="B205" t="s">
        <v>243</v>
      </c>
      <c r="C205" s="4"/>
      <c r="D205" s="461"/>
      <c r="E205" s="493"/>
      <c r="F205" s="493"/>
      <c r="G205" s="489"/>
      <c r="H205" s="479"/>
      <c r="I205" s="477"/>
      <c r="J205" s="496"/>
      <c r="K205" s="490">
        <f t="shared" si="25"/>
        <v>0</v>
      </c>
      <c r="L205" s="488"/>
      <c r="M205" s="92"/>
      <c r="N205" s="170"/>
      <c r="O205" s="449"/>
      <c r="P205" s="442"/>
      <c r="Q205" s="92"/>
      <c r="R205" s="28"/>
      <c r="S205" s="28"/>
      <c r="T205" s="28"/>
      <c r="U205" s="28"/>
      <c r="V205" s="28"/>
      <c r="W205" s="45"/>
      <c r="X205" s="529">
        <f t="shared" si="26"/>
        <v>0</v>
      </c>
      <c r="Y205" s="134"/>
      <c r="Z205" s="28"/>
      <c r="AA205" s="45"/>
      <c r="AB205" s="424"/>
      <c r="AC205" s="134"/>
    </row>
    <row r="206" spans="1:29">
      <c r="A206" s="530"/>
      <c r="B206" s="11"/>
      <c r="C206" s="203"/>
      <c r="D206" s="627"/>
      <c r="E206" s="508"/>
      <c r="F206" s="508"/>
      <c r="G206" s="577"/>
      <c r="H206" s="578"/>
      <c r="I206" s="588"/>
      <c r="J206" s="589"/>
      <c r="K206" s="577"/>
      <c r="L206" s="579"/>
      <c r="M206" s="580"/>
      <c r="N206" s="201"/>
      <c r="O206" s="590"/>
      <c r="P206" s="582"/>
      <c r="Q206" s="580"/>
      <c r="R206" s="201"/>
      <c r="S206" s="201"/>
      <c r="T206" s="201"/>
      <c r="U206" s="201"/>
      <c r="V206" s="201"/>
      <c r="W206" s="631"/>
      <c r="X206" s="609"/>
      <c r="Y206" s="580"/>
      <c r="Z206" s="201"/>
      <c r="AA206" s="631"/>
      <c r="AB206" s="591"/>
      <c r="AC206" s="92"/>
    </row>
    <row r="207" spans="1:29">
      <c r="A207" s="146" t="s">
        <v>298</v>
      </c>
      <c r="B207" s="31"/>
      <c r="C207" s="4"/>
      <c r="D207" s="461">
        <f>SUM(D195:D206)</f>
        <v>68</v>
      </c>
      <c r="E207" s="461">
        <f t="shared" ref="E207:AB207" si="27">SUM(E195:E206)</f>
        <v>78</v>
      </c>
      <c r="F207" s="461">
        <f t="shared" si="27"/>
        <v>98</v>
      </c>
      <c r="G207" s="461">
        <f t="shared" si="27"/>
        <v>10</v>
      </c>
      <c r="H207" s="462">
        <f t="shared" si="27"/>
        <v>8</v>
      </c>
      <c r="I207" s="462">
        <f t="shared" si="27"/>
        <v>62</v>
      </c>
      <c r="J207" s="463">
        <f t="shared" si="27"/>
        <v>18</v>
      </c>
      <c r="K207" s="461">
        <f t="shared" si="27"/>
        <v>2017</v>
      </c>
      <c r="L207" s="461">
        <f t="shared" si="27"/>
        <v>0</v>
      </c>
      <c r="M207" s="462">
        <f t="shared" si="27"/>
        <v>0</v>
      </c>
      <c r="N207" s="462">
        <f t="shared" si="27"/>
        <v>1</v>
      </c>
      <c r="O207" s="462">
        <f t="shared" si="27"/>
        <v>5</v>
      </c>
      <c r="P207" s="462">
        <f t="shared" si="27"/>
        <v>0</v>
      </c>
      <c r="Q207" s="462">
        <f t="shared" si="27"/>
        <v>0</v>
      </c>
      <c r="R207" s="462">
        <f t="shared" si="27"/>
        <v>26</v>
      </c>
      <c r="S207" s="462">
        <f t="shared" si="27"/>
        <v>12</v>
      </c>
      <c r="T207" s="462">
        <f t="shared" si="27"/>
        <v>640</v>
      </c>
      <c r="U207" s="462">
        <f t="shared" si="27"/>
        <v>882</v>
      </c>
      <c r="V207" s="462">
        <f t="shared" si="27"/>
        <v>178</v>
      </c>
      <c r="W207" s="463">
        <f t="shared" si="27"/>
        <v>273</v>
      </c>
      <c r="X207" s="461">
        <f t="shared" si="27"/>
        <v>1686</v>
      </c>
      <c r="Y207" s="461">
        <f t="shared" si="27"/>
        <v>1</v>
      </c>
      <c r="Z207" s="462">
        <f t="shared" si="27"/>
        <v>5</v>
      </c>
      <c r="AA207" s="462">
        <f t="shared" si="27"/>
        <v>688</v>
      </c>
      <c r="AB207" s="464">
        <f t="shared" si="27"/>
        <v>992</v>
      </c>
      <c r="AC207" s="463"/>
    </row>
    <row r="208" spans="1:29" ht="15" thickBot="1">
      <c r="A208" s="543"/>
      <c r="B208" s="6"/>
      <c r="C208" s="104"/>
      <c r="D208" s="628"/>
      <c r="E208" s="501"/>
      <c r="F208" s="501"/>
      <c r="G208" s="584"/>
      <c r="H208" s="585"/>
      <c r="I208" s="593"/>
      <c r="J208" s="594"/>
      <c r="K208" s="584"/>
      <c r="L208" s="586"/>
      <c r="M208" s="105"/>
      <c r="N208" s="322"/>
      <c r="O208" s="450"/>
      <c r="P208" s="443"/>
      <c r="Q208" s="105"/>
      <c r="R208" s="322"/>
      <c r="S208" s="322"/>
      <c r="T208" s="322"/>
      <c r="U208" s="322"/>
      <c r="V208" s="322"/>
      <c r="W208" s="323"/>
      <c r="X208" s="529"/>
      <c r="Y208" s="105"/>
      <c r="Z208" s="322"/>
      <c r="AA208" s="323"/>
      <c r="AB208" s="459"/>
      <c r="AC208" s="92"/>
    </row>
    <row r="209" spans="1:29" ht="15" thickTop="1">
      <c r="A209" s="146"/>
      <c r="B209" s="31"/>
      <c r="C209" s="4"/>
      <c r="D209" s="461"/>
      <c r="E209" s="493"/>
      <c r="F209" s="493"/>
      <c r="G209" s="592"/>
      <c r="H209" s="487"/>
      <c r="I209" s="491"/>
      <c r="J209" s="498"/>
      <c r="K209" s="592"/>
      <c r="L209" s="488"/>
      <c r="M209" s="92"/>
      <c r="N209" s="170"/>
      <c r="O209" s="449"/>
      <c r="P209" s="442"/>
      <c r="Q209" s="92"/>
      <c r="R209" s="170"/>
      <c r="S209" s="170"/>
      <c r="T209" s="170"/>
      <c r="U209" s="170"/>
      <c r="V209" s="170"/>
      <c r="W209" s="632"/>
      <c r="X209" s="641"/>
      <c r="Y209" s="92"/>
      <c r="Z209" s="170"/>
      <c r="AA209" s="632"/>
      <c r="AB209" s="458"/>
      <c r="AC209" s="92"/>
    </row>
    <row r="210" spans="1:29">
      <c r="A210" s="146" t="s">
        <v>434</v>
      </c>
      <c r="B210" s="31"/>
      <c r="C210" s="4"/>
      <c r="D210" s="461">
        <f>D207+D192</f>
        <v>308</v>
      </c>
      <c r="E210" s="461">
        <f t="shared" ref="E210:AB210" si="28">E207+E192</f>
        <v>439</v>
      </c>
      <c r="F210" s="461">
        <f t="shared" si="28"/>
        <v>541</v>
      </c>
      <c r="G210" s="461">
        <f t="shared" si="28"/>
        <v>76</v>
      </c>
      <c r="H210" s="462">
        <f t="shared" si="28"/>
        <v>225</v>
      </c>
      <c r="I210" s="462">
        <f t="shared" si="28"/>
        <v>141</v>
      </c>
      <c r="J210" s="463">
        <f t="shared" si="28"/>
        <v>99</v>
      </c>
      <c r="K210" s="461">
        <f t="shared" si="28"/>
        <v>9593</v>
      </c>
      <c r="L210" s="461">
        <f t="shared" si="28"/>
        <v>51</v>
      </c>
      <c r="M210" s="462">
        <f t="shared" si="28"/>
        <v>58</v>
      </c>
      <c r="N210" s="462">
        <f t="shared" si="28"/>
        <v>787</v>
      </c>
      <c r="O210" s="462">
        <f t="shared" si="28"/>
        <v>1319</v>
      </c>
      <c r="P210" s="462">
        <f t="shared" si="28"/>
        <v>126</v>
      </c>
      <c r="Q210" s="462">
        <f t="shared" si="28"/>
        <v>322</v>
      </c>
      <c r="R210" s="462">
        <f t="shared" si="28"/>
        <v>133</v>
      </c>
      <c r="S210" s="462">
        <f t="shared" si="28"/>
        <v>146</v>
      </c>
      <c r="T210" s="462">
        <f t="shared" si="28"/>
        <v>2426</v>
      </c>
      <c r="U210" s="462">
        <f t="shared" si="28"/>
        <v>2774</v>
      </c>
      <c r="V210" s="462">
        <f t="shared" si="28"/>
        <v>716</v>
      </c>
      <c r="W210" s="463">
        <f t="shared" si="28"/>
        <v>735</v>
      </c>
      <c r="X210" s="461">
        <f t="shared" si="28"/>
        <v>8116</v>
      </c>
      <c r="Y210" s="461">
        <f t="shared" si="28"/>
        <v>960</v>
      </c>
      <c r="Z210" s="462">
        <f t="shared" si="28"/>
        <v>1656</v>
      </c>
      <c r="AA210" s="462">
        <f t="shared" si="28"/>
        <v>2562</v>
      </c>
      <c r="AB210" s="464">
        <f t="shared" si="28"/>
        <v>2938</v>
      </c>
      <c r="AC210" s="463"/>
    </row>
    <row r="211" spans="1:29" ht="15" thickBot="1">
      <c r="A211" s="543"/>
      <c r="B211" s="6"/>
      <c r="C211" s="104"/>
      <c r="D211" s="628"/>
      <c r="E211" s="501"/>
      <c r="F211" s="501"/>
      <c r="G211" s="584"/>
      <c r="H211" s="585"/>
      <c r="I211" s="593"/>
      <c r="J211" s="594"/>
      <c r="K211" s="584"/>
      <c r="L211" s="586"/>
      <c r="M211" s="105"/>
      <c r="N211" s="322"/>
      <c r="O211" s="450"/>
      <c r="P211" s="443"/>
      <c r="Q211" s="105"/>
      <c r="R211" s="322"/>
      <c r="S211" s="322"/>
      <c r="T211" s="322"/>
      <c r="U211" s="322"/>
      <c r="V211" s="322"/>
      <c r="W211" s="323"/>
      <c r="X211" s="611"/>
      <c r="Y211" s="105"/>
      <c r="Z211" s="322"/>
      <c r="AA211" s="323"/>
      <c r="AB211" s="459"/>
      <c r="AC211" s="92"/>
    </row>
    <row r="212" spans="1:29" ht="17" thickTop="1" thickBot="1">
      <c r="A212" s="179" t="s">
        <v>38</v>
      </c>
      <c r="B212" s="173"/>
      <c r="C212" s="8"/>
      <c r="D212" s="461"/>
      <c r="E212" s="493"/>
      <c r="F212" s="493"/>
      <c r="G212" s="489"/>
      <c r="H212" s="479"/>
      <c r="I212" s="477"/>
      <c r="J212" s="496"/>
      <c r="K212" s="489"/>
      <c r="L212" s="473"/>
      <c r="M212" s="134"/>
      <c r="N212" s="28"/>
      <c r="O212" s="396"/>
      <c r="P212" s="123"/>
      <c r="Q212" s="134"/>
      <c r="R212" s="28"/>
      <c r="S212" s="28"/>
      <c r="T212" s="28"/>
      <c r="U212" s="28"/>
      <c r="V212" s="28"/>
      <c r="W212" s="45"/>
      <c r="X212" s="529"/>
      <c r="Y212" s="134"/>
      <c r="Z212" s="28"/>
      <c r="AA212" s="45"/>
      <c r="AB212" s="424"/>
      <c r="AC212" s="134"/>
    </row>
    <row r="213" spans="1:29">
      <c r="A213" s="146">
        <v>1</v>
      </c>
      <c r="B213" s="48" t="s">
        <v>244</v>
      </c>
      <c r="D213" s="461">
        <v>1</v>
      </c>
      <c r="E213" s="493">
        <v>1</v>
      </c>
      <c r="F213" s="493">
        <f>SUM(G213:J213)</f>
        <v>1</v>
      </c>
      <c r="G213" s="489"/>
      <c r="H213" s="479">
        <v>1</v>
      </c>
      <c r="I213" s="477"/>
      <c r="J213" s="496"/>
      <c r="K213" s="489">
        <f>SUM(L213:W213)</f>
        <v>9</v>
      </c>
      <c r="L213" s="473">
        <v>2</v>
      </c>
      <c r="M213" s="134"/>
      <c r="N213" s="28">
        <v>1</v>
      </c>
      <c r="O213" s="396">
        <v>6</v>
      </c>
      <c r="P213" s="123"/>
      <c r="Q213" s="134"/>
      <c r="R213" s="28"/>
      <c r="S213" s="28"/>
      <c r="T213" s="28"/>
      <c r="U213" s="28"/>
      <c r="V213" s="28"/>
      <c r="W213" s="45"/>
      <c r="X213" s="529">
        <f>SUM(Y213:AB213)</f>
        <v>9</v>
      </c>
      <c r="Y213" s="134">
        <v>3</v>
      </c>
      <c r="Z213" s="28">
        <v>6</v>
      </c>
      <c r="AA213" s="45"/>
      <c r="AB213" s="424"/>
      <c r="AC213" s="134"/>
    </row>
    <row r="214" spans="1:29">
      <c r="A214" s="146">
        <v>2</v>
      </c>
      <c r="B214" t="s">
        <v>245</v>
      </c>
      <c r="C214" s="4"/>
      <c r="D214" s="461"/>
      <c r="E214" s="493"/>
      <c r="F214" s="493">
        <f t="shared" ref="F214:F235" si="29">SUM(G214:J214)</f>
        <v>0</v>
      </c>
      <c r="G214" s="489"/>
      <c r="H214" s="479"/>
      <c r="I214" s="477"/>
      <c r="J214" s="496"/>
      <c r="K214" s="489">
        <f t="shared" ref="K214:K235" si="30">SUM(L214:W214)</f>
        <v>0</v>
      </c>
      <c r="L214" s="473"/>
      <c r="M214" s="134"/>
      <c r="N214" s="28"/>
      <c r="O214" s="396"/>
      <c r="P214" s="123"/>
      <c r="Q214" s="134"/>
      <c r="R214" s="28"/>
      <c r="S214" s="28"/>
      <c r="T214" s="28"/>
      <c r="U214" s="28"/>
      <c r="V214" s="28"/>
      <c r="W214" s="45"/>
      <c r="X214" s="529">
        <f t="shared" ref="X214:X236" si="31">SUM(Y214:AB214)</f>
        <v>0</v>
      </c>
      <c r="Y214" s="134"/>
      <c r="Z214" s="28"/>
      <c r="AA214" s="45"/>
      <c r="AB214" s="424"/>
      <c r="AC214" s="134"/>
    </row>
    <row r="215" spans="1:29">
      <c r="A215" s="146">
        <v>3</v>
      </c>
      <c r="B215" t="s">
        <v>246</v>
      </c>
      <c r="C215" s="4"/>
      <c r="D215" s="461"/>
      <c r="E215" s="493"/>
      <c r="F215" s="493">
        <f t="shared" si="29"/>
        <v>0</v>
      </c>
      <c r="G215" s="489"/>
      <c r="H215" s="479"/>
      <c r="I215" s="477"/>
      <c r="J215" s="496"/>
      <c r="K215" s="489">
        <f t="shared" si="30"/>
        <v>0</v>
      </c>
      <c r="L215" s="473"/>
      <c r="M215" s="134"/>
      <c r="N215" s="205"/>
      <c r="O215" s="396"/>
      <c r="P215" s="123"/>
      <c r="Q215" s="134"/>
      <c r="R215" s="28"/>
      <c r="S215" s="28"/>
      <c r="T215" s="28"/>
      <c r="U215" s="28"/>
      <c r="V215" s="28"/>
      <c r="W215" s="45"/>
      <c r="X215" s="529">
        <f t="shared" si="31"/>
        <v>0</v>
      </c>
      <c r="Y215" s="134"/>
      <c r="Z215" s="28"/>
      <c r="AA215" s="45"/>
      <c r="AB215" s="424"/>
      <c r="AC215" s="134"/>
    </row>
    <row r="216" spans="1:29">
      <c r="A216" s="146">
        <v>4</v>
      </c>
      <c r="B216" t="s">
        <v>247</v>
      </c>
      <c r="C216" s="4"/>
      <c r="D216" s="461">
        <v>13</v>
      </c>
      <c r="E216" s="493">
        <v>18</v>
      </c>
      <c r="F216" s="493">
        <f t="shared" si="29"/>
        <v>20</v>
      </c>
      <c r="G216" s="489">
        <v>1</v>
      </c>
      <c r="H216" s="479">
        <v>14</v>
      </c>
      <c r="I216" s="477">
        <v>2</v>
      </c>
      <c r="J216" s="496">
        <v>3</v>
      </c>
      <c r="K216" s="489">
        <f t="shared" si="30"/>
        <v>374</v>
      </c>
      <c r="L216" s="473">
        <v>8</v>
      </c>
      <c r="M216" s="134">
        <v>10</v>
      </c>
      <c r="N216" s="28">
        <v>65</v>
      </c>
      <c r="O216" s="396">
        <v>130</v>
      </c>
      <c r="P216" s="123"/>
      <c r="Q216" s="134">
        <v>1</v>
      </c>
      <c r="R216" s="28">
        <v>2</v>
      </c>
      <c r="S216" s="28">
        <v>1</v>
      </c>
      <c r="T216" s="28">
        <v>49</v>
      </c>
      <c r="U216" s="28">
        <v>45</v>
      </c>
      <c r="V216" s="28">
        <v>59</v>
      </c>
      <c r="W216" s="45">
        <v>4</v>
      </c>
      <c r="X216" s="529">
        <f t="shared" si="31"/>
        <v>337</v>
      </c>
      <c r="Y216" s="134">
        <v>69</v>
      </c>
      <c r="Z216" s="28">
        <v>128</v>
      </c>
      <c r="AA216" s="45">
        <v>95</v>
      </c>
      <c r="AB216" s="424">
        <v>45</v>
      </c>
      <c r="AC216" s="134"/>
    </row>
    <row r="217" spans="1:29">
      <c r="A217" s="146">
        <v>5</v>
      </c>
      <c r="B217" t="s">
        <v>248</v>
      </c>
      <c r="C217" s="4"/>
      <c r="D217" s="461">
        <v>3</v>
      </c>
      <c r="E217" s="493">
        <v>3</v>
      </c>
      <c r="F217" s="493">
        <f t="shared" si="29"/>
        <v>3</v>
      </c>
      <c r="G217" s="489"/>
      <c r="H217" s="479"/>
      <c r="I217" s="477">
        <v>1</v>
      </c>
      <c r="J217" s="496">
        <v>2</v>
      </c>
      <c r="K217" s="489">
        <f t="shared" si="30"/>
        <v>73</v>
      </c>
      <c r="L217" s="473"/>
      <c r="M217" s="134"/>
      <c r="N217" s="28"/>
      <c r="O217" s="396"/>
      <c r="P217" s="123"/>
      <c r="Q217" s="134"/>
      <c r="R217" s="28">
        <v>5</v>
      </c>
      <c r="S217" s="28">
        <v>6</v>
      </c>
      <c r="T217" s="28">
        <v>17</v>
      </c>
      <c r="U217" s="28">
        <v>30</v>
      </c>
      <c r="V217" s="28">
        <v>3</v>
      </c>
      <c r="W217" s="45">
        <v>12</v>
      </c>
      <c r="X217" s="529">
        <f t="shared" si="31"/>
        <v>63</v>
      </c>
      <c r="Y217" s="134"/>
      <c r="Z217" s="28"/>
      <c r="AA217" s="45">
        <v>20</v>
      </c>
      <c r="AB217" s="424">
        <v>43</v>
      </c>
      <c r="AC217" s="134"/>
    </row>
    <row r="218" spans="1:29">
      <c r="A218" s="146">
        <v>6</v>
      </c>
      <c r="B218" t="s">
        <v>249</v>
      </c>
      <c r="C218" s="4"/>
      <c r="D218" s="461">
        <v>2</v>
      </c>
      <c r="E218" s="493">
        <v>2</v>
      </c>
      <c r="F218" s="493">
        <f t="shared" si="29"/>
        <v>5</v>
      </c>
      <c r="G218" s="489">
        <v>2</v>
      </c>
      <c r="H218" s="479">
        <v>1</v>
      </c>
      <c r="I218" s="477">
        <v>1</v>
      </c>
      <c r="J218" s="496">
        <v>1</v>
      </c>
      <c r="K218" s="489">
        <f t="shared" si="30"/>
        <v>39</v>
      </c>
      <c r="L218" s="473"/>
      <c r="M218" s="134"/>
      <c r="N218" s="28"/>
      <c r="O218" s="396"/>
      <c r="P218" s="123"/>
      <c r="Q218" s="134"/>
      <c r="R218" s="28">
        <v>1</v>
      </c>
      <c r="S218" s="28">
        <v>3</v>
      </c>
      <c r="T218" s="28">
        <v>11</v>
      </c>
      <c r="U218" s="28">
        <v>23</v>
      </c>
      <c r="V218" s="28">
        <v>1</v>
      </c>
      <c r="W218" s="45"/>
      <c r="X218" s="529">
        <f t="shared" si="31"/>
        <v>36</v>
      </c>
      <c r="Y218" s="134"/>
      <c r="Z218" s="28"/>
      <c r="AA218" s="45">
        <v>11</v>
      </c>
      <c r="AB218" s="424">
        <v>25</v>
      </c>
      <c r="AC218" s="134"/>
    </row>
    <row r="219" spans="1:29">
      <c r="A219" s="146">
        <v>7</v>
      </c>
      <c r="B219" t="s">
        <v>250</v>
      </c>
      <c r="C219" s="8"/>
      <c r="D219" s="461">
        <v>9</v>
      </c>
      <c r="E219" s="493">
        <v>16</v>
      </c>
      <c r="F219" s="493">
        <f t="shared" si="29"/>
        <v>22</v>
      </c>
      <c r="G219" s="489">
        <v>2</v>
      </c>
      <c r="H219" s="479">
        <v>19</v>
      </c>
      <c r="I219" s="477">
        <v>1</v>
      </c>
      <c r="J219" s="496"/>
      <c r="K219" s="489">
        <f t="shared" si="30"/>
        <v>492</v>
      </c>
      <c r="L219" s="473">
        <v>15</v>
      </c>
      <c r="M219" s="134">
        <v>25</v>
      </c>
      <c r="N219" s="28">
        <v>126</v>
      </c>
      <c r="O219" s="396">
        <v>176</v>
      </c>
      <c r="P219" s="123">
        <v>55</v>
      </c>
      <c r="Q219" s="134">
        <v>35</v>
      </c>
      <c r="R219" s="28"/>
      <c r="S219" s="28"/>
      <c r="T219" s="28"/>
      <c r="U219" s="28"/>
      <c r="V219" s="28">
        <v>60</v>
      </c>
      <c r="W219" s="45"/>
      <c r="X219" s="529">
        <f t="shared" si="31"/>
        <v>382</v>
      </c>
      <c r="Y219" s="134">
        <v>151</v>
      </c>
      <c r="Z219" s="28">
        <v>216</v>
      </c>
      <c r="AA219" s="45">
        <v>15</v>
      </c>
      <c r="AB219" s="424"/>
      <c r="AC219" s="134"/>
    </row>
    <row r="220" spans="1:29">
      <c r="A220" s="178">
        <v>8</v>
      </c>
      <c r="B220" s="102" t="s">
        <v>251</v>
      </c>
      <c r="C220" s="4"/>
      <c r="D220" s="461">
        <v>8</v>
      </c>
      <c r="E220" s="493">
        <v>8</v>
      </c>
      <c r="F220" s="493">
        <f t="shared" si="29"/>
        <v>9</v>
      </c>
      <c r="G220" s="489">
        <v>1</v>
      </c>
      <c r="H220" s="479">
        <v>1</v>
      </c>
      <c r="I220" s="477">
        <v>5</v>
      </c>
      <c r="J220" s="496">
        <v>2</v>
      </c>
      <c r="K220" s="489">
        <f t="shared" si="30"/>
        <v>181</v>
      </c>
      <c r="L220" s="473"/>
      <c r="M220" s="134"/>
      <c r="N220" s="28">
        <v>17</v>
      </c>
      <c r="O220" s="396">
        <v>10</v>
      </c>
      <c r="P220" s="123">
        <v>3</v>
      </c>
      <c r="Q220" s="134">
        <v>1</v>
      </c>
      <c r="R220" s="28"/>
      <c r="S220" s="28"/>
      <c r="T220" s="28">
        <v>48</v>
      </c>
      <c r="U220" s="28">
        <v>62</v>
      </c>
      <c r="V220" s="28">
        <v>29</v>
      </c>
      <c r="W220" s="45">
        <v>11</v>
      </c>
      <c r="X220" s="529">
        <f t="shared" si="31"/>
        <v>175</v>
      </c>
      <c r="Y220" s="134">
        <v>17</v>
      </c>
      <c r="Z220" s="28">
        <v>10</v>
      </c>
      <c r="AA220" s="45">
        <v>76</v>
      </c>
      <c r="AB220" s="424">
        <v>72</v>
      </c>
      <c r="AC220" s="134"/>
    </row>
    <row r="221" spans="1:29">
      <c r="A221" s="178">
        <v>9</v>
      </c>
      <c r="B221" s="102" t="s">
        <v>252</v>
      </c>
      <c r="C221" s="4"/>
      <c r="D221" s="461">
        <v>24</v>
      </c>
      <c r="E221" s="493">
        <v>86</v>
      </c>
      <c r="F221" s="493">
        <f t="shared" si="29"/>
        <v>126</v>
      </c>
      <c r="G221" s="489">
        <v>18</v>
      </c>
      <c r="H221" s="479">
        <v>103</v>
      </c>
      <c r="I221" s="477">
        <v>3</v>
      </c>
      <c r="J221" s="496">
        <v>2</v>
      </c>
      <c r="K221" s="489">
        <f t="shared" si="30"/>
        <v>1625</v>
      </c>
      <c r="L221" s="473">
        <v>38</v>
      </c>
      <c r="M221" s="134">
        <v>33</v>
      </c>
      <c r="N221" s="28">
        <v>440</v>
      </c>
      <c r="O221" s="396">
        <v>806</v>
      </c>
      <c r="P221" s="123">
        <v>33</v>
      </c>
      <c r="Q221" s="134">
        <v>138</v>
      </c>
      <c r="R221" s="28"/>
      <c r="S221" s="28">
        <v>1</v>
      </c>
      <c r="T221" s="28">
        <v>3</v>
      </c>
      <c r="U221" s="28">
        <v>4</v>
      </c>
      <c r="V221" s="28">
        <v>117</v>
      </c>
      <c r="W221" s="45">
        <v>12</v>
      </c>
      <c r="X221" s="529">
        <f t="shared" si="31"/>
        <v>1541</v>
      </c>
      <c r="Y221" s="134">
        <v>488</v>
      </c>
      <c r="Z221" s="28">
        <v>916</v>
      </c>
      <c r="AA221" s="45">
        <v>120</v>
      </c>
      <c r="AB221" s="424">
        <v>17</v>
      </c>
      <c r="AC221" s="134"/>
    </row>
    <row r="222" spans="1:29">
      <c r="A222" s="178">
        <v>10</v>
      </c>
      <c r="B222" s="102" t="s">
        <v>253</v>
      </c>
      <c r="C222" s="4"/>
      <c r="D222" s="461">
        <v>9</v>
      </c>
      <c r="E222" s="493">
        <v>13</v>
      </c>
      <c r="F222" s="493">
        <f t="shared" si="29"/>
        <v>19</v>
      </c>
      <c r="G222" s="489">
        <v>1</v>
      </c>
      <c r="H222" s="479">
        <v>16</v>
      </c>
      <c r="I222" s="477">
        <v>2</v>
      </c>
      <c r="J222" s="496"/>
      <c r="K222" s="489">
        <f t="shared" si="30"/>
        <v>223</v>
      </c>
      <c r="L222" s="473">
        <v>3</v>
      </c>
      <c r="M222" s="134">
        <v>1</v>
      </c>
      <c r="N222" s="28">
        <v>62</v>
      </c>
      <c r="O222" s="396">
        <v>100</v>
      </c>
      <c r="P222" s="123">
        <v>2</v>
      </c>
      <c r="Q222" s="134">
        <v>20</v>
      </c>
      <c r="R222" s="28"/>
      <c r="S222" s="28"/>
      <c r="T222" s="28">
        <v>16</v>
      </c>
      <c r="U222" s="28">
        <v>19</v>
      </c>
      <c r="V222" s="28"/>
      <c r="W222" s="45"/>
      <c r="X222" s="529">
        <f t="shared" si="31"/>
        <v>215</v>
      </c>
      <c r="Y222" s="134">
        <v>64</v>
      </c>
      <c r="Z222" s="28">
        <v>118</v>
      </c>
      <c r="AA222" s="45">
        <v>14</v>
      </c>
      <c r="AB222" s="424">
        <v>19</v>
      </c>
      <c r="AC222" s="134"/>
    </row>
    <row r="223" spans="1:29">
      <c r="A223" s="182">
        <v>11</v>
      </c>
      <c r="B223" s="103" t="s">
        <v>254</v>
      </c>
      <c r="C223" s="4"/>
      <c r="D223" s="461">
        <v>5</v>
      </c>
      <c r="E223" s="493">
        <v>7</v>
      </c>
      <c r="F223" s="493">
        <f t="shared" si="29"/>
        <v>8</v>
      </c>
      <c r="G223" s="489">
        <v>2</v>
      </c>
      <c r="H223" s="479"/>
      <c r="I223" s="477">
        <v>6</v>
      </c>
      <c r="J223" s="496"/>
      <c r="K223" s="489">
        <f t="shared" si="30"/>
        <v>298</v>
      </c>
      <c r="L223" s="473"/>
      <c r="M223" s="134"/>
      <c r="N223" s="28"/>
      <c r="O223" s="123"/>
      <c r="P223" s="123"/>
      <c r="Q223" s="134"/>
      <c r="R223" s="28"/>
      <c r="S223" s="28"/>
      <c r="T223" s="28">
        <v>68</v>
      </c>
      <c r="U223" s="28">
        <v>168</v>
      </c>
      <c r="V223" s="28">
        <v>28</v>
      </c>
      <c r="W223" s="45">
        <v>34</v>
      </c>
      <c r="X223" s="529">
        <f t="shared" si="31"/>
        <v>224</v>
      </c>
      <c r="Y223" s="134"/>
      <c r="Z223" s="28"/>
      <c r="AA223" s="45">
        <v>67</v>
      </c>
      <c r="AB223" s="424">
        <v>157</v>
      </c>
      <c r="AC223" s="134"/>
    </row>
    <row r="224" spans="1:29">
      <c r="A224" s="182">
        <v>12</v>
      </c>
      <c r="B224" s="103" t="s">
        <v>255</v>
      </c>
      <c r="C224" s="4"/>
      <c r="D224" s="461">
        <v>9</v>
      </c>
      <c r="E224" s="493">
        <v>12</v>
      </c>
      <c r="F224" s="493">
        <f t="shared" si="29"/>
        <v>13</v>
      </c>
      <c r="G224" s="489">
        <v>1</v>
      </c>
      <c r="H224" s="479">
        <v>5</v>
      </c>
      <c r="I224" s="477">
        <v>7</v>
      </c>
      <c r="J224" s="496"/>
      <c r="K224" s="489">
        <f t="shared" si="30"/>
        <v>213</v>
      </c>
      <c r="L224" s="475">
        <v>2</v>
      </c>
      <c r="M224" s="134">
        <v>2</v>
      </c>
      <c r="N224" s="28">
        <v>31</v>
      </c>
      <c r="O224" s="396">
        <v>26</v>
      </c>
      <c r="P224" s="123"/>
      <c r="Q224" s="134">
        <v>7</v>
      </c>
      <c r="R224" s="28">
        <v>3</v>
      </c>
      <c r="S224" s="28">
        <v>7</v>
      </c>
      <c r="T224" s="28">
        <v>52</v>
      </c>
      <c r="U224" s="28">
        <v>67</v>
      </c>
      <c r="V224" s="28">
        <v>7</v>
      </c>
      <c r="W224" s="45">
        <v>9</v>
      </c>
      <c r="X224" s="529">
        <f t="shared" si="31"/>
        <v>187</v>
      </c>
      <c r="Y224" s="134">
        <v>30</v>
      </c>
      <c r="Z224" s="28">
        <v>31</v>
      </c>
      <c r="AA224" s="45">
        <v>54</v>
      </c>
      <c r="AB224" s="424">
        <v>72</v>
      </c>
      <c r="AC224" s="134"/>
    </row>
    <row r="225" spans="1:29">
      <c r="A225" s="182">
        <v>13</v>
      </c>
      <c r="B225" s="103" t="s">
        <v>256</v>
      </c>
      <c r="C225" s="4"/>
      <c r="D225" s="461">
        <v>3</v>
      </c>
      <c r="E225" s="493">
        <v>3</v>
      </c>
      <c r="F225" s="493">
        <f t="shared" si="29"/>
        <v>3</v>
      </c>
      <c r="G225" s="489">
        <v>1</v>
      </c>
      <c r="H225" s="479">
        <v>1</v>
      </c>
      <c r="I225" s="477">
        <v>1</v>
      </c>
      <c r="J225" s="496"/>
      <c r="K225" s="489">
        <f t="shared" si="30"/>
        <v>149</v>
      </c>
      <c r="L225" s="473"/>
      <c r="M225" s="134"/>
      <c r="N225" s="28">
        <v>8</v>
      </c>
      <c r="O225" s="396">
        <v>12</v>
      </c>
      <c r="P225" s="123">
        <v>1</v>
      </c>
      <c r="Q225" s="134"/>
      <c r="R225" s="28"/>
      <c r="S225" s="28"/>
      <c r="T225" s="28">
        <v>32</v>
      </c>
      <c r="U225" s="28">
        <v>25</v>
      </c>
      <c r="V225" s="28">
        <v>24</v>
      </c>
      <c r="W225" s="45">
        <v>47</v>
      </c>
      <c r="X225" s="529">
        <f t="shared" si="31"/>
        <v>93</v>
      </c>
      <c r="Y225" s="134">
        <v>8</v>
      </c>
      <c r="Z225" s="28">
        <v>12</v>
      </c>
      <c r="AA225" s="45">
        <v>32</v>
      </c>
      <c r="AB225" s="424">
        <v>41</v>
      </c>
      <c r="AC225" s="134"/>
    </row>
    <row r="226" spans="1:29">
      <c r="A226" s="182">
        <v>14</v>
      </c>
      <c r="B226" s="103" t="s">
        <v>257</v>
      </c>
      <c r="C226" s="4"/>
      <c r="D226" s="461">
        <v>3</v>
      </c>
      <c r="E226" s="493">
        <v>3</v>
      </c>
      <c r="F226" s="493">
        <f t="shared" si="29"/>
        <v>4</v>
      </c>
      <c r="G226" s="489"/>
      <c r="H226" s="479">
        <v>4</v>
      </c>
      <c r="I226" s="477"/>
      <c r="J226" s="496"/>
      <c r="K226" s="489">
        <f t="shared" si="30"/>
        <v>46</v>
      </c>
      <c r="L226" s="473">
        <v>2</v>
      </c>
      <c r="M226" s="134">
        <v>1</v>
      </c>
      <c r="N226" s="28">
        <v>18</v>
      </c>
      <c r="O226" s="396">
        <v>24</v>
      </c>
      <c r="P226" s="123">
        <v>1</v>
      </c>
      <c r="Q226" s="134"/>
      <c r="R226" s="28"/>
      <c r="S226" s="28"/>
      <c r="T226" s="28"/>
      <c r="U226" s="28"/>
      <c r="V226" s="28"/>
      <c r="X226" s="529">
        <f t="shared" si="31"/>
        <v>45</v>
      </c>
      <c r="Y226" s="134">
        <v>20</v>
      </c>
      <c r="Z226" s="28">
        <v>25</v>
      </c>
      <c r="AA226" s="45"/>
      <c r="AB226" s="424"/>
      <c r="AC226" s="134"/>
    </row>
    <row r="227" spans="1:29">
      <c r="A227" s="182">
        <v>15</v>
      </c>
      <c r="B227" s="103" t="s">
        <v>258</v>
      </c>
      <c r="C227" s="4"/>
      <c r="D227" s="461">
        <v>5</v>
      </c>
      <c r="E227" s="493">
        <v>7</v>
      </c>
      <c r="F227" s="493">
        <f t="shared" si="29"/>
        <v>8</v>
      </c>
      <c r="G227" s="489">
        <v>2</v>
      </c>
      <c r="H227" s="479"/>
      <c r="I227" s="477">
        <v>5</v>
      </c>
      <c r="J227" s="496">
        <v>1</v>
      </c>
      <c r="K227" s="489">
        <f t="shared" si="30"/>
        <v>248</v>
      </c>
      <c r="L227" s="473"/>
      <c r="M227" s="134"/>
      <c r="N227" s="28"/>
      <c r="O227" s="396"/>
      <c r="P227" s="123"/>
      <c r="Q227" s="134"/>
      <c r="R227" s="28"/>
      <c r="S227" s="28"/>
      <c r="T227" s="28">
        <v>95</v>
      </c>
      <c r="U227" s="28">
        <v>105</v>
      </c>
      <c r="V227" s="28">
        <v>25</v>
      </c>
      <c r="W227" s="45">
        <v>23</v>
      </c>
      <c r="X227" s="529">
        <f t="shared" si="31"/>
        <v>194</v>
      </c>
      <c r="Y227" s="134"/>
      <c r="Z227" s="28"/>
      <c r="AA227" s="45">
        <v>82</v>
      </c>
      <c r="AB227" s="424">
        <v>112</v>
      </c>
      <c r="AC227" s="134"/>
    </row>
    <row r="228" spans="1:29">
      <c r="A228" s="182">
        <v>16</v>
      </c>
      <c r="B228" s="103" t="s">
        <v>259</v>
      </c>
      <c r="C228" s="4"/>
      <c r="D228" s="461">
        <v>17</v>
      </c>
      <c r="E228" s="493">
        <v>29</v>
      </c>
      <c r="F228" s="493">
        <f t="shared" si="29"/>
        <v>54</v>
      </c>
      <c r="G228" s="489">
        <v>16</v>
      </c>
      <c r="H228" s="479">
        <v>28</v>
      </c>
      <c r="I228" s="477">
        <v>8</v>
      </c>
      <c r="J228" s="496">
        <v>2</v>
      </c>
      <c r="K228" s="489">
        <f t="shared" si="30"/>
        <v>880</v>
      </c>
      <c r="L228" s="473">
        <v>1</v>
      </c>
      <c r="M228" s="134">
        <v>7</v>
      </c>
      <c r="N228" s="28">
        <v>129</v>
      </c>
      <c r="O228" s="396">
        <v>203</v>
      </c>
      <c r="P228" s="123">
        <v>53</v>
      </c>
      <c r="Q228" s="134">
        <v>58</v>
      </c>
      <c r="R228" s="28">
        <v>4</v>
      </c>
      <c r="S228" s="28">
        <v>10</v>
      </c>
      <c r="T228" s="28">
        <v>98</v>
      </c>
      <c r="U228" s="28">
        <v>160</v>
      </c>
      <c r="V228" s="28">
        <v>55</v>
      </c>
      <c r="W228" s="45">
        <v>102</v>
      </c>
      <c r="X228" s="529">
        <f t="shared" si="31"/>
        <v>689</v>
      </c>
      <c r="Y228" s="134">
        <v>172</v>
      </c>
      <c r="Z228" s="28">
        <v>262</v>
      </c>
      <c r="AA228" s="45">
        <v>89</v>
      </c>
      <c r="AB228" s="424">
        <v>166</v>
      </c>
      <c r="AC228" s="134"/>
    </row>
    <row r="229" spans="1:29">
      <c r="A229" s="182">
        <v>17</v>
      </c>
      <c r="B229" s="103" t="s">
        <v>260</v>
      </c>
      <c r="C229" s="4"/>
      <c r="D229" s="461"/>
      <c r="E229" s="493"/>
      <c r="F229" s="493">
        <f t="shared" si="29"/>
        <v>0</v>
      </c>
      <c r="G229" s="489"/>
      <c r="H229" s="479"/>
      <c r="I229" s="477"/>
      <c r="J229" s="496"/>
      <c r="K229" s="489">
        <f t="shared" si="30"/>
        <v>0</v>
      </c>
      <c r="L229" s="473"/>
      <c r="M229" s="134"/>
      <c r="N229" s="28"/>
      <c r="O229" s="396"/>
      <c r="P229" s="123"/>
      <c r="Q229" s="134"/>
      <c r="R229" s="28"/>
      <c r="S229" s="28"/>
      <c r="T229" s="28"/>
      <c r="U229" s="28"/>
      <c r="W229" s="45"/>
      <c r="X229" s="529">
        <f t="shared" si="31"/>
        <v>0</v>
      </c>
      <c r="Y229" s="134"/>
      <c r="Z229" s="13"/>
      <c r="AA229" s="28"/>
      <c r="AB229" s="324"/>
      <c r="AC229" s="134"/>
    </row>
    <row r="230" spans="1:29">
      <c r="A230" s="182">
        <v>18</v>
      </c>
      <c r="B230" s="103" t="s">
        <v>261</v>
      </c>
      <c r="C230" s="4"/>
      <c r="D230" s="461">
        <v>29</v>
      </c>
      <c r="E230" s="493">
        <v>34</v>
      </c>
      <c r="F230" s="493">
        <f t="shared" si="29"/>
        <v>38</v>
      </c>
      <c r="G230" s="489">
        <v>15</v>
      </c>
      <c r="H230" s="479">
        <v>1</v>
      </c>
      <c r="I230" s="477">
        <v>22</v>
      </c>
      <c r="J230" s="496"/>
      <c r="K230" s="489">
        <f>SUM(L230:W230)</f>
        <v>964</v>
      </c>
      <c r="L230" s="473"/>
      <c r="M230" s="134"/>
      <c r="N230" s="28">
        <v>38</v>
      </c>
      <c r="O230" s="396">
        <v>42</v>
      </c>
      <c r="P230" s="123">
        <v>12</v>
      </c>
      <c r="Q230" s="134">
        <v>4</v>
      </c>
      <c r="R230" s="28">
        <v>1</v>
      </c>
      <c r="S230" s="28">
        <v>4</v>
      </c>
      <c r="T230" s="28">
        <v>153</v>
      </c>
      <c r="U230" s="28">
        <v>380</v>
      </c>
      <c r="V230" s="28">
        <v>119</v>
      </c>
      <c r="W230" s="45">
        <v>211</v>
      </c>
      <c r="X230" s="529">
        <f t="shared" si="31"/>
        <v>855</v>
      </c>
      <c r="Y230" s="134">
        <v>49</v>
      </c>
      <c r="Z230" s="28">
        <v>45</v>
      </c>
      <c r="AA230" s="45">
        <v>244</v>
      </c>
      <c r="AB230" s="324">
        <v>517</v>
      </c>
      <c r="AC230" s="134"/>
    </row>
    <row r="231" spans="1:29">
      <c r="A231" s="182">
        <v>19</v>
      </c>
      <c r="B231" s="103" t="s">
        <v>262</v>
      </c>
      <c r="C231" s="4"/>
      <c r="D231" s="461">
        <v>1</v>
      </c>
      <c r="E231" s="493">
        <v>1</v>
      </c>
      <c r="F231" s="493">
        <f t="shared" si="29"/>
        <v>1</v>
      </c>
      <c r="G231" s="489">
        <v>1</v>
      </c>
      <c r="H231" s="479"/>
      <c r="I231" s="477"/>
      <c r="J231" s="496"/>
      <c r="K231" s="489">
        <f t="shared" si="30"/>
        <v>7</v>
      </c>
      <c r="L231" s="473"/>
      <c r="M231" s="134"/>
      <c r="N231" s="28"/>
      <c r="O231" s="396">
        <v>2</v>
      </c>
      <c r="P231" s="123">
        <v>4</v>
      </c>
      <c r="Q231" s="134">
        <v>1</v>
      </c>
      <c r="R231" s="28"/>
      <c r="S231" s="28"/>
      <c r="T231" s="28"/>
      <c r="U231" s="28"/>
      <c r="V231" s="28"/>
      <c r="W231" s="45"/>
      <c r="X231" s="529">
        <f t="shared" si="31"/>
        <v>7</v>
      </c>
      <c r="Y231" s="134">
        <v>4</v>
      </c>
      <c r="Z231" s="28">
        <v>3</v>
      </c>
      <c r="AA231" s="45"/>
      <c r="AB231" s="424"/>
      <c r="AC231" s="134"/>
    </row>
    <row r="232" spans="1:29">
      <c r="A232" s="182">
        <v>20</v>
      </c>
      <c r="B232" s="103" t="s">
        <v>263</v>
      </c>
      <c r="C232" s="4"/>
      <c r="D232" s="461">
        <v>3</v>
      </c>
      <c r="E232" s="493">
        <v>3</v>
      </c>
      <c r="F232" s="493">
        <f t="shared" si="29"/>
        <v>3</v>
      </c>
      <c r="G232" s="489">
        <v>2</v>
      </c>
      <c r="H232" s="479">
        <v>1</v>
      </c>
      <c r="I232" s="477"/>
      <c r="J232" s="496"/>
      <c r="K232" s="489">
        <f t="shared" si="30"/>
        <v>12</v>
      </c>
      <c r="L232" s="473"/>
      <c r="M232" s="134"/>
      <c r="N232" s="28">
        <v>3</v>
      </c>
      <c r="O232" s="396">
        <v>7</v>
      </c>
      <c r="P232" s="123">
        <v>1</v>
      </c>
      <c r="Q232" s="134">
        <v>1</v>
      </c>
      <c r="R232" s="28"/>
      <c r="S232" s="28"/>
      <c r="T232" s="28"/>
      <c r="U232" s="28"/>
      <c r="V232" s="28"/>
      <c r="W232" s="45"/>
      <c r="X232" s="529">
        <f t="shared" si="31"/>
        <v>12</v>
      </c>
      <c r="Y232" s="134">
        <v>6</v>
      </c>
      <c r="Z232" s="28">
        <v>6</v>
      </c>
      <c r="AA232" s="45"/>
      <c r="AB232" s="424"/>
      <c r="AC232" s="134"/>
    </row>
    <row r="233" spans="1:29">
      <c r="A233" s="182">
        <v>21</v>
      </c>
      <c r="B233" s="103" t="s">
        <v>264</v>
      </c>
      <c r="C233" s="4"/>
      <c r="D233" s="461">
        <v>17</v>
      </c>
      <c r="E233" s="493">
        <v>17</v>
      </c>
      <c r="F233" s="493">
        <f t="shared" si="29"/>
        <v>17</v>
      </c>
      <c r="G233" s="489"/>
      <c r="H233" s="479">
        <v>1</v>
      </c>
      <c r="I233" s="477">
        <v>16</v>
      </c>
      <c r="J233" s="496"/>
      <c r="K233" s="489">
        <f t="shared" si="30"/>
        <v>369</v>
      </c>
      <c r="L233" s="473"/>
      <c r="M233" s="134"/>
      <c r="N233" s="28">
        <v>2</v>
      </c>
      <c r="O233" s="396">
        <v>3</v>
      </c>
      <c r="P233" s="123"/>
      <c r="Q233" s="134"/>
      <c r="R233" s="28">
        <v>14</v>
      </c>
      <c r="S233" s="28">
        <v>16</v>
      </c>
      <c r="T233" s="28">
        <v>120</v>
      </c>
      <c r="U233" s="28">
        <v>166</v>
      </c>
      <c r="V233" s="28">
        <v>27</v>
      </c>
      <c r="W233" s="45">
        <v>21</v>
      </c>
      <c r="X233" s="529">
        <f>SUM(Y233:AB233)</f>
        <v>331</v>
      </c>
      <c r="Y233" s="134">
        <v>2</v>
      </c>
      <c r="Z233" s="28">
        <v>3</v>
      </c>
      <c r="AA233" s="45">
        <v>140</v>
      </c>
      <c r="AB233" s="424">
        <v>186</v>
      </c>
      <c r="AC233" s="134"/>
    </row>
    <row r="234" spans="1:29">
      <c r="A234" s="182">
        <v>22</v>
      </c>
      <c r="B234" s="103" t="s">
        <v>265</v>
      </c>
      <c r="C234" s="4"/>
      <c r="D234" s="461"/>
      <c r="E234" s="493"/>
      <c r="F234" s="493">
        <f t="shared" si="29"/>
        <v>0</v>
      </c>
      <c r="G234" s="489"/>
      <c r="H234" s="479"/>
      <c r="I234" s="477"/>
      <c r="J234" s="496"/>
      <c r="K234" s="489">
        <f t="shared" si="30"/>
        <v>0</v>
      </c>
      <c r="L234" s="473"/>
      <c r="M234" s="134"/>
      <c r="N234" s="28"/>
      <c r="O234" s="396"/>
      <c r="P234" s="123"/>
      <c r="Q234" s="134"/>
      <c r="R234" s="28"/>
      <c r="S234" s="28"/>
      <c r="T234" s="28"/>
      <c r="U234" s="28"/>
      <c r="V234" s="28"/>
      <c r="W234" s="45"/>
      <c r="X234" s="529">
        <f t="shared" si="31"/>
        <v>0</v>
      </c>
      <c r="Y234" s="134"/>
      <c r="Z234" s="28"/>
      <c r="AA234" s="45"/>
      <c r="AB234" s="424"/>
      <c r="AC234" s="134"/>
    </row>
    <row r="235" spans="1:29">
      <c r="A235" s="182">
        <v>23</v>
      </c>
      <c r="B235" s="103" t="s">
        <v>266</v>
      </c>
      <c r="C235" s="4"/>
      <c r="D235" s="461">
        <v>36</v>
      </c>
      <c r="E235" s="493">
        <v>36</v>
      </c>
      <c r="F235" s="493">
        <f t="shared" si="29"/>
        <v>36</v>
      </c>
      <c r="G235" s="489">
        <v>1</v>
      </c>
      <c r="H235" s="479">
        <v>2</v>
      </c>
      <c r="I235" s="477">
        <v>29</v>
      </c>
      <c r="J235" s="496">
        <v>4</v>
      </c>
      <c r="K235" s="489">
        <f t="shared" si="30"/>
        <v>688</v>
      </c>
      <c r="L235" s="473">
        <v>1</v>
      </c>
      <c r="M235" s="134"/>
      <c r="N235" s="28">
        <v>1</v>
      </c>
      <c r="O235" s="396">
        <v>5</v>
      </c>
      <c r="P235" s="123"/>
      <c r="Q235" s="134"/>
      <c r="R235" s="28">
        <v>13</v>
      </c>
      <c r="S235" s="28">
        <v>18</v>
      </c>
      <c r="T235" s="28">
        <v>265</v>
      </c>
      <c r="U235" s="28">
        <v>285</v>
      </c>
      <c r="V235" s="28">
        <v>55</v>
      </c>
      <c r="W235" s="45">
        <v>45</v>
      </c>
      <c r="X235" s="529">
        <f t="shared" si="31"/>
        <v>643</v>
      </c>
      <c r="Y235" s="134">
        <v>2</v>
      </c>
      <c r="Z235" s="28">
        <v>5</v>
      </c>
      <c r="AA235" s="45">
        <v>287</v>
      </c>
      <c r="AB235" s="424">
        <v>349</v>
      </c>
      <c r="AC235" s="134"/>
    </row>
    <row r="236" spans="1:29">
      <c r="A236" s="595"/>
      <c r="B236" s="596"/>
      <c r="C236" s="203"/>
      <c r="D236" s="627"/>
      <c r="E236" s="508"/>
      <c r="F236" s="508"/>
      <c r="G236" s="513"/>
      <c r="H236" s="510"/>
      <c r="I236" s="511"/>
      <c r="J236" s="512"/>
      <c r="K236" s="513"/>
      <c r="L236" s="509"/>
      <c r="M236" s="256"/>
      <c r="N236" s="206"/>
      <c r="O236" s="581"/>
      <c r="P236" s="210"/>
      <c r="Q236" s="256"/>
      <c r="R236" s="206"/>
      <c r="S236" s="206"/>
      <c r="T236" s="206"/>
      <c r="U236" s="206"/>
      <c r="V236" s="206"/>
      <c r="W236" s="317"/>
      <c r="X236" s="609">
        <f t="shared" si="31"/>
        <v>0</v>
      </c>
      <c r="Y236" s="256"/>
      <c r="Z236" s="206"/>
      <c r="AA236" s="317"/>
      <c r="AB236" s="516"/>
      <c r="AC236" s="134"/>
    </row>
    <row r="237" spans="1:29">
      <c r="A237" s="182" t="s">
        <v>296</v>
      </c>
      <c r="B237" s="103"/>
      <c r="C237" s="4"/>
      <c r="D237" s="461">
        <f>SUM(D213:D235)</f>
        <v>197</v>
      </c>
      <c r="E237" s="461">
        <f t="shared" ref="E237:J237" si="32">SUM(E213:E235)</f>
        <v>299</v>
      </c>
      <c r="F237" s="461">
        <f t="shared" si="32"/>
        <v>390</v>
      </c>
      <c r="G237" s="461">
        <f t="shared" si="32"/>
        <v>66</v>
      </c>
      <c r="H237" s="462">
        <f t="shared" si="32"/>
        <v>198</v>
      </c>
      <c r="I237" s="462">
        <f t="shared" si="32"/>
        <v>109</v>
      </c>
      <c r="J237" s="463">
        <f t="shared" si="32"/>
        <v>17</v>
      </c>
      <c r="K237" s="461">
        <f>SUM(K213:K236)</f>
        <v>6890</v>
      </c>
      <c r="L237" s="461">
        <f t="shared" ref="L237:AB237" si="33">SUM(L213:L236)</f>
        <v>72</v>
      </c>
      <c r="M237" s="462">
        <f t="shared" si="33"/>
        <v>79</v>
      </c>
      <c r="N237" s="462">
        <f t="shared" si="33"/>
        <v>941</v>
      </c>
      <c r="O237" s="462">
        <f t="shared" si="33"/>
        <v>1552</v>
      </c>
      <c r="P237" s="462">
        <f t="shared" si="33"/>
        <v>165</v>
      </c>
      <c r="Q237" s="462">
        <f t="shared" si="33"/>
        <v>266</v>
      </c>
      <c r="R237" s="462">
        <f t="shared" si="33"/>
        <v>43</v>
      </c>
      <c r="S237" s="462">
        <f t="shared" si="33"/>
        <v>66</v>
      </c>
      <c r="T237" s="462">
        <f t="shared" si="33"/>
        <v>1027</v>
      </c>
      <c r="U237" s="462">
        <f t="shared" si="33"/>
        <v>1539</v>
      </c>
      <c r="V237" s="470">
        <f t="shared" si="33"/>
        <v>609</v>
      </c>
      <c r="W237" s="463">
        <f t="shared" si="33"/>
        <v>531</v>
      </c>
      <c r="X237" s="461">
        <f t="shared" si="33"/>
        <v>6038</v>
      </c>
      <c r="Y237" s="461">
        <f t="shared" si="33"/>
        <v>1085</v>
      </c>
      <c r="Z237" s="462">
        <f t="shared" si="33"/>
        <v>1786</v>
      </c>
      <c r="AA237" s="462">
        <f t="shared" si="33"/>
        <v>1346</v>
      </c>
      <c r="AB237" s="464">
        <f t="shared" si="33"/>
        <v>1821</v>
      </c>
      <c r="AC237" s="463"/>
    </row>
    <row r="238" spans="1:29" ht="15" thickBot="1">
      <c r="A238" s="597"/>
      <c r="B238" s="598"/>
      <c r="C238" s="104"/>
      <c r="D238" s="628"/>
      <c r="E238" s="501"/>
      <c r="F238" s="501"/>
      <c r="G238" s="524"/>
      <c r="H238" s="521"/>
      <c r="I238" s="522"/>
      <c r="J238" s="523"/>
      <c r="K238" s="524"/>
      <c r="L238" s="520"/>
      <c r="M238" s="253"/>
      <c r="N238" s="208"/>
      <c r="O238" s="587"/>
      <c r="P238" s="209"/>
      <c r="Q238" s="253"/>
      <c r="R238" s="208"/>
      <c r="S238" s="208"/>
      <c r="T238" s="208"/>
      <c r="U238" s="208"/>
      <c r="V238" s="208"/>
      <c r="W238" s="321"/>
      <c r="X238" s="611"/>
      <c r="Y238" s="253"/>
      <c r="Z238" s="208"/>
      <c r="AA238" s="321"/>
      <c r="AB238" s="527"/>
      <c r="AC238" s="134"/>
    </row>
    <row r="239" spans="1:29" ht="17" thickTop="1" thickBot="1">
      <c r="A239" s="179" t="s">
        <v>40</v>
      </c>
      <c r="B239" s="173"/>
      <c r="C239" s="4"/>
      <c r="D239" s="461"/>
      <c r="E239" s="493"/>
      <c r="F239" s="493"/>
      <c r="G239" s="489"/>
      <c r="H239" s="479"/>
      <c r="I239" s="477"/>
      <c r="J239" s="496"/>
      <c r="K239" s="489"/>
      <c r="L239" s="473"/>
      <c r="M239" s="134"/>
      <c r="N239" s="28"/>
      <c r="O239" s="396"/>
      <c r="P239" s="123"/>
      <c r="Q239" s="134"/>
      <c r="R239" s="28"/>
      <c r="S239" s="28"/>
      <c r="T239" s="28"/>
      <c r="U239" s="28"/>
      <c r="V239" s="28"/>
      <c r="W239" s="45"/>
      <c r="X239" s="529"/>
      <c r="Y239" s="134"/>
      <c r="Z239" s="28"/>
      <c r="AA239" s="45"/>
      <c r="AB239" s="424"/>
      <c r="AC239" s="134"/>
    </row>
    <row r="240" spans="1:29">
      <c r="A240" s="183">
        <v>1</v>
      </c>
      <c r="B240" s="103" t="s">
        <v>267</v>
      </c>
      <c r="C240" s="4"/>
      <c r="D240" s="461">
        <v>19</v>
      </c>
      <c r="E240" s="493">
        <v>22</v>
      </c>
      <c r="F240" s="493">
        <f>SUM(G240:J240)</f>
        <v>23</v>
      </c>
      <c r="G240" s="489">
        <v>3</v>
      </c>
      <c r="H240" s="479">
        <v>16</v>
      </c>
      <c r="I240" s="477">
        <v>4</v>
      </c>
      <c r="J240" s="496"/>
      <c r="K240" s="489">
        <f>SUM(L240:W240)</f>
        <v>376</v>
      </c>
      <c r="L240" s="473">
        <v>2</v>
      </c>
      <c r="M240" s="134">
        <v>7</v>
      </c>
      <c r="N240" s="28">
        <v>98</v>
      </c>
      <c r="O240" s="396">
        <v>116</v>
      </c>
      <c r="P240" s="123">
        <v>15</v>
      </c>
      <c r="Q240" s="134">
        <v>5</v>
      </c>
      <c r="R240" s="28"/>
      <c r="S240" s="28"/>
      <c r="T240" s="28">
        <v>45</v>
      </c>
      <c r="U240" s="28">
        <v>59</v>
      </c>
      <c r="V240" s="28">
        <v>16</v>
      </c>
      <c r="W240" s="45">
        <v>13</v>
      </c>
      <c r="X240" s="529">
        <f>SUM(Y240:AB240)</f>
        <v>355</v>
      </c>
      <c r="Y240" s="134">
        <v>107</v>
      </c>
      <c r="Z240" s="28">
        <v>120</v>
      </c>
      <c r="AA240" s="45">
        <v>58</v>
      </c>
      <c r="AB240" s="424">
        <v>70</v>
      </c>
      <c r="AC240" s="134"/>
    </row>
    <row r="241" spans="1:29">
      <c r="A241" s="182">
        <v>2</v>
      </c>
      <c r="B241" s="103" t="s">
        <v>268</v>
      </c>
      <c r="C241" s="4"/>
      <c r="D241" s="461"/>
      <c r="E241" s="493"/>
      <c r="F241" s="493">
        <f t="shared" ref="F241:F263" si="34">SUM(G241:J241)</f>
        <v>0</v>
      </c>
      <c r="G241" s="489"/>
      <c r="H241" s="479"/>
      <c r="I241" s="477"/>
      <c r="J241" s="496"/>
      <c r="K241" s="489">
        <f t="shared" ref="K241:K263" si="35">SUM(L241:W241)</f>
        <v>0</v>
      </c>
      <c r="L241" s="473"/>
      <c r="M241" s="134"/>
      <c r="N241" s="28"/>
      <c r="O241" s="396"/>
      <c r="P241" s="123"/>
      <c r="R241" s="28"/>
      <c r="S241" s="28"/>
      <c r="T241" s="28"/>
      <c r="U241" s="28"/>
      <c r="V241" s="28"/>
      <c r="W241" s="45"/>
      <c r="X241" s="529">
        <f t="shared" ref="X241:X263" si="36">SUM(Y241:AB241)</f>
        <v>0</v>
      </c>
      <c r="Y241" s="134"/>
      <c r="Z241" s="28"/>
      <c r="AA241" s="45"/>
      <c r="AB241" s="424"/>
      <c r="AC241" s="134"/>
    </row>
    <row r="242" spans="1:29">
      <c r="A242" s="182">
        <v>3</v>
      </c>
      <c r="B242" s="103" t="s">
        <v>269</v>
      </c>
      <c r="C242" s="4"/>
      <c r="D242" s="461">
        <v>20</v>
      </c>
      <c r="E242" s="493">
        <v>51</v>
      </c>
      <c r="F242" s="493">
        <f t="shared" si="34"/>
        <v>69</v>
      </c>
      <c r="G242" s="489">
        <v>16</v>
      </c>
      <c r="H242" s="479">
        <v>49</v>
      </c>
      <c r="I242" s="477">
        <v>3</v>
      </c>
      <c r="J242" s="496">
        <v>1</v>
      </c>
      <c r="K242" s="489">
        <f t="shared" si="35"/>
        <v>997</v>
      </c>
      <c r="L242" s="473">
        <v>17</v>
      </c>
      <c r="M242" s="134">
        <v>19</v>
      </c>
      <c r="N242" s="28">
        <v>273</v>
      </c>
      <c r="O242" s="396">
        <v>391</v>
      </c>
      <c r="P242" s="123">
        <v>4</v>
      </c>
      <c r="Q242" s="134">
        <v>161</v>
      </c>
      <c r="R242" s="28">
        <v>1</v>
      </c>
      <c r="S242" s="28">
        <v>5</v>
      </c>
      <c r="T242" s="28">
        <v>36</v>
      </c>
      <c r="U242" s="28">
        <v>67</v>
      </c>
      <c r="V242" s="28">
        <v>14</v>
      </c>
      <c r="W242" s="45">
        <v>9</v>
      </c>
      <c r="X242" s="529">
        <f t="shared" si="36"/>
        <v>922</v>
      </c>
      <c r="Y242" s="134">
        <v>274</v>
      </c>
      <c r="Z242" s="28">
        <v>530</v>
      </c>
      <c r="AA242" s="45">
        <v>46</v>
      </c>
      <c r="AB242" s="424">
        <v>72</v>
      </c>
      <c r="AC242" s="134"/>
    </row>
    <row r="243" spans="1:29">
      <c r="A243" s="182">
        <v>4</v>
      </c>
      <c r="B243" s="103" t="s">
        <v>270</v>
      </c>
      <c r="C243" s="8"/>
      <c r="D243" s="461"/>
      <c r="E243" s="4"/>
      <c r="F243" s="493">
        <f t="shared" si="34"/>
        <v>0</v>
      </c>
      <c r="G243" s="489"/>
      <c r="H243" s="479"/>
      <c r="I243" s="477"/>
      <c r="J243" s="496"/>
      <c r="K243" s="489">
        <f t="shared" si="35"/>
        <v>0</v>
      </c>
      <c r="L243" s="473"/>
      <c r="M243" s="134"/>
      <c r="N243" s="28"/>
      <c r="O243" s="396"/>
      <c r="P243" s="123"/>
      <c r="Q243" s="134"/>
      <c r="R243" s="28"/>
      <c r="S243" s="28"/>
      <c r="T243" s="28"/>
      <c r="U243" s="28"/>
      <c r="V243" s="28"/>
      <c r="W243" s="45"/>
      <c r="X243" s="529">
        <f t="shared" si="36"/>
        <v>0</v>
      </c>
      <c r="Y243" s="134"/>
      <c r="Z243" s="28"/>
      <c r="AA243" s="45"/>
      <c r="AB243" s="424"/>
      <c r="AC243" s="134"/>
    </row>
    <row r="244" spans="1:29">
      <c r="A244" s="182">
        <v>5</v>
      </c>
      <c r="B244" s="103" t="s">
        <v>271</v>
      </c>
      <c r="C244" s="4"/>
      <c r="D244" s="461">
        <v>8</v>
      </c>
      <c r="E244" s="493">
        <v>8</v>
      </c>
      <c r="F244" s="493">
        <f t="shared" si="34"/>
        <v>8</v>
      </c>
      <c r="G244" s="489"/>
      <c r="H244" s="479">
        <v>6</v>
      </c>
      <c r="I244" s="477">
        <v>1</v>
      </c>
      <c r="J244" s="496">
        <v>1</v>
      </c>
      <c r="K244" s="489">
        <f t="shared" si="35"/>
        <v>119</v>
      </c>
      <c r="L244" s="473"/>
      <c r="M244" s="134"/>
      <c r="N244" s="28">
        <v>18</v>
      </c>
      <c r="O244" s="396">
        <v>12</v>
      </c>
      <c r="P244" s="123">
        <v>6</v>
      </c>
      <c r="Q244" s="134">
        <v>2</v>
      </c>
      <c r="R244" s="28"/>
      <c r="S244" s="28"/>
      <c r="T244" s="28">
        <v>36</v>
      </c>
      <c r="U244" s="28">
        <v>32</v>
      </c>
      <c r="V244" s="28">
        <v>2</v>
      </c>
      <c r="W244" s="45">
        <v>11</v>
      </c>
      <c r="X244" s="529">
        <f t="shared" si="36"/>
        <v>109</v>
      </c>
      <c r="Y244" s="134">
        <v>23</v>
      </c>
      <c r="Z244" s="28">
        <v>12</v>
      </c>
      <c r="AA244" s="45">
        <v>36</v>
      </c>
      <c r="AB244" s="424">
        <v>38</v>
      </c>
      <c r="AC244" s="134"/>
    </row>
    <row r="245" spans="1:29">
      <c r="A245" s="182">
        <v>6</v>
      </c>
      <c r="B245" s="103" t="s">
        <v>272</v>
      </c>
      <c r="C245" s="4"/>
      <c r="D245" s="461">
        <v>11</v>
      </c>
      <c r="E245" s="493">
        <v>14</v>
      </c>
      <c r="F245" s="493">
        <f t="shared" si="34"/>
        <v>16</v>
      </c>
      <c r="G245" s="489">
        <v>2</v>
      </c>
      <c r="H245" s="479">
        <v>12</v>
      </c>
      <c r="I245" s="477">
        <v>1</v>
      </c>
      <c r="J245" s="496">
        <v>1</v>
      </c>
      <c r="K245" s="489">
        <f t="shared" si="35"/>
        <v>176</v>
      </c>
      <c r="L245" s="473">
        <v>4</v>
      </c>
      <c r="M245" s="134">
        <v>3</v>
      </c>
      <c r="N245" s="28">
        <v>44</v>
      </c>
      <c r="O245" s="396">
        <v>52</v>
      </c>
      <c r="P245" s="123">
        <v>4</v>
      </c>
      <c r="Q245" s="134">
        <v>3</v>
      </c>
      <c r="R245" s="28">
        <v>4</v>
      </c>
      <c r="S245" s="28">
        <v>3</v>
      </c>
      <c r="T245" s="28">
        <v>19</v>
      </c>
      <c r="U245" s="28">
        <v>32</v>
      </c>
      <c r="V245" s="28">
        <v>2</v>
      </c>
      <c r="W245" s="45">
        <v>6</v>
      </c>
      <c r="X245" s="529">
        <f t="shared" si="36"/>
        <v>156</v>
      </c>
      <c r="Y245" s="134">
        <v>49</v>
      </c>
      <c r="Z245" s="28">
        <v>56</v>
      </c>
      <c r="AA245" s="45">
        <v>18</v>
      </c>
      <c r="AB245" s="424">
        <v>33</v>
      </c>
      <c r="AC245" s="134"/>
    </row>
    <row r="246" spans="1:29">
      <c r="A246" s="182">
        <v>7</v>
      </c>
      <c r="B246" s="103" t="s">
        <v>273</v>
      </c>
      <c r="C246" s="4"/>
      <c r="D246" s="461">
        <v>4</v>
      </c>
      <c r="E246" s="493">
        <v>6</v>
      </c>
      <c r="F246" s="493">
        <f t="shared" si="34"/>
        <v>7</v>
      </c>
      <c r="G246" s="489">
        <v>3</v>
      </c>
      <c r="H246" s="479">
        <v>4</v>
      </c>
      <c r="I246" s="477"/>
      <c r="J246" s="496"/>
      <c r="K246" s="489">
        <f t="shared" si="35"/>
        <v>97</v>
      </c>
      <c r="L246" s="473">
        <v>1</v>
      </c>
      <c r="M246" s="134">
        <v>1</v>
      </c>
      <c r="N246" s="28">
        <v>36</v>
      </c>
      <c r="O246" s="396">
        <v>48</v>
      </c>
      <c r="P246" s="123">
        <v>5</v>
      </c>
      <c r="Q246" s="134">
        <v>6</v>
      </c>
      <c r="R246" s="28"/>
      <c r="S246" s="28"/>
      <c r="T246" s="28"/>
      <c r="U246" s="28"/>
      <c r="V246" s="28"/>
      <c r="W246" s="45"/>
      <c r="X246" s="529">
        <f t="shared" si="36"/>
        <v>91</v>
      </c>
      <c r="Y246" s="134">
        <v>40</v>
      </c>
      <c r="Z246" s="28">
        <v>51</v>
      </c>
      <c r="AA246" s="45"/>
      <c r="AB246" s="424"/>
      <c r="AC246" s="134"/>
    </row>
    <row r="247" spans="1:29">
      <c r="A247" s="182">
        <v>8</v>
      </c>
      <c r="B247" s="103" t="s">
        <v>274</v>
      </c>
      <c r="C247" s="4"/>
      <c r="D247" s="461">
        <v>9</v>
      </c>
      <c r="E247" s="493">
        <v>9</v>
      </c>
      <c r="F247" s="493">
        <f t="shared" si="34"/>
        <v>9</v>
      </c>
      <c r="G247" s="489">
        <v>3</v>
      </c>
      <c r="H247" s="479">
        <v>1</v>
      </c>
      <c r="I247" s="477">
        <v>5</v>
      </c>
      <c r="J247" s="496"/>
      <c r="K247" s="489">
        <f t="shared" si="35"/>
        <v>190</v>
      </c>
      <c r="L247" s="473"/>
      <c r="M247" s="134"/>
      <c r="N247" s="28">
        <v>25</v>
      </c>
      <c r="O247" s="396">
        <v>27</v>
      </c>
      <c r="P247" s="123">
        <v>4</v>
      </c>
      <c r="Q247" s="134">
        <v>3</v>
      </c>
      <c r="R247" s="28"/>
      <c r="S247" s="28">
        <v>3</v>
      </c>
      <c r="T247" s="28">
        <v>31</v>
      </c>
      <c r="U247" s="28">
        <v>54</v>
      </c>
      <c r="V247" s="28">
        <v>27</v>
      </c>
      <c r="W247" s="45">
        <v>16</v>
      </c>
      <c r="X247" s="529">
        <f t="shared" si="36"/>
        <v>172</v>
      </c>
      <c r="Y247" s="134">
        <v>28</v>
      </c>
      <c r="Z247" s="28">
        <v>28</v>
      </c>
      <c r="AA247" s="45">
        <v>46</v>
      </c>
      <c r="AB247" s="424">
        <v>70</v>
      </c>
      <c r="AC247" s="134"/>
    </row>
    <row r="248" spans="1:29">
      <c r="A248" s="182">
        <v>9</v>
      </c>
      <c r="B248" s="103" t="s">
        <v>275</v>
      </c>
      <c r="C248" s="4"/>
      <c r="D248" s="461">
        <v>14</v>
      </c>
      <c r="E248" s="493">
        <v>26</v>
      </c>
      <c r="F248" s="493">
        <f t="shared" si="34"/>
        <v>24</v>
      </c>
      <c r="G248" s="489">
        <v>8</v>
      </c>
      <c r="H248" s="479">
        <v>11</v>
      </c>
      <c r="I248" s="477">
        <v>4</v>
      </c>
      <c r="J248" s="496">
        <v>1</v>
      </c>
      <c r="K248" s="489">
        <f t="shared" si="35"/>
        <v>362</v>
      </c>
      <c r="L248" s="473"/>
      <c r="M248" s="134">
        <v>1</v>
      </c>
      <c r="N248" s="28">
        <v>94</v>
      </c>
      <c r="O248" s="396">
        <v>75</v>
      </c>
      <c r="P248" s="123">
        <v>18</v>
      </c>
      <c r="Q248" s="134">
        <v>22</v>
      </c>
      <c r="R248" s="28"/>
      <c r="S248" s="28">
        <v>1</v>
      </c>
      <c r="T248" s="28">
        <v>54</v>
      </c>
      <c r="U248" s="28">
        <v>87</v>
      </c>
      <c r="V248" s="28">
        <v>3</v>
      </c>
      <c r="W248" s="45">
        <v>7</v>
      </c>
      <c r="X248" s="529">
        <f t="shared" si="36"/>
        <v>340</v>
      </c>
      <c r="Y248" s="134">
        <v>164</v>
      </c>
      <c r="Z248" s="28">
        <v>176</v>
      </c>
      <c r="AA248" s="45"/>
      <c r="AB248" s="424"/>
      <c r="AC248" s="134"/>
    </row>
    <row r="249" spans="1:29">
      <c r="A249" s="182">
        <v>10</v>
      </c>
      <c r="B249" s="103" t="s">
        <v>276</v>
      </c>
      <c r="C249" s="4"/>
      <c r="D249" s="461">
        <v>3</v>
      </c>
      <c r="E249" s="493">
        <v>5</v>
      </c>
      <c r="F249" s="493">
        <f t="shared" si="34"/>
        <v>6</v>
      </c>
      <c r="G249" s="489">
        <v>3</v>
      </c>
      <c r="H249" s="479">
        <v>2</v>
      </c>
      <c r="I249" s="477">
        <v>1</v>
      </c>
      <c r="J249" s="496"/>
      <c r="K249" s="489">
        <f t="shared" si="35"/>
        <v>127</v>
      </c>
      <c r="L249" s="473"/>
      <c r="M249" s="134"/>
      <c r="N249" s="28">
        <v>8</v>
      </c>
      <c r="O249" s="396">
        <v>14</v>
      </c>
      <c r="P249" s="123">
        <v>2</v>
      </c>
      <c r="Q249" s="134">
        <v>1</v>
      </c>
      <c r="R249" s="28"/>
      <c r="S249" s="28"/>
      <c r="T249" s="28">
        <v>20</v>
      </c>
      <c r="U249" s="28">
        <v>23</v>
      </c>
      <c r="V249" s="28">
        <v>56</v>
      </c>
      <c r="W249" s="45">
        <v>3</v>
      </c>
      <c r="X249" s="529">
        <f t="shared" si="36"/>
        <v>118</v>
      </c>
      <c r="Y249" s="134">
        <v>8</v>
      </c>
      <c r="Z249" s="28">
        <v>15</v>
      </c>
      <c r="AA249" s="45">
        <v>70</v>
      </c>
      <c r="AB249" s="424">
        <v>25</v>
      </c>
      <c r="AC249" s="134"/>
    </row>
    <row r="250" spans="1:29">
      <c r="A250" s="182">
        <v>11</v>
      </c>
      <c r="B250" s="103" t="s">
        <v>277</v>
      </c>
      <c r="C250" s="4"/>
      <c r="D250" s="461"/>
      <c r="E250" s="493"/>
      <c r="F250" s="493">
        <f t="shared" si="34"/>
        <v>0</v>
      </c>
      <c r="G250" s="489"/>
      <c r="H250" s="479"/>
      <c r="I250" s="477"/>
      <c r="J250" s="496"/>
      <c r="K250" s="489">
        <f t="shared" si="35"/>
        <v>0</v>
      </c>
      <c r="L250" s="473"/>
      <c r="M250" s="134"/>
      <c r="N250" s="28"/>
      <c r="O250" s="396"/>
      <c r="P250" s="123"/>
      <c r="Q250" s="134"/>
      <c r="R250" s="28"/>
      <c r="S250" s="28"/>
      <c r="T250" s="28"/>
      <c r="U250" s="28"/>
      <c r="V250" s="28"/>
      <c r="W250" s="45"/>
      <c r="X250" s="529">
        <f t="shared" si="36"/>
        <v>0</v>
      </c>
      <c r="Y250" s="134"/>
      <c r="Z250" s="28"/>
      <c r="AA250" s="45"/>
      <c r="AB250" s="424"/>
      <c r="AC250" s="134"/>
    </row>
    <row r="251" spans="1:29">
      <c r="A251" s="182">
        <v>12</v>
      </c>
      <c r="B251" s="103" t="s">
        <v>278</v>
      </c>
      <c r="C251" s="4"/>
      <c r="D251" s="461">
        <v>5</v>
      </c>
      <c r="E251" s="493">
        <v>5</v>
      </c>
      <c r="F251" s="493">
        <f t="shared" si="34"/>
        <v>5</v>
      </c>
      <c r="G251" s="489">
        <v>1</v>
      </c>
      <c r="H251" s="479"/>
      <c r="I251" s="477">
        <v>4</v>
      </c>
      <c r="J251" s="496"/>
      <c r="K251" s="489">
        <f t="shared" si="35"/>
        <v>113</v>
      </c>
      <c r="L251" s="473">
        <v>1</v>
      </c>
      <c r="M251" s="134"/>
      <c r="N251" s="28">
        <v>3</v>
      </c>
      <c r="O251" s="396">
        <v>7</v>
      </c>
      <c r="P251" s="123">
        <v>6</v>
      </c>
      <c r="Q251" s="134">
        <v>2</v>
      </c>
      <c r="R251" s="28">
        <v>8</v>
      </c>
      <c r="S251" s="28">
        <v>5</v>
      </c>
      <c r="T251" s="28">
        <v>33</v>
      </c>
      <c r="U251" s="28">
        <v>39</v>
      </c>
      <c r="V251" s="28">
        <v>6</v>
      </c>
      <c r="W251" s="45">
        <v>3</v>
      </c>
      <c r="X251" s="529">
        <f t="shared" si="36"/>
        <v>98</v>
      </c>
      <c r="Y251" s="134">
        <v>5</v>
      </c>
      <c r="Z251" s="28">
        <v>4</v>
      </c>
      <c r="AA251" s="45">
        <v>44</v>
      </c>
      <c r="AB251" s="424">
        <v>45</v>
      </c>
      <c r="AC251" s="134"/>
    </row>
    <row r="252" spans="1:29">
      <c r="A252" s="182">
        <v>13</v>
      </c>
      <c r="B252" s="103" t="s">
        <v>279</v>
      </c>
      <c r="C252" s="4"/>
      <c r="D252" s="461">
        <v>11</v>
      </c>
      <c r="E252" s="493">
        <v>24</v>
      </c>
      <c r="F252" s="493">
        <f t="shared" si="34"/>
        <v>25</v>
      </c>
      <c r="G252" s="489">
        <v>7</v>
      </c>
      <c r="H252" s="479">
        <v>13</v>
      </c>
      <c r="I252" s="477">
        <v>4</v>
      </c>
      <c r="J252" s="496">
        <v>1</v>
      </c>
      <c r="K252" s="489">
        <f t="shared" si="35"/>
        <v>476</v>
      </c>
      <c r="L252" s="473">
        <v>8</v>
      </c>
      <c r="M252" s="134">
        <v>4</v>
      </c>
      <c r="N252" s="28">
        <v>130</v>
      </c>
      <c r="O252" s="396">
        <v>132</v>
      </c>
      <c r="P252" s="123">
        <v>14</v>
      </c>
      <c r="Q252" s="134">
        <v>16</v>
      </c>
      <c r="R252" s="28">
        <v>18</v>
      </c>
      <c r="S252" s="28">
        <v>19</v>
      </c>
      <c r="T252" s="28">
        <v>38</v>
      </c>
      <c r="U252" s="28">
        <v>53</v>
      </c>
      <c r="V252" s="28">
        <v>16</v>
      </c>
      <c r="W252" s="45">
        <v>28</v>
      </c>
      <c r="X252" s="529">
        <f t="shared" si="36"/>
        <v>419</v>
      </c>
      <c r="Y252" s="134">
        <v>125</v>
      </c>
      <c r="Z252" s="28">
        <v>134</v>
      </c>
      <c r="AA252" s="45">
        <v>63</v>
      </c>
      <c r="AB252" s="424">
        <v>97</v>
      </c>
      <c r="AC252" s="134"/>
    </row>
    <row r="253" spans="1:29">
      <c r="A253" s="182">
        <v>14</v>
      </c>
      <c r="B253" s="103" t="s">
        <v>280</v>
      </c>
      <c r="C253" s="4"/>
      <c r="D253" s="461">
        <v>8</v>
      </c>
      <c r="E253" s="493">
        <v>8</v>
      </c>
      <c r="F253" s="493">
        <f t="shared" si="34"/>
        <v>9</v>
      </c>
      <c r="G253" s="489">
        <v>1</v>
      </c>
      <c r="H253" s="479">
        <v>5</v>
      </c>
      <c r="I253" s="477">
        <v>2</v>
      </c>
      <c r="J253" s="496">
        <v>1</v>
      </c>
      <c r="K253" s="489">
        <f t="shared" si="35"/>
        <v>101</v>
      </c>
      <c r="L253" s="473"/>
      <c r="M253" s="134">
        <v>1</v>
      </c>
      <c r="N253" s="28">
        <v>20</v>
      </c>
      <c r="O253" s="396">
        <v>23</v>
      </c>
      <c r="P253" s="123">
        <v>3</v>
      </c>
      <c r="Q253" s="134">
        <v>1</v>
      </c>
      <c r="R253" s="28">
        <v>3</v>
      </c>
      <c r="S253" s="28">
        <v>3</v>
      </c>
      <c r="T253" s="28">
        <v>24</v>
      </c>
      <c r="U253" s="28">
        <v>23</v>
      </c>
      <c r="V253" s="28"/>
      <c r="W253" s="45"/>
      <c r="X253" s="529">
        <f t="shared" si="36"/>
        <v>91</v>
      </c>
      <c r="Y253" s="134">
        <v>19</v>
      </c>
      <c r="Z253" s="28">
        <v>25</v>
      </c>
      <c r="AA253" s="45">
        <v>24</v>
      </c>
      <c r="AB253" s="424">
        <v>23</v>
      </c>
      <c r="AC253" s="134"/>
    </row>
    <row r="254" spans="1:29">
      <c r="A254" s="182">
        <v>15</v>
      </c>
      <c r="B254" s="103" t="s">
        <v>281</v>
      </c>
      <c r="C254" s="4"/>
      <c r="D254" s="461">
        <v>1</v>
      </c>
      <c r="E254" s="493">
        <v>1</v>
      </c>
      <c r="F254" s="493">
        <f t="shared" si="34"/>
        <v>1</v>
      </c>
      <c r="G254" s="489"/>
      <c r="H254" s="479"/>
      <c r="I254" s="477"/>
      <c r="J254" s="496">
        <v>1</v>
      </c>
      <c r="K254" s="489">
        <f t="shared" si="35"/>
        <v>20</v>
      </c>
      <c r="L254" s="473"/>
      <c r="M254" s="134"/>
      <c r="N254" s="28"/>
      <c r="O254" s="396"/>
      <c r="P254" s="123"/>
      <c r="Q254" s="134"/>
      <c r="R254" s="28">
        <v>2</v>
      </c>
      <c r="S254" s="28">
        <v>1</v>
      </c>
      <c r="T254" s="28">
        <v>7</v>
      </c>
      <c r="U254" s="28">
        <v>9</v>
      </c>
      <c r="V254" s="28"/>
      <c r="W254" s="45">
        <v>1</v>
      </c>
      <c r="X254" s="529">
        <f t="shared" si="36"/>
        <v>20</v>
      </c>
      <c r="Y254" s="134"/>
      <c r="Z254" s="28"/>
      <c r="AA254" s="45">
        <v>9</v>
      </c>
      <c r="AB254" s="424">
        <v>11</v>
      </c>
      <c r="AC254" s="134"/>
    </row>
    <row r="255" spans="1:29">
      <c r="A255" s="182">
        <v>16</v>
      </c>
      <c r="B255" s="103" t="s">
        <v>282</v>
      </c>
      <c r="C255" s="4"/>
      <c r="D255" s="461"/>
      <c r="E255" s="493"/>
      <c r="F255" s="493">
        <f t="shared" si="34"/>
        <v>0</v>
      </c>
      <c r="G255" s="489"/>
      <c r="H255" s="479"/>
      <c r="I255" s="477"/>
      <c r="J255" s="496"/>
      <c r="K255" s="489">
        <f t="shared" si="35"/>
        <v>0</v>
      </c>
      <c r="L255" s="473"/>
      <c r="M255" s="134"/>
      <c r="N255" s="28"/>
      <c r="O255" s="396"/>
      <c r="P255" s="123"/>
      <c r="Q255" s="134"/>
      <c r="R255" s="28"/>
      <c r="S255" s="28"/>
      <c r="T255" s="28"/>
      <c r="U255" s="28"/>
      <c r="V255" s="28"/>
      <c r="W255" s="45"/>
      <c r="X255" s="529">
        <f t="shared" si="36"/>
        <v>0</v>
      </c>
      <c r="Y255" s="134"/>
      <c r="Z255" s="28"/>
      <c r="AA255" s="45"/>
      <c r="AB255" s="424"/>
      <c r="AC255" s="134"/>
    </row>
    <row r="256" spans="1:29">
      <c r="A256" s="182">
        <v>17</v>
      </c>
      <c r="B256" s="103" t="s">
        <v>283</v>
      </c>
      <c r="C256" s="4"/>
      <c r="D256" s="461">
        <v>27</v>
      </c>
      <c r="E256" s="493">
        <v>27</v>
      </c>
      <c r="F256" s="493">
        <f t="shared" si="34"/>
        <v>27</v>
      </c>
      <c r="G256" s="489">
        <v>9</v>
      </c>
      <c r="H256" s="479">
        <v>18</v>
      </c>
      <c r="I256" s="477"/>
      <c r="J256" s="496"/>
      <c r="K256" s="489">
        <f t="shared" si="35"/>
        <v>134</v>
      </c>
      <c r="L256" s="473"/>
      <c r="M256" s="134">
        <v>1</v>
      </c>
      <c r="N256" s="28">
        <v>50</v>
      </c>
      <c r="O256" s="396">
        <v>68</v>
      </c>
      <c r="P256" s="123">
        <v>9</v>
      </c>
      <c r="Q256" s="134">
        <v>6</v>
      </c>
      <c r="R256" s="28"/>
      <c r="S256" s="28"/>
      <c r="T256" s="28"/>
      <c r="U256" s="28"/>
      <c r="V256" s="28"/>
      <c r="W256" s="45"/>
      <c r="X256" s="529">
        <f t="shared" si="36"/>
        <v>134</v>
      </c>
      <c r="Y256" s="134">
        <v>62</v>
      </c>
      <c r="Z256" s="28">
        <v>72</v>
      </c>
      <c r="AA256" s="45"/>
      <c r="AB256" s="424"/>
      <c r="AC256" s="134"/>
    </row>
    <row r="257" spans="1:29">
      <c r="A257" s="182">
        <v>18</v>
      </c>
      <c r="B257" s="103" t="s">
        <v>284</v>
      </c>
      <c r="C257" s="4"/>
      <c r="D257" s="461">
        <v>7</v>
      </c>
      <c r="E257" s="493">
        <v>7</v>
      </c>
      <c r="F257" s="493">
        <f t="shared" si="34"/>
        <v>7</v>
      </c>
      <c r="G257" s="489"/>
      <c r="H257" s="479">
        <v>7</v>
      </c>
      <c r="I257" s="477"/>
      <c r="J257" s="496"/>
      <c r="K257" s="489">
        <f t="shared" si="35"/>
        <v>38</v>
      </c>
      <c r="L257" s="473"/>
      <c r="M257" s="134"/>
      <c r="N257" s="28">
        <v>15</v>
      </c>
      <c r="O257" s="396">
        <v>16</v>
      </c>
      <c r="P257" s="123">
        <v>4</v>
      </c>
      <c r="Q257" s="134">
        <v>3</v>
      </c>
      <c r="R257" s="28"/>
      <c r="S257" s="28"/>
      <c r="T257" s="28"/>
      <c r="U257" s="28"/>
      <c r="V257" s="28"/>
      <c r="W257" s="45"/>
      <c r="X257" s="529">
        <f t="shared" si="36"/>
        <v>38</v>
      </c>
      <c r="Y257" s="134">
        <v>19</v>
      </c>
      <c r="Z257" s="28">
        <v>19</v>
      </c>
      <c r="AA257" s="45"/>
      <c r="AB257" s="424"/>
      <c r="AC257" s="134"/>
    </row>
    <row r="258" spans="1:29">
      <c r="A258" s="182">
        <v>19</v>
      </c>
      <c r="B258" s="103" t="s">
        <v>285</v>
      </c>
      <c r="C258" s="4"/>
      <c r="D258" s="461">
        <v>2</v>
      </c>
      <c r="E258" s="493">
        <v>2</v>
      </c>
      <c r="F258" s="493">
        <f t="shared" si="34"/>
        <v>2</v>
      </c>
      <c r="G258" s="489"/>
      <c r="H258" s="479"/>
      <c r="I258" s="477">
        <v>2</v>
      </c>
      <c r="J258" s="496"/>
      <c r="K258" s="489">
        <f t="shared" si="35"/>
        <v>64</v>
      </c>
      <c r="L258" s="473"/>
      <c r="M258" s="134"/>
      <c r="N258" s="28"/>
      <c r="O258" s="396"/>
      <c r="P258" s="123"/>
      <c r="Q258" s="134"/>
      <c r="R258" s="28">
        <v>8</v>
      </c>
      <c r="S258" s="28">
        <v>6</v>
      </c>
      <c r="T258" s="28">
        <v>20</v>
      </c>
      <c r="U258" s="28">
        <v>27</v>
      </c>
      <c r="V258" s="28"/>
      <c r="W258" s="45">
        <v>3</v>
      </c>
      <c r="X258" s="529">
        <f t="shared" si="36"/>
        <v>60</v>
      </c>
      <c r="Y258" s="134"/>
      <c r="Z258" s="28"/>
      <c r="AA258" s="45">
        <v>28</v>
      </c>
      <c r="AB258" s="424">
        <v>32</v>
      </c>
      <c r="AC258" s="134"/>
    </row>
    <row r="259" spans="1:29">
      <c r="A259" s="182">
        <v>20</v>
      </c>
      <c r="B259" s="103" t="s">
        <v>286</v>
      </c>
      <c r="C259" s="4"/>
      <c r="D259" s="461">
        <v>6</v>
      </c>
      <c r="E259" s="493">
        <v>6</v>
      </c>
      <c r="F259" s="493">
        <f t="shared" si="34"/>
        <v>7</v>
      </c>
      <c r="G259" s="489">
        <v>1</v>
      </c>
      <c r="H259" s="479"/>
      <c r="I259" s="477">
        <v>5</v>
      </c>
      <c r="J259" s="496">
        <v>1</v>
      </c>
      <c r="K259" s="489">
        <f t="shared" si="35"/>
        <v>169</v>
      </c>
      <c r="L259" s="473"/>
      <c r="M259" s="134"/>
      <c r="N259" s="28">
        <v>5</v>
      </c>
      <c r="O259" s="396">
        <v>5</v>
      </c>
      <c r="P259" s="123"/>
      <c r="Q259" s="134">
        <v>1</v>
      </c>
      <c r="R259" s="28"/>
      <c r="S259" s="28">
        <v>2</v>
      </c>
      <c r="T259" s="28">
        <v>45</v>
      </c>
      <c r="U259" s="28">
        <v>40</v>
      </c>
      <c r="V259" s="28">
        <v>42</v>
      </c>
      <c r="W259" s="45">
        <v>29</v>
      </c>
      <c r="X259" s="529">
        <f t="shared" si="36"/>
        <v>161</v>
      </c>
      <c r="Y259" s="134">
        <v>5</v>
      </c>
      <c r="Z259" s="28">
        <v>5</v>
      </c>
      <c r="AA259" s="45">
        <v>82</v>
      </c>
      <c r="AB259" s="424">
        <v>69</v>
      </c>
      <c r="AC259" s="134"/>
    </row>
    <row r="260" spans="1:29">
      <c r="A260" s="182">
        <v>21</v>
      </c>
      <c r="B260" s="103" t="s">
        <v>287</v>
      </c>
      <c r="C260" s="4"/>
      <c r="D260" s="461"/>
      <c r="E260" s="493"/>
      <c r="F260" s="493">
        <f t="shared" si="34"/>
        <v>0</v>
      </c>
      <c r="G260" s="489"/>
      <c r="H260" s="479"/>
      <c r="I260" s="477"/>
      <c r="J260" s="496"/>
      <c r="K260" s="489">
        <f t="shared" si="35"/>
        <v>0</v>
      </c>
      <c r="L260" s="473"/>
      <c r="M260" s="134"/>
      <c r="N260" s="28"/>
      <c r="O260" s="396"/>
      <c r="P260" s="123"/>
      <c r="Q260" s="134"/>
      <c r="R260" s="28"/>
      <c r="S260" s="28"/>
      <c r="T260" s="28"/>
      <c r="U260" s="28"/>
      <c r="V260" s="28"/>
      <c r="W260" s="45"/>
      <c r="X260" s="529">
        <f t="shared" si="36"/>
        <v>0</v>
      </c>
      <c r="Y260" s="134"/>
      <c r="Z260" s="28"/>
      <c r="AA260" s="45"/>
      <c r="AB260" s="424"/>
      <c r="AC260" s="134"/>
    </row>
    <row r="261" spans="1:29">
      <c r="A261" s="182">
        <v>22</v>
      </c>
      <c r="B261" s="103" t="s">
        <v>288</v>
      </c>
      <c r="C261" s="4"/>
      <c r="D261" s="461">
        <v>2</v>
      </c>
      <c r="E261" s="493">
        <v>2</v>
      </c>
      <c r="F261" s="493">
        <f t="shared" si="34"/>
        <v>3</v>
      </c>
      <c r="G261" s="489">
        <v>2</v>
      </c>
      <c r="H261" s="479"/>
      <c r="I261" s="477">
        <v>1</v>
      </c>
      <c r="J261" s="496"/>
      <c r="K261" s="489">
        <f t="shared" si="35"/>
        <v>50</v>
      </c>
      <c r="L261" s="473"/>
      <c r="M261" s="134"/>
      <c r="N261" s="28">
        <v>8</v>
      </c>
      <c r="O261" s="396">
        <v>6</v>
      </c>
      <c r="P261" s="123">
        <v>2</v>
      </c>
      <c r="Q261" s="134"/>
      <c r="R261" s="28"/>
      <c r="S261" s="28"/>
      <c r="T261" s="28">
        <v>20</v>
      </c>
      <c r="U261" s="28">
        <v>11</v>
      </c>
      <c r="V261" s="28">
        <v>3</v>
      </c>
      <c r="W261" s="45"/>
      <c r="X261" s="529">
        <f t="shared" si="36"/>
        <v>50</v>
      </c>
      <c r="Y261" s="134">
        <v>10</v>
      </c>
      <c r="Z261" s="28">
        <v>6</v>
      </c>
      <c r="AA261" s="45">
        <v>23</v>
      </c>
      <c r="AB261" s="424">
        <v>11</v>
      </c>
      <c r="AC261" s="134"/>
    </row>
    <row r="262" spans="1:29">
      <c r="A262" s="182">
        <v>23</v>
      </c>
      <c r="B262" s="103" t="s">
        <v>289</v>
      </c>
      <c r="C262" s="4"/>
      <c r="D262" s="461">
        <v>5</v>
      </c>
      <c r="E262" s="493">
        <v>5</v>
      </c>
      <c r="F262" s="493">
        <f t="shared" si="34"/>
        <v>5</v>
      </c>
      <c r="G262" s="489">
        <v>1</v>
      </c>
      <c r="H262" s="479">
        <v>1</v>
      </c>
      <c r="I262" s="477">
        <v>3</v>
      </c>
      <c r="J262" s="496"/>
      <c r="K262" s="489">
        <f t="shared" si="35"/>
        <v>127</v>
      </c>
      <c r="L262" s="473"/>
      <c r="M262" s="134"/>
      <c r="N262" s="28">
        <v>5</v>
      </c>
      <c r="O262" s="396">
        <v>5</v>
      </c>
      <c r="P262" s="123"/>
      <c r="Q262" s="29"/>
      <c r="R262" s="28">
        <v>5</v>
      </c>
      <c r="S262" s="28">
        <v>5</v>
      </c>
      <c r="T262" s="28">
        <v>35</v>
      </c>
      <c r="U262" s="28">
        <v>53</v>
      </c>
      <c r="V262" s="28">
        <v>8</v>
      </c>
      <c r="W262" s="45">
        <v>11</v>
      </c>
      <c r="X262" s="529">
        <f t="shared" si="36"/>
        <v>109</v>
      </c>
      <c r="Y262" s="134">
        <v>5</v>
      </c>
      <c r="Z262" s="28">
        <v>5</v>
      </c>
      <c r="AA262" s="45">
        <v>40</v>
      </c>
      <c r="AB262" s="424">
        <v>59</v>
      </c>
      <c r="AC262" s="134"/>
    </row>
    <row r="263" spans="1:29">
      <c r="A263" s="182">
        <v>24</v>
      </c>
      <c r="B263" s="103" t="s">
        <v>290</v>
      </c>
      <c r="C263" s="4"/>
      <c r="D263" s="461">
        <v>4</v>
      </c>
      <c r="E263" s="493">
        <v>4</v>
      </c>
      <c r="F263" s="493">
        <f t="shared" si="34"/>
        <v>4</v>
      </c>
      <c r="G263" s="489"/>
      <c r="H263" s="479"/>
      <c r="I263" s="477">
        <v>2</v>
      </c>
      <c r="J263" s="496">
        <v>2</v>
      </c>
      <c r="K263" s="489">
        <f t="shared" si="35"/>
        <v>82</v>
      </c>
      <c r="L263" s="473"/>
      <c r="M263" s="134"/>
      <c r="N263" s="28"/>
      <c r="O263" s="396"/>
      <c r="P263" s="123"/>
      <c r="Q263" s="134"/>
      <c r="R263" s="28">
        <v>2</v>
      </c>
      <c r="S263" s="28"/>
      <c r="T263" s="28">
        <v>18</v>
      </c>
      <c r="U263" s="28">
        <v>43</v>
      </c>
      <c r="V263" s="28">
        <v>12</v>
      </c>
      <c r="W263" s="45">
        <v>7</v>
      </c>
      <c r="X263" s="529">
        <f t="shared" si="36"/>
        <v>72</v>
      </c>
      <c r="Y263" s="134"/>
      <c r="Z263" s="28"/>
      <c r="AA263" s="45">
        <v>25</v>
      </c>
      <c r="AB263" s="424">
        <v>47</v>
      </c>
      <c r="AC263" s="134"/>
    </row>
    <row r="264" spans="1:29">
      <c r="A264" s="595"/>
      <c r="B264" s="596"/>
      <c r="C264" s="203"/>
      <c r="D264" s="627"/>
      <c r="E264" s="508"/>
      <c r="F264" s="508"/>
      <c r="G264" s="577"/>
      <c r="H264" s="578"/>
      <c r="I264" s="511"/>
      <c r="J264" s="512"/>
      <c r="K264" s="513"/>
      <c r="L264" s="579"/>
      <c r="M264" s="580"/>
      <c r="N264" s="206"/>
      <c r="O264" s="581"/>
      <c r="P264" s="210"/>
      <c r="Q264" s="256"/>
      <c r="R264" s="206"/>
      <c r="S264" s="206"/>
      <c r="T264" s="206"/>
      <c r="U264" s="206"/>
      <c r="V264" s="206"/>
      <c r="W264" s="317"/>
      <c r="X264" s="609"/>
      <c r="Y264" s="256"/>
      <c r="Z264" s="206"/>
      <c r="AA264" s="317"/>
      <c r="AB264" s="516"/>
      <c r="AC264" s="134"/>
    </row>
    <row r="265" spans="1:29">
      <c r="A265" s="182" t="s">
        <v>295</v>
      </c>
      <c r="B265" s="103"/>
      <c r="C265" s="4"/>
      <c r="D265" s="461">
        <f>SUM(D240:D263)</f>
        <v>166</v>
      </c>
      <c r="E265" s="461">
        <f t="shared" ref="E265:AB265" si="37">SUM(E240:E263)</f>
        <v>232</v>
      </c>
      <c r="F265" s="461">
        <f t="shared" si="37"/>
        <v>257</v>
      </c>
      <c r="G265" s="461">
        <f t="shared" si="37"/>
        <v>60</v>
      </c>
      <c r="H265" s="462">
        <f t="shared" si="37"/>
        <v>145</v>
      </c>
      <c r="I265" s="462">
        <f t="shared" si="37"/>
        <v>42</v>
      </c>
      <c r="J265" s="463">
        <f t="shared" si="37"/>
        <v>10</v>
      </c>
      <c r="K265" s="461">
        <f t="shared" si="37"/>
        <v>3818</v>
      </c>
      <c r="L265" s="461">
        <f t="shared" si="37"/>
        <v>33</v>
      </c>
      <c r="M265" s="462">
        <f t="shared" si="37"/>
        <v>37</v>
      </c>
      <c r="N265" s="462">
        <f t="shared" si="37"/>
        <v>832</v>
      </c>
      <c r="O265" s="462">
        <f t="shared" si="37"/>
        <v>997</v>
      </c>
      <c r="P265" s="462">
        <f t="shared" si="37"/>
        <v>96</v>
      </c>
      <c r="Q265" s="462">
        <f t="shared" si="37"/>
        <v>232</v>
      </c>
      <c r="R265" s="462">
        <f t="shared" si="37"/>
        <v>51</v>
      </c>
      <c r="S265" s="462">
        <f t="shared" si="37"/>
        <v>53</v>
      </c>
      <c r="T265" s="462">
        <f t="shared" si="37"/>
        <v>481</v>
      </c>
      <c r="U265" s="462">
        <f t="shared" si="37"/>
        <v>652</v>
      </c>
      <c r="V265" s="462">
        <f t="shared" si="37"/>
        <v>207</v>
      </c>
      <c r="W265" s="463">
        <f t="shared" si="37"/>
        <v>147</v>
      </c>
      <c r="X265" s="461">
        <f t="shared" si="37"/>
        <v>3515</v>
      </c>
      <c r="Y265" s="461">
        <f t="shared" si="37"/>
        <v>943</v>
      </c>
      <c r="Z265" s="462">
        <f t="shared" si="37"/>
        <v>1258</v>
      </c>
      <c r="AA265" s="462">
        <f t="shared" si="37"/>
        <v>612</v>
      </c>
      <c r="AB265" s="464">
        <f t="shared" si="37"/>
        <v>702</v>
      </c>
      <c r="AC265" s="463"/>
    </row>
    <row r="266" spans="1:29" ht="15" thickBot="1">
      <c r="A266" s="182"/>
      <c r="B266" s="103"/>
      <c r="C266" s="104"/>
      <c r="D266" s="252"/>
      <c r="E266" s="119"/>
      <c r="F266" s="501"/>
      <c r="G266" s="105"/>
      <c r="H266" s="323"/>
      <c r="I266" s="445"/>
      <c r="J266" s="106"/>
      <c r="K266" s="105"/>
      <c r="L266" s="108"/>
      <c r="M266" s="105"/>
      <c r="N266" s="322"/>
      <c r="O266" s="450"/>
      <c r="P266" s="443"/>
      <c r="Q266" s="105"/>
      <c r="R266" s="322"/>
      <c r="S266" s="322"/>
      <c r="T266" s="322"/>
      <c r="U266" s="322"/>
      <c r="V266" s="322"/>
      <c r="W266" s="323"/>
      <c r="X266" s="611"/>
      <c r="Y266" s="105"/>
      <c r="Z266" s="322"/>
      <c r="AA266" s="323"/>
      <c r="AB266" s="459"/>
      <c r="AC266" s="92"/>
    </row>
    <row r="267" spans="1:29" ht="15" thickTop="1">
      <c r="A267" s="33"/>
      <c r="B267" s="33"/>
    </row>
  </sheetData>
  <mergeCells count="35">
    <mergeCell ref="AA7:AA10"/>
    <mergeCell ref="X7:X10"/>
    <mergeCell ref="P7:Q8"/>
    <mergeCell ref="R7:S8"/>
    <mergeCell ref="F7:F10"/>
    <mergeCell ref="G7:G10"/>
    <mergeCell ref="H7:H10"/>
    <mergeCell ref="I7:I10"/>
    <mergeCell ref="R9:R10"/>
    <mergeCell ref="S9:S10"/>
    <mergeCell ref="Y7:Y10"/>
    <mergeCell ref="Z7:Z10"/>
    <mergeCell ref="T7:U8"/>
    <mergeCell ref="V7:W8"/>
    <mergeCell ref="M9:M10"/>
    <mergeCell ref="N9:N10"/>
    <mergeCell ref="O9:O10"/>
    <mergeCell ref="P9:P10"/>
    <mergeCell ref="Q9:Q10"/>
    <mergeCell ref="X5:AB6"/>
    <mergeCell ref="C5:C10"/>
    <mergeCell ref="D5:D10"/>
    <mergeCell ref="E5:E10"/>
    <mergeCell ref="F5:J6"/>
    <mergeCell ref="K5:W6"/>
    <mergeCell ref="T9:T10"/>
    <mergeCell ref="U9:U10"/>
    <mergeCell ref="V9:V10"/>
    <mergeCell ref="W9:W10"/>
    <mergeCell ref="J7:J10"/>
    <mergeCell ref="K7:K10"/>
    <mergeCell ref="L7:M8"/>
    <mergeCell ref="N7:O8"/>
    <mergeCell ref="L9:L10"/>
    <mergeCell ref="AB7:AB10"/>
  </mergeCells>
  <pageMargins left="0.75" right="0.75" top="1" bottom="1" header="0.5" footer="0.5"/>
  <pageSetup paperSize="9" orientation="portrait"/>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1"/>
  </sheetPr>
  <dimension ref="A2:Z275"/>
  <sheetViews>
    <sheetView workbookViewId="0">
      <selection activeCell="D26" sqref="D26"/>
    </sheetView>
  </sheetViews>
  <sheetFormatPr baseColWidth="10" defaultColWidth="11.5" defaultRowHeight="14" x14ac:dyDescent="0"/>
  <cols>
    <col min="1" max="1" width="34.6640625" customWidth="1"/>
    <col min="2" max="2" width="10.1640625" customWidth="1"/>
    <col min="3" max="3" width="12" customWidth="1"/>
    <col min="4" max="4" width="16.5" customWidth="1"/>
    <col min="5" max="5" width="13.5" customWidth="1"/>
    <col min="6" max="6" width="13" style="68" customWidth="1"/>
    <col min="7" max="7" width="13.5" customWidth="1"/>
    <col min="8" max="8" width="13.33203125" customWidth="1"/>
    <col min="9" max="9" width="13.83203125" customWidth="1"/>
    <col min="10" max="11" width="13.1640625" customWidth="1"/>
    <col min="12" max="12" width="15.6640625" customWidth="1"/>
    <col min="13" max="13" width="15.1640625" customWidth="1"/>
    <col min="14" max="14" width="13.83203125" customWidth="1"/>
    <col min="15" max="15" width="14.1640625" customWidth="1"/>
    <col min="16" max="16" width="13" customWidth="1"/>
    <col min="17" max="17" width="12.5" customWidth="1"/>
    <col min="18" max="18" width="14.5" customWidth="1"/>
    <col min="19" max="19" width="13.1640625" customWidth="1"/>
    <col min="20" max="20" width="12.6640625" customWidth="1"/>
    <col min="21" max="21" width="15.5" customWidth="1"/>
    <col min="22" max="22" width="14.5" customWidth="1"/>
    <col min="23" max="23" width="12.6640625" style="31" customWidth="1"/>
    <col min="24" max="24" width="15" customWidth="1"/>
    <col min="26" max="26" width="13.6640625" customWidth="1"/>
    <col min="27" max="27" width="13.5" customWidth="1"/>
  </cols>
  <sheetData>
    <row r="2" spans="1:23" ht="18">
      <c r="A2" s="1" t="s">
        <v>437</v>
      </c>
      <c r="B2" s="262" t="s">
        <v>473</v>
      </c>
      <c r="C2" s="262"/>
      <c r="D2" s="262"/>
      <c r="E2" s="262"/>
      <c r="F2" s="263"/>
      <c r="G2" s="262"/>
      <c r="H2" s="262"/>
      <c r="I2" s="262"/>
      <c r="J2" s="262"/>
      <c r="K2" s="262"/>
      <c r="L2" s="264"/>
      <c r="M2" s="264"/>
      <c r="T2" s="262"/>
      <c r="U2" s="262"/>
      <c r="V2" s="262"/>
    </row>
    <row r="3" spans="1:23" s="31" customFormat="1" ht="15">
      <c r="B3" s="644"/>
      <c r="C3" s="644"/>
      <c r="D3" s="644"/>
      <c r="E3" s="644"/>
      <c r="F3" s="644"/>
      <c r="G3" s="262"/>
      <c r="L3" s="68"/>
      <c r="M3" s="68"/>
    </row>
    <row r="4" spans="1:23" s="31" customFormat="1" ht="16" thickBot="1">
      <c r="B4" s="262"/>
      <c r="C4" s="262"/>
      <c r="D4" s="262"/>
      <c r="E4" s="262"/>
      <c r="F4" s="262"/>
      <c r="G4" s="262"/>
      <c r="L4" s="68"/>
      <c r="M4" s="68"/>
    </row>
    <row r="5" spans="1:23" s="31" customFormat="1" ht="15.75" customHeight="1" thickTop="1">
      <c r="A5" s="64"/>
      <c r="B5" s="710" t="s">
        <v>35</v>
      </c>
      <c r="C5" s="721" t="s">
        <v>418</v>
      </c>
      <c r="D5" s="727"/>
      <c r="E5" s="727"/>
      <c r="F5" s="727"/>
      <c r="G5" s="721" t="s">
        <v>453</v>
      </c>
      <c r="H5" s="727"/>
      <c r="I5" s="727"/>
      <c r="J5" s="727"/>
      <c r="K5" s="721" t="s">
        <v>461</v>
      </c>
      <c r="L5" s="727"/>
      <c r="M5" s="727"/>
      <c r="N5" s="727"/>
      <c r="O5" s="727"/>
      <c r="P5" s="727"/>
      <c r="Q5" s="727"/>
      <c r="R5" s="727"/>
      <c r="S5" s="722"/>
      <c r="T5" s="727" t="s">
        <v>462</v>
      </c>
      <c r="U5" s="727"/>
      <c r="V5" s="725"/>
      <c r="W5" s="634"/>
    </row>
    <row r="6" spans="1:23">
      <c r="A6" s="48"/>
      <c r="B6" s="711"/>
      <c r="C6" s="723"/>
      <c r="D6" s="728"/>
      <c r="E6" s="728"/>
      <c r="F6" s="728"/>
      <c r="G6" s="723"/>
      <c r="H6" s="728"/>
      <c r="I6" s="728"/>
      <c r="J6" s="728"/>
      <c r="K6" s="723"/>
      <c r="L6" s="728"/>
      <c r="M6" s="728"/>
      <c r="N6" s="728"/>
      <c r="O6" s="728"/>
      <c r="P6" s="728"/>
      <c r="Q6" s="728"/>
      <c r="R6" s="728"/>
      <c r="S6" s="724"/>
      <c r="T6" s="728"/>
      <c r="U6" s="728"/>
      <c r="V6" s="726"/>
      <c r="W6" s="634"/>
    </row>
    <row r="7" spans="1:23">
      <c r="A7" s="59" t="s">
        <v>42</v>
      </c>
      <c r="B7" s="711"/>
      <c r="C7" s="758" t="s">
        <v>44</v>
      </c>
      <c r="D7" s="793" t="s">
        <v>447</v>
      </c>
      <c r="F7" s="801" t="s">
        <v>449</v>
      </c>
      <c r="G7" s="758" t="s">
        <v>450</v>
      </c>
      <c r="H7" s="793" t="s">
        <v>451</v>
      </c>
      <c r="I7" s="796" t="s">
        <v>452</v>
      </c>
      <c r="J7" s="799" t="s">
        <v>386</v>
      </c>
      <c r="K7" s="758" t="s">
        <v>389</v>
      </c>
      <c r="L7" s="793" t="s">
        <v>454</v>
      </c>
      <c r="M7" s="796" t="s">
        <v>455</v>
      </c>
      <c r="N7" s="787" t="s">
        <v>456</v>
      </c>
      <c r="O7" s="787" t="s">
        <v>457</v>
      </c>
      <c r="P7" s="787" t="s">
        <v>458</v>
      </c>
      <c r="Q7" s="787" t="s">
        <v>459</v>
      </c>
      <c r="R7" s="787" t="s">
        <v>460</v>
      </c>
      <c r="S7" s="790" t="s">
        <v>386</v>
      </c>
      <c r="T7" s="678" t="s">
        <v>463</v>
      </c>
      <c r="U7" s="676" t="s">
        <v>468</v>
      </c>
      <c r="V7" s="684" t="s">
        <v>469</v>
      </c>
      <c r="W7" s="681"/>
    </row>
    <row r="8" spans="1:23">
      <c r="A8" s="138">
        <v>4145</v>
      </c>
      <c r="B8" s="711"/>
      <c r="C8" s="711"/>
      <c r="D8" s="794"/>
      <c r="E8" s="677" t="s">
        <v>470</v>
      </c>
      <c r="F8" s="753"/>
      <c r="G8" s="711"/>
      <c r="H8" s="750"/>
      <c r="I8" s="797"/>
      <c r="J8" s="800"/>
      <c r="K8" s="711"/>
      <c r="L8" s="794"/>
      <c r="M8" s="797"/>
      <c r="N8" s="788"/>
      <c r="O8" s="788"/>
      <c r="P8" s="788"/>
      <c r="Q8" s="788"/>
      <c r="R8" s="788"/>
      <c r="S8" s="791"/>
      <c r="T8" s="679" t="s">
        <v>464</v>
      </c>
      <c r="U8" s="677" t="s">
        <v>467</v>
      </c>
      <c r="V8" s="685" t="s">
        <v>464</v>
      </c>
      <c r="W8" s="681"/>
    </row>
    <row r="9" spans="1:23">
      <c r="A9" s="138"/>
      <c r="B9" s="711"/>
      <c r="C9" s="711"/>
      <c r="D9" s="794"/>
      <c r="E9" s="677" t="s">
        <v>448</v>
      </c>
      <c r="F9" s="753"/>
      <c r="G9" s="711"/>
      <c r="H9" s="750"/>
      <c r="I9" s="797"/>
      <c r="J9" s="800"/>
      <c r="K9" s="711"/>
      <c r="L9" s="794"/>
      <c r="M9" s="797"/>
      <c r="N9" s="788"/>
      <c r="O9" s="788"/>
      <c r="P9" s="788"/>
      <c r="Q9" s="788"/>
      <c r="R9" s="788"/>
      <c r="S9" s="791"/>
      <c r="T9" s="679" t="s">
        <v>465</v>
      </c>
      <c r="U9" s="677" t="s">
        <v>465</v>
      </c>
      <c r="V9" s="685" t="s">
        <v>465</v>
      </c>
      <c r="W9" s="681"/>
    </row>
    <row r="10" spans="1:23" s="31" customFormat="1">
      <c r="A10" s="44"/>
      <c r="B10" s="712"/>
      <c r="C10" s="712"/>
      <c r="D10" s="795"/>
      <c r="E10" s="675"/>
      <c r="F10" s="754"/>
      <c r="G10" s="712"/>
      <c r="H10" s="751"/>
      <c r="I10" s="798"/>
      <c r="J10" s="764"/>
      <c r="K10" s="712"/>
      <c r="L10" s="795"/>
      <c r="M10" s="798"/>
      <c r="N10" s="789"/>
      <c r="O10" s="789"/>
      <c r="P10" s="789"/>
      <c r="Q10" s="789"/>
      <c r="R10" s="789"/>
      <c r="S10" s="792"/>
      <c r="T10" s="680" t="s">
        <v>466</v>
      </c>
      <c r="U10" s="683" t="s">
        <v>466</v>
      </c>
      <c r="V10" s="686" t="s">
        <v>466</v>
      </c>
      <c r="W10" s="681"/>
    </row>
    <row r="11" spans="1:23" s="31" customFormat="1">
      <c r="A11" s="48"/>
      <c r="B11" s="650"/>
      <c r="D11" s="56"/>
      <c r="E11" s="440"/>
      <c r="F11" s="673"/>
      <c r="G11" s="47"/>
      <c r="H11" s="20"/>
      <c r="J11" s="161"/>
      <c r="K11" s="8"/>
      <c r="L11" s="56"/>
      <c r="M11" s="161"/>
      <c r="N11" s="161"/>
      <c r="O11" s="18"/>
      <c r="P11" s="161"/>
      <c r="Q11" s="18"/>
      <c r="R11" s="161"/>
      <c r="S11" s="161"/>
      <c r="T11" s="687"/>
      <c r="U11" s="161"/>
      <c r="V11" s="360"/>
      <c r="W11" s="47"/>
    </row>
    <row r="12" spans="1:23" s="31" customFormat="1">
      <c r="A12" s="145" t="s">
        <v>61</v>
      </c>
      <c r="B12" s="689" t="s">
        <v>486</v>
      </c>
      <c r="C12" s="637">
        <f>SUM(C15:C18)</f>
        <v>6970</v>
      </c>
      <c r="D12" s="637">
        <f t="shared" ref="D12:F12" si="0">SUM(D15:D18)</f>
        <v>1094</v>
      </c>
      <c r="E12" s="151">
        <f t="shared" si="0"/>
        <v>4697</v>
      </c>
      <c r="F12" s="151">
        <f t="shared" si="0"/>
        <v>1179</v>
      </c>
      <c r="G12" s="617">
        <f>SUM(G15:G18)</f>
        <v>1179</v>
      </c>
      <c r="H12" s="150">
        <f t="shared" ref="H12:J12" si="1">SUM(H15:H18)</f>
        <v>135</v>
      </c>
      <c r="I12" s="151">
        <f t="shared" si="1"/>
        <v>523</v>
      </c>
      <c r="J12" s="616">
        <f t="shared" si="1"/>
        <v>521</v>
      </c>
      <c r="K12" s="617">
        <f>SUM(K15:K18)</f>
        <v>707</v>
      </c>
      <c r="L12" s="637">
        <f t="shared" ref="L12:S12" si="2">SUM(L15:L18)</f>
        <v>128</v>
      </c>
      <c r="M12" s="151">
        <f t="shared" si="2"/>
        <v>119</v>
      </c>
      <c r="N12" s="151">
        <f t="shared" si="2"/>
        <v>41</v>
      </c>
      <c r="O12" s="151">
        <f t="shared" si="2"/>
        <v>23</v>
      </c>
      <c r="P12" s="151">
        <f t="shared" si="2"/>
        <v>122</v>
      </c>
      <c r="Q12" s="151">
        <f t="shared" si="2"/>
        <v>113</v>
      </c>
      <c r="R12" s="151">
        <f t="shared" si="2"/>
        <v>52</v>
      </c>
      <c r="S12" s="616">
        <f t="shared" si="2"/>
        <v>109</v>
      </c>
      <c r="T12" s="637">
        <f>SUM(T15:T18)</f>
        <v>4254</v>
      </c>
      <c r="U12" s="151">
        <f t="shared" ref="U12:V12" si="3">SUM(U15:U18)</f>
        <v>282</v>
      </c>
      <c r="V12" s="639">
        <f t="shared" si="3"/>
        <v>50</v>
      </c>
      <c r="W12" s="463"/>
    </row>
    <row r="13" spans="1:23" s="31" customFormat="1" ht="15" thickBot="1">
      <c r="A13" s="47" t="s">
        <v>62</v>
      </c>
      <c r="B13" s="17"/>
      <c r="C13" s="493"/>
      <c r="D13" s="402"/>
      <c r="E13" s="415"/>
      <c r="F13" s="148"/>
      <c r="G13" s="500"/>
      <c r="H13" s="453"/>
      <c r="I13" s="415"/>
      <c r="J13" s="415"/>
      <c r="K13" s="405"/>
      <c r="L13" s="453"/>
      <c r="M13" s="415"/>
      <c r="N13" s="168"/>
      <c r="O13" s="28"/>
      <c r="P13" s="168"/>
      <c r="Q13" s="28"/>
      <c r="R13" s="168"/>
      <c r="S13" s="45"/>
      <c r="T13" s="120"/>
      <c r="U13" s="168"/>
      <c r="V13" s="424"/>
      <c r="W13" s="134"/>
    </row>
    <row r="14" spans="1:23" s="31" customFormat="1">
      <c r="A14" s="47"/>
      <c r="B14" s="17"/>
      <c r="C14" s="499"/>
      <c r="D14" s="70"/>
      <c r="E14" s="23"/>
      <c r="F14" s="22"/>
      <c r="G14" s="493"/>
      <c r="H14" s="162"/>
      <c r="I14" s="23"/>
      <c r="J14" s="23"/>
      <c r="K14" s="406"/>
      <c r="L14" s="162"/>
      <c r="M14" s="23"/>
      <c r="N14" s="28"/>
      <c r="O14" s="451"/>
      <c r="P14" s="28"/>
      <c r="Q14" s="451"/>
      <c r="R14" s="28"/>
      <c r="S14" s="630"/>
      <c r="T14" s="688"/>
      <c r="U14" s="28"/>
      <c r="V14" s="682"/>
      <c r="W14" s="134"/>
    </row>
    <row r="15" spans="1:23" s="31" customFormat="1">
      <c r="A15" s="31" t="s">
        <v>4</v>
      </c>
      <c r="B15" s="10"/>
      <c r="C15" s="493">
        <v>4545</v>
      </c>
      <c r="D15" s="70"/>
      <c r="E15" s="23">
        <v>4037</v>
      </c>
      <c r="F15" s="22">
        <v>508</v>
      </c>
      <c r="G15" s="493">
        <v>508</v>
      </c>
      <c r="H15" s="162">
        <v>120</v>
      </c>
      <c r="I15" s="23">
        <v>128</v>
      </c>
      <c r="J15" s="23">
        <v>260</v>
      </c>
      <c r="K15" s="406">
        <v>273</v>
      </c>
      <c r="L15" s="162">
        <v>57</v>
      </c>
      <c r="M15" s="23">
        <v>45</v>
      </c>
      <c r="N15" s="28">
        <v>20</v>
      </c>
      <c r="O15" s="28">
        <v>6</v>
      </c>
      <c r="P15" s="28">
        <v>50</v>
      </c>
      <c r="Q15" s="28">
        <v>9</v>
      </c>
      <c r="R15" s="28">
        <v>35</v>
      </c>
      <c r="S15" s="45">
        <v>51</v>
      </c>
      <c r="T15" s="120">
        <v>3238</v>
      </c>
      <c r="U15" s="28">
        <v>123</v>
      </c>
      <c r="V15" s="424">
        <v>11</v>
      </c>
      <c r="W15" s="134"/>
    </row>
    <row r="16" spans="1:23" s="31" customFormat="1">
      <c r="A16" s="68" t="s">
        <v>1</v>
      </c>
      <c r="B16" s="245"/>
      <c r="C16" s="493">
        <v>672</v>
      </c>
      <c r="D16" s="70">
        <v>64</v>
      </c>
      <c r="E16" s="23">
        <v>300</v>
      </c>
      <c r="F16" s="22">
        <v>308</v>
      </c>
      <c r="G16" s="493">
        <v>308</v>
      </c>
      <c r="H16" s="162">
        <v>12</v>
      </c>
      <c r="I16" s="23">
        <v>218</v>
      </c>
      <c r="J16" s="23">
        <v>78</v>
      </c>
      <c r="K16" s="406">
        <v>218</v>
      </c>
      <c r="L16" s="162">
        <v>2</v>
      </c>
      <c r="M16" s="23">
        <v>51</v>
      </c>
      <c r="N16" s="28">
        <v>13</v>
      </c>
      <c r="O16" s="28">
        <v>13</v>
      </c>
      <c r="P16" s="28">
        <v>36</v>
      </c>
      <c r="Q16" s="28">
        <v>54</v>
      </c>
      <c r="R16" s="28">
        <v>5</v>
      </c>
      <c r="S16" s="45">
        <v>44</v>
      </c>
      <c r="T16" s="120">
        <v>180</v>
      </c>
      <c r="U16" s="28">
        <v>65</v>
      </c>
      <c r="V16" s="424">
        <v>13</v>
      </c>
      <c r="W16" s="134"/>
    </row>
    <row r="17" spans="1:26" s="31" customFormat="1">
      <c r="A17" s="68" t="s">
        <v>2</v>
      </c>
      <c r="B17" s="245"/>
      <c r="C17" s="493">
        <v>1032</v>
      </c>
      <c r="D17" s="70">
        <v>666</v>
      </c>
      <c r="E17" s="23">
        <v>169</v>
      </c>
      <c r="F17" s="28">
        <v>197</v>
      </c>
      <c r="G17" s="493">
        <v>197</v>
      </c>
      <c r="H17" s="162">
        <v>1</v>
      </c>
      <c r="I17" s="23">
        <v>127</v>
      </c>
      <c r="J17" s="23">
        <v>69</v>
      </c>
      <c r="K17" s="406">
        <v>113</v>
      </c>
      <c r="L17" s="162">
        <v>11</v>
      </c>
      <c r="M17" s="23">
        <v>17</v>
      </c>
      <c r="N17" s="28">
        <v>3</v>
      </c>
      <c r="O17" s="28">
        <v>2</v>
      </c>
      <c r="P17" s="28">
        <v>15</v>
      </c>
      <c r="Q17" s="28">
        <v>46</v>
      </c>
      <c r="R17" s="28">
        <v>8</v>
      </c>
      <c r="S17" s="45">
        <v>11</v>
      </c>
      <c r="T17" s="120">
        <v>550</v>
      </c>
      <c r="U17" s="28">
        <v>50</v>
      </c>
      <c r="V17" s="424">
        <v>12</v>
      </c>
      <c r="W17" s="134"/>
    </row>
    <row r="18" spans="1:26" s="31" customFormat="1">
      <c r="A18" s="68" t="s">
        <v>3</v>
      </c>
      <c r="B18" s="245"/>
      <c r="C18" s="493">
        <v>721</v>
      </c>
      <c r="D18" s="70">
        <v>364</v>
      </c>
      <c r="E18" s="23">
        <v>191</v>
      </c>
      <c r="F18" s="22">
        <v>166</v>
      </c>
      <c r="G18" s="493">
        <v>166</v>
      </c>
      <c r="H18" s="162">
        <v>2</v>
      </c>
      <c r="I18" s="23">
        <v>50</v>
      </c>
      <c r="J18" s="23">
        <v>114</v>
      </c>
      <c r="K18" s="406">
        <v>103</v>
      </c>
      <c r="L18" s="162">
        <v>58</v>
      </c>
      <c r="M18" s="23">
        <v>6</v>
      </c>
      <c r="N18" s="28">
        <v>5</v>
      </c>
      <c r="O18" s="28">
        <v>2</v>
      </c>
      <c r="P18" s="28">
        <v>21</v>
      </c>
      <c r="Q18" s="28">
        <v>4</v>
      </c>
      <c r="R18" s="28">
        <v>4</v>
      </c>
      <c r="S18" s="45">
        <v>3</v>
      </c>
      <c r="T18" s="120">
        <v>286</v>
      </c>
      <c r="U18" s="28">
        <v>44</v>
      </c>
      <c r="V18" s="424">
        <v>14</v>
      </c>
      <c r="W18" s="134"/>
    </row>
    <row r="19" spans="1:26" ht="16" thickBot="1">
      <c r="A19" s="184"/>
      <c r="B19" s="671"/>
      <c r="C19" s="501"/>
      <c r="D19" s="207"/>
      <c r="E19" s="276"/>
      <c r="F19" s="674"/>
      <c r="G19" s="202"/>
      <c r="H19" s="275"/>
      <c r="I19" s="202"/>
      <c r="J19" s="276"/>
      <c r="K19" s="119"/>
      <c r="L19" s="275"/>
      <c r="M19" s="276"/>
      <c r="N19" s="276"/>
      <c r="O19" s="186"/>
      <c r="P19" s="276"/>
      <c r="Q19" s="186"/>
      <c r="R19" s="276"/>
      <c r="S19" s="276"/>
      <c r="T19" s="275"/>
      <c r="U19" s="276"/>
      <c r="V19" s="672"/>
      <c r="W19" s="32"/>
    </row>
    <row r="20" spans="1:26" ht="16" thickTop="1">
      <c r="A20" s="31"/>
      <c r="B20" s="249"/>
      <c r="C20" s="463"/>
      <c r="D20" s="32"/>
      <c r="E20" s="32"/>
      <c r="F20" s="606"/>
      <c r="G20" s="32"/>
      <c r="H20" s="32"/>
      <c r="I20" s="32"/>
      <c r="J20" s="32"/>
      <c r="K20" s="32"/>
      <c r="L20" s="32"/>
      <c r="M20" s="32"/>
      <c r="N20" s="32"/>
      <c r="O20" s="32"/>
      <c r="P20" s="32"/>
      <c r="Q20" s="32"/>
      <c r="R20" s="32"/>
      <c r="S20" s="32"/>
      <c r="T20" s="32"/>
      <c r="U20" s="32"/>
      <c r="V20" s="32"/>
      <c r="W20" s="32"/>
    </row>
    <row r="21" spans="1:26" ht="15">
      <c r="A21" s="31"/>
      <c r="B21" s="249"/>
      <c r="C21" s="463"/>
      <c r="D21" s="32"/>
      <c r="E21" s="32"/>
      <c r="F21" s="606"/>
      <c r="G21" s="32"/>
      <c r="H21" s="32"/>
      <c r="I21" s="32"/>
      <c r="J21" s="32"/>
      <c r="K21" s="32"/>
      <c r="L21" s="32"/>
      <c r="M21" s="32"/>
      <c r="N21" s="32"/>
      <c r="O21" s="32"/>
      <c r="P21" s="32"/>
      <c r="Q21" s="32"/>
      <c r="R21" s="32"/>
      <c r="S21" s="32"/>
      <c r="T21" s="32"/>
      <c r="U21" s="32"/>
      <c r="V21" s="32"/>
      <c r="W21" s="32"/>
    </row>
    <row r="22" spans="1:26" ht="15">
      <c r="A22" s="31"/>
      <c r="B22" s="249"/>
      <c r="C22" s="463"/>
      <c r="D22" s="32"/>
      <c r="E22" s="32"/>
      <c r="F22" s="606"/>
      <c r="G22" s="32"/>
      <c r="H22" s="32"/>
      <c r="I22" s="32"/>
      <c r="J22" s="32"/>
      <c r="K22" s="32"/>
      <c r="L22" s="32"/>
      <c r="M22" s="32"/>
      <c r="N22" s="32"/>
      <c r="O22" s="32"/>
      <c r="P22" s="32"/>
      <c r="Q22" s="32"/>
      <c r="R22" s="32"/>
      <c r="S22" s="32"/>
      <c r="T22" s="32"/>
      <c r="U22" s="32"/>
      <c r="V22" s="32"/>
      <c r="W22" s="32"/>
    </row>
    <row r="23" spans="1:26" ht="18">
      <c r="A23" s="1" t="s">
        <v>437</v>
      </c>
      <c r="B23" s="695" t="s">
        <v>474</v>
      </c>
      <c r="C23" s="463"/>
      <c r="D23" s="32"/>
      <c r="E23" s="32"/>
      <c r="F23" s="606"/>
      <c r="G23" s="32"/>
      <c r="H23" s="32"/>
      <c r="I23" s="32"/>
      <c r="J23" s="32"/>
      <c r="K23" s="32"/>
      <c r="L23" s="32"/>
      <c r="M23" s="32"/>
      <c r="N23" s="32"/>
      <c r="O23" s="32"/>
      <c r="P23" s="32"/>
      <c r="Q23" s="32"/>
      <c r="R23" s="32"/>
      <c r="S23" s="32"/>
      <c r="T23" s="32"/>
      <c r="U23" s="32"/>
      <c r="V23" s="32"/>
      <c r="W23" s="32"/>
    </row>
    <row r="24" spans="1:26" ht="15">
      <c r="A24" s="31"/>
      <c r="B24" s="249"/>
      <c r="C24" s="463"/>
      <c r="D24" s="32"/>
      <c r="E24" s="32"/>
      <c r="F24" s="606"/>
      <c r="G24" s="32"/>
      <c r="H24" s="32"/>
      <c r="I24" s="32"/>
      <c r="J24" s="32"/>
      <c r="K24" s="32"/>
      <c r="L24" s="32"/>
      <c r="M24" s="32"/>
      <c r="N24" s="32"/>
      <c r="O24" s="32"/>
      <c r="P24" s="32"/>
      <c r="Q24" s="32"/>
      <c r="R24" s="32"/>
      <c r="S24" s="32"/>
      <c r="T24" s="32"/>
      <c r="U24" s="32"/>
      <c r="V24" s="32"/>
      <c r="W24" s="32"/>
    </row>
    <row r="25" spans="1:26" ht="15">
      <c r="A25" s="31"/>
      <c r="B25" s="249"/>
      <c r="C25" s="463"/>
      <c r="E25" s="32"/>
      <c r="F25" s="606"/>
      <c r="G25" s="32"/>
      <c r="H25" s="32"/>
      <c r="I25" s="32"/>
      <c r="J25" s="32"/>
      <c r="K25" s="32"/>
      <c r="L25" s="32"/>
      <c r="M25" s="32"/>
      <c r="N25" s="32"/>
      <c r="O25" s="32"/>
      <c r="P25" s="32"/>
      <c r="Q25" s="32"/>
      <c r="R25" s="32"/>
      <c r="S25" s="32"/>
      <c r="T25" s="32"/>
      <c r="U25" s="32"/>
      <c r="V25" s="32"/>
      <c r="W25" s="32"/>
    </row>
    <row r="26" spans="1:26" s="31" customFormat="1" ht="16" thickBot="1">
      <c r="A26" s="249"/>
      <c r="B26" s="47"/>
      <c r="C26" s="463"/>
      <c r="D26" s="32"/>
      <c r="E26" s="32"/>
      <c r="F26" s="606"/>
      <c r="G26" s="32"/>
      <c r="H26" s="32"/>
      <c r="I26" s="32"/>
      <c r="J26" s="32"/>
      <c r="K26" s="32"/>
      <c r="L26" s="32"/>
      <c r="M26" s="32"/>
      <c r="N26" s="32"/>
      <c r="O26" s="32"/>
      <c r="P26" s="32"/>
      <c r="Q26" s="32"/>
      <c r="R26" s="32"/>
      <c r="S26" s="32"/>
      <c r="T26" s="32"/>
      <c r="U26" s="32"/>
      <c r="V26" s="32"/>
      <c r="W26" s="32"/>
    </row>
    <row r="27" spans="1:26" s="31" customFormat="1" ht="15.75" customHeight="1" thickTop="1">
      <c r="A27" s="64"/>
      <c r="B27" s="710" t="s">
        <v>35</v>
      </c>
      <c r="C27" s="721" t="s">
        <v>471</v>
      </c>
      <c r="D27" s="727"/>
      <c r="E27" s="727"/>
      <c r="F27" s="727"/>
      <c r="G27" s="727"/>
      <c r="H27" s="727"/>
      <c r="I27" s="727"/>
      <c r="J27" s="727"/>
      <c r="K27" s="727"/>
      <c r="L27" s="727"/>
      <c r="M27" s="727"/>
      <c r="N27" s="727"/>
      <c r="O27" s="727"/>
      <c r="P27" s="727"/>
      <c r="Q27" s="727"/>
      <c r="R27" s="727"/>
      <c r="S27" s="727"/>
      <c r="T27" s="727"/>
      <c r="U27" s="727"/>
      <c r="V27" s="727"/>
      <c r="W27" s="727"/>
      <c r="X27" s="727"/>
      <c r="Y27" s="727"/>
      <c r="Z27" s="725"/>
    </row>
    <row r="28" spans="1:26">
      <c r="A28" s="48"/>
      <c r="B28" s="711"/>
      <c r="C28" s="723"/>
      <c r="D28" s="728"/>
      <c r="E28" s="728"/>
      <c r="F28" s="728"/>
      <c r="G28" s="728"/>
      <c r="H28" s="728"/>
      <c r="I28" s="728"/>
      <c r="J28" s="728"/>
      <c r="K28" s="728"/>
      <c r="L28" s="728"/>
      <c r="M28" s="728"/>
      <c r="N28" s="728"/>
      <c r="O28" s="728"/>
      <c r="P28" s="728"/>
      <c r="Q28" s="728"/>
      <c r="R28" s="728"/>
      <c r="S28" s="728"/>
      <c r="T28" s="728"/>
      <c r="U28" s="728"/>
      <c r="V28" s="728"/>
      <c r="W28" s="728"/>
      <c r="X28" s="728"/>
      <c r="Y28" s="728"/>
      <c r="Z28" s="726"/>
    </row>
    <row r="29" spans="1:26">
      <c r="A29" s="48"/>
      <c r="B29" s="711"/>
      <c r="C29" s="774" t="s">
        <v>472</v>
      </c>
      <c r="D29" s="775"/>
      <c r="E29" s="775"/>
      <c r="F29" s="775"/>
      <c r="G29" s="775"/>
      <c r="H29" s="776"/>
      <c r="I29" s="774" t="s">
        <v>477</v>
      </c>
      <c r="J29" s="775"/>
      <c r="K29" s="775"/>
      <c r="L29" s="775"/>
      <c r="M29" s="775"/>
      <c r="N29" s="776"/>
      <c r="O29" s="774" t="s">
        <v>476</v>
      </c>
      <c r="P29" s="775"/>
      <c r="Q29" s="775"/>
      <c r="R29" s="775"/>
      <c r="S29" s="775"/>
      <c r="T29" s="776"/>
      <c r="U29" s="774" t="s">
        <v>475</v>
      </c>
      <c r="V29" s="775"/>
      <c r="W29" s="775"/>
      <c r="X29" s="775"/>
      <c r="Y29" s="775"/>
      <c r="Z29" s="782"/>
    </row>
    <row r="30" spans="1:26">
      <c r="A30" s="59" t="s">
        <v>42</v>
      </c>
      <c r="B30" s="711"/>
      <c r="C30" s="723"/>
      <c r="D30" s="728"/>
      <c r="E30" s="728"/>
      <c r="F30" s="728"/>
      <c r="G30" s="728"/>
      <c r="H30" s="724"/>
      <c r="I30" s="723"/>
      <c r="J30" s="728"/>
      <c r="K30" s="728"/>
      <c r="L30" s="728"/>
      <c r="M30" s="728"/>
      <c r="N30" s="724"/>
      <c r="O30" s="723"/>
      <c r="P30" s="728"/>
      <c r="Q30" s="728"/>
      <c r="R30" s="728"/>
      <c r="S30" s="728"/>
      <c r="T30" s="724"/>
      <c r="U30" s="723"/>
      <c r="V30" s="728"/>
      <c r="W30" s="728"/>
      <c r="X30" s="728"/>
      <c r="Y30" s="728"/>
      <c r="Z30" s="726"/>
    </row>
    <row r="31" spans="1:26">
      <c r="A31" s="138">
        <v>4145</v>
      </c>
      <c r="B31" s="711"/>
      <c r="C31" s="768" t="s">
        <v>423</v>
      </c>
      <c r="D31" s="769"/>
      <c r="E31" s="777" t="s">
        <v>425</v>
      </c>
      <c r="F31" s="778"/>
      <c r="G31" s="769" t="s">
        <v>424</v>
      </c>
      <c r="H31" s="780"/>
      <c r="I31" s="763" t="s">
        <v>423</v>
      </c>
      <c r="J31" s="763"/>
      <c r="K31" s="777" t="s">
        <v>425</v>
      </c>
      <c r="L31" s="778"/>
      <c r="M31" s="777" t="s">
        <v>424</v>
      </c>
      <c r="N31" s="778"/>
      <c r="O31" s="763" t="s">
        <v>423</v>
      </c>
      <c r="P31" s="763"/>
      <c r="Q31" s="777" t="s">
        <v>425</v>
      </c>
      <c r="R31" s="778"/>
      <c r="S31" s="777" t="s">
        <v>424</v>
      </c>
      <c r="T31" s="778"/>
      <c r="U31" s="777" t="s">
        <v>423</v>
      </c>
      <c r="V31" s="763"/>
      <c r="W31" s="777" t="s">
        <v>425</v>
      </c>
      <c r="X31" s="778"/>
      <c r="Y31" s="777" t="s">
        <v>424</v>
      </c>
      <c r="Z31" s="783"/>
    </row>
    <row r="32" spans="1:26">
      <c r="B32" s="711"/>
      <c r="C32" s="770"/>
      <c r="D32" s="771"/>
      <c r="E32" s="731"/>
      <c r="F32" s="779"/>
      <c r="G32" s="771"/>
      <c r="H32" s="781"/>
      <c r="I32" s="732"/>
      <c r="J32" s="732"/>
      <c r="K32" s="731"/>
      <c r="L32" s="779"/>
      <c r="M32" s="731"/>
      <c r="N32" s="779"/>
      <c r="O32" s="732"/>
      <c r="P32" s="732"/>
      <c r="Q32" s="731"/>
      <c r="R32" s="779"/>
      <c r="S32" s="731"/>
      <c r="T32" s="779"/>
      <c r="U32" s="731"/>
      <c r="V32" s="732"/>
      <c r="W32" s="731"/>
      <c r="X32" s="779"/>
      <c r="Y32" s="731"/>
      <c r="Z32" s="784"/>
    </row>
    <row r="33" spans="1:26">
      <c r="A33" s="138"/>
      <c r="B33" s="711"/>
      <c r="C33" s="749" t="s">
        <v>11</v>
      </c>
      <c r="D33" s="772" t="s">
        <v>7</v>
      </c>
      <c r="E33" s="739" t="s">
        <v>11</v>
      </c>
      <c r="F33" s="785" t="s">
        <v>7</v>
      </c>
      <c r="G33" s="767" t="s">
        <v>11</v>
      </c>
      <c r="H33" s="755" t="s">
        <v>7</v>
      </c>
      <c r="I33" s="767" t="s">
        <v>421</v>
      </c>
      <c r="J33" s="762" t="s">
        <v>420</v>
      </c>
      <c r="K33" s="739" t="s">
        <v>421</v>
      </c>
      <c r="L33" s="755" t="s">
        <v>420</v>
      </c>
      <c r="M33" s="739" t="s">
        <v>421</v>
      </c>
      <c r="N33" s="755" t="s">
        <v>420</v>
      </c>
      <c r="O33" s="767" t="s">
        <v>421</v>
      </c>
      <c r="P33" s="762" t="s">
        <v>420</v>
      </c>
      <c r="Q33" s="739" t="s">
        <v>421</v>
      </c>
      <c r="R33" s="755" t="s">
        <v>420</v>
      </c>
      <c r="S33" s="739" t="s">
        <v>421</v>
      </c>
      <c r="T33" s="755" t="s">
        <v>420</v>
      </c>
      <c r="U33" s="739" t="s">
        <v>421</v>
      </c>
      <c r="V33" s="762" t="s">
        <v>420</v>
      </c>
      <c r="W33" s="739" t="s">
        <v>421</v>
      </c>
      <c r="X33" s="755" t="s">
        <v>420</v>
      </c>
      <c r="Y33" s="739" t="s">
        <v>421</v>
      </c>
      <c r="Z33" s="745" t="s">
        <v>420</v>
      </c>
    </row>
    <row r="34" spans="1:26" s="31" customFormat="1">
      <c r="A34" s="44"/>
      <c r="B34" s="712"/>
      <c r="C34" s="751"/>
      <c r="D34" s="773"/>
      <c r="E34" s="741"/>
      <c r="F34" s="786"/>
      <c r="G34" s="733"/>
      <c r="H34" s="757"/>
      <c r="I34" s="733"/>
      <c r="J34" s="764"/>
      <c r="K34" s="741"/>
      <c r="L34" s="757"/>
      <c r="M34" s="741"/>
      <c r="N34" s="757"/>
      <c r="O34" s="733"/>
      <c r="P34" s="764"/>
      <c r="Q34" s="741"/>
      <c r="R34" s="757"/>
      <c r="S34" s="741"/>
      <c r="T34" s="757"/>
      <c r="U34" s="741"/>
      <c r="V34" s="764"/>
      <c r="W34" s="741"/>
      <c r="X34" s="757"/>
      <c r="Y34" s="741"/>
      <c r="Z34" s="747"/>
    </row>
    <row r="35" spans="1:26" s="31" customFormat="1">
      <c r="A35" s="48"/>
      <c r="B35" s="650"/>
      <c r="C35" s="20"/>
      <c r="E35" s="56"/>
      <c r="F35" s="691"/>
      <c r="G35" s="381"/>
      <c r="H35" s="61"/>
      <c r="I35" s="47"/>
      <c r="J35" s="161"/>
      <c r="K35" s="17"/>
      <c r="L35" s="61"/>
      <c r="M35" s="17"/>
      <c r="N35" s="61"/>
      <c r="O35" s="47"/>
      <c r="P35" s="161"/>
      <c r="Q35" s="17"/>
      <c r="R35" s="61"/>
      <c r="S35" s="17"/>
      <c r="T35" s="61"/>
      <c r="U35" s="17"/>
      <c r="V35" s="161"/>
      <c r="W35" s="17"/>
      <c r="X35" s="61"/>
      <c r="Y35" s="17"/>
      <c r="Z35" s="360"/>
    </row>
    <row r="36" spans="1:26" s="31" customFormat="1">
      <c r="A36" s="145" t="s">
        <v>61</v>
      </c>
      <c r="B36" s="17" t="s">
        <v>486</v>
      </c>
      <c r="C36" s="637">
        <f>SUM(C39:C42)</f>
        <v>68</v>
      </c>
      <c r="D36" s="690">
        <f t="shared" ref="D36:Z36" si="4">SUM(D39:D42)</f>
        <v>45</v>
      </c>
      <c r="E36" s="637">
        <f t="shared" si="4"/>
        <v>3599</v>
      </c>
      <c r="F36" s="690">
        <f t="shared" si="4"/>
        <v>620</v>
      </c>
      <c r="G36" s="637">
        <f t="shared" si="4"/>
        <v>77</v>
      </c>
      <c r="H36" s="690">
        <f t="shared" si="4"/>
        <v>6</v>
      </c>
      <c r="I36" s="637">
        <f t="shared" si="4"/>
        <v>2</v>
      </c>
      <c r="J36" s="690">
        <f t="shared" si="4"/>
        <v>8</v>
      </c>
      <c r="K36" s="637">
        <f t="shared" si="4"/>
        <v>105</v>
      </c>
      <c r="L36" s="690">
        <f t="shared" si="4"/>
        <v>71</v>
      </c>
      <c r="M36" s="637">
        <f t="shared" si="4"/>
        <v>8</v>
      </c>
      <c r="N36" s="690">
        <f t="shared" si="4"/>
        <v>1</v>
      </c>
      <c r="O36" s="637">
        <f t="shared" si="4"/>
        <v>1526</v>
      </c>
      <c r="P36" s="690">
        <f t="shared" si="4"/>
        <v>1767</v>
      </c>
      <c r="Q36" s="637">
        <f t="shared" si="4"/>
        <v>41477</v>
      </c>
      <c r="R36" s="690">
        <f t="shared" si="4"/>
        <v>49858</v>
      </c>
      <c r="S36" s="637">
        <f t="shared" si="4"/>
        <v>12099</v>
      </c>
      <c r="T36" s="690">
        <f t="shared" si="4"/>
        <v>12665</v>
      </c>
      <c r="U36" s="637">
        <f t="shared" si="4"/>
        <v>625</v>
      </c>
      <c r="V36" s="690">
        <f t="shared" si="4"/>
        <v>603</v>
      </c>
      <c r="W36" s="637">
        <f t="shared" si="4"/>
        <v>15187</v>
      </c>
      <c r="X36" s="690">
        <f t="shared" si="4"/>
        <v>15446</v>
      </c>
      <c r="Y36" s="637">
        <f t="shared" si="4"/>
        <v>1064</v>
      </c>
      <c r="Z36" s="639">
        <f t="shared" si="4"/>
        <v>968</v>
      </c>
    </row>
    <row r="37" spans="1:26" s="31" customFormat="1" ht="15" thickBot="1">
      <c r="A37" s="47" t="s">
        <v>62</v>
      </c>
      <c r="B37" s="17"/>
      <c r="C37" s="453"/>
      <c r="D37" s="415"/>
      <c r="E37" s="453"/>
      <c r="F37" s="398"/>
      <c r="G37" s="149"/>
      <c r="H37" s="398"/>
      <c r="I37" s="417"/>
      <c r="J37" s="45"/>
      <c r="K37" s="693"/>
      <c r="L37" s="122"/>
      <c r="M37" s="693"/>
      <c r="N37" s="122"/>
      <c r="O37" s="417"/>
      <c r="P37" s="45"/>
      <c r="Q37" s="693"/>
      <c r="R37" s="122"/>
      <c r="S37" s="693"/>
      <c r="T37" s="122"/>
      <c r="U37" s="693"/>
      <c r="V37" s="45"/>
      <c r="W37" s="693"/>
      <c r="X37" s="122"/>
      <c r="Y37" s="693"/>
      <c r="Z37" s="424"/>
    </row>
    <row r="38" spans="1:26" s="31" customFormat="1">
      <c r="A38" s="47"/>
      <c r="B38" s="17"/>
      <c r="C38" s="162"/>
      <c r="D38" s="23"/>
      <c r="E38" s="162"/>
      <c r="F38" s="49"/>
      <c r="G38" s="32"/>
      <c r="H38" s="49"/>
      <c r="I38" s="123"/>
      <c r="J38" s="630"/>
      <c r="K38" s="120"/>
      <c r="L38" s="694"/>
      <c r="M38" s="120"/>
      <c r="N38" s="694"/>
      <c r="O38" s="123"/>
      <c r="P38" s="630"/>
      <c r="Q38" s="120"/>
      <c r="R38" s="694"/>
      <c r="S38" s="120"/>
      <c r="T38" s="694"/>
      <c r="U38" s="120"/>
      <c r="V38" s="630"/>
      <c r="W38" s="120"/>
      <c r="X38" s="694"/>
      <c r="Y38" s="120"/>
      <c r="Z38" s="682"/>
    </row>
    <row r="39" spans="1:26" s="31" customFormat="1">
      <c r="A39" s="31" t="s">
        <v>4</v>
      </c>
      <c r="B39" s="10"/>
      <c r="C39" s="162">
        <v>11</v>
      </c>
      <c r="D39" s="23">
        <v>4</v>
      </c>
      <c r="E39" s="162">
        <v>159</v>
      </c>
      <c r="F39" s="49">
        <v>109</v>
      </c>
      <c r="G39" s="32">
        <v>11</v>
      </c>
      <c r="H39" s="49">
        <v>1</v>
      </c>
      <c r="I39" s="123">
        <v>2</v>
      </c>
      <c r="J39" s="45">
        <v>7</v>
      </c>
      <c r="K39" s="120">
        <v>51</v>
      </c>
      <c r="L39" s="122">
        <v>64</v>
      </c>
      <c r="M39" s="120">
        <v>2</v>
      </c>
      <c r="N39" s="122">
        <v>1</v>
      </c>
      <c r="O39" s="123">
        <v>1157</v>
      </c>
      <c r="P39" s="45">
        <v>1290</v>
      </c>
      <c r="Q39" s="120">
        <v>29166</v>
      </c>
      <c r="R39" s="122">
        <v>33430</v>
      </c>
      <c r="S39" s="120">
        <v>8768</v>
      </c>
      <c r="T39" s="122">
        <v>8304</v>
      </c>
      <c r="U39" s="120">
        <v>615</v>
      </c>
      <c r="V39" s="45">
        <v>590</v>
      </c>
      <c r="W39" s="120">
        <v>14041</v>
      </c>
      <c r="X39" s="122">
        <v>14337</v>
      </c>
      <c r="Y39" s="120">
        <v>877</v>
      </c>
      <c r="Z39" s="424">
        <v>787</v>
      </c>
    </row>
    <row r="40" spans="1:26" s="31" customFormat="1">
      <c r="A40" s="68" t="s">
        <v>1</v>
      </c>
      <c r="B40" s="245"/>
      <c r="C40" s="162">
        <v>53</v>
      </c>
      <c r="D40" s="23">
        <v>38</v>
      </c>
      <c r="E40" s="162">
        <v>3320</v>
      </c>
      <c r="F40" s="49">
        <v>466</v>
      </c>
      <c r="G40" s="32">
        <v>57</v>
      </c>
      <c r="H40" s="49">
        <v>1</v>
      </c>
      <c r="I40" s="123"/>
      <c r="J40" s="45">
        <v>1</v>
      </c>
      <c r="K40" s="120">
        <v>38</v>
      </c>
      <c r="L40" s="122">
        <v>3</v>
      </c>
      <c r="M40" s="120">
        <v>2</v>
      </c>
      <c r="N40" s="122"/>
      <c r="O40" s="123">
        <v>110</v>
      </c>
      <c r="P40" s="45">
        <v>141</v>
      </c>
      <c r="Q40" s="120">
        <v>6297</v>
      </c>
      <c r="R40" s="122">
        <v>8376</v>
      </c>
      <c r="S40" s="120">
        <v>1148</v>
      </c>
      <c r="T40" s="122">
        <v>1952</v>
      </c>
      <c r="U40" s="120">
        <v>2</v>
      </c>
      <c r="V40" s="45">
        <v>6</v>
      </c>
      <c r="W40" s="120">
        <v>562</v>
      </c>
      <c r="X40" s="122">
        <v>524</v>
      </c>
      <c r="Y40" s="120">
        <v>130</v>
      </c>
      <c r="Z40" s="424">
        <v>134</v>
      </c>
    </row>
    <row r="41" spans="1:26" s="31" customFormat="1">
      <c r="A41" s="68" t="s">
        <v>2</v>
      </c>
      <c r="B41" s="245"/>
      <c r="C41" s="162">
        <v>4</v>
      </c>
      <c r="D41" s="23">
        <v>3</v>
      </c>
      <c r="E41" s="162">
        <v>115</v>
      </c>
      <c r="F41" s="49">
        <v>37</v>
      </c>
      <c r="G41" s="32">
        <v>8</v>
      </c>
      <c r="H41" s="49">
        <v>3</v>
      </c>
      <c r="I41" s="123"/>
      <c r="J41" s="45"/>
      <c r="K41" s="120">
        <v>16</v>
      </c>
      <c r="L41" s="122">
        <v>4</v>
      </c>
      <c r="M41" s="120">
        <v>4</v>
      </c>
      <c r="N41" s="122"/>
      <c r="O41" s="123">
        <v>98</v>
      </c>
      <c r="P41" s="45">
        <v>151</v>
      </c>
      <c r="Q41" s="120">
        <v>4247</v>
      </c>
      <c r="R41" s="122">
        <v>5477</v>
      </c>
      <c r="S41" s="120">
        <v>1518</v>
      </c>
      <c r="T41" s="122">
        <v>1636</v>
      </c>
      <c r="U41" s="120">
        <v>2</v>
      </c>
      <c r="V41" s="45"/>
      <c r="W41" s="120">
        <v>384</v>
      </c>
      <c r="X41" s="122">
        <v>346</v>
      </c>
      <c r="Y41" s="120">
        <v>16</v>
      </c>
      <c r="Z41" s="424">
        <v>15</v>
      </c>
    </row>
    <row r="42" spans="1:26" s="31" customFormat="1">
      <c r="A42" s="68" t="s">
        <v>3</v>
      </c>
      <c r="B42" s="245"/>
      <c r="C42" s="162"/>
      <c r="D42" s="23"/>
      <c r="E42" s="162">
        <v>5</v>
      </c>
      <c r="F42" s="49">
        <v>8</v>
      </c>
      <c r="G42" s="32">
        <v>1</v>
      </c>
      <c r="H42" s="49">
        <v>1</v>
      </c>
      <c r="I42" s="123"/>
      <c r="J42" s="45"/>
      <c r="K42" s="120"/>
      <c r="L42" s="122"/>
      <c r="M42" s="120"/>
      <c r="N42" s="122"/>
      <c r="O42" s="123">
        <v>161</v>
      </c>
      <c r="P42" s="45">
        <v>185</v>
      </c>
      <c r="Q42" s="120">
        <v>1767</v>
      </c>
      <c r="R42" s="122">
        <v>2575</v>
      </c>
      <c r="S42" s="120">
        <v>665</v>
      </c>
      <c r="T42" s="122">
        <v>773</v>
      </c>
      <c r="U42" s="120">
        <v>6</v>
      </c>
      <c r="V42" s="45">
        <v>7</v>
      </c>
      <c r="W42" s="120">
        <v>200</v>
      </c>
      <c r="X42" s="122">
        <v>239</v>
      </c>
      <c r="Y42" s="120">
        <v>41</v>
      </c>
      <c r="Z42" s="424">
        <v>32</v>
      </c>
    </row>
    <row r="43" spans="1:26" ht="16" thickBot="1">
      <c r="A43" s="184"/>
      <c r="B43" s="671"/>
      <c r="C43" s="275"/>
      <c r="D43" s="202"/>
      <c r="E43" s="275"/>
      <c r="F43" s="692"/>
      <c r="G43" s="207"/>
      <c r="H43" s="305"/>
      <c r="I43" s="202"/>
      <c r="J43" s="276"/>
      <c r="K43" s="252"/>
      <c r="L43" s="305"/>
      <c r="M43" s="252"/>
      <c r="N43" s="305"/>
      <c r="O43" s="202"/>
      <c r="P43" s="276"/>
      <c r="Q43" s="252"/>
      <c r="R43" s="305"/>
      <c r="S43" s="252"/>
      <c r="T43" s="305"/>
      <c r="U43" s="252"/>
      <c r="V43" s="276"/>
      <c r="W43" s="252"/>
      <c r="X43" s="305"/>
      <c r="Y43" s="252"/>
      <c r="Z43" s="672"/>
    </row>
    <row r="44" spans="1:26" s="31" customFormat="1" ht="15" thickTop="1">
      <c r="A44" s="145"/>
      <c r="C44" s="463"/>
      <c r="D44" s="32"/>
      <c r="E44" s="606"/>
      <c r="F44" s="32"/>
      <c r="G44" s="32"/>
      <c r="H44" s="134"/>
      <c r="I44" s="134"/>
      <c r="J44" s="32"/>
      <c r="K44" s="32"/>
      <c r="L44" s="32"/>
      <c r="M44" s="32"/>
      <c r="N44" s="32"/>
      <c r="O44" s="32"/>
      <c r="P44" s="134"/>
      <c r="Q44" s="134"/>
      <c r="R44" s="32"/>
      <c r="S44" s="32"/>
      <c r="T44" s="32"/>
      <c r="U44" s="32"/>
      <c r="V44" s="32"/>
      <c r="W44" s="32"/>
    </row>
    <row r="45" spans="1:26" s="31" customFormat="1">
      <c r="A45" s="145"/>
      <c r="C45" s="463"/>
      <c r="D45" s="32"/>
      <c r="E45" s="606"/>
      <c r="F45" s="32"/>
      <c r="G45" s="32"/>
      <c r="H45" s="134"/>
      <c r="I45" s="134"/>
      <c r="J45" s="32"/>
      <c r="K45" s="32"/>
      <c r="L45" s="32"/>
      <c r="M45" s="32"/>
      <c r="N45" s="32"/>
      <c r="O45" s="32"/>
      <c r="P45" s="134"/>
      <c r="Q45" s="134"/>
      <c r="R45" s="32"/>
      <c r="S45" s="32"/>
      <c r="T45" s="32"/>
      <c r="U45" s="32"/>
      <c r="V45" s="32"/>
      <c r="W45" s="32"/>
    </row>
    <row r="46" spans="1:26" s="31" customFormat="1">
      <c r="A46" s="145"/>
      <c r="C46" s="463"/>
      <c r="D46" s="32"/>
      <c r="E46" s="606"/>
      <c r="F46" s="32"/>
      <c r="G46" s="32"/>
      <c r="H46" s="134"/>
      <c r="I46" s="134"/>
      <c r="J46" s="32"/>
      <c r="K46" s="32"/>
      <c r="L46" s="32"/>
      <c r="M46" s="32"/>
      <c r="N46" s="32"/>
      <c r="O46" s="32"/>
      <c r="P46" s="134"/>
      <c r="Q46" s="134"/>
      <c r="R46" s="32"/>
      <c r="S46" s="32"/>
      <c r="T46" s="32"/>
      <c r="U46" s="32"/>
      <c r="V46" s="32"/>
      <c r="W46" s="32"/>
    </row>
    <row r="47" spans="1:26" s="31" customFormat="1">
      <c r="A47" s="145"/>
      <c r="C47" s="463"/>
      <c r="D47" s="32"/>
      <c r="E47" s="606"/>
      <c r="F47" s="32"/>
      <c r="G47" s="32"/>
      <c r="H47" s="134"/>
      <c r="I47" s="134"/>
      <c r="J47" s="32"/>
      <c r="K47" s="32"/>
      <c r="L47" s="32"/>
      <c r="M47" s="32"/>
      <c r="N47" s="32"/>
      <c r="O47" s="32"/>
      <c r="P47" s="134"/>
      <c r="Q47" s="134"/>
      <c r="R47" s="32"/>
      <c r="S47" s="32"/>
      <c r="T47" s="32"/>
      <c r="U47" s="32"/>
      <c r="V47" s="32"/>
      <c r="W47" s="32"/>
    </row>
    <row r="48" spans="1:26" s="31" customFormat="1">
      <c r="A48" s="145"/>
      <c r="C48" s="463"/>
      <c r="D48" s="32"/>
      <c r="E48" s="606"/>
      <c r="F48" s="32"/>
      <c r="G48" s="32"/>
      <c r="H48" s="134"/>
      <c r="I48" s="134"/>
      <c r="J48" s="32"/>
      <c r="K48" s="32"/>
      <c r="L48" s="32"/>
      <c r="M48" s="32"/>
      <c r="N48" s="32"/>
      <c r="O48" s="32"/>
      <c r="P48" s="134"/>
      <c r="Q48" s="134"/>
      <c r="R48" s="32"/>
      <c r="S48" s="32"/>
      <c r="T48" s="32"/>
      <c r="U48" s="32"/>
      <c r="V48" s="32"/>
      <c r="W48" s="32"/>
    </row>
    <row r="49" spans="1:23" s="31" customFormat="1">
      <c r="A49" s="145"/>
      <c r="C49" s="463"/>
      <c r="D49" s="32"/>
      <c r="E49" s="606"/>
      <c r="F49" s="32"/>
      <c r="G49" s="32"/>
      <c r="H49" s="134"/>
      <c r="I49" s="134"/>
      <c r="J49" s="32"/>
      <c r="K49" s="32"/>
      <c r="L49" s="32"/>
      <c r="M49" s="32"/>
      <c r="N49" s="32"/>
      <c r="O49" s="32"/>
      <c r="P49" s="134"/>
      <c r="Q49" s="134"/>
      <c r="R49" s="32"/>
      <c r="S49" s="32"/>
      <c r="T49" s="32"/>
      <c r="U49" s="32"/>
      <c r="V49" s="32"/>
      <c r="W49" s="32"/>
    </row>
    <row r="50" spans="1:23" s="31" customFormat="1">
      <c r="A50" s="145"/>
      <c r="C50" s="463"/>
      <c r="D50" s="32"/>
      <c r="E50" s="606"/>
      <c r="F50" s="32"/>
      <c r="G50" s="32"/>
      <c r="H50" s="134"/>
      <c r="I50" s="134"/>
      <c r="J50" s="32"/>
      <c r="K50" s="32"/>
      <c r="L50" s="32"/>
      <c r="M50" s="32"/>
      <c r="N50" s="32"/>
      <c r="O50" s="32"/>
      <c r="P50" s="134"/>
      <c r="Q50" s="134"/>
      <c r="R50" s="32"/>
      <c r="S50" s="32"/>
      <c r="T50" s="32"/>
      <c r="U50" s="32"/>
      <c r="V50" s="32"/>
      <c r="W50" s="32"/>
    </row>
    <row r="51" spans="1:23" s="31" customFormat="1">
      <c r="A51" s="145"/>
      <c r="C51" s="463"/>
      <c r="D51" s="32"/>
      <c r="E51" s="606"/>
      <c r="F51" s="32"/>
      <c r="G51" s="32"/>
      <c r="H51" s="134"/>
      <c r="I51" s="134"/>
      <c r="J51" s="32"/>
      <c r="K51" s="32"/>
      <c r="L51" s="32"/>
      <c r="M51" s="32"/>
      <c r="N51" s="32"/>
      <c r="O51" s="32"/>
      <c r="P51" s="134"/>
      <c r="Q51" s="134"/>
      <c r="R51" s="32"/>
      <c r="S51" s="32"/>
      <c r="T51" s="32"/>
      <c r="U51" s="32"/>
      <c r="V51" s="32"/>
      <c r="W51" s="32"/>
    </row>
    <row r="52" spans="1:23" s="31" customFormat="1">
      <c r="A52" s="145"/>
      <c r="C52" s="463"/>
      <c r="D52" s="32"/>
      <c r="E52" s="606"/>
      <c r="F52" s="32"/>
      <c r="G52" s="32"/>
      <c r="H52" s="134"/>
      <c r="I52" s="134"/>
      <c r="J52" s="32"/>
      <c r="K52" s="32"/>
      <c r="L52" s="32"/>
      <c r="M52" s="32"/>
      <c r="N52" s="32"/>
      <c r="O52" s="32"/>
      <c r="P52" s="134"/>
      <c r="Q52" s="134"/>
      <c r="R52" s="32"/>
      <c r="S52" s="32"/>
      <c r="T52" s="32"/>
      <c r="U52" s="32"/>
      <c r="V52" s="32"/>
      <c r="W52" s="32"/>
    </row>
    <row r="53" spans="1:23" s="31" customFormat="1">
      <c r="A53" s="145"/>
      <c r="C53" s="463"/>
      <c r="D53" s="32"/>
      <c r="E53" s="606"/>
      <c r="F53" s="32"/>
      <c r="G53" s="32"/>
      <c r="H53" s="134"/>
      <c r="I53" s="134"/>
      <c r="J53" s="32"/>
      <c r="K53" s="32"/>
      <c r="L53" s="32"/>
      <c r="M53" s="32"/>
      <c r="N53" s="32"/>
      <c r="O53" s="32"/>
      <c r="P53" s="134"/>
      <c r="Q53" s="134"/>
      <c r="R53" s="32"/>
      <c r="S53" s="32"/>
      <c r="T53" s="32"/>
      <c r="U53" s="32"/>
      <c r="V53" s="32"/>
      <c r="W53" s="32"/>
    </row>
    <row r="54" spans="1:23" s="31" customFormat="1">
      <c r="A54" s="145"/>
      <c r="C54" s="463"/>
      <c r="D54" s="32"/>
      <c r="E54" s="606"/>
      <c r="F54" s="32"/>
      <c r="G54" s="32"/>
      <c r="H54" s="134"/>
      <c r="I54" s="134"/>
      <c r="J54" s="32"/>
      <c r="K54" s="32"/>
      <c r="L54" s="32"/>
      <c r="M54" s="32"/>
      <c r="N54" s="32"/>
      <c r="O54" s="32"/>
      <c r="P54" s="134"/>
      <c r="Q54" s="134"/>
      <c r="R54" s="32"/>
      <c r="S54" s="32"/>
      <c r="T54" s="32"/>
      <c r="U54" s="32"/>
      <c r="V54" s="32"/>
      <c r="W54" s="32"/>
    </row>
    <row r="55" spans="1:23" s="31" customFormat="1">
      <c r="A55" s="145"/>
      <c r="C55" s="463"/>
      <c r="D55" s="32"/>
      <c r="E55" s="606"/>
      <c r="F55" s="32"/>
      <c r="G55" s="32"/>
      <c r="H55" s="134"/>
      <c r="I55" s="134"/>
      <c r="J55" s="32"/>
      <c r="K55" s="32"/>
      <c r="L55" s="32"/>
      <c r="M55" s="32"/>
      <c r="N55" s="32"/>
      <c r="O55" s="32"/>
      <c r="P55" s="134"/>
      <c r="Q55" s="134"/>
      <c r="R55" s="32"/>
      <c r="S55" s="32"/>
      <c r="T55" s="32"/>
      <c r="U55" s="32"/>
      <c r="V55" s="32"/>
      <c r="W55" s="32"/>
    </row>
    <row r="56" spans="1:23" s="31" customFormat="1">
      <c r="A56" s="145"/>
      <c r="C56" s="463"/>
      <c r="D56" s="463"/>
      <c r="E56" s="607"/>
      <c r="F56" s="463"/>
      <c r="G56" s="32"/>
      <c r="H56" s="474"/>
      <c r="I56" s="134"/>
      <c r="J56" s="134"/>
      <c r="K56" s="134"/>
      <c r="L56" s="134"/>
      <c r="M56" s="29"/>
      <c r="N56" s="134"/>
      <c r="O56" s="134"/>
      <c r="P56" s="134"/>
      <c r="Q56" s="134"/>
      <c r="R56" s="134"/>
      <c r="S56" s="134"/>
      <c r="T56" s="134"/>
      <c r="U56" s="134"/>
      <c r="V56" s="134"/>
      <c r="W56" s="134"/>
    </row>
    <row r="57" spans="1:23" s="31" customFormat="1">
      <c r="A57" s="145"/>
      <c r="C57" s="463"/>
      <c r="D57" s="463"/>
      <c r="E57" s="607"/>
      <c r="F57" s="463"/>
      <c r="G57" s="32"/>
      <c r="H57" s="474"/>
      <c r="I57" s="134"/>
      <c r="J57" s="134"/>
      <c r="K57" s="134"/>
      <c r="L57" s="134"/>
      <c r="M57" s="134"/>
      <c r="N57" s="134"/>
      <c r="O57" s="134"/>
      <c r="P57" s="134"/>
      <c r="Q57" s="134"/>
      <c r="R57" s="134"/>
      <c r="S57" s="134"/>
      <c r="T57" s="134"/>
      <c r="U57" s="134"/>
      <c r="V57" s="134"/>
      <c r="W57" s="134"/>
    </row>
    <row r="58" spans="1:23" s="31" customFormat="1">
      <c r="A58" s="145"/>
      <c r="C58" s="463"/>
      <c r="D58" s="463"/>
      <c r="E58" s="607"/>
      <c r="F58" s="463"/>
      <c r="G58" s="32"/>
      <c r="H58" s="474"/>
      <c r="I58" s="134"/>
      <c r="J58" s="134"/>
      <c r="K58" s="134"/>
      <c r="L58" s="134"/>
      <c r="M58" s="134"/>
      <c r="N58" s="134"/>
      <c r="O58" s="134"/>
      <c r="P58" s="134"/>
      <c r="Q58" s="134"/>
      <c r="R58" s="134"/>
      <c r="S58" s="134"/>
      <c r="T58" s="134"/>
      <c r="U58" s="134"/>
      <c r="V58" s="134"/>
      <c r="W58" s="134"/>
    </row>
    <row r="59" spans="1:23" s="31" customFormat="1">
      <c r="A59" s="145"/>
      <c r="C59" s="463"/>
      <c r="D59" s="463"/>
      <c r="E59" s="607"/>
      <c r="F59" s="463"/>
      <c r="G59" s="32"/>
      <c r="H59" s="474"/>
      <c r="I59" s="134"/>
      <c r="J59" s="134"/>
      <c r="K59" s="134"/>
      <c r="L59" s="134"/>
      <c r="M59" s="134"/>
      <c r="N59" s="134"/>
      <c r="O59" s="134"/>
      <c r="P59" s="134"/>
      <c r="Q59" s="134"/>
      <c r="R59" s="134"/>
      <c r="S59" s="134"/>
      <c r="T59" s="134"/>
      <c r="U59" s="134"/>
      <c r="V59" s="134"/>
      <c r="W59" s="134"/>
    </row>
    <row r="60" spans="1:23" s="31" customFormat="1">
      <c r="A60" s="145"/>
      <c r="C60" s="463"/>
      <c r="D60" s="463"/>
      <c r="E60" s="607"/>
      <c r="F60" s="463"/>
      <c r="G60" s="32"/>
      <c r="H60" s="474"/>
      <c r="I60" s="134"/>
      <c r="J60" s="134"/>
      <c r="K60" s="134"/>
      <c r="L60" s="134"/>
      <c r="M60" s="134"/>
      <c r="N60" s="134"/>
      <c r="O60" s="134"/>
      <c r="P60" s="134"/>
      <c r="Q60" s="134"/>
      <c r="R60" s="134"/>
      <c r="S60" s="134"/>
      <c r="T60" s="134"/>
      <c r="U60" s="134"/>
      <c r="V60" s="134"/>
      <c r="W60" s="134"/>
    </row>
    <row r="61" spans="1:23" s="31" customFormat="1">
      <c r="A61" s="145"/>
      <c r="C61" s="463"/>
      <c r="D61" s="463"/>
      <c r="E61" s="607"/>
      <c r="F61" s="463"/>
      <c r="G61" s="32"/>
      <c r="H61" s="474"/>
      <c r="I61" s="134"/>
      <c r="J61" s="134"/>
      <c r="K61" s="134"/>
      <c r="L61" s="134"/>
      <c r="M61" s="134"/>
      <c r="N61" s="134"/>
      <c r="O61" s="134"/>
      <c r="P61" s="134"/>
      <c r="Q61" s="134"/>
      <c r="R61" s="134"/>
      <c r="S61" s="134"/>
      <c r="T61" s="134"/>
      <c r="U61" s="134"/>
      <c r="V61" s="134"/>
      <c r="W61" s="134"/>
    </row>
    <row r="62" spans="1:23" s="31" customFormat="1">
      <c r="A62" s="145"/>
      <c r="C62" s="463"/>
      <c r="D62" s="463"/>
      <c r="E62" s="607"/>
      <c r="F62" s="463"/>
      <c r="G62" s="32"/>
      <c r="H62" s="474"/>
      <c r="I62" s="134"/>
      <c r="J62" s="134"/>
      <c r="K62" s="134"/>
      <c r="L62" s="134"/>
      <c r="M62" s="134"/>
      <c r="N62" s="134"/>
      <c r="O62" s="134"/>
      <c r="P62" s="134"/>
      <c r="Q62" s="134"/>
      <c r="R62" s="134"/>
      <c r="S62" s="134"/>
      <c r="T62" s="134"/>
      <c r="U62" s="134"/>
      <c r="V62" s="134"/>
      <c r="W62" s="134"/>
    </row>
    <row r="63" spans="1:23" s="31" customFormat="1">
      <c r="A63" s="145"/>
      <c r="C63" s="463"/>
      <c r="D63" s="463"/>
      <c r="E63" s="607"/>
      <c r="F63" s="463"/>
      <c r="G63" s="32"/>
      <c r="H63" s="474"/>
      <c r="I63" s="134"/>
      <c r="J63" s="134"/>
      <c r="K63" s="134"/>
      <c r="L63" s="134"/>
      <c r="M63" s="134"/>
      <c r="N63" s="134"/>
      <c r="O63" s="134"/>
      <c r="P63" s="134"/>
      <c r="Q63" s="134"/>
      <c r="R63" s="134"/>
      <c r="S63" s="134"/>
      <c r="T63" s="134"/>
      <c r="U63" s="29"/>
      <c r="V63" s="134"/>
      <c r="W63" s="134"/>
    </row>
    <row r="64" spans="1:23" s="31" customFormat="1">
      <c r="A64" s="145"/>
      <c r="C64" s="463"/>
      <c r="D64" s="463"/>
      <c r="E64" s="607"/>
      <c r="F64" s="463"/>
      <c r="G64" s="32"/>
      <c r="H64" s="474"/>
      <c r="I64" s="134"/>
      <c r="J64" s="134"/>
      <c r="K64" s="134"/>
      <c r="L64" s="134"/>
      <c r="M64" s="134"/>
      <c r="N64" s="134"/>
      <c r="O64" s="134"/>
      <c r="P64" s="134"/>
      <c r="Q64" s="134"/>
      <c r="R64" s="134"/>
      <c r="S64" s="134"/>
      <c r="T64" s="134"/>
      <c r="U64" s="134"/>
      <c r="V64" s="134"/>
      <c r="W64" s="134"/>
    </row>
    <row r="65" spans="1:23" s="31" customFormat="1">
      <c r="A65" s="145"/>
      <c r="C65" s="463"/>
      <c r="D65" s="463"/>
      <c r="E65" s="607"/>
      <c r="F65" s="463"/>
      <c r="G65" s="32"/>
      <c r="H65" s="474"/>
      <c r="I65" s="134"/>
      <c r="J65" s="134"/>
      <c r="K65" s="134"/>
      <c r="L65" s="134"/>
      <c r="M65" s="134"/>
      <c r="N65" s="134"/>
      <c r="O65" s="134"/>
      <c r="P65" s="134"/>
      <c r="Q65" s="134"/>
      <c r="R65" s="134"/>
      <c r="S65" s="134"/>
      <c r="T65" s="134"/>
      <c r="U65" s="134"/>
      <c r="V65" s="134"/>
      <c r="W65" s="134"/>
    </row>
    <row r="66" spans="1:23" s="31" customFormat="1">
      <c r="A66" s="145"/>
      <c r="C66" s="463"/>
      <c r="D66" s="463"/>
      <c r="E66" s="607"/>
      <c r="F66" s="463"/>
      <c r="G66" s="32"/>
      <c r="H66" s="474"/>
      <c r="I66" s="134"/>
      <c r="J66" s="134"/>
      <c r="K66" s="134"/>
      <c r="L66" s="134"/>
      <c r="M66" s="134"/>
      <c r="N66" s="134"/>
      <c r="O66" s="134"/>
      <c r="P66" s="134"/>
      <c r="Q66" s="134"/>
      <c r="R66" s="134"/>
      <c r="S66" s="134"/>
      <c r="T66" s="134"/>
      <c r="U66" s="134"/>
      <c r="V66" s="134"/>
      <c r="W66" s="134"/>
    </row>
    <row r="67" spans="1:23" s="31" customFormat="1">
      <c r="A67" s="145"/>
      <c r="C67" s="463"/>
      <c r="D67" s="463"/>
      <c r="E67" s="607"/>
      <c r="F67" s="463"/>
      <c r="G67" s="32"/>
      <c r="H67" s="474"/>
      <c r="I67" s="134"/>
      <c r="J67" s="134"/>
      <c r="K67" s="134"/>
      <c r="L67" s="134"/>
      <c r="M67" s="134"/>
      <c r="N67" s="134"/>
      <c r="O67" s="134"/>
      <c r="P67" s="134"/>
      <c r="Q67" s="134"/>
      <c r="R67" s="134"/>
      <c r="S67" s="134"/>
      <c r="T67" s="134"/>
      <c r="U67" s="134"/>
      <c r="V67" s="134"/>
      <c r="W67" s="134"/>
    </row>
    <row r="68" spans="1:23" s="31" customFormat="1">
      <c r="A68" s="145"/>
      <c r="C68" s="463"/>
      <c r="D68" s="463"/>
      <c r="E68" s="607"/>
      <c r="F68" s="463"/>
      <c r="G68" s="32"/>
      <c r="H68" s="474"/>
      <c r="I68" s="134"/>
      <c r="J68" s="134"/>
      <c r="K68" s="134"/>
      <c r="L68" s="134"/>
      <c r="M68" s="134"/>
      <c r="N68" s="134"/>
      <c r="O68" s="134"/>
      <c r="P68" s="134"/>
      <c r="Q68" s="134"/>
      <c r="R68" s="134"/>
      <c r="S68" s="134"/>
      <c r="T68" s="134"/>
      <c r="U68" s="134"/>
      <c r="V68" s="134"/>
      <c r="W68" s="134"/>
    </row>
    <row r="69" spans="1:23" s="31" customFormat="1">
      <c r="A69" s="145"/>
      <c r="C69" s="463"/>
      <c r="D69" s="463"/>
      <c r="E69" s="607"/>
      <c r="F69" s="463"/>
      <c r="G69" s="32"/>
      <c r="H69" s="474"/>
      <c r="I69" s="134"/>
      <c r="J69" s="134"/>
      <c r="K69" s="134"/>
      <c r="L69" s="134"/>
      <c r="M69" s="134"/>
      <c r="N69" s="134"/>
      <c r="O69" s="134"/>
      <c r="P69" s="134"/>
      <c r="Q69" s="134"/>
      <c r="R69" s="134"/>
      <c r="S69" s="134"/>
      <c r="T69" s="134"/>
      <c r="U69" s="134"/>
      <c r="V69" s="134"/>
      <c r="W69" s="134"/>
    </row>
    <row r="70" spans="1:23" s="68" customFormat="1">
      <c r="A70" s="145"/>
      <c r="B70" s="79"/>
      <c r="C70" s="463"/>
      <c r="D70" s="490"/>
      <c r="E70" s="490"/>
      <c r="F70" s="490"/>
      <c r="G70" s="32"/>
      <c r="H70" s="490"/>
      <c r="I70" s="29"/>
      <c r="J70" s="29"/>
      <c r="K70" s="29"/>
      <c r="L70" s="29"/>
      <c r="M70" s="134"/>
      <c r="N70" s="29"/>
      <c r="O70" s="29"/>
      <c r="P70" s="29"/>
      <c r="Q70" s="29"/>
      <c r="R70" s="29"/>
      <c r="S70" s="29"/>
      <c r="T70" s="29"/>
      <c r="U70" s="134"/>
      <c r="V70" s="29"/>
      <c r="W70" s="29"/>
    </row>
    <row r="71" spans="1:23" s="31" customFormat="1">
      <c r="A71" s="218"/>
      <c r="B71" s="68"/>
      <c r="C71" s="463"/>
      <c r="D71" s="474"/>
      <c r="E71" s="490"/>
      <c r="F71" s="474"/>
      <c r="G71" s="32"/>
      <c r="H71" s="592"/>
      <c r="I71" s="134"/>
      <c r="J71" s="134"/>
      <c r="K71" s="134"/>
      <c r="L71" s="134"/>
      <c r="M71" s="29"/>
      <c r="N71" s="134"/>
      <c r="O71" s="134"/>
      <c r="P71" s="134"/>
      <c r="Q71" s="134"/>
      <c r="R71" s="134"/>
      <c r="S71" s="134"/>
      <c r="T71" s="134"/>
      <c r="U71" s="29"/>
      <c r="V71" s="134"/>
      <c r="W71" s="134"/>
    </row>
    <row r="72" spans="1:23" s="31" customFormat="1">
      <c r="A72" s="218"/>
      <c r="B72" s="68"/>
      <c r="C72" s="463"/>
      <c r="D72" s="474"/>
      <c r="E72" s="490"/>
      <c r="F72" s="474"/>
      <c r="G72" s="32"/>
      <c r="H72" s="474"/>
      <c r="I72" s="134"/>
      <c r="J72" s="134"/>
      <c r="K72" s="134"/>
      <c r="L72" s="134"/>
      <c r="M72" s="134"/>
      <c r="N72" s="134"/>
      <c r="O72" s="134"/>
      <c r="P72" s="134"/>
      <c r="Q72" s="134"/>
      <c r="R72" s="134"/>
      <c r="S72" s="134"/>
      <c r="T72" s="134"/>
      <c r="U72" s="134"/>
      <c r="V72" s="134"/>
      <c r="W72" s="134"/>
    </row>
    <row r="73" spans="1:23" s="31" customFormat="1">
      <c r="A73" s="218"/>
      <c r="B73" s="68"/>
      <c r="C73" s="463"/>
      <c r="D73" s="474"/>
      <c r="E73" s="490"/>
      <c r="F73" s="474"/>
      <c r="G73" s="32"/>
      <c r="H73" s="474"/>
      <c r="I73" s="134"/>
      <c r="J73" s="134"/>
      <c r="K73" s="134"/>
      <c r="L73" s="134"/>
      <c r="M73" s="134"/>
      <c r="N73" s="134"/>
      <c r="O73" s="134"/>
      <c r="P73" s="134"/>
      <c r="Q73" s="134"/>
      <c r="R73" s="134"/>
      <c r="S73" s="134"/>
      <c r="T73" s="134"/>
      <c r="U73" s="134"/>
      <c r="V73" s="134"/>
      <c r="W73" s="134"/>
    </row>
    <row r="74" spans="1:23" s="31" customFormat="1">
      <c r="A74" s="218"/>
      <c r="B74" s="68"/>
      <c r="C74" s="463"/>
      <c r="D74" s="474"/>
      <c r="E74" s="490"/>
      <c r="F74" s="474"/>
      <c r="G74" s="32"/>
      <c r="H74" s="474"/>
      <c r="I74" s="134"/>
      <c r="J74" s="134"/>
      <c r="K74" s="134"/>
      <c r="L74" s="134"/>
      <c r="M74" s="134"/>
      <c r="N74" s="134"/>
      <c r="O74" s="134"/>
      <c r="P74" s="134"/>
      <c r="Q74" s="134"/>
      <c r="R74" s="134"/>
      <c r="S74" s="134"/>
      <c r="T74" s="134"/>
      <c r="U74" s="134"/>
      <c r="V74" s="134"/>
      <c r="W74" s="134"/>
    </row>
    <row r="75" spans="1:23" s="31" customFormat="1">
      <c r="A75" s="218"/>
      <c r="B75" s="68"/>
      <c r="C75" s="463"/>
      <c r="D75" s="474"/>
      <c r="E75" s="490"/>
      <c r="F75" s="474"/>
      <c r="G75" s="32"/>
      <c r="H75" s="474"/>
      <c r="I75" s="134"/>
      <c r="J75" s="134"/>
      <c r="K75" s="134"/>
      <c r="L75" s="134"/>
      <c r="M75" s="134"/>
      <c r="N75" s="134"/>
      <c r="O75" s="134"/>
      <c r="P75" s="134"/>
      <c r="Q75" s="134"/>
      <c r="R75" s="134"/>
      <c r="S75" s="134"/>
      <c r="T75" s="134"/>
      <c r="U75" s="134"/>
      <c r="V75" s="134"/>
      <c r="W75" s="134"/>
    </row>
    <row r="76" spans="1:23" s="31" customFormat="1">
      <c r="A76" s="218"/>
      <c r="B76" s="68"/>
      <c r="C76" s="463"/>
      <c r="D76" s="474"/>
      <c r="E76" s="490"/>
      <c r="F76" s="474"/>
      <c r="G76" s="32"/>
      <c r="H76" s="474"/>
      <c r="I76" s="134"/>
      <c r="J76" s="134"/>
      <c r="K76" s="134"/>
      <c r="L76" s="134"/>
      <c r="M76" s="134"/>
      <c r="N76" s="134"/>
      <c r="O76" s="134"/>
      <c r="P76" s="134"/>
      <c r="Q76" s="134"/>
      <c r="R76" s="134"/>
      <c r="S76" s="134"/>
      <c r="T76" s="134"/>
      <c r="U76" s="134"/>
      <c r="V76" s="134"/>
      <c r="W76" s="134"/>
    </row>
    <row r="77" spans="1:23" s="31" customFormat="1">
      <c r="A77" s="218"/>
      <c r="B77" s="68"/>
      <c r="C77" s="463"/>
      <c r="D77" s="474"/>
      <c r="E77" s="490"/>
      <c r="F77" s="474"/>
      <c r="G77" s="32"/>
      <c r="H77" s="474"/>
      <c r="I77" s="134"/>
      <c r="J77" s="134"/>
      <c r="K77" s="134"/>
      <c r="L77" s="134"/>
      <c r="M77" s="134"/>
      <c r="N77" s="134"/>
      <c r="O77" s="134"/>
      <c r="P77" s="134"/>
      <c r="Q77" s="134"/>
      <c r="R77" s="134"/>
      <c r="S77" s="134"/>
      <c r="T77" s="134"/>
      <c r="U77" s="134"/>
      <c r="V77" s="134"/>
      <c r="W77" s="134"/>
    </row>
    <row r="78" spans="1:23" s="31" customFormat="1">
      <c r="A78" s="218"/>
      <c r="B78" s="68"/>
      <c r="C78" s="463"/>
      <c r="D78" s="474"/>
      <c r="E78" s="490"/>
      <c r="F78" s="490"/>
      <c r="G78" s="32"/>
      <c r="H78" s="474"/>
      <c r="I78" s="134"/>
      <c r="J78" s="134"/>
      <c r="K78" s="134"/>
      <c r="L78" s="134"/>
      <c r="M78" s="134"/>
      <c r="N78" s="134"/>
      <c r="O78" s="134"/>
      <c r="P78" s="134"/>
      <c r="Q78" s="134"/>
      <c r="R78" s="134"/>
      <c r="S78" s="134"/>
      <c r="T78" s="134"/>
      <c r="U78" s="134"/>
      <c r="V78" s="134"/>
      <c r="W78" s="134"/>
    </row>
    <row r="79" spans="1:23" s="31" customFormat="1">
      <c r="A79" s="218"/>
      <c r="B79" s="68"/>
      <c r="C79" s="463"/>
      <c r="D79" s="474"/>
      <c r="E79" s="490"/>
      <c r="F79" s="490"/>
      <c r="G79" s="32"/>
      <c r="H79" s="474"/>
      <c r="I79" s="134"/>
      <c r="J79" s="134"/>
      <c r="K79" s="134"/>
      <c r="L79" s="134"/>
      <c r="M79" s="134"/>
      <c r="N79" s="134"/>
      <c r="O79" s="134"/>
      <c r="P79" s="134"/>
      <c r="Q79" s="134"/>
      <c r="R79" s="134"/>
      <c r="S79" s="134"/>
      <c r="T79" s="134"/>
      <c r="U79" s="134"/>
      <c r="V79" s="134"/>
      <c r="W79" s="134"/>
    </row>
    <row r="80" spans="1:23" s="31" customFormat="1">
      <c r="A80" s="218"/>
      <c r="B80" s="68"/>
      <c r="C80" s="463"/>
      <c r="D80" s="474"/>
      <c r="E80" s="490"/>
      <c r="F80" s="474"/>
      <c r="G80" s="32"/>
      <c r="H80" s="474"/>
      <c r="I80" s="134"/>
      <c r="J80" s="134"/>
      <c r="K80" s="134"/>
      <c r="L80" s="134"/>
      <c r="M80" s="134"/>
      <c r="N80" s="134"/>
      <c r="O80" s="134"/>
      <c r="P80" s="134"/>
      <c r="Q80" s="134"/>
      <c r="R80" s="134"/>
      <c r="S80" s="134"/>
      <c r="T80" s="134"/>
      <c r="U80" s="134"/>
      <c r="V80" s="134"/>
      <c r="W80" s="134"/>
    </row>
    <row r="81" spans="1:23" s="31" customFormat="1">
      <c r="A81" s="218"/>
      <c r="B81" s="68"/>
      <c r="C81" s="463"/>
      <c r="D81" s="474"/>
      <c r="E81" s="490"/>
      <c r="F81" s="474"/>
      <c r="G81" s="32"/>
      <c r="H81" s="474"/>
      <c r="I81" s="134"/>
      <c r="J81" s="134"/>
      <c r="K81" s="134"/>
      <c r="L81" s="134"/>
      <c r="M81" s="134"/>
      <c r="N81" s="134"/>
      <c r="O81" s="134"/>
      <c r="P81" s="134"/>
      <c r="Q81" s="134"/>
      <c r="R81" s="134"/>
      <c r="S81" s="134"/>
      <c r="T81" s="134"/>
      <c r="U81" s="134"/>
      <c r="V81" s="134"/>
      <c r="W81" s="134"/>
    </row>
    <row r="82" spans="1:23" s="31" customFormat="1">
      <c r="A82" s="218"/>
      <c r="B82" s="68"/>
      <c r="C82" s="463"/>
      <c r="D82" s="474"/>
      <c r="E82" s="490"/>
      <c r="F82" s="474"/>
      <c r="G82" s="32"/>
      <c r="H82" s="474"/>
      <c r="I82" s="134"/>
      <c r="J82" s="134"/>
      <c r="K82" s="134"/>
      <c r="L82" s="134"/>
      <c r="M82" s="134"/>
      <c r="N82" s="134"/>
      <c r="O82" s="134"/>
      <c r="P82" s="134"/>
      <c r="Q82" s="134"/>
      <c r="R82" s="134"/>
      <c r="S82" s="134"/>
      <c r="T82" s="134"/>
      <c r="U82" s="134"/>
      <c r="V82" s="134"/>
      <c r="W82" s="134"/>
    </row>
    <row r="83" spans="1:23" s="31" customFormat="1">
      <c r="A83" s="218"/>
      <c r="B83" s="68"/>
      <c r="C83" s="463"/>
      <c r="D83" s="474"/>
      <c r="E83" s="490"/>
      <c r="F83" s="474"/>
      <c r="G83" s="32"/>
      <c r="H83" s="474"/>
      <c r="I83" s="134"/>
      <c r="J83" s="134"/>
      <c r="K83" s="134"/>
      <c r="L83" s="134"/>
      <c r="M83" s="134"/>
      <c r="N83" s="134"/>
      <c r="O83" s="134"/>
      <c r="P83" s="134"/>
      <c r="Q83" s="134"/>
      <c r="R83" s="134"/>
      <c r="S83" s="134"/>
      <c r="T83" s="134"/>
      <c r="U83" s="134"/>
      <c r="V83" s="134"/>
      <c r="W83" s="134"/>
    </row>
    <row r="84" spans="1:23" s="31" customFormat="1">
      <c r="A84" s="218"/>
      <c r="B84" s="68"/>
      <c r="C84" s="463"/>
      <c r="D84" s="474"/>
      <c r="E84" s="490"/>
      <c r="F84" s="474"/>
      <c r="G84" s="32"/>
      <c r="H84" s="474"/>
      <c r="I84" s="134"/>
      <c r="J84" s="134"/>
      <c r="K84" s="134"/>
      <c r="L84" s="134"/>
      <c r="M84" s="134"/>
      <c r="N84" s="134"/>
      <c r="O84" s="134"/>
      <c r="P84" s="134"/>
      <c r="Q84" s="134"/>
      <c r="R84" s="134"/>
      <c r="S84" s="134"/>
      <c r="T84" s="134"/>
      <c r="U84" s="134"/>
      <c r="V84" s="134"/>
      <c r="W84" s="134"/>
    </row>
    <row r="85" spans="1:23" s="31" customFormat="1">
      <c r="A85" s="218"/>
      <c r="B85" s="68"/>
      <c r="C85" s="463"/>
      <c r="D85" s="474"/>
      <c r="E85" s="490"/>
      <c r="F85" s="474"/>
      <c r="G85" s="32"/>
      <c r="H85" s="474"/>
      <c r="I85" s="134"/>
      <c r="J85" s="134"/>
      <c r="K85" s="134"/>
      <c r="L85" s="134"/>
      <c r="M85" s="134"/>
      <c r="N85" s="134"/>
      <c r="O85" s="134"/>
      <c r="P85" s="134"/>
      <c r="Q85" s="134"/>
      <c r="R85" s="134"/>
      <c r="S85" s="134"/>
      <c r="T85" s="134"/>
      <c r="U85" s="134"/>
      <c r="V85" s="134"/>
      <c r="W85" s="134"/>
    </row>
    <row r="86" spans="1:23" s="31" customFormat="1">
      <c r="A86" s="218"/>
      <c r="B86" s="68"/>
      <c r="C86" s="463"/>
      <c r="D86" s="474"/>
      <c r="E86" s="490"/>
      <c r="F86" s="474"/>
      <c r="G86" s="32"/>
      <c r="H86" s="474"/>
      <c r="I86" s="134"/>
      <c r="J86" s="134"/>
      <c r="K86" s="134"/>
      <c r="L86" s="134"/>
      <c r="M86" s="134"/>
      <c r="N86" s="134"/>
      <c r="O86" s="134"/>
      <c r="P86" s="134"/>
      <c r="Q86" s="134"/>
      <c r="R86" s="134"/>
      <c r="S86" s="134"/>
      <c r="T86" s="134"/>
      <c r="U86" s="134"/>
      <c r="V86" s="134"/>
      <c r="W86" s="134"/>
    </row>
    <row r="87" spans="1:23" s="31" customFormat="1">
      <c r="A87" s="218"/>
      <c r="B87" s="68"/>
      <c r="C87" s="463"/>
      <c r="D87" s="474"/>
      <c r="E87" s="474"/>
      <c r="F87" s="490"/>
      <c r="G87" s="32"/>
      <c r="H87" s="474"/>
      <c r="I87" s="134"/>
      <c r="J87" s="134"/>
      <c r="K87" s="134"/>
      <c r="L87" s="134"/>
      <c r="M87" s="134"/>
      <c r="N87" s="134"/>
      <c r="O87" s="134"/>
      <c r="P87" s="134"/>
      <c r="Q87" s="134"/>
      <c r="R87" s="134"/>
      <c r="S87" s="134"/>
      <c r="T87" s="134"/>
      <c r="U87" s="134"/>
      <c r="V87" s="134"/>
      <c r="W87" s="134"/>
    </row>
    <row r="88" spans="1:23" s="31" customFormat="1">
      <c r="A88" s="218"/>
      <c r="B88" s="68"/>
      <c r="C88" s="463"/>
      <c r="D88" s="474"/>
      <c r="E88" s="474"/>
      <c r="F88" s="490"/>
      <c r="G88" s="32"/>
      <c r="H88" s="474"/>
      <c r="I88" s="134"/>
      <c r="J88" s="134"/>
      <c r="K88" s="134"/>
      <c r="L88" s="134"/>
      <c r="M88" s="134"/>
      <c r="N88" s="134"/>
      <c r="O88" s="134"/>
      <c r="P88" s="134"/>
      <c r="Q88" s="134"/>
      <c r="R88" s="134"/>
      <c r="S88" s="134"/>
      <c r="T88" s="134"/>
      <c r="U88" s="134"/>
      <c r="V88" s="134"/>
      <c r="W88" s="134"/>
    </row>
    <row r="89" spans="1:23" s="31" customFormat="1">
      <c r="A89" s="218"/>
      <c r="B89" s="68"/>
      <c r="C89" s="463"/>
      <c r="D89" s="474"/>
      <c r="E89" s="474"/>
      <c r="F89" s="490"/>
      <c r="G89" s="32"/>
      <c r="H89" s="474"/>
      <c r="I89" s="134"/>
      <c r="J89" s="134"/>
      <c r="K89" s="134"/>
      <c r="L89" s="134"/>
      <c r="M89" s="134"/>
      <c r="N89" s="134"/>
      <c r="O89" s="134"/>
      <c r="P89" s="134"/>
      <c r="Q89" s="134"/>
      <c r="R89" s="134"/>
      <c r="S89" s="134"/>
      <c r="T89" s="134"/>
      <c r="U89" s="134"/>
      <c r="V89" s="134"/>
      <c r="W89" s="134"/>
    </row>
    <row r="90" spans="1:23" s="31" customFormat="1">
      <c r="A90" s="218"/>
      <c r="B90" s="68"/>
      <c r="C90" s="463"/>
      <c r="D90" s="474"/>
      <c r="E90" s="474"/>
      <c r="F90" s="490"/>
      <c r="G90" s="32"/>
      <c r="H90" s="474"/>
      <c r="I90" s="134"/>
      <c r="J90" s="134"/>
      <c r="K90" s="134"/>
      <c r="L90" s="134"/>
      <c r="M90" s="134"/>
      <c r="N90" s="134"/>
      <c r="O90" s="134"/>
      <c r="P90" s="29"/>
      <c r="Q90" s="134"/>
      <c r="R90" s="134"/>
      <c r="S90" s="134"/>
      <c r="T90" s="134"/>
      <c r="U90" s="134"/>
      <c r="V90" s="134"/>
      <c r="W90" s="134"/>
    </row>
    <row r="91" spans="1:23" s="31" customFormat="1">
      <c r="A91" s="218"/>
      <c r="B91" s="68"/>
      <c r="C91" s="463"/>
      <c r="D91" s="474"/>
      <c r="E91" s="474"/>
      <c r="F91" s="490"/>
      <c r="G91" s="32"/>
      <c r="H91" s="474"/>
      <c r="I91" s="134"/>
      <c r="J91" s="134"/>
      <c r="K91" s="134"/>
      <c r="L91" s="134"/>
      <c r="M91" s="134"/>
      <c r="N91" s="134"/>
      <c r="O91" s="134"/>
      <c r="P91" s="134"/>
      <c r="Q91" s="134"/>
      <c r="R91" s="134"/>
      <c r="S91" s="134"/>
      <c r="T91" s="134"/>
      <c r="U91" s="134"/>
      <c r="V91" s="134"/>
      <c r="W91" s="134"/>
    </row>
    <row r="92" spans="1:23" s="31" customFormat="1">
      <c r="A92" s="218"/>
      <c r="B92" s="68"/>
      <c r="C92" s="463"/>
      <c r="D92" s="474"/>
      <c r="E92" s="474"/>
      <c r="F92" s="490"/>
      <c r="G92" s="32"/>
      <c r="H92" s="474"/>
      <c r="I92" s="134"/>
      <c r="J92" s="134"/>
      <c r="K92" s="134"/>
      <c r="L92" s="134"/>
      <c r="M92" s="134"/>
      <c r="N92" s="134"/>
      <c r="O92" s="134"/>
      <c r="P92" s="134"/>
      <c r="Q92" s="134"/>
      <c r="R92" s="134"/>
      <c r="S92" s="134"/>
      <c r="T92" s="134"/>
      <c r="U92" s="134"/>
      <c r="V92" s="134"/>
      <c r="W92" s="134"/>
    </row>
    <row r="93" spans="1:23" s="31" customFormat="1">
      <c r="A93" s="218"/>
      <c r="B93" s="68"/>
      <c r="C93" s="463"/>
      <c r="D93" s="474"/>
      <c r="E93" s="474"/>
      <c r="F93" s="490"/>
      <c r="G93" s="32"/>
      <c r="H93" s="474"/>
      <c r="I93" s="134"/>
      <c r="J93" s="134"/>
      <c r="K93" s="134"/>
      <c r="L93" s="134"/>
      <c r="M93" s="29"/>
      <c r="N93" s="134"/>
      <c r="O93" s="134"/>
      <c r="P93" s="134"/>
      <c r="Q93" s="134"/>
      <c r="R93" s="134"/>
      <c r="S93" s="134"/>
      <c r="T93" s="134"/>
      <c r="U93" s="134"/>
      <c r="V93" s="134"/>
      <c r="W93" s="134"/>
    </row>
    <row r="94" spans="1:23" s="31" customFormat="1">
      <c r="A94" s="218"/>
      <c r="B94" s="68"/>
      <c r="C94" s="463"/>
      <c r="D94" s="474"/>
      <c r="E94" s="474"/>
      <c r="F94" s="490"/>
      <c r="G94" s="32"/>
      <c r="H94" s="474"/>
      <c r="I94" s="134"/>
      <c r="J94" s="134"/>
      <c r="K94" s="134"/>
      <c r="L94" s="134"/>
      <c r="M94" s="134"/>
      <c r="N94" s="134"/>
      <c r="O94" s="134"/>
      <c r="P94" s="134"/>
      <c r="Q94" s="134"/>
      <c r="R94" s="134"/>
      <c r="S94" s="134"/>
      <c r="T94" s="134"/>
      <c r="U94" s="134"/>
      <c r="V94" s="134"/>
      <c r="W94" s="134"/>
    </row>
    <row r="95" spans="1:23" s="31" customFormat="1">
      <c r="A95" s="218"/>
      <c r="B95" s="79"/>
      <c r="C95" s="463"/>
      <c r="D95" s="474"/>
      <c r="E95" s="474"/>
      <c r="F95" s="490"/>
      <c r="G95" s="32"/>
      <c r="H95" s="474"/>
      <c r="I95" s="134"/>
      <c r="J95" s="134"/>
      <c r="K95" s="134"/>
      <c r="L95" s="134"/>
      <c r="M95" s="134"/>
      <c r="N95" s="134"/>
      <c r="O95" s="134"/>
      <c r="P95" s="134"/>
      <c r="Q95" s="134"/>
      <c r="R95" s="134"/>
      <c r="S95" s="134"/>
      <c r="T95" s="134"/>
      <c r="U95" s="134"/>
      <c r="V95" s="134"/>
      <c r="W95" s="134"/>
    </row>
    <row r="96" spans="1:23" s="31" customFormat="1">
      <c r="A96" s="218"/>
      <c r="B96" s="68"/>
      <c r="C96" s="463"/>
      <c r="D96" s="474"/>
      <c r="E96" s="474"/>
      <c r="F96" s="490"/>
      <c r="G96" s="32"/>
      <c r="H96" s="474"/>
      <c r="I96" s="134"/>
      <c r="J96" s="134"/>
      <c r="K96" s="134"/>
      <c r="L96" s="134"/>
      <c r="M96" s="134"/>
      <c r="N96" s="134"/>
      <c r="O96" s="134"/>
      <c r="P96" s="134"/>
      <c r="Q96" s="134"/>
      <c r="R96" s="134"/>
      <c r="S96" s="134"/>
      <c r="T96" s="134"/>
      <c r="U96" s="134"/>
      <c r="V96" s="134"/>
      <c r="W96" s="134"/>
    </row>
    <row r="97" spans="1:23" s="31" customFormat="1">
      <c r="A97" s="218"/>
      <c r="B97" s="68"/>
      <c r="C97" s="463"/>
      <c r="D97" s="474"/>
      <c r="E97" s="474"/>
      <c r="F97" s="490"/>
      <c r="G97" s="32"/>
      <c r="H97" s="474"/>
      <c r="I97" s="134"/>
      <c r="J97" s="134"/>
      <c r="K97" s="134"/>
      <c r="L97" s="134"/>
      <c r="M97" s="134"/>
      <c r="N97" s="134"/>
      <c r="O97" s="134"/>
      <c r="P97" s="134"/>
      <c r="Q97" s="134"/>
      <c r="R97" s="134"/>
      <c r="S97" s="134"/>
      <c r="T97" s="134"/>
      <c r="U97" s="134"/>
      <c r="V97" s="134"/>
      <c r="W97" s="134"/>
    </row>
    <row r="98" spans="1:23" s="31" customFormat="1">
      <c r="A98" s="218"/>
      <c r="B98" s="68"/>
      <c r="C98" s="463"/>
      <c r="D98" s="474"/>
      <c r="E98" s="474"/>
      <c r="F98" s="490"/>
      <c r="G98" s="32"/>
      <c r="H98" s="474"/>
      <c r="I98" s="134"/>
      <c r="J98" s="134"/>
      <c r="K98" s="134"/>
      <c r="L98" s="134"/>
      <c r="M98" s="134"/>
      <c r="N98" s="134"/>
      <c r="O98" s="134"/>
      <c r="P98" s="134"/>
      <c r="Q98" s="134"/>
      <c r="R98" s="134"/>
      <c r="S98" s="134"/>
      <c r="T98" s="134"/>
      <c r="U98" s="134"/>
      <c r="V98" s="134"/>
      <c r="W98" s="134"/>
    </row>
    <row r="99" spans="1:23" s="31" customFormat="1">
      <c r="A99" s="218"/>
      <c r="B99" s="68"/>
      <c r="C99" s="463"/>
      <c r="D99" s="474"/>
      <c r="E99" s="474"/>
      <c r="F99" s="490"/>
      <c r="G99" s="32"/>
      <c r="H99" s="474"/>
      <c r="I99" s="134"/>
      <c r="J99" s="134"/>
      <c r="K99" s="134"/>
      <c r="L99" s="134"/>
      <c r="M99" s="134"/>
      <c r="N99" s="134"/>
      <c r="O99" s="134"/>
      <c r="P99" s="134"/>
      <c r="Q99" s="134"/>
      <c r="R99" s="134"/>
      <c r="S99" s="134"/>
      <c r="T99" s="134"/>
      <c r="U99" s="134"/>
      <c r="V99" s="134"/>
      <c r="W99" s="134"/>
    </row>
    <row r="100" spans="1:23" s="31" customFormat="1">
      <c r="A100" s="218"/>
      <c r="B100" s="68"/>
      <c r="C100" s="463"/>
      <c r="D100" s="474"/>
      <c r="E100" s="474"/>
      <c r="F100" s="490"/>
      <c r="G100" s="32"/>
      <c r="H100" s="474"/>
      <c r="I100" s="134"/>
      <c r="J100" s="134"/>
      <c r="K100" s="134"/>
      <c r="L100" s="134"/>
      <c r="M100" s="134"/>
      <c r="N100" s="134"/>
      <c r="O100" s="134"/>
      <c r="P100" s="134"/>
      <c r="Q100" s="134"/>
      <c r="R100" s="134"/>
      <c r="S100" s="134"/>
      <c r="T100" s="134"/>
      <c r="U100" s="134"/>
      <c r="V100" s="134"/>
      <c r="W100" s="134"/>
    </row>
    <row r="101" spans="1:23" s="31" customFormat="1">
      <c r="A101" s="218"/>
      <c r="B101" s="68"/>
      <c r="C101" s="463"/>
      <c r="D101" s="474"/>
      <c r="E101" s="474"/>
      <c r="F101" s="490"/>
      <c r="G101" s="32"/>
      <c r="H101" s="474"/>
      <c r="I101" s="134"/>
      <c r="J101" s="134"/>
      <c r="K101" s="134"/>
      <c r="L101" s="134"/>
      <c r="M101" s="134"/>
      <c r="N101" s="134"/>
      <c r="O101" s="134"/>
      <c r="P101" s="134"/>
      <c r="Q101" s="134"/>
      <c r="R101" s="134"/>
      <c r="S101" s="134"/>
      <c r="T101" s="134"/>
      <c r="U101" s="134"/>
      <c r="V101" s="134"/>
      <c r="W101" s="134"/>
    </row>
    <row r="102" spans="1:23" s="31" customFormat="1">
      <c r="A102" s="218"/>
      <c r="B102" s="68"/>
      <c r="C102" s="463"/>
      <c r="D102" s="474"/>
      <c r="E102" s="474"/>
      <c r="F102" s="490"/>
      <c r="G102" s="32"/>
      <c r="H102" s="474"/>
      <c r="I102" s="134"/>
      <c r="J102" s="134"/>
      <c r="K102" s="134"/>
      <c r="L102" s="134"/>
      <c r="M102" s="134"/>
      <c r="N102" s="134"/>
      <c r="O102" s="134"/>
      <c r="P102" s="134"/>
      <c r="Q102" s="134"/>
      <c r="R102" s="134"/>
      <c r="S102" s="134"/>
      <c r="T102" s="134"/>
      <c r="U102" s="134"/>
      <c r="V102" s="134"/>
      <c r="W102" s="134"/>
    </row>
    <row r="103" spans="1:23" s="31" customFormat="1">
      <c r="A103" s="218"/>
      <c r="B103" s="68"/>
      <c r="C103" s="463"/>
      <c r="D103" s="474"/>
      <c r="E103" s="474"/>
      <c r="F103" s="490"/>
      <c r="G103" s="32"/>
      <c r="H103" s="474"/>
      <c r="I103" s="134"/>
      <c r="J103" s="134"/>
      <c r="K103" s="134"/>
      <c r="L103" s="134"/>
      <c r="M103" s="134"/>
      <c r="N103" s="134"/>
      <c r="O103" s="134"/>
      <c r="P103" s="134"/>
      <c r="Q103" s="134"/>
      <c r="R103" s="134"/>
      <c r="S103" s="134"/>
      <c r="T103" s="134"/>
      <c r="U103" s="134"/>
      <c r="V103" s="134"/>
      <c r="W103" s="134"/>
    </row>
    <row r="104" spans="1:23" s="31" customFormat="1">
      <c r="A104" s="218"/>
      <c r="B104" s="68"/>
      <c r="C104" s="463"/>
      <c r="D104" s="474"/>
      <c r="E104" s="474"/>
      <c r="F104" s="490"/>
      <c r="G104" s="32"/>
      <c r="H104" s="474"/>
      <c r="I104" s="134"/>
      <c r="J104" s="134"/>
      <c r="K104" s="134"/>
      <c r="L104" s="134"/>
      <c r="M104" s="134"/>
      <c r="N104" s="134"/>
      <c r="O104" s="134"/>
      <c r="P104" s="134"/>
      <c r="Q104" s="134"/>
      <c r="R104" s="134"/>
      <c r="S104" s="134"/>
      <c r="T104" s="134"/>
      <c r="U104" s="134"/>
      <c r="V104" s="134"/>
      <c r="W104" s="134"/>
    </row>
    <row r="105" spans="1:23" s="31" customFormat="1">
      <c r="A105" s="218"/>
      <c r="B105" s="68"/>
      <c r="C105" s="463"/>
      <c r="D105" s="474"/>
      <c r="E105" s="474"/>
      <c r="F105" s="490"/>
      <c r="G105" s="32"/>
      <c r="H105" s="474"/>
      <c r="I105" s="134"/>
      <c r="J105" s="134"/>
      <c r="K105" s="134"/>
      <c r="L105" s="134"/>
      <c r="M105" s="134"/>
      <c r="N105" s="134"/>
      <c r="O105" s="134"/>
      <c r="P105" s="134"/>
      <c r="Q105" s="134"/>
      <c r="R105" s="134"/>
      <c r="S105" s="134"/>
      <c r="T105" s="134"/>
      <c r="U105" s="134"/>
      <c r="V105" s="134"/>
      <c r="W105" s="134"/>
    </row>
    <row r="106" spans="1:23" s="31" customFormat="1">
      <c r="A106" s="218"/>
      <c r="B106" s="68"/>
      <c r="C106" s="463"/>
      <c r="D106" s="474"/>
      <c r="E106" s="474"/>
      <c r="F106" s="490"/>
      <c r="G106" s="32"/>
      <c r="H106" s="474"/>
      <c r="I106" s="134"/>
      <c r="J106" s="134"/>
      <c r="K106" s="134"/>
      <c r="L106" s="134"/>
      <c r="M106" s="134"/>
      <c r="N106" s="134"/>
      <c r="O106" s="134"/>
      <c r="P106" s="134"/>
      <c r="Q106" s="134"/>
      <c r="R106" s="134"/>
      <c r="S106" s="134"/>
      <c r="T106" s="134"/>
      <c r="U106" s="134"/>
      <c r="V106" s="134"/>
      <c r="W106" s="134"/>
    </row>
    <row r="107" spans="1:23" s="31" customFormat="1">
      <c r="A107" s="218"/>
      <c r="B107" s="68"/>
      <c r="C107" s="463"/>
      <c r="D107" s="474"/>
      <c r="E107" s="474"/>
      <c r="F107" s="490"/>
      <c r="G107" s="32"/>
      <c r="H107" s="474"/>
      <c r="I107" s="134"/>
      <c r="J107" s="134"/>
      <c r="K107" s="134"/>
      <c r="L107" s="134"/>
      <c r="M107" s="134"/>
      <c r="N107" s="134"/>
      <c r="O107" s="134"/>
      <c r="P107" s="134"/>
      <c r="Q107" s="134"/>
      <c r="R107" s="134"/>
      <c r="S107" s="134"/>
      <c r="T107" s="134"/>
      <c r="U107" s="134"/>
      <c r="V107" s="134"/>
      <c r="W107" s="134"/>
    </row>
    <row r="108" spans="1:23" s="31" customFormat="1">
      <c r="A108" s="218"/>
      <c r="B108" s="68"/>
      <c r="C108" s="463"/>
      <c r="D108" s="474"/>
      <c r="E108" s="474"/>
      <c r="F108" s="490"/>
      <c r="G108" s="32"/>
      <c r="H108" s="474"/>
      <c r="I108" s="134"/>
      <c r="J108" s="134"/>
      <c r="K108" s="134"/>
      <c r="L108" s="134"/>
      <c r="M108" s="134"/>
      <c r="N108" s="134"/>
      <c r="O108" s="134"/>
      <c r="P108" s="134"/>
      <c r="Q108" s="134"/>
      <c r="R108" s="134"/>
      <c r="S108" s="134"/>
      <c r="T108" s="134"/>
      <c r="U108" s="134"/>
      <c r="V108" s="134"/>
      <c r="W108" s="134"/>
    </row>
    <row r="109" spans="1:23" s="31" customFormat="1">
      <c r="A109" s="218"/>
      <c r="B109" s="68"/>
      <c r="C109" s="463"/>
      <c r="D109" s="474"/>
      <c r="E109" s="474"/>
      <c r="F109" s="490"/>
      <c r="G109" s="32"/>
      <c r="H109" s="474"/>
      <c r="I109" s="134"/>
      <c r="J109" s="134"/>
      <c r="K109" s="134"/>
      <c r="L109" s="134"/>
      <c r="M109" s="134"/>
      <c r="N109" s="134"/>
      <c r="O109" s="134"/>
      <c r="P109" s="134"/>
      <c r="Q109" s="134"/>
      <c r="R109" s="134"/>
      <c r="S109" s="134"/>
      <c r="T109" s="134"/>
      <c r="U109" s="134"/>
      <c r="V109" s="134"/>
      <c r="W109" s="134"/>
    </row>
    <row r="110" spans="1:23" s="31" customFormat="1">
      <c r="A110" s="218"/>
      <c r="B110" s="140"/>
      <c r="C110" s="463"/>
      <c r="D110" s="474"/>
      <c r="E110" s="474"/>
      <c r="F110" s="490"/>
      <c r="G110" s="32"/>
      <c r="H110" s="474"/>
      <c r="I110" s="134"/>
      <c r="J110" s="134"/>
      <c r="K110" s="134"/>
      <c r="L110" s="134"/>
      <c r="M110" s="134"/>
      <c r="N110" s="134"/>
      <c r="O110" s="134"/>
      <c r="P110" s="134"/>
      <c r="Q110" s="134"/>
      <c r="R110" s="134"/>
      <c r="S110" s="134"/>
      <c r="T110" s="134"/>
      <c r="U110" s="134"/>
      <c r="V110" s="134"/>
      <c r="W110" s="134"/>
    </row>
    <row r="111" spans="1:23" s="31" customFormat="1">
      <c r="A111" s="218"/>
      <c r="B111" s="140"/>
      <c r="C111" s="463"/>
      <c r="D111" s="474"/>
      <c r="E111" s="474"/>
      <c r="F111" s="490"/>
      <c r="G111" s="474"/>
      <c r="H111" s="474"/>
      <c r="I111" s="134"/>
      <c r="J111" s="134"/>
      <c r="K111" s="134"/>
      <c r="L111" s="134"/>
      <c r="M111" s="134"/>
      <c r="N111" s="134"/>
      <c r="O111" s="134"/>
      <c r="P111" s="134"/>
      <c r="Q111" s="134"/>
      <c r="R111" s="134"/>
      <c r="S111" s="134"/>
      <c r="T111" s="134"/>
      <c r="U111" s="134"/>
      <c r="V111" s="134"/>
      <c r="W111" s="134"/>
    </row>
    <row r="112" spans="1:23" s="31" customFormat="1">
      <c r="A112" s="661"/>
      <c r="B112" s="140"/>
      <c r="C112" s="528"/>
      <c r="D112" s="528"/>
      <c r="E112" s="528"/>
      <c r="F112" s="528"/>
      <c r="G112" s="528"/>
      <c r="H112" s="474"/>
      <c r="I112" s="528"/>
      <c r="J112" s="528"/>
      <c r="K112" s="528"/>
      <c r="L112" s="528"/>
      <c r="M112" s="528"/>
      <c r="N112" s="528"/>
      <c r="O112" s="528"/>
      <c r="P112" s="474"/>
      <c r="Q112" s="474"/>
      <c r="R112" s="528"/>
      <c r="S112" s="474"/>
      <c r="T112" s="474"/>
      <c r="U112" s="474"/>
      <c r="V112" s="474"/>
      <c r="W112" s="474"/>
    </row>
    <row r="113" spans="1:23" s="31" customFormat="1">
      <c r="A113" s="661"/>
      <c r="B113" s="140"/>
      <c r="C113" s="463"/>
      <c r="D113" s="474"/>
      <c r="E113" s="474"/>
      <c r="F113" s="490"/>
      <c r="G113" s="474"/>
      <c r="H113" s="474"/>
      <c r="I113" s="134"/>
      <c r="J113" s="134"/>
      <c r="K113" s="134"/>
      <c r="L113" s="134"/>
      <c r="M113" s="134"/>
      <c r="N113" s="134"/>
      <c r="O113" s="134"/>
      <c r="P113" s="134"/>
      <c r="Q113" s="134"/>
      <c r="R113" s="134"/>
      <c r="S113" s="134"/>
      <c r="T113" s="134"/>
      <c r="U113" s="134"/>
      <c r="V113" s="134"/>
      <c r="W113" s="134"/>
    </row>
    <row r="114" spans="1:23" s="31" customFormat="1">
      <c r="A114" s="218"/>
      <c r="B114" s="140"/>
      <c r="C114" s="463"/>
      <c r="D114" s="474"/>
      <c r="E114" s="474"/>
      <c r="F114" s="490"/>
      <c r="G114" s="474"/>
      <c r="H114" s="474"/>
      <c r="I114" s="134"/>
      <c r="J114" s="134"/>
      <c r="K114" s="134"/>
      <c r="L114" s="134"/>
      <c r="M114" s="134"/>
      <c r="N114" s="134"/>
      <c r="O114" s="134"/>
      <c r="P114" s="134"/>
      <c r="Q114" s="134"/>
      <c r="R114" s="134"/>
      <c r="S114" s="134"/>
      <c r="T114" s="134"/>
      <c r="U114" s="134"/>
      <c r="V114" s="134"/>
      <c r="W114" s="134"/>
    </row>
    <row r="115" spans="1:23" s="31" customFormat="1">
      <c r="A115" s="662"/>
      <c r="C115" s="463"/>
      <c r="D115" s="474"/>
      <c r="E115" s="474"/>
      <c r="F115" s="490"/>
      <c r="G115" s="474"/>
      <c r="H115" s="474"/>
      <c r="I115" s="134"/>
      <c r="J115" s="134"/>
      <c r="K115" s="134"/>
      <c r="L115" s="134"/>
      <c r="M115" s="134"/>
      <c r="N115" s="134"/>
      <c r="O115" s="134"/>
      <c r="P115" s="134"/>
      <c r="Q115" s="134"/>
      <c r="R115" s="134"/>
      <c r="S115" s="134"/>
      <c r="T115" s="134"/>
      <c r="U115" s="134"/>
      <c r="V115" s="134"/>
      <c r="W115" s="134"/>
    </row>
    <row r="116" spans="1:23" s="31" customFormat="1">
      <c r="A116" s="145"/>
      <c r="C116" s="463"/>
      <c r="D116" s="474"/>
      <c r="E116" s="474"/>
      <c r="F116" s="490"/>
      <c r="G116" s="474"/>
      <c r="H116" s="474"/>
      <c r="I116" s="134"/>
      <c r="J116" s="134"/>
      <c r="K116" s="134"/>
      <c r="L116" s="134"/>
      <c r="M116" s="134"/>
      <c r="N116" s="134"/>
      <c r="O116" s="134"/>
      <c r="P116" s="134"/>
      <c r="Q116" s="134"/>
      <c r="R116" s="134"/>
      <c r="S116" s="134"/>
      <c r="T116" s="134"/>
      <c r="U116" s="134"/>
      <c r="V116" s="134"/>
      <c r="W116" s="134"/>
    </row>
    <row r="117" spans="1:23" s="31" customFormat="1">
      <c r="A117" s="145"/>
      <c r="C117" s="463"/>
      <c r="D117" s="474"/>
      <c r="E117" s="474"/>
      <c r="F117" s="490"/>
      <c r="G117" s="474"/>
      <c r="H117" s="474"/>
      <c r="I117" s="134"/>
      <c r="J117" s="134"/>
      <c r="K117" s="134"/>
      <c r="L117" s="134"/>
      <c r="M117" s="134"/>
      <c r="N117" s="134"/>
      <c r="O117" s="134"/>
      <c r="P117" s="134"/>
      <c r="Q117" s="134"/>
      <c r="R117" s="134"/>
      <c r="S117" s="134"/>
      <c r="T117" s="134"/>
      <c r="U117" s="134"/>
      <c r="V117" s="134"/>
      <c r="W117" s="134"/>
    </row>
    <row r="118" spans="1:23" s="31" customFormat="1">
      <c r="A118" s="145"/>
      <c r="C118" s="463"/>
      <c r="D118" s="474"/>
      <c r="E118" s="474"/>
      <c r="F118" s="490"/>
      <c r="G118" s="474"/>
      <c r="H118" s="474"/>
      <c r="I118" s="134"/>
      <c r="J118" s="134"/>
      <c r="K118" s="134"/>
      <c r="L118" s="134"/>
      <c r="M118" s="134"/>
      <c r="N118" s="134"/>
      <c r="O118" s="134"/>
      <c r="P118" s="134"/>
      <c r="Q118" s="134"/>
      <c r="R118" s="134"/>
      <c r="S118" s="134"/>
      <c r="T118" s="134"/>
      <c r="U118" s="134"/>
      <c r="V118" s="134"/>
      <c r="W118" s="134"/>
    </row>
    <row r="119" spans="1:23" s="31" customFormat="1">
      <c r="A119" s="145"/>
      <c r="C119" s="463"/>
      <c r="D119" s="474"/>
      <c r="E119" s="474"/>
      <c r="F119" s="490"/>
      <c r="G119" s="474"/>
      <c r="H119" s="474"/>
      <c r="I119" s="134"/>
      <c r="J119" s="134"/>
      <c r="K119" s="134"/>
      <c r="L119" s="134"/>
      <c r="M119" s="134"/>
      <c r="N119" s="134"/>
      <c r="O119" s="134"/>
      <c r="P119" s="134"/>
      <c r="Q119" s="134"/>
      <c r="R119" s="134"/>
      <c r="S119" s="134"/>
      <c r="T119" s="134"/>
      <c r="U119" s="134"/>
      <c r="V119" s="134"/>
      <c r="W119" s="134"/>
    </row>
    <row r="120" spans="1:23" s="31" customFormat="1">
      <c r="A120" s="145"/>
      <c r="B120" s="663"/>
      <c r="C120" s="463"/>
      <c r="D120" s="474"/>
      <c r="E120" s="474"/>
      <c r="F120" s="490"/>
      <c r="G120" s="474"/>
      <c r="H120" s="474"/>
      <c r="I120" s="134"/>
      <c r="J120" s="134"/>
      <c r="K120" s="134"/>
      <c r="L120" s="134"/>
      <c r="M120" s="134"/>
      <c r="N120" s="134"/>
      <c r="O120" s="134"/>
      <c r="P120" s="134"/>
      <c r="Q120" s="134"/>
      <c r="R120" s="134"/>
      <c r="S120" s="134"/>
      <c r="T120" s="134"/>
      <c r="U120" s="134"/>
      <c r="V120" s="134"/>
      <c r="W120" s="134"/>
    </row>
    <row r="121" spans="1:23" s="31" customFormat="1">
      <c r="A121" s="145"/>
      <c r="B121" s="663"/>
      <c r="C121" s="463"/>
      <c r="D121" s="492"/>
      <c r="E121" s="492"/>
      <c r="F121" s="664"/>
      <c r="G121" s="492"/>
      <c r="H121" s="665"/>
      <c r="I121" s="456"/>
      <c r="J121" s="456"/>
      <c r="K121" s="456"/>
      <c r="L121" s="456"/>
      <c r="M121" s="456"/>
      <c r="N121" s="456"/>
      <c r="O121" s="456"/>
      <c r="P121" s="456"/>
      <c r="Q121" s="456"/>
      <c r="R121" s="456"/>
      <c r="S121" s="456"/>
      <c r="T121" s="456"/>
      <c r="U121" s="456"/>
      <c r="V121" s="456"/>
      <c r="W121" s="456"/>
    </row>
    <row r="122" spans="1:23" s="31" customFormat="1">
      <c r="A122" s="145"/>
      <c r="B122" s="663"/>
      <c r="C122" s="528"/>
      <c r="D122" s="528"/>
      <c r="E122" s="528"/>
      <c r="F122" s="528"/>
      <c r="G122" s="528"/>
      <c r="H122" s="528"/>
      <c r="I122" s="528"/>
      <c r="J122" s="528"/>
      <c r="K122" s="528"/>
      <c r="L122" s="528"/>
      <c r="M122" s="528"/>
      <c r="N122" s="528"/>
      <c r="O122" s="528"/>
      <c r="P122" s="528"/>
      <c r="Q122" s="528"/>
      <c r="R122" s="528"/>
      <c r="S122" s="528"/>
      <c r="T122" s="528"/>
      <c r="U122" s="528"/>
      <c r="V122" s="528"/>
      <c r="W122" s="528"/>
    </row>
    <row r="123" spans="1:23" s="31" customFormat="1">
      <c r="A123" s="145"/>
      <c r="B123" s="663"/>
      <c r="C123" s="463"/>
      <c r="D123" s="492"/>
      <c r="E123" s="492"/>
      <c r="F123" s="664"/>
      <c r="G123" s="492"/>
      <c r="H123" s="665"/>
      <c r="I123" s="456"/>
      <c r="J123" s="456"/>
      <c r="K123" s="456"/>
      <c r="L123" s="456"/>
      <c r="M123" s="456"/>
      <c r="N123" s="456"/>
      <c r="O123" s="456"/>
      <c r="P123" s="456"/>
      <c r="Q123" s="456"/>
      <c r="R123" s="456"/>
      <c r="S123" s="456"/>
      <c r="T123" s="456"/>
      <c r="U123" s="456"/>
      <c r="V123" s="456"/>
      <c r="W123" s="456"/>
    </row>
    <row r="124" spans="1:23" s="31" customFormat="1">
      <c r="A124" s="223"/>
      <c r="B124" s="140"/>
      <c r="C124" s="463"/>
      <c r="D124" s="492"/>
      <c r="E124" s="492"/>
      <c r="F124" s="664"/>
      <c r="G124" s="492"/>
      <c r="H124" s="665"/>
      <c r="I124" s="456"/>
      <c r="J124" s="456"/>
      <c r="K124" s="456"/>
      <c r="L124" s="456"/>
      <c r="M124" s="456"/>
      <c r="N124" s="456"/>
      <c r="O124" s="456"/>
      <c r="P124" s="456"/>
      <c r="Q124" s="456"/>
      <c r="R124" s="456"/>
      <c r="S124" s="456"/>
      <c r="T124" s="456"/>
      <c r="U124" s="456"/>
      <c r="V124" s="456"/>
      <c r="W124" s="456"/>
    </row>
    <row r="125" spans="1:23" s="31" customFormat="1">
      <c r="A125" s="662"/>
      <c r="B125" s="47"/>
      <c r="C125" s="463"/>
      <c r="D125" s="474"/>
      <c r="E125" s="474"/>
      <c r="F125" s="490"/>
      <c r="G125" s="474"/>
      <c r="H125" s="474"/>
      <c r="I125" s="134"/>
      <c r="J125" s="134"/>
      <c r="K125" s="134"/>
      <c r="L125" s="134"/>
      <c r="M125" s="134"/>
      <c r="N125" s="134"/>
      <c r="O125" s="134"/>
      <c r="P125" s="134"/>
      <c r="Q125" s="134"/>
      <c r="R125" s="134"/>
      <c r="S125" s="134"/>
      <c r="T125" s="134"/>
      <c r="U125" s="134"/>
      <c r="V125" s="134"/>
      <c r="W125" s="134"/>
    </row>
    <row r="126" spans="1:23" s="31" customFormat="1">
      <c r="A126" s="145"/>
      <c r="C126" s="463"/>
      <c r="D126" s="474"/>
      <c r="E126" s="474"/>
      <c r="F126" s="490"/>
      <c r="G126" s="474"/>
      <c r="H126" s="474"/>
      <c r="I126" s="134"/>
      <c r="J126" s="134"/>
      <c r="K126" s="134"/>
      <c r="L126" s="134"/>
      <c r="M126" s="134"/>
      <c r="N126" s="134"/>
      <c r="O126" s="134"/>
      <c r="P126" s="134"/>
      <c r="Q126" s="134"/>
      <c r="R126" s="134"/>
      <c r="S126" s="134"/>
      <c r="T126" s="134"/>
      <c r="U126" s="134"/>
      <c r="V126" s="134"/>
      <c r="W126" s="134"/>
    </row>
    <row r="127" spans="1:23" s="31" customFormat="1">
      <c r="A127" s="145"/>
      <c r="C127" s="463"/>
      <c r="D127" s="474"/>
      <c r="E127" s="474"/>
      <c r="F127" s="490"/>
      <c r="G127" s="474"/>
      <c r="H127" s="474"/>
      <c r="I127" s="134"/>
      <c r="J127" s="134"/>
      <c r="K127" s="134"/>
      <c r="L127" s="134"/>
      <c r="M127" s="134"/>
      <c r="N127" s="134"/>
      <c r="O127" s="134"/>
      <c r="P127" s="134"/>
      <c r="Q127" s="134"/>
      <c r="R127" s="134"/>
      <c r="S127" s="134"/>
      <c r="T127" s="134"/>
      <c r="U127" s="134"/>
      <c r="V127" s="134"/>
      <c r="W127" s="134"/>
    </row>
    <row r="128" spans="1:23" s="31" customFormat="1">
      <c r="A128" s="145"/>
      <c r="C128" s="463"/>
      <c r="D128" s="474"/>
      <c r="E128" s="474"/>
      <c r="F128" s="490"/>
      <c r="G128" s="474"/>
      <c r="H128" s="474"/>
      <c r="I128" s="134"/>
      <c r="J128" s="134"/>
      <c r="K128" s="134"/>
      <c r="L128" s="134"/>
      <c r="M128" s="134"/>
      <c r="N128" s="134"/>
      <c r="O128" s="134"/>
      <c r="P128" s="134"/>
      <c r="Q128" s="134"/>
      <c r="R128" s="134"/>
      <c r="S128" s="134"/>
      <c r="T128" s="134"/>
      <c r="U128" s="134"/>
      <c r="V128" s="134"/>
      <c r="W128" s="134"/>
    </row>
    <row r="129" spans="1:23" s="31" customFormat="1">
      <c r="A129" s="145"/>
      <c r="C129" s="463"/>
      <c r="D129" s="474"/>
      <c r="E129" s="474"/>
      <c r="F129" s="490"/>
      <c r="G129" s="474"/>
      <c r="H129" s="474"/>
      <c r="I129" s="134"/>
      <c r="J129" s="134"/>
      <c r="K129" s="134"/>
      <c r="L129" s="134"/>
      <c r="M129" s="134"/>
      <c r="N129" s="134"/>
      <c r="O129" s="134"/>
      <c r="P129" s="134"/>
      <c r="Q129" s="134"/>
      <c r="R129" s="134"/>
      <c r="S129" s="134"/>
      <c r="T129" s="134"/>
      <c r="U129" s="134"/>
      <c r="V129" s="134"/>
      <c r="W129" s="134"/>
    </row>
    <row r="130" spans="1:23" s="31" customFormat="1">
      <c r="A130" s="145"/>
      <c r="C130" s="463"/>
      <c r="D130" s="474"/>
      <c r="E130" s="474"/>
      <c r="F130" s="490"/>
      <c r="G130" s="474"/>
      <c r="H130" s="474"/>
      <c r="I130" s="134"/>
      <c r="J130" s="134"/>
      <c r="K130" s="134"/>
      <c r="L130" s="134"/>
      <c r="M130" s="134"/>
      <c r="N130" s="134"/>
      <c r="O130" s="134"/>
      <c r="P130" s="134"/>
      <c r="Q130" s="134"/>
      <c r="R130" s="134"/>
      <c r="S130" s="134"/>
      <c r="T130" s="134"/>
      <c r="U130" s="134"/>
      <c r="V130" s="134"/>
      <c r="W130" s="134"/>
    </row>
    <row r="131" spans="1:23" s="31" customFormat="1">
      <c r="A131" s="145"/>
      <c r="C131" s="463"/>
      <c r="D131" s="474"/>
      <c r="E131" s="474"/>
      <c r="F131" s="490"/>
      <c r="G131" s="474"/>
      <c r="H131" s="474"/>
      <c r="I131" s="134"/>
      <c r="J131" s="134"/>
      <c r="K131" s="134"/>
      <c r="L131" s="134"/>
      <c r="M131" s="134"/>
      <c r="N131" s="134"/>
      <c r="O131" s="134"/>
      <c r="P131" s="134"/>
      <c r="Q131" s="134"/>
      <c r="R131" s="134"/>
      <c r="S131" s="134"/>
      <c r="T131" s="134"/>
      <c r="U131" s="134"/>
      <c r="V131" s="134"/>
      <c r="W131" s="134"/>
    </row>
    <row r="132" spans="1:23" s="31" customFormat="1">
      <c r="A132" s="145"/>
      <c r="C132" s="463"/>
      <c r="D132" s="474"/>
      <c r="E132" s="474"/>
      <c r="F132" s="490"/>
      <c r="G132" s="474"/>
      <c r="H132" s="474"/>
      <c r="I132" s="134"/>
      <c r="J132" s="134"/>
      <c r="K132" s="134"/>
      <c r="L132" s="134"/>
      <c r="M132" s="134"/>
      <c r="N132" s="134"/>
      <c r="O132" s="134"/>
      <c r="P132" s="134"/>
      <c r="Q132" s="134"/>
      <c r="R132" s="134"/>
      <c r="S132" s="134"/>
      <c r="T132" s="134"/>
      <c r="U132" s="134"/>
      <c r="V132" s="134"/>
      <c r="W132" s="134"/>
    </row>
    <row r="133" spans="1:23" s="31" customFormat="1">
      <c r="A133" s="145"/>
      <c r="C133" s="463"/>
      <c r="D133" s="474"/>
      <c r="E133" s="474"/>
      <c r="F133" s="490"/>
      <c r="G133" s="474"/>
      <c r="H133" s="474"/>
      <c r="I133" s="134"/>
      <c r="J133" s="134"/>
      <c r="K133" s="134"/>
      <c r="L133" s="134"/>
      <c r="M133" s="134"/>
      <c r="N133" s="134"/>
      <c r="O133" s="134"/>
      <c r="P133" s="134"/>
      <c r="Q133" s="134"/>
      <c r="R133" s="134"/>
      <c r="S133" s="134"/>
      <c r="T133" s="134"/>
      <c r="U133" s="134"/>
      <c r="V133" s="134"/>
      <c r="W133" s="134"/>
    </row>
    <row r="134" spans="1:23" s="31" customFormat="1">
      <c r="A134" s="145"/>
      <c r="B134" s="140"/>
      <c r="C134" s="463"/>
      <c r="D134" s="474"/>
      <c r="E134" s="474"/>
      <c r="F134" s="490"/>
      <c r="G134" s="474"/>
      <c r="H134" s="474"/>
      <c r="I134" s="134"/>
      <c r="J134" s="134"/>
      <c r="K134" s="134"/>
      <c r="L134" s="134"/>
      <c r="M134" s="134"/>
      <c r="N134" s="134"/>
      <c r="O134" s="134"/>
      <c r="P134" s="134"/>
      <c r="Q134" s="134"/>
      <c r="R134" s="134"/>
      <c r="S134" s="134"/>
      <c r="T134" s="134"/>
      <c r="U134" s="134"/>
      <c r="V134" s="134"/>
      <c r="W134" s="134"/>
    </row>
    <row r="135" spans="1:23" s="31" customFormat="1">
      <c r="A135" s="662"/>
      <c r="B135" s="660"/>
      <c r="C135" s="463"/>
      <c r="D135" s="474"/>
      <c r="E135" s="474"/>
      <c r="F135" s="490"/>
      <c r="G135" s="474"/>
      <c r="H135" s="474"/>
      <c r="I135" s="134"/>
      <c r="J135" s="134"/>
      <c r="K135" s="134"/>
      <c r="L135" s="134"/>
      <c r="M135" s="134"/>
      <c r="N135" s="134"/>
      <c r="O135" s="134"/>
      <c r="P135" s="134"/>
      <c r="Q135" s="134"/>
      <c r="R135" s="134"/>
      <c r="S135" s="134"/>
      <c r="T135" s="134"/>
      <c r="U135" s="134"/>
      <c r="V135" s="134"/>
      <c r="W135" s="134"/>
    </row>
    <row r="136" spans="1:23" s="31" customFormat="1">
      <c r="A136" s="224"/>
      <c r="C136" s="463"/>
      <c r="D136" s="474"/>
      <c r="E136" s="474"/>
      <c r="F136" s="490"/>
      <c r="G136" s="474"/>
      <c r="H136" s="474"/>
      <c r="I136" s="134"/>
      <c r="J136" s="134"/>
      <c r="K136" s="134"/>
      <c r="L136" s="134"/>
      <c r="M136" s="134"/>
      <c r="N136" s="134"/>
      <c r="O136" s="134"/>
      <c r="P136" s="134"/>
      <c r="Q136" s="134"/>
      <c r="R136" s="134"/>
      <c r="S136" s="134"/>
      <c r="T136" s="134"/>
      <c r="U136" s="134"/>
      <c r="V136" s="134"/>
      <c r="W136" s="134"/>
    </row>
    <row r="137" spans="1:23" s="31" customFormat="1">
      <c r="A137" s="145"/>
      <c r="C137" s="463"/>
      <c r="D137" s="474"/>
      <c r="E137" s="474"/>
      <c r="F137" s="490"/>
      <c r="G137" s="474"/>
      <c r="H137" s="474"/>
      <c r="I137" s="134"/>
      <c r="J137" s="134"/>
      <c r="K137" s="134"/>
      <c r="L137" s="134"/>
      <c r="M137" s="134"/>
      <c r="N137" s="134"/>
      <c r="O137" s="134"/>
      <c r="P137" s="134"/>
      <c r="Q137" s="134"/>
      <c r="R137" s="134"/>
      <c r="S137" s="134"/>
      <c r="T137" s="134"/>
      <c r="U137" s="134"/>
      <c r="V137" s="134"/>
      <c r="W137" s="134"/>
    </row>
    <row r="138" spans="1:23" s="31" customFormat="1">
      <c r="A138" s="145"/>
      <c r="C138" s="463"/>
      <c r="D138" s="474"/>
      <c r="E138" s="474"/>
      <c r="F138" s="490"/>
      <c r="G138" s="474"/>
      <c r="H138" s="474"/>
      <c r="I138" s="134"/>
      <c r="J138" s="134"/>
      <c r="K138" s="134"/>
      <c r="L138" s="134"/>
      <c r="M138" s="134"/>
      <c r="N138" s="134"/>
      <c r="O138" s="134"/>
      <c r="P138" s="134"/>
      <c r="Q138" s="134"/>
      <c r="R138" s="134"/>
      <c r="S138" s="134"/>
      <c r="T138" s="134"/>
      <c r="U138" s="134"/>
      <c r="V138" s="134"/>
      <c r="W138" s="134"/>
    </row>
    <row r="139" spans="1:23" s="31" customFormat="1">
      <c r="A139" s="145"/>
      <c r="C139" s="463"/>
      <c r="D139" s="474"/>
      <c r="E139" s="474"/>
      <c r="F139" s="490"/>
      <c r="G139" s="474"/>
      <c r="H139" s="474"/>
      <c r="I139" s="134"/>
      <c r="J139" s="134"/>
      <c r="K139" s="134"/>
      <c r="L139" s="134"/>
      <c r="M139" s="134"/>
      <c r="N139" s="134"/>
      <c r="O139" s="134"/>
      <c r="P139" s="134"/>
      <c r="Q139" s="134"/>
      <c r="R139" s="134"/>
      <c r="S139" s="134"/>
      <c r="T139" s="134"/>
      <c r="U139" s="134"/>
      <c r="V139" s="134"/>
      <c r="W139" s="134"/>
    </row>
    <row r="140" spans="1:23" s="31" customFormat="1">
      <c r="A140" s="145"/>
      <c r="C140" s="463"/>
      <c r="D140" s="474"/>
      <c r="E140" s="474"/>
      <c r="F140" s="490"/>
      <c r="G140" s="474"/>
      <c r="H140" s="474"/>
      <c r="I140" s="134"/>
      <c r="J140" s="134"/>
      <c r="K140" s="134"/>
      <c r="L140" s="134"/>
      <c r="M140" s="134"/>
      <c r="N140" s="134"/>
      <c r="O140" s="134"/>
      <c r="P140" s="134"/>
      <c r="Q140" s="134"/>
      <c r="R140" s="134"/>
      <c r="S140" s="134"/>
      <c r="T140" s="134"/>
      <c r="U140" s="134"/>
      <c r="V140" s="134"/>
      <c r="W140" s="134"/>
    </row>
    <row r="141" spans="1:23" s="31" customFormat="1">
      <c r="A141" s="145"/>
      <c r="C141" s="463"/>
      <c r="D141" s="474"/>
      <c r="E141" s="474"/>
      <c r="F141" s="490"/>
      <c r="G141" s="474"/>
      <c r="H141" s="474"/>
      <c r="I141" s="134"/>
      <c r="J141" s="134"/>
      <c r="K141" s="134"/>
      <c r="L141" s="134"/>
      <c r="M141" s="134"/>
      <c r="N141" s="134"/>
      <c r="O141" s="134"/>
      <c r="P141" s="134"/>
      <c r="Q141" s="134"/>
      <c r="R141" s="134"/>
      <c r="S141" s="134"/>
      <c r="T141" s="134"/>
      <c r="U141" s="134"/>
      <c r="V141" s="134"/>
      <c r="W141" s="134"/>
    </row>
    <row r="142" spans="1:23" s="31" customFormat="1">
      <c r="A142" s="145"/>
      <c r="B142" s="140"/>
      <c r="C142" s="463"/>
      <c r="D142" s="474"/>
      <c r="E142" s="474"/>
      <c r="F142" s="490"/>
      <c r="G142" s="474"/>
      <c r="H142" s="474"/>
      <c r="I142" s="134"/>
      <c r="J142" s="134"/>
      <c r="K142" s="134"/>
      <c r="L142" s="134"/>
      <c r="M142" s="134"/>
      <c r="N142" s="134"/>
      <c r="O142" s="134"/>
      <c r="P142" s="134"/>
      <c r="Q142" s="134"/>
      <c r="R142" s="134"/>
      <c r="S142" s="134"/>
      <c r="T142" s="134"/>
      <c r="U142" s="134"/>
      <c r="V142" s="134"/>
      <c r="W142" s="134"/>
    </row>
    <row r="143" spans="1:23" s="31" customFormat="1">
      <c r="A143" s="662"/>
      <c r="C143" s="463"/>
      <c r="D143" s="474"/>
      <c r="E143" s="474"/>
      <c r="F143" s="490"/>
      <c r="G143" s="474"/>
      <c r="H143" s="474"/>
      <c r="I143" s="134"/>
      <c r="J143" s="134"/>
      <c r="K143" s="134"/>
      <c r="L143" s="134"/>
      <c r="M143" s="134"/>
      <c r="N143" s="134"/>
      <c r="O143" s="134"/>
      <c r="P143" s="134"/>
      <c r="Q143" s="134"/>
      <c r="R143" s="134"/>
      <c r="S143" s="134"/>
      <c r="T143" s="134"/>
      <c r="U143" s="134"/>
      <c r="V143" s="134"/>
      <c r="W143" s="134"/>
    </row>
    <row r="144" spans="1:23" s="31" customFormat="1">
      <c r="A144" s="145"/>
      <c r="C144" s="463"/>
      <c r="D144" s="474"/>
      <c r="E144" s="474"/>
      <c r="F144" s="490"/>
      <c r="G144" s="474"/>
      <c r="H144" s="474"/>
      <c r="I144" s="134"/>
      <c r="J144" s="134"/>
      <c r="K144" s="134"/>
      <c r="L144" s="134"/>
      <c r="M144" s="134"/>
      <c r="N144" s="134"/>
      <c r="O144" s="134"/>
      <c r="P144" s="134"/>
      <c r="Q144" s="134"/>
      <c r="R144" s="134"/>
      <c r="S144" s="134"/>
      <c r="T144" s="134"/>
      <c r="U144" s="134"/>
      <c r="V144" s="134"/>
      <c r="W144" s="134"/>
    </row>
    <row r="145" spans="1:23" s="31" customFormat="1">
      <c r="A145" s="145"/>
      <c r="C145" s="463"/>
      <c r="D145" s="474"/>
      <c r="E145" s="474"/>
      <c r="F145" s="490"/>
      <c r="G145" s="474"/>
      <c r="H145" s="474"/>
      <c r="I145" s="134"/>
      <c r="J145" s="134"/>
      <c r="K145" s="134"/>
      <c r="L145" s="134"/>
      <c r="M145" s="134"/>
      <c r="N145" s="134"/>
      <c r="O145" s="134"/>
      <c r="P145" s="134"/>
      <c r="Q145" s="134"/>
      <c r="R145" s="134"/>
      <c r="S145" s="134"/>
      <c r="T145" s="134"/>
      <c r="U145" s="134"/>
      <c r="V145" s="134"/>
      <c r="W145" s="134"/>
    </row>
    <row r="146" spans="1:23" s="31" customFormat="1">
      <c r="A146" s="145"/>
      <c r="C146" s="463"/>
      <c r="D146" s="474"/>
      <c r="E146" s="474"/>
      <c r="F146" s="490"/>
      <c r="G146" s="474"/>
      <c r="H146" s="474"/>
      <c r="I146" s="134"/>
      <c r="J146" s="134"/>
      <c r="K146" s="134"/>
      <c r="L146" s="134"/>
      <c r="M146" s="134"/>
      <c r="N146" s="134"/>
      <c r="O146" s="134"/>
      <c r="P146" s="134"/>
      <c r="Q146" s="134"/>
      <c r="R146" s="134"/>
      <c r="S146" s="134"/>
      <c r="T146" s="134"/>
      <c r="U146" s="134"/>
      <c r="V146" s="134"/>
      <c r="W146" s="134"/>
    </row>
    <row r="147" spans="1:23" s="31" customFormat="1">
      <c r="A147" s="145"/>
      <c r="C147" s="463"/>
      <c r="D147" s="474"/>
      <c r="E147" s="474"/>
      <c r="F147" s="490"/>
      <c r="G147" s="474"/>
      <c r="H147" s="474"/>
      <c r="I147" s="134"/>
      <c r="J147" s="134"/>
      <c r="K147" s="134"/>
      <c r="L147" s="134"/>
      <c r="M147" s="134"/>
      <c r="N147" s="134"/>
      <c r="O147" s="134"/>
      <c r="P147" s="134"/>
      <c r="Q147" s="134"/>
      <c r="R147" s="134"/>
      <c r="S147" s="134"/>
      <c r="T147" s="134"/>
      <c r="U147" s="134"/>
      <c r="V147" s="134"/>
      <c r="W147" s="134"/>
    </row>
    <row r="148" spans="1:23" s="31" customFormat="1">
      <c r="A148" s="145"/>
      <c r="C148" s="463"/>
      <c r="D148" s="474"/>
      <c r="E148" s="474"/>
      <c r="F148" s="490"/>
      <c r="G148" s="474"/>
      <c r="H148" s="474"/>
      <c r="I148" s="134"/>
      <c r="J148" s="134"/>
      <c r="K148" s="134"/>
      <c r="L148" s="134"/>
      <c r="M148" s="134"/>
      <c r="N148" s="134"/>
      <c r="O148" s="134"/>
      <c r="P148" s="134"/>
      <c r="Q148" s="134"/>
      <c r="R148" s="134"/>
      <c r="S148" s="134"/>
      <c r="T148" s="134"/>
      <c r="U148" s="134"/>
      <c r="V148" s="134"/>
      <c r="W148" s="134"/>
    </row>
    <row r="149" spans="1:23" s="31" customFormat="1">
      <c r="A149" s="145"/>
      <c r="B149" s="140"/>
      <c r="C149" s="463"/>
      <c r="D149" s="474"/>
      <c r="E149" s="474"/>
      <c r="F149" s="490"/>
      <c r="G149" s="474"/>
      <c r="H149" s="474"/>
      <c r="I149" s="134"/>
      <c r="J149" s="134"/>
      <c r="K149" s="134"/>
      <c r="L149" s="134"/>
      <c r="M149" s="134"/>
      <c r="N149" s="134"/>
      <c r="O149" s="134"/>
      <c r="P149" s="134"/>
      <c r="Q149" s="134"/>
      <c r="R149" s="134"/>
      <c r="S149" s="134"/>
      <c r="T149" s="134"/>
      <c r="U149" s="134"/>
      <c r="V149" s="134"/>
      <c r="W149" s="134"/>
    </row>
    <row r="150" spans="1:23" s="31" customFormat="1">
      <c r="A150" s="662"/>
      <c r="B150" s="47"/>
      <c r="C150" s="463"/>
      <c r="D150" s="474"/>
      <c r="E150" s="474"/>
      <c r="F150" s="490"/>
      <c r="G150" s="474"/>
      <c r="H150" s="474"/>
      <c r="I150" s="134"/>
      <c r="J150" s="134"/>
      <c r="K150" s="134"/>
      <c r="L150" s="134"/>
      <c r="M150" s="134"/>
      <c r="N150" s="134"/>
      <c r="O150" s="134"/>
      <c r="P150" s="134"/>
      <c r="Q150" s="134"/>
      <c r="R150" s="134"/>
      <c r="S150" s="134"/>
      <c r="T150" s="134"/>
      <c r="U150" s="134"/>
      <c r="V150" s="134"/>
      <c r="W150" s="134"/>
    </row>
    <row r="151" spans="1:23" s="31" customFormat="1">
      <c r="A151" s="145"/>
      <c r="C151" s="463"/>
      <c r="D151" s="474"/>
      <c r="E151" s="474"/>
      <c r="F151" s="490"/>
      <c r="G151" s="474"/>
      <c r="H151" s="474"/>
      <c r="I151" s="134"/>
      <c r="J151" s="134"/>
      <c r="K151" s="134"/>
      <c r="L151" s="134"/>
      <c r="M151" s="134"/>
      <c r="N151" s="134"/>
      <c r="O151" s="134"/>
      <c r="P151" s="134"/>
      <c r="Q151" s="134"/>
      <c r="R151" s="134"/>
      <c r="S151" s="134"/>
      <c r="T151" s="134"/>
      <c r="U151" s="134"/>
      <c r="V151" s="134"/>
      <c r="W151" s="134"/>
    </row>
    <row r="152" spans="1:23" s="31" customFormat="1">
      <c r="A152" s="145"/>
      <c r="C152" s="463"/>
      <c r="D152" s="474"/>
      <c r="E152" s="474"/>
      <c r="F152" s="490"/>
      <c r="G152" s="474"/>
      <c r="H152" s="474"/>
      <c r="I152" s="134"/>
      <c r="J152" s="134"/>
      <c r="K152" s="134"/>
      <c r="L152" s="134"/>
      <c r="M152" s="134"/>
      <c r="N152" s="134"/>
      <c r="O152" s="32"/>
      <c r="P152" s="134"/>
      <c r="Q152" s="134"/>
      <c r="R152" s="134"/>
      <c r="S152" s="134"/>
      <c r="T152" s="134"/>
      <c r="U152" s="134"/>
      <c r="V152" s="134"/>
      <c r="W152" s="134"/>
    </row>
    <row r="153" spans="1:23" s="31" customFormat="1">
      <c r="A153" s="145"/>
      <c r="C153" s="463"/>
      <c r="D153" s="474"/>
      <c r="E153" s="474"/>
      <c r="F153" s="490"/>
      <c r="G153" s="474"/>
      <c r="H153" s="474"/>
      <c r="I153" s="134"/>
      <c r="J153" s="134"/>
      <c r="K153" s="134"/>
      <c r="L153" s="134"/>
      <c r="M153" s="134"/>
      <c r="N153" s="134"/>
      <c r="O153" s="134"/>
      <c r="P153" s="134"/>
      <c r="Q153" s="134"/>
      <c r="R153" s="134"/>
      <c r="S153" s="134"/>
      <c r="T153" s="134"/>
      <c r="U153" s="134"/>
      <c r="V153" s="134"/>
      <c r="W153" s="134"/>
    </row>
    <row r="154" spans="1:23" s="31" customFormat="1">
      <c r="A154" s="145"/>
      <c r="C154" s="463"/>
      <c r="D154" s="474"/>
      <c r="E154" s="474"/>
      <c r="F154" s="490"/>
      <c r="G154" s="474"/>
      <c r="H154" s="474"/>
      <c r="I154" s="134"/>
      <c r="J154" s="134"/>
      <c r="K154" s="134"/>
      <c r="L154" s="134"/>
      <c r="M154" s="134"/>
      <c r="N154" s="134"/>
      <c r="O154" s="134"/>
      <c r="P154" s="134"/>
      <c r="Q154" s="134"/>
      <c r="R154" s="134"/>
      <c r="S154" s="134"/>
      <c r="T154" s="134"/>
      <c r="U154" s="134"/>
      <c r="V154" s="134"/>
      <c r="W154" s="134"/>
    </row>
    <row r="155" spans="1:23" s="31" customFormat="1">
      <c r="A155" s="145"/>
      <c r="C155" s="463"/>
      <c r="D155" s="474"/>
      <c r="E155" s="474"/>
      <c r="F155" s="490"/>
      <c r="G155" s="474"/>
      <c r="H155" s="474"/>
      <c r="I155" s="134"/>
      <c r="J155" s="134"/>
      <c r="K155" s="134"/>
      <c r="L155" s="134"/>
      <c r="M155" s="134"/>
      <c r="N155" s="134"/>
      <c r="O155" s="134"/>
      <c r="P155" s="134"/>
      <c r="Q155" s="134"/>
      <c r="R155" s="134"/>
      <c r="S155" s="134"/>
      <c r="T155" s="134"/>
      <c r="U155" s="134"/>
      <c r="V155" s="134"/>
      <c r="W155" s="134"/>
    </row>
    <row r="156" spans="1:23" s="31" customFormat="1">
      <c r="A156" s="145"/>
      <c r="C156" s="463"/>
      <c r="D156" s="474"/>
      <c r="E156" s="474"/>
      <c r="F156" s="490"/>
      <c r="G156" s="474"/>
      <c r="H156" s="474"/>
      <c r="I156" s="134"/>
      <c r="J156" s="134"/>
      <c r="K156" s="134"/>
      <c r="L156" s="134"/>
      <c r="M156" s="134"/>
      <c r="N156" s="134"/>
      <c r="O156" s="134"/>
      <c r="P156" s="134"/>
      <c r="Q156" s="134"/>
      <c r="R156" s="134"/>
      <c r="S156" s="134"/>
      <c r="T156" s="134"/>
      <c r="U156" s="134"/>
      <c r="V156" s="134"/>
      <c r="W156" s="134"/>
    </row>
    <row r="157" spans="1:23" s="31" customFormat="1">
      <c r="A157" s="145"/>
      <c r="B157" s="68"/>
      <c r="C157" s="463"/>
      <c r="D157" s="474"/>
      <c r="E157" s="474"/>
      <c r="F157" s="490"/>
      <c r="G157" s="474"/>
      <c r="H157" s="474"/>
      <c r="I157" s="134"/>
      <c r="J157" s="134"/>
      <c r="K157" s="134"/>
      <c r="L157" s="134"/>
      <c r="M157" s="134"/>
      <c r="N157" s="134"/>
      <c r="O157" s="134"/>
      <c r="P157" s="134"/>
      <c r="Q157" s="134"/>
      <c r="R157" s="134"/>
      <c r="S157" s="134"/>
      <c r="T157" s="134"/>
      <c r="U157" s="134"/>
      <c r="V157" s="134"/>
      <c r="W157" s="134"/>
    </row>
    <row r="158" spans="1:23" s="31" customFormat="1">
      <c r="A158" s="145"/>
      <c r="B158" s="68"/>
      <c r="C158" s="463"/>
      <c r="D158" s="474"/>
      <c r="E158" s="474"/>
      <c r="F158" s="490"/>
      <c r="G158" s="474"/>
      <c r="H158" s="474"/>
      <c r="I158" s="134"/>
      <c r="J158" s="134"/>
      <c r="K158" s="134"/>
      <c r="L158" s="134"/>
      <c r="M158" s="134"/>
      <c r="N158" s="134"/>
      <c r="O158" s="134"/>
      <c r="P158" s="134"/>
      <c r="Q158" s="134"/>
      <c r="R158" s="134"/>
      <c r="S158" s="134"/>
      <c r="T158" s="134"/>
      <c r="U158" s="134"/>
      <c r="V158" s="134"/>
      <c r="W158" s="134"/>
    </row>
    <row r="159" spans="1:23" s="31" customFormat="1">
      <c r="A159" s="145"/>
      <c r="B159" s="68"/>
      <c r="C159" s="607"/>
      <c r="D159" s="474"/>
      <c r="E159" s="474"/>
      <c r="F159" s="474"/>
      <c r="G159" s="474"/>
      <c r="H159" s="474"/>
      <c r="I159" s="474"/>
      <c r="J159" s="474"/>
      <c r="K159" s="474"/>
      <c r="L159" s="474"/>
      <c r="M159" s="474"/>
      <c r="N159" s="474"/>
      <c r="O159" s="474"/>
      <c r="P159" s="474"/>
      <c r="Q159" s="474"/>
      <c r="R159" s="474"/>
      <c r="S159" s="474"/>
      <c r="T159" s="474"/>
      <c r="U159" s="474"/>
      <c r="V159" s="474"/>
      <c r="W159" s="474"/>
    </row>
    <row r="160" spans="1:23" s="31" customFormat="1">
      <c r="A160" s="145"/>
      <c r="B160" s="68"/>
      <c r="C160" s="463"/>
      <c r="D160" s="474"/>
      <c r="E160" s="474"/>
      <c r="F160" s="490"/>
      <c r="G160" s="474"/>
      <c r="H160" s="474"/>
      <c r="I160" s="134"/>
      <c r="J160" s="134"/>
      <c r="K160" s="134"/>
      <c r="L160" s="134"/>
      <c r="M160" s="134"/>
      <c r="N160" s="134"/>
      <c r="O160" s="134"/>
      <c r="P160" s="134"/>
      <c r="Q160" s="134"/>
      <c r="R160" s="134"/>
      <c r="S160" s="134"/>
      <c r="T160" s="134"/>
      <c r="U160" s="134"/>
      <c r="V160" s="134"/>
      <c r="W160" s="134"/>
    </row>
    <row r="161" spans="1:23" s="31" customFormat="1">
      <c r="A161" s="145"/>
      <c r="B161" s="68"/>
      <c r="C161" s="463"/>
      <c r="D161" s="474"/>
      <c r="E161" s="474"/>
      <c r="F161" s="490"/>
      <c r="G161" s="474"/>
      <c r="H161" s="474"/>
      <c r="I161" s="134"/>
      <c r="J161" s="134"/>
      <c r="K161" s="134"/>
      <c r="L161" s="134"/>
      <c r="M161" s="134"/>
      <c r="N161" s="134"/>
      <c r="O161" s="134"/>
      <c r="P161" s="134"/>
      <c r="Q161" s="134"/>
      <c r="R161" s="134"/>
      <c r="S161" s="134"/>
      <c r="T161" s="134"/>
      <c r="U161" s="134"/>
      <c r="V161" s="134"/>
      <c r="W161" s="134"/>
    </row>
    <row r="162" spans="1:23" s="31" customFormat="1">
      <c r="A162" s="218"/>
      <c r="B162" s="68"/>
      <c r="C162" s="463"/>
      <c r="D162" s="474"/>
      <c r="E162" s="474"/>
      <c r="F162" s="490"/>
      <c r="G162" s="474"/>
      <c r="H162" s="474"/>
      <c r="I162" s="134"/>
      <c r="J162" s="134"/>
      <c r="K162" s="134"/>
      <c r="L162" s="134"/>
      <c r="M162" s="134"/>
      <c r="N162" s="134"/>
      <c r="O162" s="134"/>
      <c r="P162" s="134"/>
      <c r="Q162" s="134"/>
      <c r="R162" s="134"/>
      <c r="S162" s="134"/>
      <c r="T162" s="134"/>
      <c r="U162" s="134"/>
      <c r="V162" s="134"/>
      <c r="W162" s="134"/>
    </row>
    <row r="163" spans="1:23" s="31" customFormat="1">
      <c r="B163" s="68"/>
      <c r="C163" s="32"/>
      <c r="D163" s="665"/>
      <c r="E163" s="665"/>
      <c r="F163" s="490"/>
      <c r="G163" s="474"/>
      <c r="H163" s="474"/>
      <c r="I163" s="134"/>
      <c r="J163" s="134"/>
      <c r="K163" s="134"/>
      <c r="L163" s="134"/>
      <c r="M163" s="134"/>
      <c r="N163" s="134"/>
      <c r="O163" s="134"/>
      <c r="P163" s="134"/>
      <c r="Q163" s="134"/>
      <c r="R163" s="134"/>
      <c r="S163" s="134"/>
      <c r="T163" s="134"/>
      <c r="U163" s="134"/>
      <c r="V163" s="134"/>
      <c r="W163" s="134"/>
    </row>
    <row r="164" spans="1:23" s="31" customFormat="1" ht="15">
      <c r="A164" s="218"/>
      <c r="B164" s="666"/>
      <c r="C164" s="463"/>
      <c r="D164" s="665"/>
      <c r="E164" s="665"/>
      <c r="F164" s="667"/>
      <c r="G164" s="665"/>
      <c r="H164" s="665"/>
      <c r="I164" s="456"/>
      <c r="J164" s="456"/>
      <c r="K164" s="456"/>
      <c r="L164" s="456"/>
      <c r="M164" s="456"/>
      <c r="N164" s="456"/>
      <c r="O164" s="456"/>
      <c r="P164" s="456"/>
      <c r="Q164" s="456"/>
      <c r="R164" s="456"/>
      <c r="S164" s="456"/>
      <c r="T164" s="456"/>
      <c r="U164" s="456"/>
      <c r="V164" s="456"/>
      <c r="W164" s="456"/>
    </row>
    <row r="165" spans="1:23" s="31" customFormat="1" ht="15">
      <c r="A165" s="218"/>
      <c r="B165" s="666"/>
      <c r="C165" s="528"/>
      <c r="D165" s="528"/>
      <c r="E165" s="528"/>
      <c r="F165" s="528"/>
      <c r="G165" s="528"/>
      <c r="H165" s="474"/>
      <c r="I165" s="528"/>
      <c r="J165" s="474"/>
      <c r="K165" s="474"/>
      <c r="L165" s="528"/>
      <c r="M165" s="528"/>
      <c r="N165" s="528"/>
      <c r="O165" s="528"/>
      <c r="P165" s="528"/>
      <c r="Q165" s="528"/>
      <c r="R165" s="528"/>
      <c r="S165" s="528"/>
      <c r="T165" s="528"/>
      <c r="U165" s="528"/>
      <c r="V165" s="474"/>
      <c r="W165" s="528"/>
    </row>
    <row r="166" spans="1:23" s="31" customFormat="1" ht="15">
      <c r="A166" s="218"/>
      <c r="B166" s="666"/>
      <c r="C166" s="463"/>
      <c r="D166" s="665"/>
      <c r="E166" s="665"/>
      <c r="F166" s="667"/>
      <c r="G166" s="665"/>
      <c r="H166" s="665"/>
      <c r="I166" s="456"/>
      <c r="J166" s="456"/>
      <c r="K166" s="456"/>
      <c r="L166" s="456"/>
      <c r="M166" s="456"/>
      <c r="N166" s="456"/>
      <c r="O166" s="456"/>
      <c r="P166" s="456"/>
      <c r="Q166" s="456"/>
      <c r="R166" s="456"/>
      <c r="S166" s="456"/>
      <c r="T166" s="456"/>
      <c r="U166" s="456"/>
      <c r="V166" s="456"/>
      <c r="W166" s="456"/>
    </row>
    <row r="167" spans="1:23" s="31" customFormat="1" ht="15">
      <c r="A167" s="668"/>
      <c r="C167" s="463"/>
      <c r="D167" s="474"/>
      <c r="E167" s="474"/>
      <c r="F167" s="490"/>
      <c r="G167" s="474"/>
      <c r="H167" s="474"/>
      <c r="I167" s="134"/>
      <c r="J167" s="134"/>
      <c r="K167" s="134"/>
      <c r="L167" s="134"/>
      <c r="M167" s="134"/>
      <c r="N167" s="134"/>
      <c r="O167" s="134"/>
      <c r="P167" s="134"/>
      <c r="Q167" s="134"/>
      <c r="R167" s="134"/>
      <c r="S167" s="134"/>
      <c r="T167" s="134"/>
      <c r="U167" s="134"/>
      <c r="V167" s="134"/>
      <c r="W167" s="134"/>
    </row>
    <row r="168" spans="1:23" s="31" customFormat="1">
      <c r="A168" s="145"/>
      <c r="C168" s="463"/>
      <c r="D168" s="474"/>
      <c r="E168" s="474"/>
      <c r="F168" s="490"/>
      <c r="G168" s="474"/>
      <c r="H168" s="474"/>
      <c r="I168" s="134"/>
      <c r="J168" s="134"/>
      <c r="K168" s="134"/>
      <c r="L168" s="134"/>
      <c r="M168" s="134"/>
      <c r="N168" s="134"/>
      <c r="O168" s="134"/>
      <c r="P168" s="134"/>
      <c r="Q168" s="134"/>
      <c r="R168" s="134"/>
      <c r="S168" s="134"/>
      <c r="T168" s="134"/>
      <c r="U168" s="134"/>
      <c r="V168" s="134"/>
      <c r="W168" s="134"/>
    </row>
    <row r="169" spans="1:23" s="31" customFormat="1">
      <c r="A169" s="145"/>
      <c r="C169" s="463"/>
      <c r="D169" s="474"/>
      <c r="E169" s="474"/>
      <c r="F169" s="490"/>
      <c r="G169" s="474"/>
      <c r="H169" s="474"/>
      <c r="I169" s="134"/>
      <c r="J169" s="134"/>
      <c r="K169" s="134"/>
      <c r="L169" s="134"/>
      <c r="M169" s="134"/>
      <c r="N169" s="134"/>
      <c r="O169" s="134"/>
      <c r="P169" s="134"/>
      <c r="Q169" s="134"/>
      <c r="R169" s="134"/>
      <c r="S169" s="134"/>
      <c r="T169" s="134"/>
      <c r="U169" s="134"/>
      <c r="V169" s="134"/>
      <c r="W169" s="134"/>
    </row>
    <row r="170" spans="1:23" s="31" customFormat="1">
      <c r="A170" s="145"/>
      <c r="C170" s="463"/>
      <c r="D170" s="474"/>
      <c r="E170" s="474"/>
      <c r="F170" s="490"/>
      <c r="G170" s="474"/>
      <c r="H170" s="474"/>
      <c r="I170" s="134"/>
      <c r="J170" s="134"/>
      <c r="K170" s="134"/>
      <c r="L170" s="134"/>
      <c r="M170" s="134"/>
      <c r="N170" s="134"/>
      <c r="O170" s="134"/>
      <c r="P170" s="134"/>
      <c r="Q170" s="134"/>
      <c r="R170" s="134"/>
      <c r="S170" s="134"/>
      <c r="T170" s="134"/>
      <c r="U170" s="134"/>
      <c r="V170" s="134"/>
      <c r="W170" s="134"/>
    </row>
    <row r="171" spans="1:23" s="31" customFormat="1">
      <c r="A171" s="145"/>
      <c r="C171" s="463"/>
      <c r="D171" s="474"/>
      <c r="E171" s="474"/>
      <c r="F171" s="490"/>
      <c r="G171" s="474"/>
      <c r="H171" s="474"/>
      <c r="I171" s="134"/>
      <c r="J171" s="134"/>
      <c r="K171" s="134"/>
      <c r="L171" s="134"/>
      <c r="M171" s="134"/>
      <c r="N171" s="134"/>
      <c r="O171" s="134"/>
      <c r="P171" s="134"/>
      <c r="Q171" s="134"/>
      <c r="R171" s="134"/>
      <c r="S171" s="134"/>
      <c r="T171" s="134"/>
      <c r="U171" s="134"/>
      <c r="V171" s="134"/>
      <c r="W171" s="134"/>
    </row>
    <row r="172" spans="1:23" s="31" customFormat="1">
      <c r="A172" s="145"/>
      <c r="C172" s="463"/>
      <c r="D172" s="474"/>
      <c r="E172" s="474"/>
      <c r="F172" s="490"/>
      <c r="G172" s="474"/>
      <c r="H172" s="474"/>
      <c r="I172" s="134"/>
      <c r="J172" s="134"/>
      <c r="K172" s="134"/>
      <c r="L172" s="134"/>
      <c r="M172" s="134"/>
      <c r="N172" s="134"/>
      <c r="O172" s="134"/>
      <c r="P172" s="134"/>
      <c r="Q172" s="134"/>
      <c r="R172" s="134"/>
      <c r="S172" s="134"/>
      <c r="T172" s="134"/>
      <c r="U172" s="134"/>
      <c r="V172" s="134"/>
      <c r="W172" s="134"/>
    </row>
    <row r="173" spans="1:23" s="31" customFormat="1">
      <c r="A173" s="145"/>
      <c r="C173" s="463"/>
      <c r="D173" s="474"/>
      <c r="E173" s="474"/>
      <c r="F173" s="490"/>
      <c r="G173" s="474"/>
      <c r="H173" s="474"/>
      <c r="I173" s="134"/>
      <c r="J173" s="134"/>
      <c r="K173" s="134"/>
      <c r="L173" s="134"/>
      <c r="M173" s="134"/>
      <c r="N173" s="134"/>
      <c r="O173" s="134"/>
      <c r="P173" s="134"/>
      <c r="Q173" s="134"/>
      <c r="R173" s="134"/>
      <c r="S173" s="134"/>
      <c r="T173" s="134"/>
      <c r="U173" s="134"/>
      <c r="V173" s="134"/>
      <c r="W173" s="134"/>
    </row>
    <row r="174" spans="1:23" s="31" customFormat="1">
      <c r="A174" s="145"/>
      <c r="C174" s="463"/>
      <c r="D174" s="474"/>
      <c r="E174" s="474"/>
      <c r="F174" s="490"/>
      <c r="G174" s="474"/>
      <c r="H174" s="474"/>
      <c r="I174" s="134"/>
      <c r="J174" s="134"/>
      <c r="K174" s="134"/>
      <c r="L174" s="134"/>
      <c r="M174" s="134"/>
      <c r="N174" s="134"/>
      <c r="O174" s="134"/>
      <c r="P174" s="134"/>
      <c r="Q174" s="134"/>
      <c r="R174" s="134"/>
      <c r="S174" s="134"/>
      <c r="T174" s="134"/>
      <c r="U174" s="134"/>
      <c r="V174" s="134"/>
      <c r="W174" s="134"/>
    </row>
    <row r="175" spans="1:23" s="31" customFormat="1">
      <c r="A175" s="145"/>
      <c r="C175" s="463"/>
      <c r="D175" s="474"/>
      <c r="E175" s="474"/>
      <c r="F175" s="490"/>
      <c r="G175" s="474"/>
      <c r="H175" s="474"/>
      <c r="I175" s="134"/>
      <c r="J175" s="134"/>
      <c r="K175" s="134"/>
      <c r="L175" s="134"/>
      <c r="M175" s="134"/>
      <c r="N175" s="134"/>
      <c r="O175" s="134"/>
      <c r="P175" s="134"/>
      <c r="Q175" s="134"/>
      <c r="R175" s="134"/>
      <c r="S175" s="134"/>
      <c r="T175" s="134"/>
      <c r="U175" s="134"/>
      <c r="V175" s="134"/>
      <c r="W175" s="134"/>
    </row>
    <row r="176" spans="1:23" s="31" customFormat="1">
      <c r="A176" s="145"/>
      <c r="C176" s="463"/>
      <c r="D176" s="474"/>
      <c r="E176" s="474"/>
      <c r="F176" s="490"/>
      <c r="G176" s="474"/>
      <c r="H176" s="474"/>
      <c r="I176" s="134"/>
      <c r="J176" s="134"/>
      <c r="K176" s="134"/>
      <c r="L176" s="134"/>
      <c r="M176" s="134"/>
      <c r="N176" s="134"/>
      <c r="O176" s="134"/>
      <c r="P176" s="134"/>
      <c r="Q176" s="134"/>
      <c r="R176" s="134"/>
      <c r="S176" s="134"/>
      <c r="T176" s="134"/>
      <c r="U176" s="134"/>
      <c r="V176" s="134"/>
      <c r="W176" s="134"/>
    </row>
    <row r="177" spans="1:23" s="31" customFormat="1">
      <c r="A177" s="145"/>
      <c r="B177" s="47"/>
      <c r="C177" s="463"/>
      <c r="D177" s="474"/>
      <c r="E177" s="474"/>
      <c r="F177" s="490"/>
      <c r="G177" s="474"/>
      <c r="H177" s="474"/>
      <c r="I177" s="134"/>
      <c r="J177" s="134"/>
      <c r="K177" s="134"/>
      <c r="L177" s="134"/>
      <c r="M177" s="134"/>
      <c r="N177" s="134"/>
      <c r="O177" s="134"/>
      <c r="P177" s="134"/>
      <c r="Q177" s="134"/>
      <c r="R177" s="134"/>
      <c r="S177" s="134"/>
      <c r="T177" s="134"/>
      <c r="U177" s="134"/>
      <c r="V177" s="134"/>
      <c r="W177" s="134"/>
    </row>
    <row r="178" spans="1:23" s="31" customFormat="1">
      <c r="A178" s="145"/>
      <c r="C178" s="463"/>
      <c r="D178" s="474"/>
      <c r="E178" s="474"/>
      <c r="F178" s="490"/>
      <c r="G178" s="474"/>
      <c r="H178" s="474"/>
      <c r="I178" s="134"/>
      <c r="J178" s="134"/>
      <c r="K178" s="134"/>
      <c r="L178" s="134"/>
      <c r="M178" s="134"/>
      <c r="N178" s="134"/>
      <c r="O178" s="134"/>
      <c r="P178" s="134"/>
      <c r="Q178" s="29"/>
      <c r="R178" s="134"/>
      <c r="S178" s="134"/>
      <c r="T178" s="134"/>
      <c r="U178" s="134"/>
      <c r="V178" s="134"/>
      <c r="W178" s="134"/>
    </row>
    <row r="179" spans="1:23" s="31" customFormat="1">
      <c r="A179" s="145"/>
      <c r="C179" s="463"/>
      <c r="D179" s="474"/>
      <c r="E179" s="474"/>
      <c r="F179" s="490"/>
      <c r="G179" s="474"/>
      <c r="H179" s="474"/>
      <c r="I179" s="134"/>
      <c r="J179" s="134"/>
      <c r="K179" s="134"/>
      <c r="L179" s="134"/>
      <c r="M179" s="134"/>
      <c r="N179" s="134"/>
      <c r="O179" s="134"/>
      <c r="P179" s="134"/>
      <c r="Q179" s="134"/>
      <c r="R179" s="134"/>
      <c r="S179" s="134"/>
      <c r="T179" s="134"/>
      <c r="U179" s="134"/>
      <c r="V179" s="134"/>
      <c r="W179" s="134"/>
    </row>
    <row r="180" spans="1:23" s="31" customFormat="1">
      <c r="A180" s="145"/>
      <c r="C180" s="463"/>
      <c r="D180" s="474"/>
      <c r="E180" s="474"/>
      <c r="F180" s="490"/>
      <c r="G180" s="474"/>
      <c r="H180" s="474"/>
      <c r="I180" s="134"/>
      <c r="J180" s="134"/>
      <c r="K180" s="134"/>
      <c r="L180" s="134"/>
      <c r="M180" s="134"/>
      <c r="N180" s="134"/>
      <c r="O180" s="134"/>
      <c r="P180" s="134"/>
      <c r="Q180" s="134"/>
      <c r="R180" s="134"/>
      <c r="S180" s="134"/>
      <c r="T180" s="134"/>
      <c r="U180" s="134"/>
      <c r="V180" s="134"/>
      <c r="W180" s="134"/>
    </row>
    <row r="181" spans="1:23" s="31" customFormat="1">
      <c r="A181" s="145"/>
      <c r="C181" s="463"/>
      <c r="D181" s="474"/>
      <c r="E181" s="474"/>
      <c r="F181" s="490"/>
      <c r="G181" s="474"/>
      <c r="H181" s="474"/>
      <c r="I181" s="134"/>
      <c r="J181" s="134"/>
      <c r="K181" s="134"/>
      <c r="L181" s="134"/>
      <c r="M181" s="134"/>
      <c r="N181" s="134"/>
      <c r="O181" s="134"/>
      <c r="P181" s="134"/>
      <c r="Q181" s="134"/>
      <c r="R181" s="134"/>
      <c r="S181" s="134"/>
      <c r="T181" s="134"/>
      <c r="U181" s="134"/>
      <c r="V181" s="134"/>
      <c r="W181" s="134"/>
    </row>
    <row r="182" spans="1:23" s="31" customFormat="1">
      <c r="A182" s="145"/>
      <c r="C182" s="463"/>
      <c r="D182" s="474"/>
      <c r="E182" s="474"/>
      <c r="F182" s="490"/>
      <c r="G182" s="474"/>
      <c r="H182" s="474"/>
      <c r="I182" s="134"/>
      <c r="J182" s="134"/>
      <c r="K182" s="134"/>
      <c r="L182" s="134"/>
      <c r="M182" s="134"/>
      <c r="N182" s="134"/>
      <c r="O182" s="134"/>
      <c r="P182" s="134"/>
      <c r="Q182" s="134"/>
      <c r="R182" s="134"/>
      <c r="S182" s="134"/>
      <c r="T182" s="134"/>
      <c r="U182" s="134"/>
      <c r="V182" s="134"/>
      <c r="W182" s="134"/>
    </row>
    <row r="183" spans="1:23" s="31" customFormat="1">
      <c r="A183" s="145"/>
      <c r="C183" s="463"/>
      <c r="D183" s="474"/>
      <c r="E183" s="474"/>
      <c r="F183" s="490"/>
      <c r="G183" s="474"/>
      <c r="H183" s="474"/>
      <c r="I183" s="134"/>
      <c r="J183" s="134"/>
      <c r="K183" s="134"/>
      <c r="L183" s="134"/>
      <c r="M183" s="134"/>
      <c r="N183" s="134"/>
      <c r="O183" s="134"/>
      <c r="P183" s="134"/>
      <c r="Q183" s="134"/>
      <c r="R183" s="134"/>
      <c r="S183" s="134"/>
      <c r="T183" s="134"/>
      <c r="U183" s="134"/>
      <c r="V183" s="134"/>
      <c r="W183" s="134"/>
    </row>
    <row r="184" spans="1:23" s="31" customFormat="1">
      <c r="A184" s="145"/>
      <c r="C184" s="463"/>
      <c r="D184" s="474"/>
      <c r="E184" s="474"/>
      <c r="F184" s="490"/>
      <c r="G184" s="474"/>
      <c r="H184" s="474"/>
      <c r="I184" s="134"/>
      <c r="J184" s="134"/>
      <c r="K184" s="134"/>
      <c r="L184" s="134"/>
      <c r="M184" s="134"/>
      <c r="N184" s="134"/>
      <c r="O184" s="134"/>
      <c r="P184" s="134"/>
      <c r="Q184" s="134"/>
      <c r="R184" s="134"/>
      <c r="S184" s="134"/>
      <c r="T184" s="134"/>
      <c r="U184" s="134"/>
      <c r="V184" s="134"/>
      <c r="W184" s="134"/>
    </row>
    <row r="185" spans="1:23" s="31" customFormat="1">
      <c r="A185" s="145"/>
      <c r="C185" s="463"/>
      <c r="D185" s="474"/>
      <c r="E185" s="474"/>
      <c r="F185" s="490"/>
      <c r="G185" s="474"/>
      <c r="H185" s="474"/>
      <c r="I185" s="134"/>
      <c r="J185" s="134"/>
      <c r="K185" s="134"/>
      <c r="L185" s="134"/>
      <c r="M185" s="134"/>
      <c r="N185" s="134"/>
      <c r="O185" s="134"/>
      <c r="P185" s="134"/>
      <c r="Q185" s="134"/>
      <c r="R185" s="134"/>
      <c r="S185" s="134"/>
      <c r="T185" s="134"/>
      <c r="U185" s="134"/>
      <c r="V185" s="134"/>
      <c r="W185" s="134"/>
    </row>
    <row r="186" spans="1:23" s="31" customFormat="1">
      <c r="A186" s="145"/>
      <c r="C186" s="463"/>
      <c r="D186" s="474"/>
      <c r="E186" s="474"/>
      <c r="F186" s="490"/>
      <c r="G186" s="474"/>
      <c r="H186" s="474"/>
      <c r="I186" s="134"/>
      <c r="J186" s="134"/>
      <c r="K186" s="134"/>
      <c r="L186" s="134"/>
      <c r="M186" s="134"/>
      <c r="N186" s="134"/>
      <c r="O186" s="134"/>
      <c r="P186" s="134"/>
      <c r="Q186" s="134"/>
      <c r="R186" s="134"/>
      <c r="S186" s="134"/>
      <c r="T186" s="134"/>
      <c r="U186" s="134"/>
      <c r="V186" s="134"/>
      <c r="W186" s="134"/>
    </row>
    <row r="187" spans="1:23" s="31" customFormat="1">
      <c r="A187" s="145"/>
      <c r="C187" s="463"/>
      <c r="D187" s="474"/>
      <c r="E187" s="474"/>
      <c r="F187" s="490"/>
      <c r="G187" s="474"/>
      <c r="H187" s="474"/>
      <c r="I187" s="134"/>
      <c r="J187" s="134"/>
      <c r="K187" s="134"/>
      <c r="L187" s="134"/>
      <c r="M187" s="134"/>
      <c r="N187" s="134"/>
      <c r="O187" s="134"/>
      <c r="P187" s="134"/>
      <c r="Q187" s="134"/>
      <c r="R187" s="134"/>
      <c r="S187" s="134"/>
      <c r="T187" s="134"/>
      <c r="U187" s="134"/>
      <c r="V187" s="134"/>
      <c r="W187" s="134"/>
    </row>
    <row r="188" spans="1:23" s="31" customFormat="1">
      <c r="A188" s="145"/>
      <c r="C188" s="463"/>
      <c r="D188" s="474"/>
      <c r="E188" s="474"/>
      <c r="F188" s="490"/>
      <c r="G188" s="474"/>
      <c r="H188" s="474"/>
      <c r="I188" s="134"/>
      <c r="J188" s="134"/>
      <c r="K188" s="134"/>
      <c r="L188" s="134"/>
      <c r="M188" s="134"/>
      <c r="N188" s="134"/>
      <c r="O188" s="134"/>
      <c r="P188" s="134"/>
      <c r="Q188" s="134"/>
      <c r="R188" s="134"/>
      <c r="S188" s="134"/>
      <c r="T188" s="134"/>
      <c r="U188" s="134"/>
      <c r="V188" s="134"/>
      <c r="W188" s="134"/>
    </row>
    <row r="189" spans="1:23" s="31" customFormat="1">
      <c r="A189" s="145"/>
      <c r="C189" s="463"/>
      <c r="D189" s="474"/>
      <c r="E189" s="474"/>
      <c r="F189" s="490"/>
      <c r="G189" s="474"/>
      <c r="H189" s="474"/>
      <c r="I189" s="134"/>
      <c r="J189" s="134"/>
      <c r="K189" s="134"/>
      <c r="L189" s="134"/>
      <c r="M189" s="134"/>
      <c r="N189" s="134"/>
      <c r="O189" s="134"/>
      <c r="P189" s="134"/>
      <c r="Q189" s="134"/>
      <c r="R189" s="134"/>
      <c r="S189" s="134"/>
      <c r="T189" s="134"/>
      <c r="U189" s="134"/>
      <c r="V189" s="134"/>
      <c r="W189" s="134"/>
    </row>
    <row r="190" spans="1:23" s="31" customFormat="1">
      <c r="A190" s="145"/>
      <c r="C190" s="463"/>
      <c r="D190" s="474"/>
      <c r="E190" s="474"/>
      <c r="F190" s="490"/>
      <c r="G190" s="474"/>
      <c r="H190" s="474"/>
      <c r="I190" s="134"/>
      <c r="J190" s="134"/>
      <c r="K190" s="134"/>
      <c r="L190" s="134"/>
      <c r="M190" s="134"/>
      <c r="N190" s="134"/>
      <c r="O190" s="134"/>
      <c r="P190" s="134"/>
      <c r="Q190" s="134"/>
      <c r="R190" s="134"/>
      <c r="S190" s="134"/>
      <c r="T190" s="134"/>
      <c r="U190" s="134"/>
      <c r="V190" s="134"/>
      <c r="W190" s="134"/>
    </row>
    <row r="191" spans="1:23" s="31" customFormat="1">
      <c r="A191" s="145"/>
      <c r="C191" s="463"/>
      <c r="D191" s="474"/>
      <c r="E191" s="474"/>
      <c r="F191" s="490"/>
      <c r="G191" s="474"/>
      <c r="H191" s="474"/>
      <c r="I191" s="134"/>
      <c r="J191" s="134"/>
      <c r="K191" s="134"/>
      <c r="L191" s="134"/>
      <c r="M191" s="134"/>
      <c r="N191" s="134"/>
      <c r="O191" s="134"/>
      <c r="P191" s="134"/>
      <c r="Q191" s="134"/>
      <c r="R191" s="134"/>
      <c r="S191" s="134"/>
      <c r="T191" s="134"/>
      <c r="U191" s="134"/>
      <c r="V191" s="134"/>
      <c r="W191" s="134"/>
    </row>
    <row r="192" spans="1:23" s="31" customFormat="1">
      <c r="A192" s="145"/>
      <c r="C192" s="463"/>
      <c r="D192" s="474"/>
      <c r="E192" s="474"/>
      <c r="F192" s="490"/>
      <c r="G192" s="474"/>
      <c r="H192" s="474"/>
      <c r="I192" s="134"/>
      <c r="J192" s="134"/>
      <c r="K192" s="134"/>
      <c r="L192" s="134"/>
      <c r="M192" s="134"/>
      <c r="N192" s="134"/>
      <c r="O192" s="134"/>
      <c r="P192" s="134"/>
      <c r="Q192" s="134"/>
      <c r="R192" s="134"/>
      <c r="S192" s="134"/>
      <c r="T192" s="134"/>
      <c r="U192" s="134"/>
      <c r="V192" s="134"/>
      <c r="W192" s="134"/>
    </row>
    <row r="193" spans="1:23" s="31" customFormat="1">
      <c r="A193" s="145"/>
      <c r="C193" s="463"/>
      <c r="D193" s="474"/>
      <c r="E193" s="474"/>
      <c r="F193" s="490"/>
      <c r="G193" s="474"/>
      <c r="H193" s="474"/>
      <c r="I193" s="134"/>
      <c r="J193" s="134"/>
      <c r="K193" s="134"/>
      <c r="L193" s="134"/>
      <c r="M193" s="134"/>
      <c r="N193" s="134"/>
      <c r="O193" s="134"/>
      <c r="P193" s="134"/>
      <c r="Q193" s="134"/>
      <c r="R193" s="134"/>
      <c r="S193" s="134"/>
      <c r="T193" s="134"/>
      <c r="U193" s="134"/>
      <c r="V193" s="134"/>
      <c r="W193" s="134"/>
    </row>
    <row r="194" spans="1:23" s="31" customFormat="1">
      <c r="A194" s="145"/>
      <c r="C194" s="463"/>
      <c r="D194" s="474"/>
      <c r="E194" s="474"/>
      <c r="F194" s="490"/>
      <c r="G194" s="474"/>
      <c r="H194" s="474"/>
      <c r="I194" s="134"/>
      <c r="J194" s="134"/>
      <c r="K194" s="134"/>
      <c r="L194" s="134"/>
      <c r="M194" s="134"/>
      <c r="N194" s="134"/>
      <c r="O194" s="134"/>
      <c r="P194" s="134"/>
      <c r="Q194" s="134"/>
      <c r="R194" s="134"/>
      <c r="S194" s="134"/>
      <c r="T194" s="134"/>
      <c r="U194" s="134"/>
      <c r="V194" s="134"/>
      <c r="W194" s="134"/>
    </row>
    <row r="195" spans="1:23" s="31" customFormat="1">
      <c r="A195" s="145"/>
      <c r="C195" s="463"/>
      <c r="D195" s="474"/>
      <c r="E195" s="474"/>
      <c r="F195" s="490"/>
      <c r="G195" s="474"/>
      <c r="H195" s="474"/>
      <c r="I195" s="134"/>
      <c r="J195" s="134"/>
      <c r="K195" s="134"/>
      <c r="L195" s="134"/>
      <c r="M195" s="134"/>
      <c r="N195" s="134"/>
      <c r="O195" s="134"/>
      <c r="P195" s="134"/>
      <c r="Q195" s="134"/>
      <c r="R195" s="134"/>
      <c r="S195" s="134"/>
      <c r="T195" s="134"/>
      <c r="U195" s="134"/>
      <c r="V195" s="134"/>
      <c r="W195" s="134"/>
    </row>
    <row r="196" spans="1:23" s="31" customFormat="1">
      <c r="A196" s="145"/>
      <c r="C196" s="463"/>
      <c r="D196" s="474"/>
      <c r="E196" s="474"/>
      <c r="F196" s="490"/>
      <c r="G196" s="474"/>
      <c r="H196" s="474"/>
      <c r="I196" s="134"/>
      <c r="J196" s="134"/>
      <c r="K196" s="134"/>
      <c r="L196" s="134"/>
      <c r="M196" s="134"/>
      <c r="N196" s="134"/>
      <c r="O196" s="134"/>
      <c r="P196" s="134"/>
      <c r="Q196" s="134"/>
      <c r="R196" s="134"/>
      <c r="S196" s="134"/>
      <c r="T196" s="134"/>
      <c r="U196" s="134"/>
      <c r="V196" s="134"/>
      <c r="W196" s="134"/>
    </row>
    <row r="197" spans="1:23" s="31" customFormat="1">
      <c r="A197" s="145"/>
      <c r="C197" s="463"/>
      <c r="D197" s="474"/>
      <c r="E197" s="474"/>
      <c r="F197" s="490"/>
      <c r="G197" s="474"/>
      <c r="H197" s="474"/>
      <c r="I197" s="134"/>
      <c r="J197" s="134"/>
      <c r="K197" s="134"/>
      <c r="L197" s="134"/>
      <c r="M197" s="134"/>
      <c r="N197" s="134"/>
      <c r="O197" s="134"/>
      <c r="P197" s="134"/>
      <c r="Q197" s="134"/>
      <c r="R197" s="134"/>
      <c r="S197" s="134"/>
      <c r="T197" s="134"/>
      <c r="U197" s="134"/>
      <c r="V197" s="134"/>
      <c r="W197" s="134"/>
    </row>
    <row r="198" spans="1:23" s="659" customFormat="1">
      <c r="A198" s="145"/>
      <c r="B198" s="250"/>
      <c r="C198" s="463"/>
      <c r="D198" s="474"/>
      <c r="E198" s="474"/>
      <c r="F198" s="490"/>
      <c r="G198" s="474"/>
      <c r="H198" s="592"/>
      <c r="I198" s="134"/>
      <c r="J198" s="134"/>
      <c r="K198" s="134"/>
      <c r="L198" s="134"/>
      <c r="M198" s="134"/>
      <c r="N198" s="134"/>
      <c r="O198" s="134"/>
      <c r="P198" s="134"/>
      <c r="Q198" s="134"/>
      <c r="R198" s="134"/>
      <c r="S198" s="134"/>
      <c r="T198" s="134"/>
      <c r="U198" s="134"/>
      <c r="V198" s="134"/>
      <c r="W198" s="134"/>
    </row>
    <row r="199" spans="1:23" s="659" customFormat="1">
      <c r="A199" s="145"/>
      <c r="B199" s="250"/>
      <c r="C199" s="463"/>
      <c r="D199" s="592"/>
      <c r="E199" s="592"/>
      <c r="F199" s="490"/>
      <c r="G199" s="474"/>
      <c r="H199" s="592"/>
      <c r="I199" s="92"/>
      <c r="J199" s="134"/>
      <c r="K199" s="134"/>
      <c r="L199" s="92"/>
      <c r="M199" s="92"/>
      <c r="N199" s="134"/>
      <c r="O199" s="134"/>
      <c r="P199" s="134"/>
      <c r="Q199" s="134"/>
      <c r="R199" s="134"/>
      <c r="S199" s="134"/>
      <c r="T199" s="134"/>
      <c r="U199" s="134"/>
      <c r="V199" s="134"/>
      <c r="W199" s="134"/>
    </row>
    <row r="200" spans="1:23" s="659" customFormat="1">
      <c r="A200" s="145"/>
      <c r="B200" s="250"/>
      <c r="C200" s="474"/>
      <c r="D200" s="474"/>
      <c r="E200" s="474"/>
      <c r="F200" s="474"/>
      <c r="G200" s="474"/>
      <c r="H200" s="474"/>
      <c r="I200" s="474"/>
      <c r="J200" s="474"/>
      <c r="K200" s="474"/>
      <c r="L200" s="474"/>
      <c r="M200" s="474"/>
      <c r="N200" s="474"/>
      <c r="O200" s="474"/>
      <c r="P200" s="474"/>
      <c r="Q200" s="474"/>
      <c r="R200" s="474"/>
      <c r="S200" s="474"/>
      <c r="T200" s="474"/>
      <c r="U200" s="474"/>
      <c r="V200" s="474"/>
      <c r="W200" s="474"/>
    </row>
    <row r="201" spans="1:23" s="659" customFormat="1">
      <c r="A201" s="145"/>
      <c r="B201" s="250"/>
      <c r="C201" s="463"/>
      <c r="D201" s="592"/>
      <c r="E201" s="592"/>
      <c r="F201" s="490"/>
      <c r="G201" s="474"/>
      <c r="H201" s="592"/>
      <c r="I201" s="92"/>
      <c r="J201" s="134"/>
      <c r="K201" s="134"/>
      <c r="L201" s="92"/>
      <c r="M201" s="92"/>
      <c r="N201" s="134"/>
      <c r="O201" s="134"/>
      <c r="P201" s="134"/>
      <c r="Q201" s="134"/>
      <c r="R201" s="134"/>
      <c r="S201" s="134"/>
      <c r="T201" s="134"/>
      <c r="U201" s="134"/>
      <c r="V201" s="134"/>
      <c r="W201" s="134"/>
    </row>
    <row r="202" spans="1:23" s="31" customFormat="1">
      <c r="A202" s="662"/>
      <c r="B202" s="47"/>
      <c r="C202" s="463"/>
      <c r="D202" s="474"/>
      <c r="E202" s="474"/>
      <c r="F202" s="490"/>
      <c r="G202" s="490"/>
      <c r="H202" s="474"/>
      <c r="I202" s="134"/>
      <c r="J202" s="134"/>
      <c r="K202" s="134"/>
      <c r="L202" s="134"/>
      <c r="M202" s="134"/>
      <c r="N202" s="134"/>
      <c r="O202" s="134"/>
      <c r="P202" s="134"/>
      <c r="Q202" s="134"/>
      <c r="R202" s="134"/>
      <c r="S202" s="134"/>
      <c r="T202" s="134"/>
      <c r="U202" s="134"/>
      <c r="V202" s="134"/>
      <c r="W202" s="134"/>
    </row>
    <row r="203" spans="1:23" s="31" customFormat="1">
      <c r="A203" s="145"/>
      <c r="C203" s="463"/>
      <c r="D203" s="474"/>
      <c r="E203" s="474"/>
      <c r="F203" s="490"/>
      <c r="G203" s="490"/>
      <c r="H203" s="474"/>
      <c r="I203" s="29"/>
      <c r="J203" s="134"/>
      <c r="K203" s="134"/>
      <c r="L203" s="134"/>
      <c r="M203" s="134"/>
      <c r="N203" s="134"/>
      <c r="O203" s="134"/>
      <c r="P203" s="134"/>
      <c r="Q203" s="134"/>
      <c r="R203" s="134"/>
      <c r="S203" s="134"/>
      <c r="T203" s="134"/>
      <c r="U203" s="134"/>
      <c r="V203" s="134"/>
      <c r="W203" s="134"/>
    </row>
    <row r="204" spans="1:23" s="31" customFormat="1">
      <c r="A204" s="145"/>
      <c r="C204" s="463"/>
      <c r="D204" s="474"/>
      <c r="E204" s="474"/>
      <c r="F204" s="490"/>
      <c r="G204" s="490"/>
      <c r="H204" s="474"/>
      <c r="I204" s="134"/>
      <c r="J204" s="134"/>
      <c r="K204" s="134"/>
      <c r="L204" s="134"/>
      <c r="M204" s="134"/>
      <c r="N204" s="134"/>
      <c r="O204" s="134"/>
      <c r="P204" s="134"/>
      <c r="Q204" s="134"/>
      <c r="R204" s="134"/>
      <c r="S204" s="134"/>
      <c r="T204" s="134"/>
      <c r="U204" s="134"/>
      <c r="V204" s="134"/>
      <c r="W204" s="134"/>
    </row>
    <row r="205" spans="1:23" s="31" customFormat="1">
      <c r="A205" s="145"/>
      <c r="C205" s="463"/>
      <c r="D205" s="474"/>
      <c r="E205" s="474"/>
      <c r="F205" s="490"/>
      <c r="G205" s="490"/>
      <c r="H205" s="474"/>
      <c r="I205" s="134"/>
      <c r="J205" s="134"/>
      <c r="K205" s="134"/>
      <c r="L205" s="134"/>
      <c r="M205" s="134"/>
      <c r="N205" s="134"/>
      <c r="O205" s="134"/>
      <c r="P205" s="134"/>
      <c r="Q205" s="134"/>
      <c r="R205" s="134"/>
      <c r="S205" s="134"/>
      <c r="T205" s="134"/>
      <c r="U205" s="134"/>
      <c r="V205" s="134"/>
      <c r="W205" s="134"/>
    </row>
    <row r="206" spans="1:23" s="31" customFormat="1">
      <c r="A206" s="145"/>
      <c r="C206" s="463"/>
      <c r="D206" s="474"/>
      <c r="E206" s="474"/>
      <c r="F206" s="490"/>
      <c r="G206" s="490"/>
      <c r="H206" s="474"/>
      <c r="I206" s="134"/>
      <c r="J206" s="134"/>
      <c r="K206" s="134"/>
      <c r="L206" s="134"/>
      <c r="M206" s="134"/>
      <c r="N206" s="134"/>
      <c r="O206" s="134"/>
      <c r="P206" s="134"/>
      <c r="Q206" s="134"/>
      <c r="R206" s="134"/>
      <c r="S206" s="134"/>
      <c r="T206" s="134"/>
      <c r="U206" s="134"/>
      <c r="V206" s="134"/>
      <c r="W206" s="134"/>
    </row>
    <row r="207" spans="1:23" s="31" customFormat="1">
      <c r="A207" s="145"/>
      <c r="C207" s="463"/>
      <c r="D207" s="474"/>
      <c r="E207" s="474"/>
      <c r="F207" s="490"/>
      <c r="G207" s="490"/>
      <c r="H207" s="474"/>
      <c r="I207" s="134"/>
      <c r="J207" s="134"/>
      <c r="K207" s="134"/>
      <c r="L207" s="134"/>
      <c r="M207" s="134"/>
      <c r="N207" s="134"/>
      <c r="O207" s="134"/>
      <c r="P207" s="134"/>
      <c r="Q207" s="134"/>
      <c r="R207" s="134"/>
      <c r="S207" s="134"/>
      <c r="T207" s="134"/>
      <c r="U207" s="134"/>
      <c r="V207" s="134"/>
      <c r="W207" s="134"/>
    </row>
    <row r="208" spans="1:23" s="31" customFormat="1">
      <c r="A208" s="145"/>
      <c r="C208" s="463"/>
      <c r="D208" s="474"/>
      <c r="E208" s="474"/>
      <c r="F208" s="490"/>
      <c r="G208" s="490"/>
      <c r="H208" s="592"/>
      <c r="I208" s="92"/>
      <c r="J208" s="134"/>
      <c r="K208" s="134"/>
      <c r="L208" s="134"/>
      <c r="M208" s="92"/>
      <c r="N208" s="134"/>
      <c r="O208" s="134"/>
      <c r="P208" s="134"/>
      <c r="Q208" s="134"/>
      <c r="R208" s="134"/>
      <c r="S208" s="134"/>
      <c r="T208" s="134"/>
      <c r="U208" s="134"/>
      <c r="V208" s="134"/>
      <c r="W208" s="134"/>
    </row>
    <row r="209" spans="1:23" s="31" customFormat="1">
      <c r="A209" s="145"/>
      <c r="C209" s="463"/>
      <c r="D209" s="474"/>
      <c r="E209" s="474"/>
      <c r="F209" s="490"/>
      <c r="G209" s="490"/>
      <c r="H209" s="474"/>
      <c r="I209" s="134"/>
      <c r="J209" s="134"/>
      <c r="K209" s="134"/>
      <c r="L209" s="134"/>
      <c r="M209" s="134"/>
      <c r="N209" s="134"/>
      <c r="O209" s="134"/>
      <c r="P209" s="134"/>
      <c r="Q209" s="134"/>
      <c r="R209" s="134"/>
      <c r="S209" s="134"/>
      <c r="T209" s="134"/>
      <c r="U209" s="134"/>
      <c r="V209" s="134"/>
      <c r="W209" s="134"/>
    </row>
    <row r="210" spans="1:23" s="31" customFormat="1">
      <c r="A210" s="145"/>
      <c r="C210" s="463"/>
      <c r="D210" s="474"/>
      <c r="E210" s="474"/>
      <c r="F210" s="490"/>
      <c r="G210" s="490"/>
      <c r="H210" s="474"/>
      <c r="I210" s="134"/>
      <c r="J210" s="134"/>
      <c r="K210" s="134"/>
      <c r="L210" s="134"/>
      <c r="M210" s="134"/>
      <c r="N210" s="134"/>
      <c r="O210" s="134"/>
      <c r="P210" s="134"/>
      <c r="Q210" s="134"/>
      <c r="R210" s="134"/>
      <c r="S210" s="134"/>
      <c r="T210" s="134"/>
      <c r="U210" s="134"/>
      <c r="V210" s="134"/>
      <c r="W210" s="134"/>
    </row>
    <row r="211" spans="1:23" s="31" customFormat="1">
      <c r="A211" s="145"/>
      <c r="C211" s="463"/>
      <c r="D211" s="474"/>
      <c r="E211" s="474"/>
      <c r="F211" s="490"/>
      <c r="G211" s="490"/>
      <c r="H211" s="592"/>
      <c r="I211" s="92"/>
      <c r="J211" s="134"/>
      <c r="K211" s="134"/>
      <c r="L211" s="92"/>
      <c r="M211" s="92"/>
      <c r="N211" s="134"/>
      <c r="O211" s="134"/>
      <c r="P211" s="134"/>
      <c r="Q211" s="134"/>
      <c r="R211" s="134"/>
      <c r="S211" s="134"/>
      <c r="T211" s="134"/>
      <c r="U211" s="134"/>
      <c r="V211" s="134"/>
      <c r="W211" s="134"/>
    </row>
    <row r="212" spans="1:23" s="31" customFormat="1">
      <c r="A212" s="145"/>
      <c r="C212" s="463"/>
      <c r="D212" s="474"/>
      <c r="E212" s="474"/>
      <c r="F212" s="490"/>
      <c r="G212" s="490"/>
      <c r="H212" s="474"/>
      <c r="I212" s="134"/>
      <c r="J212" s="134"/>
      <c r="K212" s="134"/>
      <c r="L212" s="134"/>
      <c r="M212" s="134"/>
      <c r="N212" s="134"/>
      <c r="O212" s="134"/>
      <c r="P212" s="134"/>
      <c r="Q212" s="134"/>
      <c r="R212" s="134"/>
      <c r="S212" s="134"/>
      <c r="T212" s="134"/>
      <c r="U212" s="134"/>
      <c r="V212" s="134"/>
      <c r="W212" s="134"/>
    </row>
    <row r="213" spans="1:23" s="31" customFormat="1">
      <c r="A213" s="145"/>
      <c r="C213" s="463"/>
      <c r="D213" s="474"/>
      <c r="E213" s="474"/>
      <c r="F213" s="490"/>
      <c r="G213" s="490"/>
      <c r="H213" s="592"/>
      <c r="I213" s="92"/>
      <c r="J213" s="92"/>
      <c r="K213" s="92"/>
      <c r="L213" s="92"/>
      <c r="M213" s="92"/>
      <c r="N213" s="134"/>
      <c r="O213" s="134"/>
      <c r="P213" s="134"/>
      <c r="Q213" s="134"/>
      <c r="R213" s="134"/>
      <c r="S213" s="134"/>
      <c r="T213" s="134"/>
      <c r="U213" s="134"/>
      <c r="V213" s="134"/>
      <c r="W213" s="134"/>
    </row>
    <row r="214" spans="1:23" s="31" customFormat="1">
      <c r="A214" s="145"/>
      <c r="C214" s="463"/>
      <c r="D214" s="592"/>
      <c r="E214" s="592"/>
      <c r="F214" s="670"/>
      <c r="G214" s="592"/>
      <c r="H214" s="592"/>
      <c r="I214" s="92"/>
      <c r="J214" s="92"/>
      <c r="K214" s="92"/>
      <c r="L214" s="92"/>
      <c r="M214" s="92"/>
      <c r="N214" s="92"/>
      <c r="O214" s="92"/>
      <c r="P214" s="92"/>
      <c r="Q214" s="92"/>
      <c r="R214" s="92"/>
      <c r="S214" s="92"/>
      <c r="T214" s="92"/>
      <c r="U214" s="92"/>
      <c r="V214" s="92"/>
      <c r="W214" s="92"/>
    </row>
    <row r="215" spans="1:23" s="31" customFormat="1">
      <c r="A215" s="145"/>
      <c r="C215" s="463"/>
      <c r="D215" s="463"/>
      <c r="E215" s="463"/>
      <c r="F215" s="463"/>
      <c r="G215" s="463"/>
      <c r="H215" s="463"/>
      <c r="I215" s="463"/>
      <c r="J215" s="463"/>
      <c r="K215" s="463"/>
      <c r="L215" s="463"/>
      <c r="M215" s="463"/>
      <c r="N215" s="463"/>
      <c r="O215" s="463"/>
      <c r="P215" s="463"/>
      <c r="Q215" s="463"/>
      <c r="R215" s="463"/>
      <c r="S215" s="463"/>
      <c r="T215" s="463"/>
      <c r="U215" s="463"/>
      <c r="V215" s="463"/>
      <c r="W215" s="463"/>
    </row>
    <row r="216" spans="1:23" s="31" customFormat="1">
      <c r="A216" s="145"/>
      <c r="C216" s="463"/>
      <c r="D216" s="592"/>
      <c r="E216" s="592"/>
      <c r="F216" s="670"/>
      <c r="G216" s="592"/>
      <c r="H216" s="592"/>
      <c r="I216" s="92"/>
      <c r="J216" s="92"/>
      <c r="K216" s="92"/>
      <c r="L216" s="92"/>
      <c r="M216" s="92"/>
      <c r="N216" s="92"/>
      <c r="O216" s="92"/>
      <c r="P216" s="92"/>
      <c r="Q216" s="92"/>
      <c r="R216" s="92"/>
      <c r="S216" s="92"/>
      <c r="T216" s="92"/>
      <c r="U216" s="92"/>
      <c r="V216" s="92"/>
      <c r="W216" s="92"/>
    </row>
    <row r="217" spans="1:23" s="31" customFormat="1">
      <c r="A217" s="145"/>
      <c r="C217" s="463"/>
      <c r="D217" s="592"/>
      <c r="E217" s="592"/>
      <c r="F217" s="670"/>
      <c r="G217" s="592"/>
      <c r="H217" s="592"/>
      <c r="I217" s="92"/>
      <c r="J217" s="92"/>
      <c r="K217" s="92"/>
      <c r="L217" s="92"/>
      <c r="M217" s="92"/>
      <c r="N217" s="92"/>
      <c r="O217" s="92"/>
      <c r="P217" s="92"/>
      <c r="Q217" s="92"/>
      <c r="R217" s="92"/>
      <c r="S217" s="92"/>
      <c r="T217" s="92"/>
      <c r="U217" s="92"/>
      <c r="V217" s="92"/>
      <c r="W217" s="92"/>
    </row>
    <row r="218" spans="1:23" s="31" customFormat="1">
      <c r="A218" s="145"/>
      <c r="C218" s="463"/>
      <c r="D218" s="463"/>
      <c r="E218" s="463"/>
      <c r="F218" s="463"/>
      <c r="G218" s="463"/>
      <c r="H218" s="463"/>
      <c r="I218" s="463"/>
      <c r="J218" s="463"/>
      <c r="K218" s="463"/>
      <c r="L218" s="463"/>
      <c r="M218" s="463"/>
      <c r="N218" s="463"/>
      <c r="O218" s="463"/>
      <c r="P218" s="463"/>
      <c r="Q218" s="463"/>
      <c r="R218" s="463"/>
      <c r="S218" s="463"/>
      <c r="T218" s="463"/>
      <c r="U218" s="463"/>
      <c r="V218" s="463"/>
      <c r="W218" s="463"/>
    </row>
    <row r="219" spans="1:23" s="31" customFormat="1">
      <c r="A219" s="145"/>
      <c r="C219" s="463"/>
      <c r="D219" s="592"/>
      <c r="E219" s="592"/>
      <c r="F219" s="670"/>
      <c r="G219" s="592"/>
      <c r="H219" s="592"/>
      <c r="I219" s="92"/>
      <c r="J219" s="92"/>
      <c r="K219" s="92"/>
      <c r="L219" s="92"/>
      <c r="M219" s="92"/>
      <c r="N219" s="92"/>
      <c r="O219" s="92"/>
      <c r="P219" s="92"/>
      <c r="Q219" s="92"/>
      <c r="R219" s="92"/>
      <c r="S219" s="92"/>
      <c r="T219" s="92"/>
      <c r="U219" s="92"/>
      <c r="V219" s="92"/>
      <c r="W219" s="92"/>
    </row>
    <row r="220" spans="1:23" s="31" customFormat="1" ht="15">
      <c r="A220" s="668"/>
      <c r="B220" s="47"/>
      <c r="C220" s="463"/>
      <c r="D220" s="474"/>
      <c r="E220" s="474"/>
      <c r="F220" s="490"/>
      <c r="G220" s="474"/>
      <c r="H220" s="474"/>
      <c r="I220" s="134"/>
      <c r="J220" s="134"/>
      <c r="K220" s="134"/>
      <c r="L220" s="134"/>
      <c r="M220" s="134"/>
      <c r="N220" s="134"/>
      <c r="O220" s="134"/>
      <c r="P220" s="134"/>
      <c r="Q220" s="134"/>
      <c r="R220" s="134"/>
      <c r="S220" s="134"/>
      <c r="T220" s="134"/>
      <c r="U220" s="134"/>
      <c r="V220" s="134"/>
      <c r="W220" s="134"/>
    </row>
    <row r="221" spans="1:23" s="31" customFormat="1">
      <c r="A221" s="145"/>
      <c r="C221" s="463"/>
      <c r="D221" s="474"/>
      <c r="E221" s="474"/>
      <c r="F221" s="490"/>
      <c r="G221" s="474"/>
      <c r="H221" s="474"/>
      <c r="I221" s="134"/>
      <c r="J221" s="134"/>
      <c r="K221" s="134"/>
      <c r="L221" s="134"/>
      <c r="M221" s="134"/>
      <c r="N221" s="134"/>
      <c r="O221" s="134"/>
      <c r="P221" s="134"/>
      <c r="Q221" s="134"/>
      <c r="R221" s="134"/>
      <c r="S221" s="134"/>
      <c r="T221" s="134"/>
      <c r="U221" s="134"/>
      <c r="V221" s="134"/>
      <c r="W221" s="134"/>
    </row>
    <row r="222" spans="1:23" s="31" customFormat="1">
      <c r="A222" s="145"/>
      <c r="C222" s="463"/>
      <c r="D222" s="474"/>
      <c r="E222" s="474"/>
      <c r="F222" s="490"/>
      <c r="G222" s="474"/>
      <c r="H222" s="474"/>
      <c r="I222" s="134"/>
      <c r="J222" s="134"/>
      <c r="K222" s="134"/>
      <c r="L222" s="134"/>
      <c r="M222" s="134"/>
      <c r="N222" s="134"/>
      <c r="O222" s="134"/>
      <c r="P222" s="134"/>
      <c r="Q222" s="134"/>
      <c r="R222" s="134"/>
      <c r="S222" s="134"/>
      <c r="T222" s="134"/>
      <c r="U222" s="134"/>
      <c r="V222" s="134"/>
      <c r="W222" s="134"/>
    </row>
    <row r="223" spans="1:23" s="31" customFormat="1">
      <c r="A223" s="145"/>
      <c r="C223" s="463"/>
      <c r="D223" s="474"/>
      <c r="E223" s="474"/>
      <c r="F223" s="490"/>
      <c r="G223" s="474"/>
      <c r="H223" s="474"/>
      <c r="I223" s="134"/>
      <c r="J223" s="29"/>
      <c r="K223" s="29"/>
      <c r="L223" s="134"/>
      <c r="M223" s="134"/>
      <c r="N223" s="134"/>
      <c r="O223" s="134"/>
      <c r="P223" s="134"/>
      <c r="Q223" s="134"/>
      <c r="R223" s="134"/>
      <c r="S223" s="134"/>
      <c r="T223" s="134"/>
      <c r="U223" s="134"/>
      <c r="V223" s="134"/>
      <c r="W223" s="134"/>
    </row>
    <row r="224" spans="1:23" s="31" customFormat="1">
      <c r="A224" s="145"/>
      <c r="C224" s="463"/>
      <c r="D224" s="474"/>
      <c r="E224" s="474"/>
      <c r="F224" s="490"/>
      <c r="G224" s="474"/>
      <c r="H224" s="474"/>
      <c r="I224" s="134"/>
      <c r="J224" s="134"/>
      <c r="K224" s="134"/>
      <c r="L224" s="134"/>
      <c r="M224" s="134"/>
      <c r="N224" s="134"/>
      <c r="O224" s="134"/>
      <c r="P224" s="134"/>
      <c r="Q224" s="134"/>
      <c r="R224" s="134"/>
      <c r="S224" s="134"/>
      <c r="T224" s="134"/>
      <c r="U224" s="134"/>
      <c r="V224" s="134"/>
      <c r="W224" s="134"/>
    </row>
    <row r="225" spans="1:23" s="31" customFormat="1">
      <c r="A225" s="145"/>
      <c r="C225" s="463"/>
      <c r="D225" s="474"/>
      <c r="E225" s="474"/>
      <c r="F225" s="490"/>
      <c r="G225" s="474"/>
      <c r="H225" s="474"/>
      <c r="I225" s="134"/>
      <c r="J225" s="134"/>
      <c r="K225" s="134"/>
      <c r="L225" s="134"/>
      <c r="M225" s="134"/>
      <c r="N225" s="134"/>
      <c r="O225" s="134"/>
      <c r="P225" s="134"/>
      <c r="Q225" s="134"/>
      <c r="R225" s="134"/>
      <c r="S225" s="134"/>
      <c r="T225" s="134"/>
      <c r="U225" s="134"/>
      <c r="V225" s="134"/>
      <c r="W225" s="134"/>
    </row>
    <row r="226" spans="1:23" s="31" customFormat="1">
      <c r="A226" s="145"/>
      <c r="C226" s="463"/>
      <c r="D226" s="474"/>
      <c r="E226" s="474"/>
      <c r="F226" s="490"/>
      <c r="G226" s="474"/>
      <c r="H226" s="474"/>
      <c r="I226" s="134"/>
      <c r="J226" s="134"/>
      <c r="K226" s="134"/>
      <c r="L226" s="134"/>
      <c r="M226" s="134"/>
      <c r="N226" s="134"/>
      <c r="O226" s="134"/>
      <c r="P226" s="134"/>
      <c r="Q226" s="134"/>
      <c r="R226" s="134"/>
      <c r="S226" s="134"/>
      <c r="T226" s="134"/>
      <c r="U226" s="134"/>
      <c r="V226" s="134"/>
      <c r="W226" s="134"/>
    </row>
    <row r="227" spans="1:23" s="31" customFormat="1">
      <c r="A227" s="145"/>
      <c r="B227" s="47"/>
      <c r="C227" s="463"/>
      <c r="D227" s="474"/>
      <c r="E227" s="474"/>
      <c r="F227" s="490"/>
      <c r="G227" s="474"/>
      <c r="H227" s="474"/>
      <c r="I227" s="134"/>
      <c r="J227" s="134"/>
      <c r="K227" s="134"/>
      <c r="L227" s="134"/>
      <c r="M227" s="134"/>
      <c r="N227" s="134"/>
      <c r="O227" s="134"/>
      <c r="P227" s="134"/>
      <c r="Q227" s="134"/>
      <c r="R227" s="134"/>
      <c r="S227" s="134"/>
      <c r="T227" s="134"/>
      <c r="U227" s="134"/>
      <c r="V227" s="134"/>
      <c r="W227" s="134"/>
    </row>
    <row r="228" spans="1:23" s="31" customFormat="1">
      <c r="A228" s="224"/>
      <c r="C228" s="463"/>
      <c r="D228" s="474"/>
      <c r="E228" s="474"/>
      <c r="F228" s="490"/>
      <c r="G228" s="474"/>
      <c r="H228" s="474"/>
      <c r="I228" s="134"/>
      <c r="J228" s="134"/>
      <c r="K228" s="134"/>
      <c r="L228" s="134"/>
      <c r="M228" s="134"/>
      <c r="N228" s="134"/>
      <c r="O228" s="134"/>
      <c r="P228" s="134"/>
      <c r="Q228" s="134"/>
      <c r="R228" s="134"/>
      <c r="S228" s="134"/>
      <c r="T228" s="134"/>
      <c r="U228" s="134"/>
      <c r="V228" s="134"/>
      <c r="W228" s="134"/>
    </row>
    <row r="229" spans="1:23" s="31" customFormat="1">
      <c r="A229" s="224"/>
      <c r="C229" s="463"/>
      <c r="D229" s="474"/>
      <c r="E229" s="474"/>
      <c r="F229" s="490"/>
      <c r="G229" s="474"/>
      <c r="H229" s="474"/>
      <c r="I229" s="134"/>
      <c r="J229" s="134"/>
      <c r="K229" s="134"/>
      <c r="L229" s="134"/>
      <c r="M229" s="134"/>
      <c r="N229" s="134"/>
      <c r="O229" s="134"/>
      <c r="P229" s="134"/>
      <c r="Q229" s="134"/>
      <c r="R229" s="134"/>
      <c r="S229" s="134"/>
      <c r="T229" s="134"/>
      <c r="U229" s="134"/>
      <c r="V229" s="134"/>
      <c r="W229" s="134"/>
    </row>
    <row r="230" spans="1:23" s="31" customFormat="1">
      <c r="A230" s="224"/>
      <c r="C230" s="463"/>
      <c r="D230" s="474"/>
      <c r="E230" s="474"/>
      <c r="F230" s="490"/>
      <c r="G230" s="474"/>
      <c r="H230" s="474"/>
      <c r="I230" s="134"/>
      <c r="J230" s="134"/>
      <c r="K230" s="134"/>
      <c r="L230" s="134"/>
      <c r="M230" s="134"/>
      <c r="N230" s="134"/>
      <c r="O230" s="134"/>
      <c r="P230" s="134"/>
      <c r="Q230" s="134"/>
      <c r="R230" s="134"/>
      <c r="S230" s="134"/>
      <c r="T230" s="134"/>
      <c r="U230" s="134"/>
      <c r="V230" s="134"/>
      <c r="W230" s="134"/>
    </row>
    <row r="231" spans="1:23" s="31" customFormat="1">
      <c r="A231" s="228"/>
      <c r="C231" s="463"/>
      <c r="D231" s="474"/>
      <c r="E231" s="474"/>
      <c r="F231" s="490"/>
      <c r="G231" s="474"/>
      <c r="H231" s="474"/>
      <c r="I231" s="134"/>
      <c r="J231" s="134"/>
      <c r="K231" s="134"/>
      <c r="L231" s="134"/>
      <c r="M231" s="134"/>
      <c r="N231" s="134"/>
      <c r="O231" s="134"/>
      <c r="P231" s="134"/>
      <c r="Q231" s="134"/>
      <c r="R231" s="134"/>
      <c r="S231" s="134"/>
      <c r="T231" s="134"/>
      <c r="U231" s="134"/>
      <c r="V231" s="134"/>
      <c r="W231" s="134"/>
    </row>
    <row r="232" spans="1:23" s="31" customFormat="1">
      <c r="A232" s="228"/>
      <c r="C232" s="463"/>
      <c r="D232" s="474"/>
      <c r="E232" s="474"/>
      <c r="F232" s="490"/>
      <c r="G232" s="474"/>
      <c r="H232" s="490"/>
      <c r="I232" s="134"/>
      <c r="J232" s="134"/>
      <c r="K232" s="134"/>
      <c r="L232" s="134"/>
      <c r="M232" s="134"/>
      <c r="N232" s="134"/>
      <c r="O232" s="134"/>
      <c r="P232" s="134"/>
      <c r="Q232" s="134"/>
      <c r="R232" s="134"/>
      <c r="S232" s="134"/>
      <c r="T232" s="134"/>
      <c r="U232" s="134"/>
      <c r="V232" s="134"/>
      <c r="W232" s="134"/>
    </row>
    <row r="233" spans="1:23" s="31" customFormat="1">
      <c r="A233" s="228"/>
      <c r="C233" s="463"/>
      <c r="D233" s="474"/>
      <c r="E233" s="474"/>
      <c r="F233" s="490"/>
      <c r="G233" s="474"/>
      <c r="H233" s="474"/>
      <c r="I233" s="134"/>
      <c r="J233" s="134"/>
      <c r="K233" s="134"/>
      <c r="L233" s="134"/>
      <c r="M233" s="134"/>
      <c r="N233" s="134"/>
      <c r="O233" s="134"/>
      <c r="P233" s="134"/>
      <c r="Q233" s="134"/>
      <c r="R233" s="134"/>
      <c r="S233" s="134"/>
      <c r="T233" s="134"/>
      <c r="U233" s="134"/>
      <c r="V233" s="134"/>
      <c r="W233" s="134"/>
    </row>
    <row r="234" spans="1:23" s="31" customFormat="1">
      <c r="A234" s="228"/>
      <c r="C234" s="463"/>
      <c r="D234" s="474"/>
      <c r="E234" s="474"/>
      <c r="F234" s="490"/>
      <c r="G234" s="474"/>
      <c r="H234" s="474"/>
      <c r="I234" s="134"/>
      <c r="J234" s="134"/>
      <c r="K234" s="134"/>
      <c r="L234" s="134"/>
      <c r="M234" s="134"/>
      <c r="N234" s="134"/>
      <c r="O234" s="134"/>
      <c r="P234" s="134"/>
      <c r="Q234" s="134"/>
      <c r="R234" s="134"/>
      <c r="S234" s="134"/>
      <c r="T234" s="134"/>
      <c r="U234" s="134"/>
      <c r="V234" s="134"/>
      <c r="W234" s="134"/>
    </row>
    <row r="235" spans="1:23" s="31" customFormat="1">
      <c r="A235" s="228"/>
      <c r="C235" s="463"/>
      <c r="D235" s="474"/>
      <c r="E235" s="474"/>
      <c r="F235" s="490"/>
      <c r="G235" s="474"/>
      <c r="H235" s="474"/>
      <c r="I235" s="134"/>
      <c r="J235" s="134"/>
      <c r="K235" s="134"/>
      <c r="L235" s="134"/>
      <c r="M235" s="134"/>
      <c r="N235" s="134"/>
      <c r="O235" s="134"/>
      <c r="P235" s="134"/>
      <c r="Q235" s="134"/>
      <c r="R235" s="134"/>
      <c r="S235" s="134"/>
      <c r="T235" s="134"/>
      <c r="U235" s="134"/>
      <c r="V235" s="134"/>
      <c r="W235" s="134"/>
    </row>
    <row r="236" spans="1:23" s="31" customFormat="1">
      <c r="A236" s="228"/>
      <c r="C236" s="463"/>
      <c r="D236" s="474"/>
      <c r="E236" s="474"/>
      <c r="F236" s="490"/>
      <c r="G236" s="474"/>
      <c r="H236" s="474"/>
      <c r="I236" s="134"/>
      <c r="J236" s="134"/>
      <c r="K236" s="134"/>
      <c r="L236" s="134"/>
      <c r="M236" s="134"/>
      <c r="N236" s="134"/>
      <c r="O236" s="134"/>
      <c r="P236" s="134"/>
      <c r="Q236" s="134"/>
      <c r="R236" s="134"/>
      <c r="S236" s="134"/>
      <c r="T236" s="134"/>
      <c r="U236" s="134"/>
      <c r="V236" s="134"/>
      <c r="W236" s="134"/>
    </row>
    <row r="237" spans="1:23" s="31" customFormat="1">
      <c r="A237" s="228"/>
      <c r="C237" s="463"/>
      <c r="D237" s="474"/>
      <c r="E237" s="474"/>
      <c r="F237" s="490"/>
      <c r="G237" s="474"/>
      <c r="H237" s="474"/>
      <c r="I237" s="134"/>
      <c r="J237" s="134"/>
      <c r="K237" s="134"/>
      <c r="L237" s="134"/>
      <c r="M237" s="134"/>
      <c r="N237" s="134"/>
      <c r="O237" s="134"/>
      <c r="P237" s="134"/>
      <c r="Q237" s="134"/>
      <c r="S237" s="134"/>
      <c r="T237" s="134"/>
      <c r="V237" s="134"/>
      <c r="W237" s="134"/>
    </row>
    <row r="238" spans="1:23" s="31" customFormat="1">
      <c r="A238" s="228"/>
      <c r="C238" s="463"/>
      <c r="D238" s="474"/>
      <c r="E238" s="474"/>
      <c r="F238" s="490"/>
      <c r="G238" s="474"/>
      <c r="H238" s="474"/>
      <c r="I238" s="134"/>
      <c r="J238" s="134"/>
      <c r="K238" s="134"/>
      <c r="L238" s="134"/>
      <c r="M238" s="134"/>
      <c r="N238" s="134"/>
      <c r="O238" s="134"/>
      <c r="P238" s="134"/>
      <c r="Q238" s="134"/>
      <c r="R238" s="134"/>
      <c r="S238" s="134"/>
      <c r="T238" s="134"/>
      <c r="U238" s="134"/>
      <c r="V238" s="134"/>
      <c r="W238" s="134"/>
    </row>
    <row r="239" spans="1:23" s="31" customFormat="1">
      <c r="A239" s="228"/>
      <c r="C239" s="463"/>
      <c r="D239" s="474"/>
      <c r="E239" s="474"/>
      <c r="F239" s="490"/>
      <c r="G239" s="474"/>
      <c r="H239" s="474"/>
      <c r="I239" s="134"/>
      <c r="J239" s="134"/>
      <c r="K239" s="134"/>
      <c r="L239" s="134"/>
      <c r="M239" s="134"/>
      <c r="N239" s="134"/>
      <c r="O239" s="134"/>
      <c r="P239" s="134"/>
      <c r="Q239" s="134"/>
      <c r="R239" s="134"/>
      <c r="S239" s="134"/>
      <c r="T239" s="134"/>
      <c r="U239" s="134"/>
      <c r="V239" s="134"/>
      <c r="W239" s="134"/>
    </row>
    <row r="240" spans="1:23" s="31" customFormat="1">
      <c r="A240" s="228"/>
      <c r="C240" s="463"/>
      <c r="D240" s="474"/>
      <c r="E240" s="474"/>
      <c r="F240" s="490"/>
      <c r="G240" s="474"/>
      <c r="H240" s="474"/>
      <c r="I240" s="134"/>
      <c r="J240" s="134"/>
      <c r="K240" s="134"/>
      <c r="L240" s="134"/>
      <c r="M240" s="134"/>
      <c r="N240" s="134"/>
      <c r="O240" s="134"/>
      <c r="P240" s="134"/>
      <c r="Q240" s="134"/>
      <c r="R240" s="134"/>
      <c r="S240" s="134"/>
      <c r="T240" s="134"/>
      <c r="U240" s="134"/>
      <c r="V240" s="134"/>
      <c r="W240" s="134"/>
    </row>
    <row r="241" spans="1:23" s="31" customFormat="1">
      <c r="A241" s="228"/>
      <c r="C241" s="463"/>
      <c r="D241" s="474"/>
      <c r="E241" s="474"/>
      <c r="F241" s="490"/>
      <c r="G241" s="474"/>
      <c r="H241" s="474"/>
      <c r="I241" s="134"/>
      <c r="J241" s="134"/>
      <c r="K241" s="134"/>
      <c r="L241" s="134"/>
      <c r="M241" s="134"/>
      <c r="N241" s="134"/>
      <c r="O241" s="134"/>
      <c r="P241" s="134"/>
      <c r="Q241" s="134"/>
      <c r="R241" s="134"/>
      <c r="S241" s="134"/>
      <c r="T241" s="134"/>
      <c r="U241" s="134"/>
      <c r="V241" s="134"/>
      <c r="W241" s="134"/>
    </row>
    <row r="242" spans="1:23" s="31" customFormat="1">
      <c r="A242" s="228"/>
      <c r="C242" s="463"/>
      <c r="D242" s="474"/>
      <c r="E242" s="474"/>
      <c r="F242" s="490"/>
      <c r="G242" s="474"/>
      <c r="H242" s="474"/>
      <c r="I242" s="134"/>
      <c r="J242" s="134"/>
      <c r="K242" s="134"/>
      <c r="L242" s="134"/>
      <c r="M242" s="134"/>
      <c r="N242" s="134"/>
      <c r="O242" s="134"/>
      <c r="P242" s="134"/>
      <c r="Q242" s="134"/>
      <c r="R242" s="134"/>
      <c r="S242" s="134"/>
      <c r="T242" s="134"/>
      <c r="U242" s="134"/>
      <c r="V242" s="134"/>
      <c r="W242" s="134"/>
    </row>
    <row r="243" spans="1:23" s="31" customFormat="1">
      <c r="A243" s="228"/>
      <c r="C243" s="463"/>
      <c r="D243" s="474"/>
      <c r="E243" s="474"/>
      <c r="F243" s="490"/>
      <c r="G243" s="474"/>
      <c r="H243" s="474"/>
      <c r="I243" s="134"/>
      <c r="J243" s="134"/>
      <c r="K243" s="134"/>
      <c r="L243" s="134"/>
      <c r="M243" s="134"/>
      <c r="N243" s="134"/>
      <c r="O243" s="134"/>
      <c r="P243" s="134"/>
      <c r="Q243" s="134"/>
      <c r="R243" s="134"/>
      <c r="S243" s="134"/>
      <c r="T243" s="134"/>
      <c r="U243" s="134"/>
      <c r="V243" s="134"/>
      <c r="W243" s="134"/>
    </row>
    <row r="244" spans="1:23" s="31" customFormat="1">
      <c r="A244" s="228"/>
      <c r="C244" s="463"/>
      <c r="D244" s="474"/>
      <c r="E244" s="474"/>
      <c r="F244" s="490"/>
      <c r="G244" s="474"/>
      <c r="H244" s="474"/>
      <c r="I244" s="134"/>
      <c r="J244" s="134"/>
      <c r="K244" s="134"/>
      <c r="L244" s="134"/>
      <c r="M244" s="134"/>
      <c r="N244" s="134"/>
      <c r="O244" s="134"/>
      <c r="P244" s="134"/>
      <c r="Q244" s="134"/>
      <c r="R244" s="134"/>
      <c r="S244" s="134"/>
      <c r="T244" s="134"/>
      <c r="U244" s="134"/>
      <c r="V244" s="134"/>
      <c r="W244" s="134"/>
    </row>
    <row r="245" spans="1:23" s="31" customFormat="1">
      <c r="A245" s="228"/>
      <c r="C245" s="463"/>
      <c r="D245" s="463"/>
      <c r="E245" s="463"/>
      <c r="F245" s="463"/>
      <c r="G245" s="463"/>
      <c r="H245" s="463"/>
      <c r="I245" s="463"/>
      <c r="J245" s="463"/>
      <c r="K245" s="463"/>
      <c r="L245" s="463"/>
      <c r="M245" s="463"/>
      <c r="N245" s="463"/>
      <c r="O245" s="463"/>
      <c r="P245" s="463"/>
      <c r="Q245" s="463"/>
      <c r="R245" s="463"/>
      <c r="S245" s="463"/>
      <c r="T245" s="463"/>
      <c r="U245" s="463"/>
      <c r="V245" s="463"/>
      <c r="W245" s="463"/>
    </row>
    <row r="246" spans="1:23" s="31" customFormat="1">
      <c r="A246" s="228"/>
      <c r="C246" s="463"/>
      <c r="D246" s="474"/>
      <c r="E246" s="474"/>
      <c r="F246" s="490"/>
      <c r="G246" s="474"/>
      <c r="H246" s="474"/>
      <c r="I246" s="134"/>
      <c r="J246" s="134"/>
      <c r="K246" s="134"/>
      <c r="L246" s="134"/>
      <c r="M246" s="134"/>
      <c r="N246" s="134"/>
      <c r="O246" s="134"/>
      <c r="P246" s="134"/>
      <c r="Q246" s="134"/>
      <c r="R246" s="134"/>
      <c r="S246" s="134"/>
      <c r="T246" s="134"/>
      <c r="U246" s="134"/>
      <c r="V246" s="134"/>
      <c r="W246" s="134"/>
    </row>
    <row r="247" spans="1:23" s="31" customFormat="1" ht="15">
      <c r="A247" s="668"/>
      <c r="C247" s="463"/>
      <c r="D247" s="474"/>
      <c r="E247" s="474"/>
      <c r="F247" s="490"/>
      <c r="G247" s="474"/>
      <c r="H247" s="474"/>
      <c r="I247" s="134"/>
      <c r="J247" s="134"/>
      <c r="K247" s="134"/>
      <c r="L247" s="134"/>
      <c r="M247" s="134"/>
      <c r="N247" s="134"/>
      <c r="O247" s="134"/>
      <c r="P247" s="134"/>
      <c r="Q247" s="134"/>
      <c r="R247" s="134"/>
      <c r="S247" s="134"/>
      <c r="T247" s="134"/>
      <c r="U247" s="134"/>
      <c r="V247" s="134"/>
      <c r="W247" s="134"/>
    </row>
    <row r="248" spans="1:23" s="31" customFormat="1">
      <c r="A248" s="228"/>
      <c r="C248" s="463"/>
      <c r="D248" s="474"/>
      <c r="E248" s="474"/>
      <c r="F248" s="490"/>
      <c r="G248" s="474"/>
      <c r="H248" s="474"/>
      <c r="I248" s="134"/>
      <c r="J248" s="134"/>
      <c r="K248" s="134"/>
      <c r="L248" s="134"/>
      <c r="M248" s="134"/>
      <c r="N248" s="134"/>
      <c r="O248" s="134"/>
      <c r="P248" s="134"/>
      <c r="Q248" s="134"/>
      <c r="R248" s="134"/>
      <c r="S248" s="134"/>
      <c r="T248" s="134"/>
      <c r="U248" s="134"/>
      <c r="V248" s="134"/>
      <c r="W248" s="134"/>
    </row>
    <row r="249" spans="1:23" s="31" customFormat="1">
      <c r="A249" s="228"/>
      <c r="C249" s="463"/>
      <c r="D249" s="474"/>
      <c r="E249" s="474"/>
      <c r="F249" s="490"/>
      <c r="G249" s="474"/>
      <c r="H249" s="474"/>
      <c r="I249" s="134"/>
      <c r="J249" s="134"/>
      <c r="K249" s="134"/>
      <c r="L249" s="134"/>
      <c r="M249" s="134"/>
      <c r="N249" s="134"/>
      <c r="O249" s="134"/>
      <c r="P249" s="134"/>
      <c r="Q249" s="134"/>
      <c r="R249" s="134"/>
      <c r="S249" s="134"/>
      <c r="T249" s="134"/>
      <c r="U249" s="134"/>
      <c r="V249" s="134"/>
      <c r="W249" s="134"/>
    </row>
    <row r="250" spans="1:23" s="31" customFormat="1">
      <c r="A250" s="228"/>
      <c r="C250" s="463"/>
      <c r="D250" s="474"/>
      <c r="E250" s="474"/>
      <c r="F250" s="490"/>
      <c r="G250" s="474"/>
      <c r="H250" s="474"/>
      <c r="I250" s="134"/>
      <c r="J250" s="134"/>
      <c r="K250" s="134"/>
      <c r="L250" s="134"/>
      <c r="M250" s="134"/>
      <c r="N250" s="134"/>
      <c r="O250" s="134"/>
      <c r="P250" s="134"/>
      <c r="Q250" s="134"/>
      <c r="R250" s="134"/>
      <c r="S250" s="134"/>
      <c r="T250" s="134"/>
      <c r="U250" s="134"/>
      <c r="V250" s="134"/>
      <c r="W250" s="134"/>
    </row>
    <row r="251" spans="1:23" s="31" customFormat="1">
      <c r="A251" s="228"/>
      <c r="B251" s="47"/>
      <c r="C251" s="463"/>
      <c r="D251" s="474"/>
      <c r="E251" s="474"/>
      <c r="F251" s="490"/>
      <c r="G251" s="474"/>
      <c r="H251" s="474"/>
      <c r="I251" s="134"/>
      <c r="J251" s="134"/>
      <c r="K251" s="134"/>
      <c r="L251" s="134"/>
      <c r="M251" s="134"/>
      <c r="N251" s="134"/>
      <c r="O251" s="134"/>
      <c r="P251" s="134"/>
      <c r="Q251" s="134"/>
      <c r="R251" s="134"/>
      <c r="S251" s="134"/>
      <c r="T251" s="134"/>
      <c r="U251" s="134"/>
      <c r="V251" s="134"/>
      <c r="W251" s="134"/>
    </row>
    <row r="252" spans="1:23" s="31" customFormat="1">
      <c r="A252" s="228"/>
      <c r="C252" s="463"/>
      <c r="D252" s="474"/>
      <c r="E252" s="474"/>
      <c r="F252" s="490"/>
      <c r="G252" s="474"/>
      <c r="H252" s="474"/>
      <c r="I252" s="134"/>
      <c r="J252" s="134"/>
      <c r="K252" s="134"/>
      <c r="L252" s="134"/>
      <c r="M252" s="134"/>
      <c r="N252" s="134"/>
      <c r="O252" s="134"/>
      <c r="P252" s="134"/>
      <c r="Q252" s="134"/>
      <c r="R252" s="134"/>
      <c r="S252" s="134"/>
      <c r="T252" s="134"/>
      <c r="U252" s="134"/>
      <c r="V252" s="134"/>
      <c r="W252" s="134"/>
    </row>
    <row r="253" spans="1:23" s="31" customFormat="1">
      <c r="A253" s="228"/>
      <c r="C253" s="463"/>
      <c r="D253" s="474"/>
      <c r="E253" s="474"/>
      <c r="F253" s="490"/>
      <c r="G253" s="474"/>
      <c r="H253" s="474"/>
      <c r="I253" s="134"/>
      <c r="J253" s="134"/>
      <c r="K253" s="134"/>
      <c r="L253" s="134"/>
      <c r="M253" s="134"/>
      <c r="N253" s="134"/>
      <c r="O253" s="134"/>
      <c r="P253" s="134"/>
      <c r="Q253" s="134"/>
      <c r="R253" s="134"/>
      <c r="S253" s="134"/>
      <c r="T253" s="134"/>
      <c r="U253" s="134"/>
      <c r="V253" s="134"/>
      <c r="W253" s="134"/>
    </row>
    <row r="254" spans="1:23" s="31" customFormat="1">
      <c r="A254" s="228"/>
      <c r="C254" s="463"/>
      <c r="D254" s="474"/>
      <c r="E254" s="474"/>
      <c r="F254" s="490"/>
      <c r="G254" s="474"/>
      <c r="H254" s="474"/>
      <c r="I254" s="134"/>
      <c r="J254" s="134"/>
      <c r="K254" s="134"/>
      <c r="L254" s="134"/>
      <c r="M254" s="134"/>
      <c r="N254" s="134"/>
      <c r="O254" s="134"/>
      <c r="P254" s="134"/>
      <c r="Q254" s="134"/>
      <c r="R254" s="134"/>
      <c r="S254" s="134"/>
      <c r="T254" s="134"/>
      <c r="U254" s="134"/>
      <c r="V254" s="134"/>
      <c r="W254" s="134"/>
    </row>
    <row r="255" spans="1:23" s="31" customFormat="1">
      <c r="A255" s="228"/>
      <c r="C255" s="463"/>
      <c r="D255" s="474"/>
      <c r="E255" s="474"/>
      <c r="F255" s="490"/>
      <c r="G255" s="474"/>
      <c r="H255" s="474"/>
      <c r="I255" s="134"/>
      <c r="J255" s="134"/>
      <c r="K255" s="134"/>
      <c r="L255" s="134"/>
      <c r="M255" s="134"/>
      <c r="N255" s="134"/>
      <c r="O255" s="134"/>
      <c r="P255" s="134"/>
      <c r="Q255" s="134"/>
      <c r="R255" s="134"/>
      <c r="S255" s="134"/>
      <c r="T255" s="134"/>
      <c r="U255" s="134"/>
      <c r="V255" s="134"/>
      <c r="W255" s="134"/>
    </row>
    <row r="256" spans="1:23" s="31" customFormat="1">
      <c r="A256" s="228"/>
      <c r="C256" s="463"/>
      <c r="D256" s="474"/>
      <c r="E256" s="474"/>
      <c r="F256" s="490"/>
      <c r="G256" s="474"/>
      <c r="H256" s="474"/>
      <c r="I256" s="134"/>
      <c r="J256" s="134"/>
      <c r="K256" s="134"/>
      <c r="L256" s="134"/>
      <c r="M256" s="134"/>
      <c r="N256" s="134"/>
      <c r="O256" s="134"/>
      <c r="P256" s="134"/>
      <c r="Q256" s="134"/>
      <c r="R256" s="134"/>
      <c r="S256" s="134"/>
      <c r="T256" s="134"/>
      <c r="U256" s="134"/>
      <c r="V256" s="134"/>
      <c r="W256" s="134"/>
    </row>
    <row r="257" spans="1:23" s="31" customFormat="1">
      <c r="A257" s="228"/>
      <c r="C257" s="463"/>
      <c r="D257" s="474"/>
      <c r="E257" s="474"/>
      <c r="F257" s="490"/>
      <c r="G257" s="474"/>
      <c r="H257" s="474"/>
      <c r="I257" s="134"/>
      <c r="J257" s="134"/>
      <c r="K257" s="134"/>
      <c r="L257" s="134"/>
      <c r="M257" s="134"/>
      <c r="N257" s="134"/>
      <c r="O257" s="134"/>
      <c r="P257" s="134"/>
      <c r="Q257" s="134"/>
      <c r="R257" s="134"/>
      <c r="S257" s="134"/>
      <c r="T257" s="134"/>
      <c r="U257" s="134"/>
      <c r="V257" s="134"/>
      <c r="W257" s="134"/>
    </row>
    <row r="258" spans="1:23" s="31" customFormat="1">
      <c r="A258" s="228"/>
      <c r="C258" s="463"/>
      <c r="D258" s="474"/>
      <c r="E258" s="474"/>
      <c r="F258" s="490"/>
      <c r="G258" s="474"/>
      <c r="H258" s="474"/>
      <c r="I258" s="134"/>
      <c r="J258" s="134"/>
      <c r="K258" s="134"/>
      <c r="L258" s="134"/>
      <c r="M258" s="134"/>
      <c r="N258" s="134"/>
      <c r="O258" s="134"/>
      <c r="P258" s="134"/>
      <c r="Q258" s="134"/>
      <c r="R258" s="134"/>
      <c r="S258" s="134"/>
      <c r="T258" s="134"/>
      <c r="U258" s="134"/>
      <c r="V258" s="134"/>
      <c r="W258" s="134"/>
    </row>
    <row r="259" spans="1:23" s="31" customFormat="1">
      <c r="A259" s="228"/>
      <c r="C259" s="463"/>
      <c r="D259" s="474"/>
      <c r="E259" s="474"/>
      <c r="F259" s="490"/>
      <c r="G259" s="474"/>
      <c r="H259" s="474"/>
      <c r="I259" s="134"/>
      <c r="J259" s="134"/>
      <c r="K259" s="134"/>
      <c r="L259" s="134"/>
      <c r="M259" s="134"/>
      <c r="N259" s="134"/>
      <c r="O259" s="134"/>
      <c r="P259" s="134"/>
      <c r="Q259" s="134"/>
      <c r="R259" s="134"/>
      <c r="S259" s="134"/>
      <c r="T259" s="134"/>
      <c r="U259" s="134"/>
      <c r="V259" s="134"/>
      <c r="W259" s="134"/>
    </row>
    <row r="260" spans="1:23" s="31" customFormat="1">
      <c r="A260" s="228"/>
      <c r="C260" s="463"/>
      <c r="D260" s="474"/>
      <c r="E260" s="474"/>
      <c r="F260" s="490"/>
      <c r="G260" s="474"/>
      <c r="H260" s="474"/>
      <c r="I260" s="134"/>
      <c r="J260" s="134"/>
      <c r="K260" s="134"/>
      <c r="L260" s="134"/>
      <c r="M260" s="134"/>
      <c r="N260" s="134"/>
      <c r="O260" s="134"/>
      <c r="P260" s="134"/>
      <c r="Q260" s="134"/>
      <c r="R260" s="134"/>
      <c r="S260" s="134"/>
      <c r="T260" s="134"/>
      <c r="U260" s="134"/>
      <c r="V260" s="134"/>
      <c r="W260" s="134"/>
    </row>
    <row r="261" spans="1:23" s="31" customFormat="1">
      <c r="A261" s="228"/>
      <c r="C261" s="463"/>
      <c r="D261" s="474"/>
      <c r="E261" s="474"/>
      <c r="F261" s="490"/>
      <c r="G261" s="474"/>
      <c r="H261" s="474"/>
      <c r="I261" s="134"/>
      <c r="J261" s="134"/>
      <c r="K261" s="134"/>
      <c r="L261" s="134"/>
      <c r="M261" s="134"/>
      <c r="N261" s="134"/>
      <c r="O261" s="134"/>
      <c r="P261" s="134"/>
      <c r="Q261" s="134"/>
      <c r="R261" s="134"/>
      <c r="S261" s="134"/>
      <c r="T261" s="134"/>
      <c r="U261" s="134"/>
      <c r="V261" s="134"/>
      <c r="W261" s="134"/>
    </row>
    <row r="262" spans="1:23" s="31" customFormat="1">
      <c r="A262" s="228"/>
      <c r="C262" s="463"/>
      <c r="D262" s="474"/>
      <c r="E262" s="474"/>
      <c r="F262" s="490"/>
      <c r="G262" s="474"/>
      <c r="H262" s="474"/>
      <c r="I262" s="134"/>
      <c r="J262" s="134"/>
      <c r="K262" s="134"/>
      <c r="L262" s="134"/>
      <c r="M262" s="134"/>
      <c r="N262" s="134"/>
      <c r="O262" s="134"/>
      <c r="P262" s="134"/>
      <c r="Q262" s="134"/>
      <c r="R262" s="134"/>
      <c r="S262" s="134"/>
      <c r="T262" s="134"/>
      <c r="U262" s="134"/>
      <c r="V262" s="134"/>
      <c r="W262" s="134"/>
    </row>
    <row r="263" spans="1:23" s="31" customFormat="1">
      <c r="A263" s="228"/>
      <c r="C263" s="463"/>
      <c r="D263" s="474"/>
      <c r="E263" s="474"/>
      <c r="F263" s="490"/>
      <c r="G263" s="474"/>
      <c r="H263" s="474"/>
      <c r="I263" s="134"/>
      <c r="J263" s="134"/>
      <c r="K263" s="134"/>
      <c r="L263" s="134"/>
      <c r="M263" s="134"/>
      <c r="N263" s="134"/>
      <c r="O263" s="134"/>
      <c r="P263" s="134"/>
      <c r="Q263" s="134"/>
      <c r="R263" s="134"/>
      <c r="S263" s="134"/>
      <c r="T263" s="134"/>
      <c r="U263" s="134"/>
      <c r="V263" s="134"/>
      <c r="W263" s="134"/>
    </row>
    <row r="264" spans="1:23" s="31" customFormat="1">
      <c r="A264" s="228"/>
      <c r="C264" s="463"/>
      <c r="D264" s="474"/>
      <c r="E264" s="474"/>
      <c r="F264" s="490"/>
      <c r="G264" s="474"/>
      <c r="H264" s="474"/>
      <c r="I264" s="134"/>
      <c r="J264" s="134"/>
      <c r="K264" s="134"/>
      <c r="L264" s="134"/>
      <c r="M264" s="134"/>
      <c r="N264" s="134"/>
      <c r="O264" s="134"/>
      <c r="P264" s="134"/>
      <c r="Q264" s="134"/>
      <c r="R264" s="134"/>
      <c r="S264" s="134"/>
      <c r="T264" s="134"/>
      <c r="U264" s="134"/>
      <c r="V264" s="134"/>
      <c r="W264" s="134"/>
    </row>
    <row r="265" spans="1:23" s="31" customFormat="1">
      <c r="A265" s="228"/>
      <c r="C265" s="463"/>
      <c r="D265" s="474"/>
      <c r="E265" s="474"/>
      <c r="F265" s="490"/>
      <c r="G265" s="474"/>
      <c r="H265" s="474"/>
      <c r="I265" s="134"/>
      <c r="J265" s="134"/>
      <c r="K265" s="134"/>
      <c r="L265" s="134"/>
      <c r="M265" s="134"/>
      <c r="N265" s="134"/>
      <c r="O265" s="134"/>
      <c r="P265" s="134"/>
      <c r="Q265" s="134"/>
      <c r="R265" s="134"/>
      <c r="S265" s="134"/>
      <c r="T265" s="134"/>
      <c r="U265" s="134"/>
      <c r="V265" s="134"/>
      <c r="W265" s="134"/>
    </row>
    <row r="266" spans="1:23" s="31" customFormat="1">
      <c r="A266" s="228"/>
      <c r="C266" s="463"/>
      <c r="D266" s="474"/>
      <c r="E266" s="474"/>
      <c r="F266" s="490"/>
      <c r="G266" s="474"/>
      <c r="H266" s="474"/>
      <c r="I266" s="134"/>
      <c r="J266" s="134"/>
      <c r="K266" s="134"/>
      <c r="L266" s="134"/>
      <c r="M266" s="134"/>
      <c r="N266" s="134"/>
      <c r="O266" s="134"/>
      <c r="P266" s="134"/>
      <c r="Q266" s="134"/>
      <c r="R266" s="134"/>
      <c r="S266" s="134"/>
      <c r="T266" s="134"/>
      <c r="U266" s="134"/>
      <c r="V266" s="134"/>
      <c r="W266" s="134"/>
    </row>
    <row r="267" spans="1:23" s="31" customFormat="1">
      <c r="A267" s="228"/>
      <c r="C267" s="463"/>
      <c r="D267" s="474"/>
      <c r="E267" s="474"/>
      <c r="F267" s="490"/>
      <c r="G267" s="474"/>
      <c r="H267" s="474"/>
      <c r="I267" s="134"/>
      <c r="J267" s="134"/>
      <c r="K267" s="134"/>
      <c r="L267" s="134"/>
      <c r="M267" s="134"/>
      <c r="N267" s="134"/>
      <c r="O267" s="134"/>
      <c r="P267" s="134"/>
      <c r="Q267" s="134"/>
      <c r="R267" s="134"/>
      <c r="S267" s="134"/>
      <c r="T267" s="134"/>
      <c r="U267" s="134"/>
      <c r="V267" s="134"/>
      <c r="W267" s="134"/>
    </row>
    <row r="268" spans="1:23" s="31" customFormat="1">
      <c r="A268" s="228"/>
      <c r="C268" s="463"/>
      <c r="D268" s="474"/>
      <c r="E268" s="474"/>
      <c r="F268" s="490"/>
      <c r="G268" s="474"/>
      <c r="H268" s="474"/>
      <c r="I268" s="134"/>
      <c r="J268" s="134"/>
      <c r="K268" s="134"/>
      <c r="L268" s="134"/>
      <c r="M268" s="134"/>
      <c r="N268" s="134"/>
      <c r="O268" s="134"/>
      <c r="P268" s="134"/>
      <c r="Q268" s="134"/>
      <c r="R268" s="134"/>
      <c r="S268" s="134"/>
      <c r="T268" s="134"/>
      <c r="U268" s="134"/>
      <c r="V268" s="134"/>
      <c r="W268" s="134"/>
    </row>
    <row r="269" spans="1:23" s="31" customFormat="1">
      <c r="A269" s="228"/>
      <c r="C269" s="463"/>
      <c r="D269" s="474"/>
      <c r="E269" s="474"/>
      <c r="F269" s="490"/>
      <c r="G269" s="474"/>
      <c r="H269" s="474"/>
      <c r="I269" s="134"/>
      <c r="J269" s="134"/>
      <c r="K269" s="134"/>
      <c r="L269" s="134"/>
      <c r="M269" s="134"/>
      <c r="N269" s="134"/>
      <c r="O269" s="134"/>
      <c r="P269" s="134"/>
      <c r="Q269" s="134"/>
      <c r="R269" s="134"/>
      <c r="S269" s="134"/>
      <c r="T269" s="134"/>
      <c r="U269" s="134"/>
      <c r="V269" s="134"/>
      <c r="W269" s="134"/>
    </row>
    <row r="270" spans="1:23" s="31" customFormat="1">
      <c r="A270" s="228"/>
      <c r="C270" s="463"/>
      <c r="D270" s="474"/>
      <c r="E270" s="474"/>
      <c r="F270" s="490"/>
      <c r="G270" s="474"/>
      <c r="H270" s="474"/>
      <c r="I270" s="134"/>
      <c r="J270" s="134"/>
      <c r="K270" s="134"/>
      <c r="L270" s="134"/>
      <c r="M270" s="29"/>
      <c r="N270" s="134"/>
      <c r="O270" s="134"/>
      <c r="P270" s="134"/>
      <c r="Q270" s="134"/>
      <c r="R270" s="134"/>
      <c r="S270" s="134"/>
      <c r="T270" s="134"/>
      <c r="U270" s="134"/>
      <c r="V270" s="134"/>
      <c r="W270" s="134"/>
    </row>
    <row r="271" spans="1:23" s="31" customFormat="1">
      <c r="A271" s="228"/>
      <c r="C271" s="463"/>
      <c r="D271" s="474"/>
      <c r="E271" s="474"/>
      <c r="F271" s="490"/>
      <c r="G271" s="474"/>
      <c r="H271" s="474"/>
      <c r="I271" s="134"/>
      <c r="J271" s="134"/>
      <c r="K271" s="134"/>
      <c r="L271" s="134"/>
      <c r="M271" s="134"/>
      <c r="N271" s="134"/>
      <c r="O271" s="134"/>
      <c r="P271" s="134"/>
      <c r="Q271" s="134"/>
      <c r="R271" s="134"/>
      <c r="S271" s="134"/>
      <c r="T271" s="134"/>
      <c r="U271" s="134"/>
      <c r="V271" s="134"/>
      <c r="W271" s="134"/>
    </row>
    <row r="272" spans="1:23" s="31" customFormat="1">
      <c r="A272" s="228"/>
      <c r="C272" s="463"/>
      <c r="D272" s="592"/>
      <c r="E272" s="592"/>
      <c r="F272" s="490"/>
      <c r="G272" s="474"/>
      <c r="H272" s="592"/>
      <c r="I272" s="92"/>
      <c r="J272" s="134"/>
      <c r="K272" s="134"/>
      <c r="L272" s="134"/>
      <c r="M272" s="134"/>
      <c r="N272" s="134"/>
      <c r="O272" s="134"/>
      <c r="P272" s="134"/>
      <c r="Q272" s="134"/>
      <c r="R272" s="134"/>
      <c r="S272" s="134"/>
      <c r="T272" s="134"/>
      <c r="U272" s="134"/>
      <c r="V272" s="134"/>
      <c r="W272" s="134"/>
    </row>
    <row r="273" spans="1:23" s="31" customFormat="1">
      <c r="A273" s="228"/>
      <c r="C273" s="463"/>
      <c r="D273" s="463"/>
      <c r="E273" s="463"/>
      <c r="F273" s="463"/>
      <c r="G273" s="463"/>
      <c r="H273" s="463"/>
      <c r="I273" s="463"/>
      <c r="J273" s="463"/>
      <c r="K273" s="463"/>
      <c r="L273" s="463"/>
      <c r="M273" s="463"/>
      <c r="N273" s="463"/>
      <c r="O273" s="463"/>
      <c r="P273" s="463"/>
      <c r="Q273" s="463"/>
      <c r="R273" s="463"/>
      <c r="S273" s="463"/>
      <c r="T273" s="463"/>
      <c r="U273" s="463"/>
      <c r="V273" s="463"/>
      <c r="W273" s="463"/>
    </row>
    <row r="274" spans="1:23" s="31" customFormat="1">
      <c r="A274" s="228"/>
      <c r="C274" s="463"/>
      <c r="D274" s="92"/>
      <c r="E274" s="92"/>
      <c r="F274" s="669"/>
      <c r="G274" s="92"/>
      <c r="H274" s="92"/>
      <c r="I274" s="92"/>
      <c r="J274" s="92"/>
      <c r="K274" s="92"/>
      <c r="L274" s="92"/>
      <c r="M274" s="92"/>
      <c r="N274" s="92"/>
      <c r="O274" s="92"/>
      <c r="P274" s="92"/>
      <c r="Q274" s="92"/>
      <c r="R274" s="92"/>
      <c r="S274" s="92"/>
      <c r="T274" s="92"/>
      <c r="U274" s="92"/>
      <c r="V274" s="92"/>
      <c r="W274" s="92"/>
    </row>
    <row r="275" spans="1:23">
      <c r="A275" s="31"/>
    </row>
  </sheetData>
  <mergeCells count="63">
    <mergeCell ref="B5:B10"/>
    <mergeCell ref="C5:F6"/>
    <mergeCell ref="T5:V6"/>
    <mergeCell ref="C7:C10"/>
    <mergeCell ref="D7:D10"/>
    <mergeCell ref="F7:F10"/>
    <mergeCell ref="B27:B34"/>
    <mergeCell ref="Q7:Q10"/>
    <mergeCell ref="R7:R10"/>
    <mergeCell ref="S7:S10"/>
    <mergeCell ref="G5:J6"/>
    <mergeCell ref="L7:L10"/>
    <mergeCell ref="M7:M10"/>
    <mergeCell ref="N7:N10"/>
    <mergeCell ref="O7:O10"/>
    <mergeCell ref="P7:P10"/>
    <mergeCell ref="K5:S6"/>
    <mergeCell ref="K7:K10"/>
    <mergeCell ref="H7:H10"/>
    <mergeCell ref="G7:G10"/>
    <mergeCell ref="I7:I10"/>
    <mergeCell ref="J7:J10"/>
    <mergeCell ref="C27:Z28"/>
    <mergeCell ref="I29:N30"/>
    <mergeCell ref="C33:C34"/>
    <mergeCell ref="D33:D34"/>
    <mergeCell ref="E33:E34"/>
    <mergeCell ref="F33:F34"/>
    <mergeCell ref="G33:G34"/>
    <mergeCell ref="H33:H34"/>
    <mergeCell ref="I33:I34"/>
    <mergeCell ref="J33:J34"/>
    <mergeCell ref="K31:L32"/>
    <mergeCell ref="M31:N32"/>
    <mergeCell ref="K33:K34"/>
    <mergeCell ref="L33:L34"/>
    <mergeCell ref="M33:M34"/>
    <mergeCell ref="N33:N34"/>
    <mergeCell ref="C29:H30"/>
    <mergeCell ref="O31:P32"/>
    <mergeCell ref="Q31:R32"/>
    <mergeCell ref="S31:T32"/>
    <mergeCell ref="U31:V32"/>
    <mergeCell ref="C31:D32"/>
    <mergeCell ref="E31:F32"/>
    <mergeCell ref="G31:H32"/>
    <mergeCell ref="I31:J32"/>
    <mergeCell ref="O29:T30"/>
    <mergeCell ref="U29:Z30"/>
    <mergeCell ref="W31:X32"/>
    <mergeCell ref="Y31:Z32"/>
    <mergeCell ref="Z33:Z34"/>
    <mergeCell ref="O33:O34"/>
    <mergeCell ref="P33:P34"/>
    <mergeCell ref="Q33:Q34"/>
    <mergeCell ref="R33:R34"/>
    <mergeCell ref="S33:S34"/>
    <mergeCell ref="T33:T34"/>
    <mergeCell ref="U33:U34"/>
    <mergeCell ref="V33:V34"/>
    <mergeCell ref="W33:W34"/>
    <mergeCell ref="X33:X34"/>
    <mergeCell ref="Y33:Y34"/>
  </mergeCells>
  <pageMargins left="0.75" right="0.75" top="1" bottom="1" header="0.5" footer="0.5"/>
  <pageSetup paperSize="9" orientation="portrai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Return of Population</vt:lpstr>
      <vt:lpstr>Agricultural Produce</vt:lpstr>
      <vt:lpstr>Pastoral Products </vt:lpstr>
      <vt:lpstr>Cultivation for Different Crop </vt:lpstr>
      <vt:lpstr>Fruit Produced</vt:lpstr>
      <vt:lpstr>Dried Fruit</vt:lpstr>
      <vt:lpstr>Fruit Trees</vt:lpstr>
      <vt:lpstr>Vineyards Products</vt:lpstr>
      <vt:lpstr>Vineyards Vinestocks</vt:lpstr>
      <vt:lpstr>Education Returns</vt:lpstr>
      <vt:lpstr>Government Schools</vt:lpstr>
      <vt:lpstr>Private Schools</vt:lpstr>
      <vt:lpstr>Education Returns (2)</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2015-05-24T17:45:17Z</dcterms:modified>
</cp:coreProperties>
</file>