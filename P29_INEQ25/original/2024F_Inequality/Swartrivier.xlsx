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johanf\Dropbox\3 Cape Panel\Research\2024F_Inequality\"/>
    </mc:Choice>
  </mc:AlternateContent>
  <xr:revisionPtr revIDLastSave="0" documentId="13_ncr:1_{255FA81A-FA4F-453F-B8DC-F26787BFB384}" xr6:coauthVersionLast="47" xr6:coauthVersionMax="47" xr10:uidLastSave="{00000000-0000-0000-0000-000000000000}"/>
  <bookViews>
    <workbookView xWindow="23040" yWindow="0" windowWidth="23040" windowHeight="12660" xr2:uid="{00000000-000D-0000-FFFF-FFFF00000000}"/>
  </bookViews>
  <sheets>
    <sheet name="Data" sheetId="1" r:id="rId1"/>
    <sheet name="Sheet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T259" i="1"/>
  <c r="T218" i="1"/>
  <c r="U215" i="1"/>
  <c r="U79" i="1"/>
</calcChain>
</file>

<file path=xl/sharedStrings.xml><?xml version="1.0" encoding="utf-8"?>
<sst xmlns="http://schemas.openxmlformats.org/spreadsheetml/2006/main" count="9576" uniqueCount="560">
  <si>
    <t>Name of Khoi Male</t>
  </si>
  <si>
    <t>Wife</t>
  </si>
  <si>
    <t>Surname of Khoi</t>
  </si>
  <si>
    <t>Saul</t>
  </si>
  <si>
    <t>Surname</t>
  </si>
  <si>
    <t xml:space="preserve">Men </t>
  </si>
  <si>
    <t>Women</t>
  </si>
  <si>
    <t xml:space="preserve">Sons </t>
  </si>
  <si>
    <t>Daughters</t>
  </si>
  <si>
    <t>Wagon and Saddle Horses</t>
  </si>
  <si>
    <t>Breeding Horses</t>
  </si>
  <si>
    <t>Oxen</t>
  </si>
  <si>
    <t>Breeding cattle</t>
  </si>
  <si>
    <t>Breeding Sheep</t>
  </si>
  <si>
    <t>Goats</t>
  </si>
  <si>
    <t>Pigs</t>
  </si>
  <si>
    <t>Oats</t>
  </si>
  <si>
    <t>Wheat sown</t>
  </si>
  <si>
    <t>Barley sown</t>
  </si>
  <si>
    <t>Rye sown</t>
  </si>
  <si>
    <t>Oats sown</t>
  </si>
  <si>
    <t xml:space="preserve">Wheat </t>
  </si>
  <si>
    <t xml:space="preserve">barley </t>
  </si>
  <si>
    <t>Rye</t>
  </si>
  <si>
    <t>Klaas</t>
  </si>
  <si>
    <t>Hendrik</t>
  </si>
  <si>
    <t>Sara</t>
  </si>
  <si>
    <t>Adam</t>
  </si>
  <si>
    <t>Abigail</t>
  </si>
  <si>
    <t>Anna</t>
  </si>
  <si>
    <t xml:space="preserve">Cornelia </t>
  </si>
  <si>
    <t>Sanna</t>
  </si>
  <si>
    <t>Lena</t>
  </si>
  <si>
    <t>Waterboer</t>
  </si>
  <si>
    <t>Jacob</t>
  </si>
  <si>
    <t>Marie</t>
  </si>
  <si>
    <t>Niemand</t>
  </si>
  <si>
    <t>Alida</t>
  </si>
  <si>
    <t>Davids</t>
  </si>
  <si>
    <t>Frans</t>
  </si>
  <si>
    <t>Daniel</t>
  </si>
  <si>
    <t>.</t>
  </si>
  <si>
    <t>Jan</t>
  </si>
  <si>
    <t>Tax</t>
  </si>
  <si>
    <t>John</t>
  </si>
  <si>
    <t>Adams</t>
  </si>
  <si>
    <t>Johanna</t>
  </si>
  <si>
    <t>Andries</t>
  </si>
  <si>
    <t>April</t>
  </si>
  <si>
    <t>Sabiena</t>
  </si>
  <si>
    <t>Frederica</t>
  </si>
  <si>
    <t>Windvogel</t>
  </si>
  <si>
    <t>Cupido</t>
  </si>
  <si>
    <t>Titus</t>
  </si>
  <si>
    <t>Hartenberg</t>
  </si>
  <si>
    <t>Hans</t>
  </si>
  <si>
    <t>Ruyter</t>
  </si>
  <si>
    <t>Coenraad</t>
  </si>
  <si>
    <t>Susanna</t>
  </si>
  <si>
    <t>Jacobus</t>
  </si>
  <si>
    <t>Cobus</t>
  </si>
  <si>
    <t>Maria</t>
  </si>
  <si>
    <t>Africaander</t>
  </si>
  <si>
    <t>Migehels</t>
  </si>
  <si>
    <t>Jacobs</t>
  </si>
  <si>
    <t>Regina</t>
  </si>
  <si>
    <t>Antje</t>
  </si>
  <si>
    <t>Paarl</t>
  </si>
  <si>
    <t>Petrus</t>
  </si>
  <si>
    <t>Leentjie</t>
  </si>
  <si>
    <t>Oerson</t>
  </si>
  <si>
    <t>Thomas</t>
  </si>
  <si>
    <t>Stoffels</t>
  </si>
  <si>
    <t>Nicolaas</t>
  </si>
  <si>
    <t>Willem</t>
  </si>
  <si>
    <t>Pieters</t>
  </si>
  <si>
    <t>Casper</t>
  </si>
  <si>
    <t>Dragonder</t>
  </si>
  <si>
    <t>Helena</t>
  </si>
  <si>
    <t>Coert</t>
  </si>
  <si>
    <t>Matroos</t>
  </si>
  <si>
    <t>Hendriks</t>
  </si>
  <si>
    <t>Eva</t>
  </si>
  <si>
    <t>van Wyk</t>
  </si>
  <si>
    <t>Piet</t>
  </si>
  <si>
    <t>Jager</t>
  </si>
  <si>
    <t>Roslyn</t>
  </si>
  <si>
    <t>Isaak</t>
  </si>
  <si>
    <t>Prins</t>
  </si>
  <si>
    <t>Magerman</t>
  </si>
  <si>
    <t>Ram</t>
  </si>
  <si>
    <t xml:space="preserve">David </t>
  </si>
  <si>
    <t>September</t>
  </si>
  <si>
    <t>Frederich</t>
  </si>
  <si>
    <t>Louisa</t>
  </si>
  <si>
    <t>Waggons</t>
  </si>
  <si>
    <t>Hanna</t>
  </si>
  <si>
    <t>Plaatje</t>
  </si>
  <si>
    <t>Adonis</t>
  </si>
  <si>
    <t>Rasmus</t>
  </si>
  <si>
    <t>Cloete</t>
  </si>
  <si>
    <t>Tarentaal</t>
  </si>
  <si>
    <t>Jantje</t>
  </si>
  <si>
    <t>Boer</t>
  </si>
  <si>
    <t>Dirk</t>
  </si>
  <si>
    <t>Kees</t>
  </si>
  <si>
    <t>Rachel</t>
  </si>
  <si>
    <t>Fortuin</t>
  </si>
  <si>
    <t>Benjamin</t>
  </si>
  <si>
    <t>Slinger</t>
  </si>
  <si>
    <t>Booy</t>
  </si>
  <si>
    <t>Witbooy</t>
  </si>
  <si>
    <t>Sophia</t>
  </si>
  <si>
    <t>Martin</t>
  </si>
  <si>
    <t>Hartbeest</t>
  </si>
  <si>
    <t>Moses</t>
  </si>
  <si>
    <t>Floris</t>
  </si>
  <si>
    <t>Petro</t>
  </si>
  <si>
    <t>Adriana</t>
  </si>
  <si>
    <t>Tobias</t>
  </si>
  <si>
    <t>Goliath</t>
  </si>
  <si>
    <t>Uithaalder</t>
  </si>
  <si>
    <t>Kiewiet</t>
  </si>
  <si>
    <t>Joseph</t>
  </si>
  <si>
    <t>Valentyn</t>
  </si>
  <si>
    <t>Cornelis</t>
  </si>
  <si>
    <t>Smith</t>
  </si>
  <si>
    <t>Abraham</t>
  </si>
  <si>
    <t>Hector</t>
  </si>
  <si>
    <t>Magdelena</t>
  </si>
  <si>
    <t>Augustus</t>
  </si>
  <si>
    <t>Wethers</t>
  </si>
  <si>
    <t>Julius</t>
  </si>
  <si>
    <t>Carel</t>
  </si>
  <si>
    <t>Engel</t>
  </si>
  <si>
    <t>Swartrivier</t>
  </si>
  <si>
    <t>Koopman</t>
  </si>
  <si>
    <t>Leopold</t>
  </si>
  <si>
    <t>Jonas</t>
  </si>
  <si>
    <t>Captain</t>
  </si>
  <si>
    <t>Christoffel</t>
  </si>
  <si>
    <t>Botha</t>
  </si>
  <si>
    <t>Haas</t>
  </si>
  <si>
    <t>Isaac</t>
  </si>
  <si>
    <t>Put</t>
  </si>
  <si>
    <t>Christiaan</t>
  </si>
  <si>
    <t>Laurens</t>
  </si>
  <si>
    <t>Eksteen</t>
  </si>
  <si>
    <t>Fortuyn</t>
  </si>
  <si>
    <t>Anna Elizabeth</t>
  </si>
  <si>
    <t>Leeuwenschieter</t>
  </si>
  <si>
    <t>Cart</t>
  </si>
  <si>
    <t>Philipus</t>
  </si>
  <si>
    <t>Louw</t>
  </si>
  <si>
    <t>Hout</t>
  </si>
  <si>
    <t>Johan Phillip</t>
  </si>
  <si>
    <t>Moll</t>
  </si>
  <si>
    <t>Fredericks</t>
  </si>
  <si>
    <t xml:space="preserve">Simon </t>
  </si>
  <si>
    <t>Malgast</t>
  </si>
  <si>
    <t>Philippina</t>
  </si>
  <si>
    <t>Johan Godlieb</t>
  </si>
  <si>
    <t>Wittey</t>
  </si>
  <si>
    <t>Johanathan</t>
  </si>
  <si>
    <t>Robyntje</t>
  </si>
  <si>
    <t>Carl</t>
  </si>
  <si>
    <t>Barton</t>
  </si>
  <si>
    <t>Judith</t>
  </si>
  <si>
    <t>Linnert</t>
  </si>
  <si>
    <t>Mayd</t>
  </si>
  <si>
    <t>Platsen</t>
  </si>
  <si>
    <t>Chadwich</t>
  </si>
  <si>
    <t>Sophia Mayd</t>
  </si>
  <si>
    <t>Limmert</t>
  </si>
  <si>
    <t>Nicklaus</t>
  </si>
  <si>
    <t>Renata</t>
  </si>
  <si>
    <t>Beata</t>
  </si>
  <si>
    <t>Nicodemus</t>
  </si>
  <si>
    <t>Theunissen</t>
  </si>
  <si>
    <t>Godlieb</t>
  </si>
  <si>
    <t>Anna Johanna</t>
  </si>
  <si>
    <t>Immanuel</t>
  </si>
  <si>
    <t>Hermich</t>
  </si>
  <si>
    <t>October</t>
  </si>
  <si>
    <t>Regiena</t>
  </si>
  <si>
    <t>Johannes</t>
  </si>
  <si>
    <t>Salomon</t>
  </si>
  <si>
    <t>Wilhelmina</t>
  </si>
  <si>
    <t>Jansen</t>
  </si>
  <si>
    <t>Matthew</t>
  </si>
  <si>
    <t>Mooydag</t>
  </si>
  <si>
    <t>Antonella</t>
  </si>
  <si>
    <t>Philippus</t>
  </si>
  <si>
    <t>Ernestina</t>
  </si>
  <si>
    <t>Halfslag</t>
  </si>
  <si>
    <t>Matthee</t>
  </si>
  <si>
    <t>Keyster</t>
  </si>
  <si>
    <t>Elias</t>
  </si>
  <si>
    <t>Frederick</t>
  </si>
  <si>
    <t>Lea</t>
  </si>
  <si>
    <t>Okkers</t>
  </si>
  <si>
    <t>Francina</t>
  </si>
  <si>
    <t>Frederichs</t>
  </si>
  <si>
    <t>Henrietta</t>
  </si>
  <si>
    <t>Joh-Magda</t>
  </si>
  <si>
    <t>Jacolina</t>
  </si>
  <si>
    <t>Godliep</t>
  </si>
  <si>
    <t>Nathanael</t>
  </si>
  <si>
    <t>Rams</t>
  </si>
  <si>
    <t>Amalia</t>
  </si>
  <si>
    <t>Samuel</t>
  </si>
  <si>
    <t>Karstener</t>
  </si>
  <si>
    <t>Plaisier</t>
  </si>
  <si>
    <t>Charlotte</t>
  </si>
  <si>
    <t>Vogel</t>
  </si>
  <si>
    <t>Soebater</t>
  </si>
  <si>
    <t>Anton</t>
  </si>
  <si>
    <t>Walie</t>
  </si>
  <si>
    <t>Roslouw</t>
  </si>
  <si>
    <t>Phillipus</t>
  </si>
  <si>
    <t>Armoed</t>
  </si>
  <si>
    <t>Eidmoed</t>
  </si>
  <si>
    <t>August</t>
  </si>
  <si>
    <t>Gerts</t>
  </si>
  <si>
    <t>Lydia</t>
  </si>
  <si>
    <t>Joel</t>
  </si>
  <si>
    <t>Marthinus</t>
  </si>
  <si>
    <t>Frangot</t>
  </si>
  <si>
    <t>Balie</t>
  </si>
  <si>
    <t>Blaatjie</t>
  </si>
  <si>
    <t>Blaatje</t>
  </si>
  <si>
    <t>Eva Maria</t>
  </si>
  <si>
    <t>Fred Wilh.</t>
  </si>
  <si>
    <t>Conrad</t>
  </si>
  <si>
    <t>Cath Maria</t>
  </si>
  <si>
    <t>Mauritz</t>
  </si>
  <si>
    <t>Christ.</t>
  </si>
  <si>
    <t xml:space="preserve">Jonas </t>
  </si>
  <si>
    <t xml:space="preserve">Daniel </t>
  </si>
  <si>
    <t>Hermina</t>
  </si>
  <si>
    <t>Lucas</t>
  </si>
  <si>
    <t>January</t>
  </si>
  <si>
    <t>Elisabeth</t>
  </si>
  <si>
    <t>Paulus</t>
  </si>
  <si>
    <t>Dorothea</t>
  </si>
  <si>
    <t>Lottering</t>
  </si>
  <si>
    <t>Teresa</t>
  </si>
  <si>
    <t>A. Saolome</t>
  </si>
  <si>
    <t>Jesauis</t>
  </si>
  <si>
    <t>Klip</t>
  </si>
  <si>
    <t>Leonard</t>
  </si>
  <si>
    <t>Pascal</t>
  </si>
  <si>
    <t>Mariana</t>
  </si>
  <si>
    <t>Paardenwagter</t>
  </si>
  <si>
    <t>Stompje</t>
  </si>
  <si>
    <t>Agnes</t>
  </si>
  <si>
    <t>Stoffel</t>
  </si>
  <si>
    <t>Arnold</t>
  </si>
  <si>
    <t>Abrams</t>
  </si>
  <si>
    <t>Schipper</t>
  </si>
  <si>
    <t>Hesegiel</t>
  </si>
  <si>
    <t>Veetjan</t>
  </si>
  <si>
    <t>Bregetha</t>
  </si>
  <si>
    <t>Cornelius</t>
  </si>
  <si>
    <t>Zacharius</t>
  </si>
  <si>
    <t>Jafs</t>
  </si>
  <si>
    <t>Margrietha</t>
  </si>
  <si>
    <t>Thimotheus</t>
  </si>
  <si>
    <t>Koko</t>
  </si>
  <si>
    <t>Knop</t>
  </si>
  <si>
    <t>Nieuwenhuis</t>
  </si>
  <si>
    <t>Roshert</t>
  </si>
  <si>
    <t>Wilms</t>
  </si>
  <si>
    <t>Catharina</t>
  </si>
  <si>
    <t>Johnathan</t>
  </si>
  <si>
    <t>Joshua</t>
  </si>
  <si>
    <t>Vertyn</t>
  </si>
  <si>
    <t>Reinhold</t>
  </si>
  <si>
    <t>Kauler</t>
  </si>
  <si>
    <t>Maria Elisabeth</t>
  </si>
  <si>
    <t>Joost</t>
  </si>
  <si>
    <t>Leopoldt</t>
  </si>
  <si>
    <t>Nell</t>
  </si>
  <si>
    <t>Wilhelm</t>
  </si>
  <si>
    <t>Pienaar</t>
  </si>
  <si>
    <t>Juliana</t>
  </si>
  <si>
    <t>Verona</t>
  </si>
  <si>
    <t>Heinoch</t>
  </si>
  <si>
    <t>Rebecca</t>
  </si>
  <si>
    <t>Nathaniel</t>
  </si>
  <si>
    <t>Andreas</t>
  </si>
  <si>
    <t>Michels</t>
  </si>
  <si>
    <t>Pieter</t>
  </si>
  <si>
    <t xml:space="preserve">Cobus </t>
  </si>
  <si>
    <t>Benigna</t>
  </si>
  <si>
    <t xml:space="preserve">Tromp </t>
  </si>
  <si>
    <t>Pill</t>
  </si>
  <si>
    <t xml:space="preserve">Rosilin </t>
  </si>
  <si>
    <t>Africaaner</t>
  </si>
  <si>
    <t>Viegeland</t>
  </si>
  <si>
    <t>Hendrik Lawenlot</t>
  </si>
  <si>
    <t>Preen</t>
  </si>
  <si>
    <t>Uithalder</t>
  </si>
  <si>
    <t>Carolina</t>
  </si>
  <si>
    <t>Jeremias</t>
  </si>
  <si>
    <t>Migels</t>
  </si>
  <si>
    <t>Liebrecht</t>
  </si>
  <si>
    <t>Olive</t>
  </si>
  <si>
    <t>Augusta</t>
  </si>
  <si>
    <t xml:space="preserve">Timotheus </t>
  </si>
  <si>
    <t>Spingelaan</t>
  </si>
  <si>
    <t>Ephram</t>
  </si>
  <si>
    <t>Appel</t>
  </si>
  <si>
    <t>Abrahams</t>
  </si>
  <si>
    <t>Antionette</t>
  </si>
  <si>
    <t>Norman</t>
  </si>
  <si>
    <t>Muisevanger</t>
  </si>
  <si>
    <t>John Phillip</t>
  </si>
  <si>
    <t>Ingeborg</t>
  </si>
  <si>
    <t>Christo</t>
  </si>
  <si>
    <t>Salome</t>
  </si>
  <si>
    <t>Gunter</t>
  </si>
  <si>
    <t>Kock</t>
  </si>
  <si>
    <t>Beukman</t>
  </si>
  <si>
    <t>Beukes</t>
  </si>
  <si>
    <t>Andriaan</t>
  </si>
  <si>
    <t>Den Buig</t>
  </si>
  <si>
    <t>Zacheus</t>
  </si>
  <si>
    <t>Agata</t>
  </si>
  <si>
    <t>Godfried</t>
  </si>
  <si>
    <t>Stammer</t>
  </si>
  <si>
    <t>Elieren</t>
  </si>
  <si>
    <t>Bootsman</t>
  </si>
  <si>
    <t>Jesaias</t>
  </si>
  <si>
    <t>Hemoth</t>
  </si>
  <si>
    <t>Damans</t>
  </si>
  <si>
    <t>van der Buig</t>
  </si>
  <si>
    <t>Frida</t>
  </si>
  <si>
    <t>Hallam</t>
  </si>
  <si>
    <t>Pheabe</t>
  </si>
  <si>
    <t>Betterwater</t>
  </si>
  <si>
    <t>Blaauw</t>
  </si>
  <si>
    <t>Tweede</t>
  </si>
  <si>
    <t>Mergam</t>
  </si>
  <si>
    <t>Ephraim</t>
  </si>
  <si>
    <t>Rudolph</t>
  </si>
  <si>
    <t>Ludwich</t>
  </si>
  <si>
    <t>Renatus</t>
  </si>
  <si>
    <t>Petronella</t>
  </si>
  <si>
    <t>Amos</t>
  </si>
  <si>
    <t>Adolph</t>
  </si>
  <si>
    <t>Henoch</t>
  </si>
  <si>
    <t>Diederik</t>
  </si>
  <si>
    <t>Fabea</t>
  </si>
  <si>
    <t>Teresia</t>
  </si>
  <si>
    <t>Dragoner</t>
  </si>
  <si>
    <t>A Chantas</t>
  </si>
  <si>
    <t>Bothman</t>
  </si>
  <si>
    <t>Noa</t>
  </si>
  <si>
    <t>Dragvries</t>
  </si>
  <si>
    <t>Abel</t>
  </si>
  <si>
    <t>Joh Magda</t>
  </si>
  <si>
    <t>Simeon</t>
  </si>
  <si>
    <t>Polyampus</t>
  </si>
  <si>
    <t>Ester</t>
  </si>
  <si>
    <t>Emmanuel</t>
  </si>
  <si>
    <t>Hardenburg</t>
  </si>
  <si>
    <t>Sebastian</t>
  </si>
  <si>
    <t>Hendricks</t>
  </si>
  <si>
    <t>Klein</t>
  </si>
  <si>
    <t>Gotlieb</t>
  </si>
  <si>
    <t>Petru</t>
  </si>
  <si>
    <t>Hop</t>
  </si>
  <si>
    <t>Has</t>
  </si>
  <si>
    <t>Clemens</t>
  </si>
  <si>
    <t>Phoebe</t>
  </si>
  <si>
    <t>Leopard</t>
  </si>
  <si>
    <t>Johan Philip</t>
  </si>
  <si>
    <t>Pedro</t>
  </si>
  <si>
    <t>Hermiella</t>
  </si>
  <si>
    <t>Herman</t>
  </si>
  <si>
    <t xml:space="preserve">Amos </t>
  </si>
  <si>
    <t>Trangill</t>
  </si>
  <si>
    <t>Tass</t>
  </si>
  <si>
    <t>Salomie</t>
  </si>
  <si>
    <t>Arnolds</t>
  </si>
  <si>
    <t>Lincon</t>
  </si>
  <si>
    <t>Valeria</t>
  </si>
  <si>
    <t>Rosiena</t>
  </si>
  <si>
    <t>Jonker</t>
  </si>
  <si>
    <t>Gabriel</t>
  </si>
  <si>
    <t>Jephta</t>
  </si>
  <si>
    <t xml:space="preserve">Phillip </t>
  </si>
  <si>
    <t>Koekon</t>
  </si>
  <si>
    <t>Herfs</t>
  </si>
  <si>
    <t>Wihelm</t>
  </si>
  <si>
    <t>Anna Sophia</t>
  </si>
  <si>
    <t>Roshest</t>
  </si>
  <si>
    <t>Gislanten</t>
  </si>
  <si>
    <t>Roda</t>
  </si>
  <si>
    <t>Couler</t>
  </si>
  <si>
    <t>Theodor</t>
  </si>
  <si>
    <t>Lennert</t>
  </si>
  <si>
    <t>Ferdinand</t>
  </si>
  <si>
    <t>Koen</t>
  </si>
  <si>
    <t>Gustav</t>
  </si>
  <si>
    <t>Zeppora</t>
  </si>
  <si>
    <t>Kansrivier</t>
  </si>
  <si>
    <t>Carolus</t>
  </si>
  <si>
    <t>Josua</t>
  </si>
  <si>
    <t>Hieckema</t>
  </si>
  <si>
    <t xml:space="preserve">Gert </t>
  </si>
  <si>
    <t>Ludwig</t>
  </si>
  <si>
    <t>Koekson</t>
  </si>
  <si>
    <t>A Maria</t>
  </si>
  <si>
    <t>Gethold</t>
  </si>
  <si>
    <t>Lakey</t>
  </si>
  <si>
    <t xml:space="preserve">Phillipus </t>
  </si>
  <si>
    <t>van Lecht</t>
  </si>
  <si>
    <t xml:space="preserve">Anton </t>
  </si>
  <si>
    <t>Matilda</t>
  </si>
  <si>
    <t>Ozum</t>
  </si>
  <si>
    <t>Lackey</t>
  </si>
  <si>
    <t>Aron</t>
  </si>
  <si>
    <t>Loons</t>
  </si>
  <si>
    <t>Chareton</t>
  </si>
  <si>
    <t>Joorst</t>
  </si>
  <si>
    <t>Vermaak</t>
  </si>
  <si>
    <t>Balebier</t>
  </si>
  <si>
    <t>Minne</t>
  </si>
  <si>
    <t>Martha</t>
  </si>
  <si>
    <t>Fredick</t>
  </si>
  <si>
    <t>Applona</t>
  </si>
  <si>
    <t>Eron Frick</t>
  </si>
  <si>
    <t>Matias</t>
  </si>
  <si>
    <t>Frangott</t>
  </si>
  <si>
    <t>Pitt</t>
  </si>
  <si>
    <t>Muisvanger</t>
  </si>
  <si>
    <t>Isabella</t>
  </si>
  <si>
    <t>Verstein</t>
  </si>
  <si>
    <t>Yosef</t>
  </si>
  <si>
    <t>Malgas</t>
  </si>
  <si>
    <t>Hilda</t>
  </si>
  <si>
    <t>Halenberg</t>
  </si>
  <si>
    <t>Johana</t>
  </si>
  <si>
    <t>Willems</t>
  </si>
  <si>
    <t>Maria Dorothea</t>
  </si>
  <si>
    <t>Elizier</t>
  </si>
  <si>
    <t>Klara</t>
  </si>
  <si>
    <t>Ockers</t>
  </si>
  <si>
    <t>Anorra</t>
  </si>
  <si>
    <t>Links</t>
  </si>
  <si>
    <t>Joh Maig</t>
  </si>
  <si>
    <t>Pittberg</t>
  </si>
  <si>
    <t>Cleophas</t>
  </si>
  <si>
    <t>Wihelmina</t>
  </si>
  <si>
    <t>Vertuin</t>
  </si>
  <si>
    <t>Stephanus</t>
  </si>
  <si>
    <t>Justina</t>
  </si>
  <si>
    <t>Klink</t>
  </si>
  <si>
    <t>du Plessis</t>
  </si>
  <si>
    <t>Veyver</t>
  </si>
  <si>
    <t>Johannes Jacob</t>
  </si>
  <si>
    <t>Franciska</t>
  </si>
  <si>
    <t>Genfriet</t>
  </si>
  <si>
    <t>Andriaas</t>
  </si>
  <si>
    <t>Feronius</t>
  </si>
  <si>
    <t>Gelant</t>
  </si>
  <si>
    <t>Sneyder</t>
  </si>
  <si>
    <t>Tunsman</t>
  </si>
  <si>
    <t>Samson</t>
  </si>
  <si>
    <t>Jan Hendrik</t>
  </si>
  <si>
    <t>Sweede</t>
  </si>
  <si>
    <t>Ulrica</t>
  </si>
  <si>
    <t>Anna Josenna</t>
  </si>
  <si>
    <t>Uys</t>
  </si>
  <si>
    <t>Vyf</t>
  </si>
  <si>
    <t>Sabrina</t>
  </si>
  <si>
    <t>Siebrecht</t>
  </si>
  <si>
    <t>Vigilant</t>
  </si>
  <si>
    <t>Franscina</t>
  </si>
  <si>
    <t>Caipsoto</t>
  </si>
  <si>
    <t>Vertein</t>
  </si>
  <si>
    <t>Christina</t>
  </si>
  <si>
    <t>Veigels</t>
  </si>
  <si>
    <t>Ephriam</t>
  </si>
  <si>
    <t>Mirjam</t>
  </si>
  <si>
    <t>Albertus</t>
  </si>
  <si>
    <t>Marius</t>
  </si>
  <si>
    <t>Arie</t>
  </si>
  <si>
    <t>Deborah</t>
  </si>
  <si>
    <t>Marianna</t>
  </si>
  <si>
    <t>Bienaar</t>
  </si>
  <si>
    <t>van der Berg</t>
  </si>
  <si>
    <t>Bosman</t>
  </si>
  <si>
    <t>Johanna Rachel</t>
  </si>
  <si>
    <t>Baartman</t>
  </si>
  <si>
    <t>Maria Sophia</t>
  </si>
  <si>
    <t>Eimoed</t>
  </si>
  <si>
    <t>Dood</t>
  </si>
  <si>
    <t>Deluch</t>
  </si>
  <si>
    <t>Day</t>
  </si>
  <si>
    <t>Gunther</t>
  </si>
  <si>
    <t>Eida</t>
  </si>
  <si>
    <t>Kelusa</t>
  </si>
  <si>
    <t>Gertrud</t>
  </si>
  <si>
    <t>Hardenberg</t>
  </si>
  <si>
    <t>Hirqua</t>
  </si>
  <si>
    <t>Fabia</t>
  </si>
  <si>
    <t>Toehem</t>
  </si>
  <si>
    <t>Klipheuwel</t>
  </si>
  <si>
    <t>Calver</t>
  </si>
  <si>
    <t>Tugenrich</t>
  </si>
  <si>
    <t>Kuiter</t>
  </si>
  <si>
    <t>Ruth</t>
  </si>
  <si>
    <t>Lehman</t>
  </si>
  <si>
    <t xml:space="preserve">Katje </t>
  </si>
  <si>
    <t>Martha Elisabeth</t>
  </si>
  <si>
    <t>Markus</t>
  </si>
  <si>
    <t>Sunna</t>
  </si>
  <si>
    <t>Freen</t>
  </si>
  <si>
    <t>November</t>
  </si>
  <si>
    <t>Margeretha</t>
  </si>
  <si>
    <t>Priscellla</t>
  </si>
  <si>
    <t>Gertraud</t>
  </si>
  <si>
    <t>Debora</t>
  </si>
  <si>
    <t>Soldaat</t>
  </si>
  <si>
    <t>Renate</t>
  </si>
  <si>
    <t>Anna Maria</t>
  </si>
  <si>
    <t>Hammer</t>
  </si>
  <si>
    <t>Voster</t>
  </si>
  <si>
    <t>Location</t>
  </si>
  <si>
    <t>Khoi</t>
  </si>
  <si>
    <t>Subdistrict of Swellendam that Khoe family resides in.</t>
  </si>
  <si>
    <t>Name of Khoi male head of household</t>
  </si>
  <si>
    <t>Name of Khoi female in household</t>
  </si>
  <si>
    <t>Total of men in household</t>
  </si>
  <si>
    <t>Total of women in household</t>
  </si>
  <si>
    <t>Total of sons in household</t>
  </si>
  <si>
    <t>Total of daughters in household</t>
  </si>
  <si>
    <t>Total of khoi in household (sum of men, women, sons, daughters)</t>
  </si>
  <si>
    <t>Total number of wagon/saddle horses owned</t>
  </si>
  <si>
    <t>Total of Breeding Horses owned</t>
  </si>
  <si>
    <t>Total of Breeding cattle owned</t>
  </si>
  <si>
    <t>Total of Breeding Sheep owned</t>
  </si>
  <si>
    <t>Total oxen owned</t>
  </si>
  <si>
    <t>Total wethers owned</t>
  </si>
  <si>
    <t>Total goats owned</t>
  </si>
  <si>
    <t>Total pigs owned</t>
  </si>
  <si>
    <t>Total waggons owned</t>
  </si>
  <si>
    <t>Total cart owned</t>
  </si>
  <si>
    <t>Total tax owned</t>
  </si>
  <si>
    <t>Total of Wheat sown in muiden</t>
  </si>
  <si>
    <t>Total of Barley sown in muiden</t>
  </si>
  <si>
    <t>Total of Rye sown in muiden</t>
  </si>
  <si>
    <t>Total of Oats sown in muiden</t>
  </si>
  <si>
    <t>Total wheat reaped in muiden</t>
  </si>
  <si>
    <t>Total barley reaped in muiden</t>
  </si>
  <si>
    <t>Total rye reaped in muiden</t>
  </si>
  <si>
    <t>Total oats reaped in muiden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</si>
</sst>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65"/>
  <sheetViews>
    <sheetView tabSelected="1" workbookViewId="0">
      <pane ySplit="1" topLeftCell="A2" activePane="bottomLeft" state="frozen"/>
      <selection pane="bottomLeft" activeCell="C433" sqref="C433"/>
    </sheetView>
  </sheetViews>
  <sheetFormatPr defaultRowHeight="14.4" x14ac:dyDescent="0.3"/>
  <cols>
    <col min="1" max="1" width="21.109375" bestFit="1" customWidth="1"/>
    <col min="2" max="2" width="18.88671875" bestFit="1" customWidth="1"/>
    <col min="3" max="3" width="16.77734375" customWidth="1"/>
    <col min="4" max="4" width="19.33203125" customWidth="1"/>
    <col min="5" max="5" width="15.6640625" bestFit="1" customWidth="1"/>
    <col min="9" max="9" width="9.5546875" bestFit="1" customWidth="1"/>
    <col min="11" max="11" width="23.109375" bestFit="1" customWidth="1"/>
    <col min="12" max="12" width="23.109375" customWidth="1"/>
    <col min="13" max="13" width="14.21875" bestFit="1" customWidth="1"/>
    <col min="15" max="15" width="13.33203125" bestFit="1" customWidth="1"/>
    <col min="16" max="16" width="13.33203125" customWidth="1"/>
    <col min="17" max="17" width="13.5546875" bestFit="1" customWidth="1"/>
    <col min="20" max="20" width="11.21875" bestFit="1" customWidth="1"/>
    <col min="21" max="21" width="10.88671875" bestFit="1" customWidth="1"/>
    <col min="22" max="22" width="8.77734375" bestFit="1" customWidth="1"/>
    <col min="23" max="23" width="9.5546875" bestFit="1" customWidth="1"/>
  </cols>
  <sheetData>
    <row r="1" spans="1:32" s="1" customFormat="1" x14ac:dyDescent="0.3">
      <c r="A1" s="1" t="s">
        <v>531</v>
      </c>
      <c r="B1" s="1" t="s">
        <v>0</v>
      </c>
      <c r="C1" s="1" t="s">
        <v>2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532</v>
      </c>
      <c r="K1" s="1" t="s">
        <v>9</v>
      </c>
      <c r="M1" s="1" t="s">
        <v>10</v>
      </c>
      <c r="N1" s="1" t="s">
        <v>11</v>
      </c>
      <c r="O1" s="1" t="s">
        <v>12</v>
      </c>
      <c r="P1" s="1" t="s">
        <v>131</v>
      </c>
      <c r="Q1" s="1" t="s">
        <v>13</v>
      </c>
      <c r="R1" s="1" t="s">
        <v>14</v>
      </c>
      <c r="S1" s="1" t="s">
        <v>15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16</v>
      </c>
      <c r="AB1" s="1" t="s">
        <v>95</v>
      </c>
      <c r="AC1" s="1" t="s">
        <v>151</v>
      </c>
      <c r="AD1" s="1" t="s">
        <v>43</v>
      </c>
      <c r="AE1" s="1" t="s">
        <v>41</v>
      </c>
      <c r="AF1" s="1" t="s">
        <v>41</v>
      </c>
    </row>
    <row r="2" spans="1:32" x14ac:dyDescent="0.3">
      <c r="A2" t="s">
        <v>135</v>
      </c>
      <c r="B2" t="s">
        <v>137</v>
      </c>
      <c r="C2" t="s">
        <v>136</v>
      </c>
      <c r="D2" t="s">
        <v>61</v>
      </c>
      <c r="E2" t="s">
        <v>138</v>
      </c>
      <c r="F2">
        <v>1</v>
      </c>
      <c r="G2">
        <v>1</v>
      </c>
      <c r="H2">
        <v>1</v>
      </c>
      <c r="I2">
        <v>1</v>
      </c>
      <c r="J2">
        <f t="shared" ref="J2:J53" si="0">SUM(F2:I2)</f>
        <v>4</v>
      </c>
      <c r="K2" t="s">
        <v>41</v>
      </c>
      <c r="L2" t="e">
        <f t="shared" ref="L2:L53" si="1">K2*60</f>
        <v>#VALUE!</v>
      </c>
      <c r="M2">
        <v>1</v>
      </c>
      <c r="N2">
        <v>11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>
        <v>1.75</v>
      </c>
      <c r="U2">
        <v>0.75</v>
      </c>
      <c r="V2" t="s">
        <v>41</v>
      </c>
      <c r="W2" t="s">
        <v>41</v>
      </c>
      <c r="X2">
        <v>17</v>
      </c>
      <c r="Y2">
        <v>11</v>
      </c>
      <c r="Z2" t="s">
        <v>41</v>
      </c>
      <c r="AA2" t="s">
        <v>41</v>
      </c>
      <c r="AB2">
        <v>1</v>
      </c>
      <c r="AC2" t="s">
        <v>41</v>
      </c>
      <c r="AD2" t="s">
        <v>139</v>
      </c>
      <c r="AE2" t="s">
        <v>41</v>
      </c>
      <c r="AF2" t="s">
        <v>41</v>
      </c>
    </row>
    <row r="3" spans="1:32" x14ac:dyDescent="0.3">
      <c r="A3" t="s">
        <v>135</v>
      </c>
      <c r="B3" t="s">
        <v>140</v>
      </c>
      <c r="C3" t="s">
        <v>141</v>
      </c>
      <c r="D3" t="s">
        <v>46</v>
      </c>
      <c r="E3" t="s">
        <v>142</v>
      </c>
      <c r="F3">
        <v>1</v>
      </c>
      <c r="G3">
        <v>1</v>
      </c>
      <c r="H3" t="s">
        <v>41</v>
      </c>
      <c r="I3">
        <v>2</v>
      </c>
      <c r="J3">
        <f t="shared" si="0"/>
        <v>4</v>
      </c>
      <c r="K3">
        <v>1</v>
      </c>
      <c r="L3">
        <f t="shared" si="1"/>
        <v>60</v>
      </c>
      <c r="M3">
        <v>1</v>
      </c>
      <c r="N3">
        <v>8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>
        <v>2</v>
      </c>
      <c r="U3">
        <v>0.5</v>
      </c>
      <c r="V3" t="s">
        <v>41</v>
      </c>
      <c r="W3" t="s">
        <v>41</v>
      </c>
      <c r="X3">
        <v>9</v>
      </c>
      <c r="Y3">
        <v>8</v>
      </c>
      <c r="Z3" t="s">
        <v>41</v>
      </c>
      <c r="AA3" t="s">
        <v>41</v>
      </c>
      <c r="AB3">
        <v>1</v>
      </c>
      <c r="AC3" t="s">
        <v>41</v>
      </c>
      <c r="AD3" t="s">
        <v>41</v>
      </c>
      <c r="AE3" t="s">
        <v>41</v>
      </c>
      <c r="AF3" t="s">
        <v>41</v>
      </c>
    </row>
    <row r="4" spans="1:32" x14ac:dyDescent="0.3">
      <c r="A4" t="s">
        <v>135</v>
      </c>
      <c r="B4" t="s">
        <v>143</v>
      </c>
      <c r="C4" t="s">
        <v>144</v>
      </c>
      <c r="D4" t="s">
        <v>41</v>
      </c>
      <c r="E4" t="s">
        <v>41</v>
      </c>
      <c r="F4">
        <v>1</v>
      </c>
      <c r="G4" t="s">
        <v>41</v>
      </c>
      <c r="H4">
        <v>1</v>
      </c>
      <c r="I4">
        <v>2</v>
      </c>
      <c r="J4">
        <f t="shared" si="0"/>
        <v>4</v>
      </c>
      <c r="K4" t="s">
        <v>41</v>
      </c>
      <c r="L4" t="e">
        <f t="shared" si="1"/>
        <v>#VALUE!</v>
      </c>
      <c r="M4" t="s">
        <v>41</v>
      </c>
      <c r="N4" t="s">
        <v>41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</row>
    <row r="5" spans="1:32" x14ac:dyDescent="0.3">
      <c r="A5" t="s">
        <v>135</v>
      </c>
      <c r="B5" t="s">
        <v>145</v>
      </c>
      <c r="C5" t="s">
        <v>52</v>
      </c>
      <c r="D5" t="s">
        <v>41</v>
      </c>
      <c r="E5" t="s">
        <v>41</v>
      </c>
      <c r="F5">
        <v>1</v>
      </c>
      <c r="G5" t="s">
        <v>41</v>
      </c>
      <c r="H5" t="s">
        <v>41</v>
      </c>
      <c r="I5" t="s">
        <v>41</v>
      </c>
      <c r="J5">
        <f t="shared" si="0"/>
        <v>1</v>
      </c>
      <c r="K5" t="s">
        <v>41</v>
      </c>
      <c r="L5" t="e">
        <f t="shared" si="1"/>
        <v>#VALUE!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41</v>
      </c>
    </row>
    <row r="6" spans="1:32" x14ac:dyDescent="0.3">
      <c r="A6" t="s">
        <v>135</v>
      </c>
      <c r="B6" t="s">
        <v>91</v>
      </c>
      <c r="C6" t="s">
        <v>146</v>
      </c>
      <c r="D6" t="s">
        <v>41</v>
      </c>
      <c r="E6" t="s">
        <v>41</v>
      </c>
      <c r="F6">
        <v>1</v>
      </c>
      <c r="G6" t="s">
        <v>41</v>
      </c>
      <c r="H6" t="s">
        <v>41</v>
      </c>
      <c r="I6" t="s">
        <v>41</v>
      </c>
      <c r="J6">
        <f t="shared" si="0"/>
        <v>1</v>
      </c>
      <c r="K6" t="s">
        <v>41</v>
      </c>
      <c r="L6" t="e">
        <f t="shared" si="1"/>
        <v>#VALUE!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</row>
    <row r="7" spans="1:32" x14ac:dyDescent="0.3">
      <c r="A7" t="s">
        <v>135</v>
      </c>
      <c r="B7" t="s">
        <v>127</v>
      </c>
      <c r="C7" t="s">
        <v>147</v>
      </c>
      <c r="D7" t="s">
        <v>41</v>
      </c>
      <c r="E7" t="s">
        <v>41</v>
      </c>
      <c r="F7">
        <v>1</v>
      </c>
      <c r="G7" t="s">
        <v>41</v>
      </c>
      <c r="H7" t="s">
        <v>41</v>
      </c>
      <c r="I7" t="s">
        <v>41</v>
      </c>
      <c r="J7">
        <f t="shared" si="0"/>
        <v>1</v>
      </c>
      <c r="K7" t="s">
        <v>41</v>
      </c>
      <c r="L7" t="e">
        <f t="shared" si="1"/>
        <v>#VALUE!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</row>
    <row r="8" spans="1:32" x14ac:dyDescent="0.3">
      <c r="A8" t="s">
        <v>135</v>
      </c>
      <c r="B8" t="s">
        <v>27</v>
      </c>
      <c r="C8" t="s">
        <v>148</v>
      </c>
      <c r="D8" t="s">
        <v>149</v>
      </c>
      <c r="E8" t="s">
        <v>150</v>
      </c>
      <c r="F8">
        <v>1</v>
      </c>
      <c r="G8">
        <v>1</v>
      </c>
      <c r="H8">
        <v>1</v>
      </c>
      <c r="I8">
        <v>2</v>
      </c>
      <c r="J8">
        <f t="shared" si="0"/>
        <v>5</v>
      </c>
      <c r="K8" t="s">
        <v>41</v>
      </c>
      <c r="L8" t="e">
        <f t="shared" si="1"/>
        <v>#VALUE!</v>
      </c>
      <c r="M8">
        <v>2</v>
      </c>
      <c r="N8">
        <v>2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>
        <v>1</v>
      </c>
      <c r="AD8" t="s">
        <v>41</v>
      </c>
      <c r="AE8" t="s">
        <v>41</v>
      </c>
      <c r="AF8" t="s">
        <v>41</v>
      </c>
    </row>
    <row r="9" spans="1:32" x14ac:dyDescent="0.3">
      <c r="A9" t="s">
        <v>135</v>
      </c>
      <c r="B9" t="s">
        <v>152</v>
      </c>
      <c r="C9" t="s">
        <v>153</v>
      </c>
      <c r="D9" t="s">
        <v>41</v>
      </c>
      <c r="E9" t="s">
        <v>41</v>
      </c>
      <c r="F9">
        <v>1</v>
      </c>
      <c r="G9" t="s">
        <v>41</v>
      </c>
      <c r="H9" t="s">
        <v>41</v>
      </c>
      <c r="I9" t="s">
        <v>41</v>
      </c>
      <c r="J9">
        <f t="shared" si="0"/>
        <v>1</v>
      </c>
      <c r="K9" t="s">
        <v>41</v>
      </c>
      <c r="L9" t="e">
        <f t="shared" si="1"/>
        <v>#VALUE!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 t="s">
        <v>41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</row>
    <row r="10" spans="1:32" x14ac:dyDescent="0.3">
      <c r="A10" t="s">
        <v>135</v>
      </c>
      <c r="B10" t="s">
        <v>125</v>
      </c>
      <c r="C10" t="s">
        <v>154</v>
      </c>
      <c r="D10" t="s">
        <v>41</v>
      </c>
      <c r="E10" t="s">
        <v>41</v>
      </c>
      <c r="F10">
        <v>1</v>
      </c>
      <c r="G10" t="s">
        <v>41</v>
      </c>
      <c r="H10" t="s">
        <v>41</v>
      </c>
      <c r="I10" t="s">
        <v>41</v>
      </c>
      <c r="J10">
        <f t="shared" si="0"/>
        <v>1</v>
      </c>
      <c r="K10" t="s">
        <v>41</v>
      </c>
      <c r="L10" t="e">
        <f t="shared" si="1"/>
        <v>#VALUE!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</row>
    <row r="11" spans="1:32" x14ac:dyDescent="0.3">
      <c r="A11" t="s">
        <v>135</v>
      </c>
      <c r="B11" t="s">
        <v>155</v>
      </c>
      <c r="C11" t="s">
        <v>156</v>
      </c>
      <c r="D11" t="s">
        <v>41</v>
      </c>
      <c r="E11" t="s">
        <v>41</v>
      </c>
      <c r="F11">
        <v>1</v>
      </c>
      <c r="G11" t="s">
        <v>41</v>
      </c>
      <c r="H11" t="s">
        <v>41</v>
      </c>
      <c r="I11" t="s">
        <v>41</v>
      </c>
      <c r="J11">
        <f t="shared" si="0"/>
        <v>1</v>
      </c>
      <c r="K11" t="s">
        <v>41</v>
      </c>
      <c r="L11" t="e">
        <f t="shared" si="1"/>
        <v>#VALUE!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41</v>
      </c>
    </row>
    <row r="12" spans="1:32" x14ac:dyDescent="0.3">
      <c r="A12" t="s">
        <v>135</v>
      </c>
      <c r="B12" t="s">
        <v>145</v>
      </c>
      <c r="C12" t="s">
        <v>157</v>
      </c>
      <c r="D12" t="s">
        <v>41</v>
      </c>
      <c r="E12" t="s">
        <v>41</v>
      </c>
      <c r="F12">
        <v>1</v>
      </c>
      <c r="G12" t="s">
        <v>41</v>
      </c>
      <c r="H12">
        <v>1</v>
      </c>
      <c r="I12">
        <v>1</v>
      </c>
      <c r="J12">
        <f t="shared" si="0"/>
        <v>3</v>
      </c>
      <c r="K12" t="s">
        <v>41</v>
      </c>
      <c r="L12" t="e">
        <f t="shared" si="1"/>
        <v>#VALUE!</v>
      </c>
      <c r="M12" t="s">
        <v>41</v>
      </c>
      <c r="N12" t="s">
        <v>41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>
        <v>0.75</v>
      </c>
      <c r="U12" t="s">
        <v>41</v>
      </c>
      <c r="V12" t="s">
        <v>41</v>
      </c>
      <c r="W12" t="s">
        <v>41</v>
      </c>
      <c r="X12">
        <v>7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41</v>
      </c>
    </row>
    <row r="13" spans="1:32" x14ac:dyDescent="0.3">
      <c r="A13" t="s">
        <v>135</v>
      </c>
      <c r="B13" t="s">
        <v>158</v>
      </c>
      <c r="C13" t="s">
        <v>159</v>
      </c>
      <c r="D13" t="s">
        <v>160</v>
      </c>
      <c r="E13" t="s">
        <v>41</v>
      </c>
      <c r="F13">
        <v>1</v>
      </c>
      <c r="G13">
        <v>1</v>
      </c>
      <c r="H13" t="s">
        <v>41</v>
      </c>
      <c r="I13" t="s">
        <v>41</v>
      </c>
      <c r="J13">
        <f t="shared" si="0"/>
        <v>2</v>
      </c>
      <c r="K13" t="s">
        <v>41</v>
      </c>
      <c r="L13" t="e">
        <f t="shared" si="1"/>
        <v>#VALUE!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</row>
    <row r="14" spans="1:32" x14ac:dyDescent="0.3">
      <c r="A14" t="s">
        <v>135</v>
      </c>
      <c r="B14" t="s">
        <v>161</v>
      </c>
      <c r="C14" t="s">
        <v>162</v>
      </c>
      <c r="D14" t="s">
        <v>41</v>
      </c>
      <c r="E14" t="s">
        <v>41</v>
      </c>
      <c r="F14">
        <v>1</v>
      </c>
      <c r="G14" t="s">
        <v>41</v>
      </c>
      <c r="H14" t="s">
        <v>41</v>
      </c>
      <c r="I14" t="s">
        <v>41</v>
      </c>
      <c r="J14">
        <f t="shared" si="0"/>
        <v>1</v>
      </c>
      <c r="K14" t="s">
        <v>41</v>
      </c>
      <c r="L14" t="e">
        <f t="shared" si="1"/>
        <v>#VALUE!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</row>
    <row r="15" spans="1:32" x14ac:dyDescent="0.3">
      <c r="A15" t="s">
        <v>135</v>
      </c>
      <c r="B15" t="s">
        <v>163</v>
      </c>
      <c r="C15" t="s">
        <v>164</v>
      </c>
      <c r="D15" t="s">
        <v>41</v>
      </c>
      <c r="E15" t="s">
        <v>41</v>
      </c>
      <c r="F15">
        <v>1</v>
      </c>
      <c r="G15" t="s">
        <v>41</v>
      </c>
      <c r="H15" t="s">
        <v>41</v>
      </c>
      <c r="I15" t="s">
        <v>41</v>
      </c>
      <c r="J15">
        <f t="shared" si="0"/>
        <v>1</v>
      </c>
      <c r="K15" t="s">
        <v>41</v>
      </c>
      <c r="L15" t="e">
        <f t="shared" si="1"/>
        <v>#VALUE!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</row>
    <row r="16" spans="1:32" x14ac:dyDescent="0.3">
      <c r="A16" t="s">
        <v>135</v>
      </c>
      <c r="B16" t="s">
        <v>165</v>
      </c>
      <c r="C16" t="s">
        <v>166</v>
      </c>
      <c r="D16" t="s">
        <v>167</v>
      </c>
      <c r="E16" t="s">
        <v>132</v>
      </c>
      <c r="F16">
        <v>1</v>
      </c>
      <c r="G16">
        <v>1</v>
      </c>
      <c r="H16" t="s">
        <v>41</v>
      </c>
      <c r="I16" t="s">
        <v>41</v>
      </c>
      <c r="J16">
        <f t="shared" si="0"/>
        <v>2</v>
      </c>
      <c r="K16">
        <v>2</v>
      </c>
      <c r="L16">
        <f t="shared" si="1"/>
        <v>120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</row>
    <row r="17" spans="1:32" x14ac:dyDescent="0.3">
      <c r="A17" t="s">
        <v>135</v>
      </c>
      <c r="B17" t="s">
        <v>91</v>
      </c>
      <c r="C17" t="s">
        <v>168</v>
      </c>
      <c r="D17" t="s">
        <v>169</v>
      </c>
      <c r="E17" t="s">
        <v>170</v>
      </c>
      <c r="F17">
        <v>1</v>
      </c>
      <c r="G17">
        <v>1</v>
      </c>
      <c r="H17">
        <v>3</v>
      </c>
      <c r="I17">
        <v>1</v>
      </c>
      <c r="J17">
        <f t="shared" si="0"/>
        <v>6</v>
      </c>
      <c r="K17" t="s">
        <v>41</v>
      </c>
      <c r="L17" t="e">
        <f t="shared" si="1"/>
        <v>#VALUE!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>
        <v>0.75</v>
      </c>
      <c r="U17" t="s">
        <v>41</v>
      </c>
      <c r="V17" t="s">
        <v>41</v>
      </c>
      <c r="W17" t="s">
        <v>41</v>
      </c>
      <c r="X17" t="s">
        <v>41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</row>
    <row r="18" spans="1:32" x14ac:dyDescent="0.3">
      <c r="A18" t="s">
        <v>135</v>
      </c>
      <c r="B18" t="s">
        <v>119</v>
      </c>
      <c r="C18" t="s">
        <v>83</v>
      </c>
      <c r="D18" t="s">
        <v>41</v>
      </c>
      <c r="E18" t="s">
        <v>41</v>
      </c>
      <c r="F18">
        <v>1</v>
      </c>
      <c r="G18" t="s">
        <v>41</v>
      </c>
      <c r="H18">
        <v>1</v>
      </c>
      <c r="I18" t="s">
        <v>41</v>
      </c>
      <c r="J18">
        <f t="shared" si="0"/>
        <v>2</v>
      </c>
      <c r="K18" t="s">
        <v>41</v>
      </c>
      <c r="L18" t="e">
        <f t="shared" si="1"/>
        <v>#VALUE!</v>
      </c>
      <c r="M18" t="s">
        <v>41</v>
      </c>
      <c r="N18" t="s">
        <v>41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41</v>
      </c>
    </row>
    <row r="19" spans="1:32" x14ac:dyDescent="0.3">
      <c r="A19" t="s">
        <v>135</v>
      </c>
      <c r="B19" t="s">
        <v>171</v>
      </c>
      <c r="C19" t="s">
        <v>148</v>
      </c>
      <c r="D19" t="s">
        <v>172</v>
      </c>
      <c r="E19" t="s">
        <v>173</v>
      </c>
      <c r="F19">
        <v>1</v>
      </c>
      <c r="G19">
        <v>1</v>
      </c>
      <c r="H19">
        <v>1</v>
      </c>
      <c r="I19" t="s">
        <v>41</v>
      </c>
      <c r="J19">
        <f t="shared" si="0"/>
        <v>3</v>
      </c>
      <c r="K19">
        <v>1</v>
      </c>
      <c r="L19">
        <f t="shared" si="1"/>
        <v>60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41</v>
      </c>
    </row>
    <row r="20" spans="1:32" x14ac:dyDescent="0.3">
      <c r="A20" t="s">
        <v>135</v>
      </c>
      <c r="B20" t="s">
        <v>174</v>
      </c>
      <c r="C20" t="s">
        <v>105</v>
      </c>
      <c r="D20" t="s">
        <v>175</v>
      </c>
      <c r="E20" t="s">
        <v>24</v>
      </c>
      <c r="F20">
        <v>1</v>
      </c>
      <c r="G20">
        <v>1</v>
      </c>
      <c r="H20">
        <v>1</v>
      </c>
      <c r="I20">
        <v>1</v>
      </c>
      <c r="J20">
        <f t="shared" si="0"/>
        <v>4</v>
      </c>
      <c r="K20" t="s">
        <v>41</v>
      </c>
      <c r="L20" t="e">
        <f t="shared" si="1"/>
        <v>#VALUE!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</row>
    <row r="21" spans="1:32" x14ac:dyDescent="0.3">
      <c r="A21" t="s">
        <v>135</v>
      </c>
      <c r="B21" t="s">
        <v>41</v>
      </c>
      <c r="C21" t="s">
        <v>47</v>
      </c>
      <c r="D21" t="s">
        <v>176</v>
      </c>
      <c r="E21" t="s">
        <v>85</v>
      </c>
      <c r="F21">
        <v>1</v>
      </c>
      <c r="G21">
        <v>1</v>
      </c>
      <c r="H21">
        <v>1</v>
      </c>
      <c r="I21" t="s">
        <v>41</v>
      </c>
      <c r="J21">
        <f t="shared" si="0"/>
        <v>3</v>
      </c>
      <c r="K21" t="s">
        <v>41</v>
      </c>
      <c r="L21" t="e">
        <f t="shared" si="1"/>
        <v>#VALUE!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>
        <v>0.5</v>
      </c>
      <c r="U21" t="s">
        <v>41</v>
      </c>
      <c r="V21" t="s">
        <v>41</v>
      </c>
      <c r="W21" t="s">
        <v>41</v>
      </c>
      <c r="X21">
        <v>6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41</v>
      </c>
    </row>
    <row r="22" spans="1:32" x14ac:dyDescent="0.3">
      <c r="A22" t="s">
        <v>135</v>
      </c>
      <c r="B22" t="s">
        <v>177</v>
      </c>
      <c r="C22" t="s">
        <v>178</v>
      </c>
      <c r="D22" t="s">
        <v>41</v>
      </c>
      <c r="E22" t="s">
        <v>41</v>
      </c>
      <c r="F22">
        <v>1</v>
      </c>
      <c r="G22" t="s">
        <v>41</v>
      </c>
      <c r="H22">
        <v>1</v>
      </c>
      <c r="I22" t="s">
        <v>41</v>
      </c>
      <c r="J22">
        <f t="shared" si="0"/>
        <v>2</v>
      </c>
      <c r="K22" t="s">
        <v>41</v>
      </c>
      <c r="L22" t="e">
        <f t="shared" si="1"/>
        <v>#VALUE!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t="s">
        <v>41</v>
      </c>
      <c r="X22" t="s">
        <v>41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41</v>
      </c>
    </row>
    <row r="23" spans="1:32" x14ac:dyDescent="0.3">
      <c r="A23" t="s">
        <v>135</v>
      </c>
      <c r="B23" t="s">
        <v>179</v>
      </c>
      <c r="C23" t="s">
        <v>85</v>
      </c>
      <c r="D23" t="s">
        <v>180</v>
      </c>
      <c r="E23" t="s">
        <v>41</v>
      </c>
      <c r="F23">
        <v>1</v>
      </c>
      <c r="G23">
        <v>1</v>
      </c>
      <c r="H23" t="s">
        <v>41</v>
      </c>
      <c r="I23">
        <v>1</v>
      </c>
      <c r="J23">
        <f t="shared" si="0"/>
        <v>3</v>
      </c>
      <c r="K23" t="s">
        <v>41</v>
      </c>
      <c r="L23" t="e">
        <f t="shared" si="1"/>
        <v>#VALUE!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</row>
    <row r="24" spans="1:32" x14ac:dyDescent="0.3">
      <c r="A24" t="s">
        <v>135</v>
      </c>
      <c r="B24" t="s">
        <v>181</v>
      </c>
      <c r="C24" t="s">
        <v>107</v>
      </c>
      <c r="D24" t="s">
        <v>41</v>
      </c>
      <c r="E24" t="s">
        <v>41</v>
      </c>
      <c r="F24">
        <v>1</v>
      </c>
      <c r="G24" t="s">
        <v>41</v>
      </c>
      <c r="H24" t="s">
        <v>41</v>
      </c>
      <c r="I24">
        <v>2</v>
      </c>
      <c r="J24">
        <f t="shared" si="0"/>
        <v>3</v>
      </c>
      <c r="K24" t="s">
        <v>41</v>
      </c>
      <c r="L24" t="e">
        <f t="shared" si="1"/>
        <v>#VALUE!</v>
      </c>
      <c r="M24" t="s">
        <v>41</v>
      </c>
      <c r="N24" t="s">
        <v>41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</row>
    <row r="25" spans="1:32" x14ac:dyDescent="0.3">
      <c r="A25" t="s">
        <v>135</v>
      </c>
      <c r="B25" t="s">
        <v>182</v>
      </c>
      <c r="C25" t="s">
        <v>183</v>
      </c>
      <c r="D25" t="s">
        <v>184</v>
      </c>
      <c r="E25" t="s">
        <v>166</v>
      </c>
      <c r="F25">
        <v>1</v>
      </c>
      <c r="G25">
        <v>1</v>
      </c>
      <c r="H25">
        <v>1</v>
      </c>
      <c r="I25" t="s">
        <v>41</v>
      </c>
      <c r="J25">
        <f t="shared" si="0"/>
        <v>3</v>
      </c>
      <c r="K25" t="s">
        <v>41</v>
      </c>
      <c r="L25" t="e">
        <f t="shared" si="1"/>
        <v>#VALUE!</v>
      </c>
      <c r="M25">
        <v>1</v>
      </c>
      <c r="N25" t="s">
        <v>41</v>
      </c>
      <c r="O25">
        <v>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</row>
    <row r="26" spans="1:32" x14ac:dyDescent="0.3">
      <c r="A26" t="s">
        <v>135</v>
      </c>
      <c r="B26" t="s">
        <v>185</v>
      </c>
      <c r="C26" t="s">
        <v>111</v>
      </c>
      <c r="D26" t="s">
        <v>82</v>
      </c>
      <c r="E26" t="s">
        <v>138</v>
      </c>
      <c r="F26">
        <v>1</v>
      </c>
      <c r="G26">
        <v>1</v>
      </c>
      <c r="H26" t="s">
        <v>41</v>
      </c>
      <c r="I26">
        <v>1</v>
      </c>
      <c r="J26">
        <f t="shared" si="0"/>
        <v>3</v>
      </c>
      <c r="K26" t="s">
        <v>41</v>
      </c>
      <c r="L26" t="e">
        <f t="shared" si="1"/>
        <v>#VALUE!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</row>
    <row r="27" spans="1:32" x14ac:dyDescent="0.3">
      <c r="A27" t="s">
        <v>135</v>
      </c>
      <c r="B27" t="s">
        <v>186</v>
      </c>
      <c r="C27" t="s">
        <v>111</v>
      </c>
      <c r="D27" t="s">
        <v>187</v>
      </c>
      <c r="E27" t="s">
        <v>188</v>
      </c>
      <c r="F27">
        <v>1</v>
      </c>
      <c r="G27">
        <v>1</v>
      </c>
      <c r="H27" t="s">
        <v>41</v>
      </c>
      <c r="I27" t="s">
        <v>41</v>
      </c>
      <c r="J27">
        <f t="shared" si="0"/>
        <v>2</v>
      </c>
      <c r="K27" t="s">
        <v>41</v>
      </c>
      <c r="L27" t="e">
        <f t="shared" si="1"/>
        <v>#VALUE!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>
        <v>0.5</v>
      </c>
      <c r="U27" t="s">
        <v>41</v>
      </c>
      <c r="V27" t="s">
        <v>41</v>
      </c>
      <c r="W27" t="s">
        <v>41</v>
      </c>
      <c r="X27">
        <v>3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 t="s">
        <v>41</v>
      </c>
    </row>
    <row r="28" spans="1:32" x14ac:dyDescent="0.3">
      <c r="A28" t="s">
        <v>135</v>
      </c>
      <c r="B28" t="s">
        <v>189</v>
      </c>
      <c r="C28" t="s">
        <v>164</v>
      </c>
      <c r="D28" t="s">
        <v>41</v>
      </c>
      <c r="E28" t="s">
        <v>41</v>
      </c>
      <c r="F28">
        <v>1</v>
      </c>
      <c r="G28" t="s">
        <v>41</v>
      </c>
      <c r="H28" t="s">
        <v>41</v>
      </c>
      <c r="I28">
        <v>1</v>
      </c>
      <c r="J28">
        <f t="shared" si="0"/>
        <v>2</v>
      </c>
      <c r="K28" t="s">
        <v>41</v>
      </c>
      <c r="L28" t="e">
        <f t="shared" si="1"/>
        <v>#VALUE!</v>
      </c>
      <c r="M28">
        <v>1</v>
      </c>
      <c r="N28">
        <v>2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>
        <v>0.75</v>
      </c>
      <c r="U28" t="s">
        <v>41</v>
      </c>
      <c r="V28" t="s">
        <v>41</v>
      </c>
      <c r="W28" t="s">
        <v>41</v>
      </c>
      <c r="X28">
        <v>4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</row>
    <row r="29" spans="1:32" x14ac:dyDescent="0.3">
      <c r="A29" t="s">
        <v>135</v>
      </c>
      <c r="B29" t="s">
        <v>192</v>
      </c>
      <c r="C29" t="s">
        <v>190</v>
      </c>
      <c r="D29" t="s">
        <v>191</v>
      </c>
      <c r="E29" t="s">
        <v>52</v>
      </c>
      <c r="F29">
        <v>1</v>
      </c>
      <c r="G29">
        <v>1</v>
      </c>
      <c r="H29" t="s">
        <v>41</v>
      </c>
      <c r="I29">
        <v>1</v>
      </c>
      <c r="J29">
        <f t="shared" si="0"/>
        <v>3</v>
      </c>
      <c r="K29" t="s">
        <v>41</v>
      </c>
      <c r="L29" t="e">
        <f t="shared" si="1"/>
        <v>#VALUE!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41</v>
      </c>
    </row>
    <row r="30" spans="1:32" x14ac:dyDescent="0.3">
      <c r="A30" t="s">
        <v>135</v>
      </c>
      <c r="B30" t="s">
        <v>3</v>
      </c>
      <c r="C30" t="s">
        <v>124</v>
      </c>
      <c r="D30" t="s">
        <v>193</v>
      </c>
      <c r="E30" t="s">
        <v>81</v>
      </c>
      <c r="F30">
        <v>1</v>
      </c>
      <c r="G30">
        <v>1</v>
      </c>
      <c r="H30" t="s">
        <v>41</v>
      </c>
      <c r="I30">
        <v>3</v>
      </c>
      <c r="J30">
        <f t="shared" si="0"/>
        <v>5</v>
      </c>
      <c r="K30" t="s">
        <v>41</v>
      </c>
      <c r="L30" t="e">
        <f t="shared" si="1"/>
        <v>#VALUE!</v>
      </c>
      <c r="M30">
        <v>4</v>
      </c>
      <c r="N30">
        <v>8</v>
      </c>
      <c r="O30">
        <v>8</v>
      </c>
      <c r="P30" t="s">
        <v>41</v>
      </c>
      <c r="Q30" t="s">
        <v>41</v>
      </c>
      <c r="R30" t="s">
        <v>41</v>
      </c>
      <c r="S30" t="s">
        <v>41</v>
      </c>
      <c r="T30">
        <v>1.125</v>
      </c>
      <c r="U30">
        <v>0.75</v>
      </c>
      <c r="V30" t="s">
        <v>41</v>
      </c>
      <c r="W30" t="s">
        <v>41</v>
      </c>
      <c r="X30">
        <v>20</v>
      </c>
      <c r="Y30">
        <v>18.5</v>
      </c>
      <c r="Z30" t="s">
        <v>41</v>
      </c>
      <c r="AA30" t="s">
        <v>41</v>
      </c>
      <c r="AB30">
        <v>1</v>
      </c>
      <c r="AC30" t="s">
        <v>41</v>
      </c>
      <c r="AD30" t="s">
        <v>41</v>
      </c>
      <c r="AE30" t="s">
        <v>41</v>
      </c>
      <c r="AF30" t="s">
        <v>41</v>
      </c>
    </row>
    <row r="31" spans="1:32" x14ac:dyDescent="0.3">
      <c r="A31" t="s">
        <v>135</v>
      </c>
      <c r="B31" t="s">
        <v>179</v>
      </c>
      <c r="C31" t="s">
        <v>194</v>
      </c>
      <c r="D31" t="s">
        <v>58</v>
      </c>
      <c r="E31" t="s">
        <v>195</v>
      </c>
      <c r="F31">
        <v>1</v>
      </c>
      <c r="G31">
        <v>1</v>
      </c>
      <c r="H31">
        <v>1</v>
      </c>
      <c r="I31">
        <v>4</v>
      </c>
      <c r="J31">
        <f t="shared" si="0"/>
        <v>7</v>
      </c>
      <c r="K31" t="s">
        <v>41</v>
      </c>
      <c r="L31" t="e">
        <f t="shared" si="1"/>
        <v>#VALUE!</v>
      </c>
      <c r="M31" t="s">
        <v>41</v>
      </c>
      <c r="N31" t="s">
        <v>41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41</v>
      </c>
    </row>
    <row r="32" spans="1:32" x14ac:dyDescent="0.3">
      <c r="A32" t="s">
        <v>135</v>
      </c>
      <c r="B32" t="s">
        <v>40</v>
      </c>
      <c r="C32" t="s">
        <v>92</v>
      </c>
      <c r="D32" t="s">
        <v>50</v>
      </c>
      <c r="E32" t="s">
        <v>196</v>
      </c>
      <c r="F32">
        <v>1</v>
      </c>
      <c r="G32">
        <v>1</v>
      </c>
      <c r="H32" t="s">
        <v>41</v>
      </c>
      <c r="I32">
        <v>1</v>
      </c>
      <c r="J32">
        <f t="shared" si="0"/>
        <v>3</v>
      </c>
      <c r="K32" t="s">
        <v>41</v>
      </c>
      <c r="L32" t="e">
        <f t="shared" si="1"/>
        <v>#VALUE!</v>
      </c>
      <c r="M32">
        <v>1</v>
      </c>
      <c r="N32" t="s">
        <v>41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  <c r="AF32" t="s">
        <v>41</v>
      </c>
    </row>
    <row r="33" spans="1:32" x14ac:dyDescent="0.3">
      <c r="A33" t="s">
        <v>135</v>
      </c>
      <c r="B33" t="s">
        <v>197</v>
      </c>
      <c r="C33" t="s">
        <v>198</v>
      </c>
      <c r="D33" t="s">
        <v>199</v>
      </c>
      <c r="E33" t="s">
        <v>85</v>
      </c>
      <c r="F33">
        <v>1</v>
      </c>
      <c r="G33">
        <v>1</v>
      </c>
      <c r="H33" t="s">
        <v>41</v>
      </c>
      <c r="I33" t="s">
        <v>41</v>
      </c>
      <c r="J33">
        <f t="shared" si="0"/>
        <v>2</v>
      </c>
      <c r="K33" t="s">
        <v>41</v>
      </c>
      <c r="L33" t="e">
        <f t="shared" si="1"/>
        <v>#VALUE!</v>
      </c>
      <c r="M33">
        <v>1</v>
      </c>
      <c r="N33" t="s">
        <v>41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41</v>
      </c>
    </row>
    <row r="34" spans="1:32" x14ac:dyDescent="0.3">
      <c r="A34" t="s">
        <v>135</v>
      </c>
      <c r="B34" t="s">
        <v>108</v>
      </c>
      <c r="C34" t="s">
        <v>200</v>
      </c>
      <c r="D34" t="s">
        <v>201</v>
      </c>
      <c r="E34" t="s">
        <v>202</v>
      </c>
      <c r="F34">
        <v>1</v>
      </c>
      <c r="G34">
        <v>1</v>
      </c>
      <c r="H34">
        <v>1</v>
      </c>
      <c r="I34">
        <v>4</v>
      </c>
      <c r="J34">
        <f t="shared" si="0"/>
        <v>7</v>
      </c>
      <c r="K34" t="s">
        <v>41</v>
      </c>
      <c r="L34" t="e">
        <f t="shared" si="1"/>
        <v>#VALUE!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>
        <v>0.25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41</v>
      </c>
    </row>
    <row r="35" spans="1:32" x14ac:dyDescent="0.3">
      <c r="A35" t="s">
        <v>135</v>
      </c>
      <c r="B35" t="s">
        <v>41</v>
      </c>
      <c r="C35" t="s">
        <v>89</v>
      </c>
      <c r="D35" t="s">
        <v>203</v>
      </c>
      <c r="E35" t="s">
        <v>105</v>
      </c>
      <c r="F35">
        <v>1</v>
      </c>
      <c r="G35">
        <v>1</v>
      </c>
      <c r="H35" t="s">
        <v>41</v>
      </c>
      <c r="I35">
        <v>1</v>
      </c>
      <c r="J35">
        <f t="shared" si="0"/>
        <v>3</v>
      </c>
      <c r="K35" t="s">
        <v>41</v>
      </c>
      <c r="L35" t="e">
        <f t="shared" si="1"/>
        <v>#VALUE!</v>
      </c>
      <c r="M35" t="s">
        <v>41</v>
      </c>
      <c r="N35" t="s">
        <v>41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 t="s">
        <v>41</v>
      </c>
    </row>
    <row r="36" spans="1:32" x14ac:dyDescent="0.3">
      <c r="A36" t="s">
        <v>135</v>
      </c>
      <c r="B36" t="s">
        <v>123</v>
      </c>
      <c r="C36" t="s">
        <v>86</v>
      </c>
      <c r="D36" t="s">
        <v>204</v>
      </c>
      <c r="E36" t="s">
        <v>36</v>
      </c>
      <c r="F36">
        <v>1</v>
      </c>
      <c r="G36">
        <v>1</v>
      </c>
      <c r="H36" t="s">
        <v>41</v>
      </c>
      <c r="I36">
        <v>1</v>
      </c>
      <c r="J36">
        <f t="shared" si="0"/>
        <v>3</v>
      </c>
      <c r="K36" t="s">
        <v>41</v>
      </c>
      <c r="L36" t="e">
        <f t="shared" si="1"/>
        <v>#VALUE!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</row>
    <row r="37" spans="1:32" x14ac:dyDescent="0.3">
      <c r="A37" t="s">
        <v>135</v>
      </c>
      <c r="B37" t="s">
        <v>123</v>
      </c>
      <c r="C37" t="s">
        <v>24</v>
      </c>
      <c r="D37" t="s">
        <v>205</v>
      </c>
      <c r="E37" t="s">
        <v>41</v>
      </c>
      <c r="F37">
        <v>1</v>
      </c>
      <c r="G37">
        <v>1</v>
      </c>
      <c r="H37" t="s">
        <v>41</v>
      </c>
      <c r="I37" t="s">
        <v>41</v>
      </c>
      <c r="J37">
        <f t="shared" si="0"/>
        <v>2</v>
      </c>
      <c r="K37" t="s">
        <v>41</v>
      </c>
      <c r="L37" t="e">
        <f t="shared" si="1"/>
        <v>#VALUE!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s">
        <v>41</v>
      </c>
    </row>
    <row r="38" spans="1:32" x14ac:dyDescent="0.3">
      <c r="A38" t="s">
        <v>135</v>
      </c>
      <c r="B38" t="s">
        <v>206</v>
      </c>
      <c r="C38" t="s">
        <v>38</v>
      </c>
      <c r="D38" t="s">
        <v>41</v>
      </c>
      <c r="E38" t="s">
        <v>41</v>
      </c>
      <c r="F38">
        <v>1</v>
      </c>
      <c r="G38" t="s">
        <v>41</v>
      </c>
      <c r="H38">
        <v>1</v>
      </c>
      <c r="I38" t="s">
        <v>41</v>
      </c>
      <c r="J38">
        <f t="shared" si="0"/>
        <v>2</v>
      </c>
      <c r="K38">
        <v>2</v>
      </c>
      <c r="L38">
        <f t="shared" si="1"/>
        <v>120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>
        <v>0.5</v>
      </c>
      <c r="U38" t="s">
        <v>41</v>
      </c>
      <c r="V38" t="s">
        <v>41</v>
      </c>
      <c r="W38" t="s">
        <v>41</v>
      </c>
      <c r="X38">
        <v>3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t="s">
        <v>41</v>
      </c>
      <c r="AF38" t="s">
        <v>41</v>
      </c>
    </row>
    <row r="39" spans="1:32" x14ac:dyDescent="0.3">
      <c r="A39" t="s">
        <v>135</v>
      </c>
      <c r="B39" t="s">
        <v>207</v>
      </c>
      <c r="C39" t="s">
        <v>208</v>
      </c>
      <c r="D39" t="s">
        <v>41</v>
      </c>
      <c r="E39" t="s">
        <v>41</v>
      </c>
      <c r="F39">
        <v>1</v>
      </c>
      <c r="G39" t="s">
        <v>41</v>
      </c>
      <c r="H39">
        <v>1</v>
      </c>
      <c r="I39">
        <v>1</v>
      </c>
      <c r="J39">
        <f t="shared" si="0"/>
        <v>3</v>
      </c>
      <c r="K39" t="s">
        <v>41</v>
      </c>
      <c r="L39" t="e">
        <f t="shared" si="1"/>
        <v>#VALUE!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>
        <v>0.5</v>
      </c>
      <c r="U39" t="s">
        <v>41</v>
      </c>
      <c r="V39" t="s">
        <v>41</v>
      </c>
      <c r="W39" t="s">
        <v>41</v>
      </c>
      <c r="X39">
        <v>3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s">
        <v>41</v>
      </c>
    </row>
    <row r="40" spans="1:32" x14ac:dyDescent="0.3">
      <c r="A40" t="s">
        <v>135</v>
      </c>
      <c r="B40" t="s">
        <v>40</v>
      </c>
      <c r="C40" t="s">
        <v>51</v>
      </c>
      <c r="D40" t="s">
        <v>209</v>
      </c>
      <c r="E40" t="s">
        <v>100</v>
      </c>
      <c r="F40">
        <v>1</v>
      </c>
      <c r="G40">
        <v>1</v>
      </c>
      <c r="H40">
        <v>2</v>
      </c>
      <c r="I40">
        <v>1</v>
      </c>
      <c r="J40">
        <f t="shared" si="0"/>
        <v>5</v>
      </c>
      <c r="K40" t="s">
        <v>41</v>
      </c>
      <c r="L40" t="e">
        <f t="shared" si="1"/>
        <v>#VALUE!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</row>
    <row r="41" spans="1:32" x14ac:dyDescent="0.3">
      <c r="A41" t="s">
        <v>135</v>
      </c>
      <c r="B41" t="s">
        <v>210</v>
      </c>
      <c r="C41" t="s">
        <v>211</v>
      </c>
      <c r="D41" t="s">
        <v>41</v>
      </c>
      <c r="E41" t="s">
        <v>41</v>
      </c>
      <c r="F41">
        <v>1</v>
      </c>
      <c r="G41" t="s">
        <v>41</v>
      </c>
      <c r="H41">
        <v>1</v>
      </c>
      <c r="I41">
        <v>1</v>
      </c>
      <c r="J41">
        <f t="shared" si="0"/>
        <v>3</v>
      </c>
      <c r="K41" t="s">
        <v>41</v>
      </c>
      <c r="L41" t="e">
        <f t="shared" si="1"/>
        <v>#VALUE!</v>
      </c>
      <c r="M41">
        <v>1</v>
      </c>
      <c r="N41" t="s">
        <v>41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s">
        <v>41</v>
      </c>
    </row>
    <row r="42" spans="1:32" x14ac:dyDescent="0.3">
      <c r="A42" t="s">
        <v>135</v>
      </c>
      <c r="B42" t="s">
        <v>68</v>
      </c>
      <c r="C42" t="s">
        <v>212</v>
      </c>
      <c r="D42" t="s">
        <v>213</v>
      </c>
      <c r="E42" t="s">
        <v>214</v>
      </c>
      <c r="F42">
        <v>1</v>
      </c>
      <c r="G42">
        <v>1</v>
      </c>
      <c r="H42">
        <v>2</v>
      </c>
      <c r="I42">
        <v>1</v>
      </c>
      <c r="J42">
        <f t="shared" si="0"/>
        <v>5</v>
      </c>
      <c r="K42" t="s">
        <v>41</v>
      </c>
      <c r="L42" t="e">
        <f t="shared" si="1"/>
        <v>#VALUE!</v>
      </c>
      <c r="M42">
        <v>3</v>
      </c>
      <c r="N42">
        <v>2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>
        <v>0.25</v>
      </c>
      <c r="U42">
        <v>0.125</v>
      </c>
      <c r="V42" t="s">
        <v>41</v>
      </c>
      <c r="W42" t="s">
        <v>41</v>
      </c>
      <c r="X42">
        <v>3</v>
      </c>
      <c r="Y42">
        <v>4</v>
      </c>
      <c r="Z42" t="s">
        <v>41</v>
      </c>
      <c r="AA42" t="s">
        <v>41</v>
      </c>
      <c r="AB42">
        <v>1</v>
      </c>
      <c r="AC42" t="s">
        <v>41</v>
      </c>
      <c r="AD42" t="s">
        <v>41</v>
      </c>
      <c r="AE42" t="s">
        <v>41</v>
      </c>
      <c r="AF42" t="s">
        <v>41</v>
      </c>
    </row>
    <row r="43" spans="1:32" x14ac:dyDescent="0.3">
      <c r="A43" t="s">
        <v>135</v>
      </c>
      <c r="B43" t="s">
        <v>145</v>
      </c>
      <c r="C43" t="s">
        <v>98</v>
      </c>
      <c r="D43" t="s">
        <v>49</v>
      </c>
      <c r="E43" t="s">
        <v>215</v>
      </c>
      <c r="F43">
        <v>1</v>
      </c>
      <c r="G43">
        <v>1</v>
      </c>
      <c r="H43" t="s">
        <v>41</v>
      </c>
      <c r="I43" t="s">
        <v>41</v>
      </c>
      <c r="J43">
        <f t="shared" si="0"/>
        <v>2</v>
      </c>
      <c r="K43" t="s">
        <v>41</v>
      </c>
      <c r="L43" t="e">
        <f t="shared" si="1"/>
        <v>#VALUE!</v>
      </c>
      <c r="M43">
        <v>2</v>
      </c>
      <c r="N43" t="s">
        <v>41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t="s">
        <v>41</v>
      </c>
      <c r="X43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t="s">
        <v>41</v>
      </c>
    </row>
    <row r="44" spans="1:32" x14ac:dyDescent="0.3">
      <c r="A44" t="s">
        <v>135</v>
      </c>
      <c r="B44" t="s">
        <v>216</v>
      </c>
      <c r="C44" t="s">
        <v>217</v>
      </c>
      <c r="D44" t="s">
        <v>175</v>
      </c>
      <c r="E44" t="s">
        <v>218</v>
      </c>
      <c r="F44">
        <v>1</v>
      </c>
      <c r="G44">
        <v>1</v>
      </c>
      <c r="H44">
        <v>3</v>
      </c>
      <c r="I44">
        <v>2</v>
      </c>
      <c r="J44">
        <f t="shared" si="0"/>
        <v>7</v>
      </c>
      <c r="K44">
        <v>1</v>
      </c>
      <c r="L44">
        <f t="shared" si="1"/>
        <v>60</v>
      </c>
      <c r="M44">
        <v>1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t="s">
        <v>41</v>
      </c>
      <c r="X44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s">
        <v>41</v>
      </c>
    </row>
    <row r="45" spans="1:32" x14ac:dyDescent="0.3">
      <c r="A45" t="s">
        <v>135</v>
      </c>
      <c r="B45" t="s">
        <v>197</v>
      </c>
      <c r="C45" t="s">
        <v>111</v>
      </c>
      <c r="D45" t="s">
        <v>46</v>
      </c>
      <c r="E45" t="s">
        <v>157</v>
      </c>
      <c r="F45">
        <v>1</v>
      </c>
      <c r="G45">
        <v>1</v>
      </c>
      <c r="H45">
        <v>1</v>
      </c>
      <c r="I45">
        <v>3</v>
      </c>
      <c r="J45">
        <f t="shared" si="0"/>
        <v>6</v>
      </c>
      <c r="K45">
        <v>1</v>
      </c>
      <c r="L45">
        <f t="shared" si="1"/>
        <v>60</v>
      </c>
      <c r="M45" t="s">
        <v>41</v>
      </c>
      <c r="N45" t="s">
        <v>41</v>
      </c>
      <c r="O45" t="s">
        <v>41</v>
      </c>
      <c r="P45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t="s">
        <v>41</v>
      </c>
      <c r="X45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41</v>
      </c>
    </row>
    <row r="46" spans="1:32" x14ac:dyDescent="0.3">
      <c r="A46" t="s">
        <v>135</v>
      </c>
      <c r="B46" t="s">
        <v>219</v>
      </c>
      <c r="C46" t="s">
        <v>220</v>
      </c>
      <c r="D46" t="s">
        <v>221</v>
      </c>
      <c r="E46" t="s">
        <v>41</v>
      </c>
      <c r="F46">
        <v>1</v>
      </c>
      <c r="G46">
        <v>1</v>
      </c>
      <c r="H46" t="s">
        <v>41</v>
      </c>
      <c r="I46" t="s">
        <v>41</v>
      </c>
      <c r="J46">
        <f t="shared" si="0"/>
        <v>2</v>
      </c>
      <c r="K46" t="s">
        <v>41</v>
      </c>
      <c r="L46" t="e">
        <f t="shared" si="1"/>
        <v>#VALUE!</v>
      </c>
      <c r="M46" t="s">
        <v>41</v>
      </c>
      <c r="N46" t="s">
        <v>41</v>
      </c>
      <c r="O46" t="s">
        <v>41</v>
      </c>
      <c r="P46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t="s">
        <v>41</v>
      </c>
      <c r="X46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s">
        <v>41</v>
      </c>
    </row>
    <row r="47" spans="1:32" x14ac:dyDescent="0.3">
      <c r="A47" t="s">
        <v>135</v>
      </c>
      <c r="B47" t="s">
        <v>222</v>
      </c>
      <c r="C47" t="s">
        <v>223</v>
      </c>
      <c r="D47" t="s">
        <v>224</v>
      </c>
      <c r="E47" t="s">
        <v>47</v>
      </c>
      <c r="F47">
        <v>1</v>
      </c>
      <c r="G47">
        <v>1</v>
      </c>
      <c r="H47" t="s">
        <v>41</v>
      </c>
      <c r="I47">
        <v>5</v>
      </c>
      <c r="J47">
        <f t="shared" si="0"/>
        <v>7</v>
      </c>
      <c r="K47" t="s">
        <v>41</v>
      </c>
      <c r="L47" t="e">
        <f t="shared" si="1"/>
        <v>#VALUE!</v>
      </c>
      <c r="M47" t="s">
        <v>41</v>
      </c>
      <c r="N47" t="s">
        <v>41</v>
      </c>
      <c r="O47" t="s">
        <v>41</v>
      </c>
      <c r="P47" t="s">
        <v>41</v>
      </c>
      <c r="Q47" t="s">
        <v>41</v>
      </c>
      <c r="R47" t="s">
        <v>41</v>
      </c>
      <c r="S47" t="s">
        <v>41</v>
      </c>
      <c r="T47">
        <v>0.5</v>
      </c>
      <c r="U47" t="s">
        <v>41</v>
      </c>
      <c r="V47" t="s">
        <v>41</v>
      </c>
      <c r="W47" t="s">
        <v>41</v>
      </c>
      <c r="X47">
        <v>5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41</v>
      </c>
    </row>
    <row r="48" spans="1:32" x14ac:dyDescent="0.3">
      <c r="A48" t="s">
        <v>135</v>
      </c>
      <c r="B48" t="s">
        <v>225</v>
      </c>
      <c r="C48" t="s">
        <v>226</v>
      </c>
      <c r="D48" t="s">
        <v>175</v>
      </c>
      <c r="E48" t="s">
        <v>24</v>
      </c>
      <c r="F48">
        <v>1</v>
      </c>
      <c r="G48">
        <v>1</v>
      </c>
      <c r="H48" t="s">
        <v>41</v>
      </c>
      <c r="I48" t="s">
        <v>41</v>
      </c>
      <c r="J48">
        <f t="shared" si="0"/>
        <v>2</v>
      </c>
      <c r="K48" t="s">
        <v>41</v>
      </c>
      <c r="L48" t="e">
        <f t="shared" si="1"/>
        <v>#VALUE!</v>
      </c>
      <c r="M48" t="s">
        <v>41</v>
      </c>
      <c r="N48" t="s">
        <v>41</v>
      </c>
      <c r="O48" t="s">
        <v>41</v>
      </c>
      <c r="P48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41</v>
      </c>
    </row>
    <row r="49" spans="1:32" x14ac:dyDescent="0.3">
      <c r="A49" t="s">
        <v>135</v>
      </c>
      <c r="B49" t="s">
        <v>207</v>
      </c>
      <c r="C49" t="s">
        <v>77</v>
      </c>
      <c r="D49" t="s">
        <v>41</v>
      </c>
      <c r="E49" t="s">
        <v>41</v>
      </c>
      <c r="F49">
        <v>1</v>
      </c>
      <c r="G49" t="s">
        <v>41</v>
      </c>
      <c r="H49" t="s">
        <v>41</v>
      </c>
      <c r="I49">
        <v>2</v>
      </c>
      <c r="J49">
        <f t="shared" si="0"/>
        <v>3</v>
      </c>
      <c r="K49" t="s">
        <v>41</v>
      </c>
      <c r="L49" t="e">
        <f t="shared" si="1"/>
        <v>#VALUE!</v>
      </c>
      <c r="M49" t="s">
        <v>41</v>
      </c>
      <c r="N49" t="s">
        <v>41</v>
      </c>
      <c r="O49" t="s">
        <v>41</v>
      </c>
      <c r="P49" t="s">
        <v>41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41</v>
      </c>
    </row>
    <row r="50" spans="1:32" x14ac:dyDescent="0.3">
      <c r="A50" t="s">
        <v>135</v>
      </c>
      <c r="B50" t="s">
        <v>227</v>
      </c>
      <c r="C50" t="s">
        <v>228</v>
      </c>
      <c r="D50" t="s">
        <v>41</v>
      </c>
      <c r="E50" t="s">
        <v>41</v>
      </c>
      <c r="F50">
        <v>1</v>
      </c>
      <c r="G50" t="s">
        <v>41</v>
      </c>
      <c r="H50">
        <v>1</v>
      </c>
      <c r="I50" t="s">
        <v>41</v>
      </c>
      <c r="J50">
        <f t="shared" si="0"/>
        <v>2</v>
      </c>
      <c r="K50" t="s">
        <v>41</v>
      </c>
      <c r="L50" t="e">
        <f t="shared" si="1"/>
        <v>#VALUE!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 t="s">
        <v>41</v>
      </c>
      <c r="S50" t="s">
        <v>41</v>
      </c>
      <c r="T50">
        <v>0.25</v>
      </c>
      <c r="U50" t="s">
        <v>41</v>
      </c>
      <c r="V50" t="s">
        <v>41</v>
      </c>
      <c r="W50" t="s">
        <v>41</v>
      </c>
      <c r="X50">
        <v>1.5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41</v>
      </c>
    </row>
    <row r="51" spans="1:32" x14ac:dyDescent="0.3">
      <c r="A51" t="s">
        <v>135</v>
      </c>
      <c r="B51" t="s">
        <v>25</v>
      </c>
      <c r="C51" t="s">
        <v>230</v>
      </c>
      <c r="D51" t="s">
        <v>231</v>
      </c>
      <c r="E51" t="s">
        <v>229</v>
      </c>
      <c r="F51">
        <v>1</v>
      </c>
      <c r="G51">
        <v>1</v>
      </c>
      <c r="H51" t="s">
        <v>41</v>
      </c>
      <c r="I51">
        <v>1</v>
      </c>
      <c r="J51">
        <f t="shared" si="0"/>
        <v>3</v>
      </c>
      <c r="K51" t="s">
        <v>41</v>
      </c>
      <c r="L51" t="e">
        <f t="shared" si="1"/>
        <v>#VALUE!</v>
      </c>
      <c r="M51" t="s">
        <v>41</v>
      </c>
      <c r="N51">
        <v>6</v>
      </c>
      <c r="O51" t="s">
        <v>41</v>
      </c>
      <c r="P51" t="s">
        <v>41</v>
      </c>
      <c r="Q51" t="s">
        <v>41</v>
      </c>
      <c r="R51" t="s">
        <v>41</v>
      </c>
      <c r="S51" t="s">
        <v>41</v>
      </c>
      <c r="T51">
        <v>1</v>
      </c>
      <c r="U51">
        <v>0.5</v>
      </c>
      <c r="V51" t="s">
        <v>41</v>
      </c>
      <c r="W51" t="s">
        <v>41</v>
      </c>
      <c r="X51">
        <v>7</v>
      </c>
      <c r="Y51">
        <v>5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41</v>
      </c>
    </row>
    <row r="52" spans="1:32" x14ac:dyDescent="0.3">
      <c r="A52" t="s">
        <v>135</v>
      </c>
      <c r="B52" t="s">
        <v>232</v>
      </c>
      <c r="C52" t="s">
        <v>233</v>
      </c>
      <c r="D52" t="s">
        <v>234</v>
      </c>
      <c r="E52" t="s">
        <v>235</v>
      </c>
      <c r="F52">
        <v>1</v>
      </c>
      <c r="G52">
        <v>1</v>
      </c>
      <c r="H52">
        <v>1</v>
      </c>
      <c r="I52">
        <v>2</v>
      </c>
      <c r="J52">
        <f t="shared" si="0"/>
        <v>5</v>
      </c>
      <c r="K52">
        <v>1</v>
      </c>
      <c r="L52">
        <f t="shared" si="1"/>
        <v>60</v>
      </c>
      <c r="M52">
        <v>5</v>
      </c>
      <c r="N52">
        <v>1</v>
      </c>
      <c r="O52" t="s">
        <v>41</v>
      </c>
      <c r="P52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41</v>
      </c>
    </row>
    <row r="53" spans="1:32" x14ac:dyDescent="0.3">
      <c r="A53" t="s">
        <v>135</v>
      </c>
      <c r="B53" t="s">
        <v>236</v>
      </c>
      <c r="C53" t="s">
        <v>79</v>
      </c>
      <c r="D53" t="s">
        <v>41</v>
      </c>
      <c r="E53" t="s">
        <v>41</v>
      </c>
      <c r="F53">
        <v>1</v>
      </c>
      <c r="G53" t="s">
        <v>41</v>
      </c>
      <c r="H53" t="s">
        <v>41</v>
      </c>
      <c r="I53" t="s">
        <v>41</v>
      </c>
      <c r="J53">
        <f t="shared" si="0"/>
        <v>1</v>
      </c>
      <c r="K53" t="s">
        <v>41</v>
      </c>
      <c r="L53" t="e">
        <f t="shared" si="1"/>
        <v>#VALUE!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s">
        <v>41</v>
      </c>
    </row>
    <row r="54" spans="1:32" x14ac:dyDescent="0.3">
      <c r="A54" t="s">
        <v>135</v>
      </c>
      <c r="B54" t="s">
        <v>237</v>
      </c>
      <c r="C54" t="s">
        <v>100</v>
      </c>
      <c r="D54" t="s">
        <v>41</v>
      </c>
      <c r="E54" t="s">
        <v>41</v>
      </c>
      <c r="F54">
        <v>1</v>
      </c>
      <c r="G54" t="s">
        <v>41</v>
      </c>
      <c r="H54" t="s">
        <v>41</v>
      </c>
      <c r="I54" t="s">
        <v>41</v>
      </c>
      <c r="J54">
        <f t="shared" ref="J54:J117" si="2">SUM(F54:I54)</f>
        <v>1</v>
      </c>
      <c r="K54" t="s">
        <v>41</v>
      </c>
      <c r="L54" t="e">
        <f t="shared" ref="L54:L117" si="3">K54*60</f>
        <v>#VALUE!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t="s">
        <v>41</v>
      </c>
      <c r="X54" t="s">
        <v>41</v>
      </c>
      <c r="Y54" t="s">
        <v>41</v>
      </c>
      <c r="Z54" t="s">
        <v>41</v>
      </c>
      <c r="AA54" t="s">
        <v>41</v>
      </c>
      <c r="AB54" t="s">
        <v>41</v>
      </c>
      <c r="AC54" t="s">
        <v>41</v>
      </c>
      <c r="AD54" t="s">
        <v>41</v>
      </c>
      <c r="AE54" t="s">
        <v>41</v>
      </c>
      <c r="AF54" t="s">
        <v>41</v>
      </c>
    </row>
    <row r="55" spans="1:32" x14ac:dyDescent="0.3">
      <c r="A55" t="s">
        <v>135</v>
      </c>
      <c r="B55" t="s">
        <v>238</v>
      </c>
      <c r="C55" t="s">
        <v>77</v>
      </c>
      <c r="D55" t="s">
        <v>30</v>
      </c>
      <c r="E55" t="s">
        <v>88</v>
      </c>
      <c r="F55">
        <v>1</v>
      </c>
      <c r="G55">
        <v>1</v>
      </c>
      <c r="H55" t="s">
        <v>41</v>
      </c>
      <c r="I55">
        <v>1</v>
      </c>
      <c r="J55">
        <f t="shared" si="2"/>
        <v>3</v>
      </c>
      <c r="K55" t="s">
        <v>41</v>
      </c>
      <c r="L55" t="e">
        <f t="shared" si="3"/>
        <v>#VALUE!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41</v>
      </c>
    </row>
    <row r="56" spans="1:32" x14ac:dyDescent="0.3">
      <c r="A56" t="s">
        <v>135</v>
      </c>
      <c r="B56" t="s">
        <v>185</v>
      </c>
      <c r="C56" t="s">
        <v>114</v>
      </c>
      <c r="D56" t="s">
        <v>106</v>
      </c>
      <c r="E56" t="s">
        <v>124</v>
      </c>
      <c r="F56">
        <v>1</v>
      </c>
      <c r="G56">
        <v>1</v>
      </c>
      <c r="H56">
        <v>1</v>
      </c>
      <c r="I56">
        <v>2</v>
      </c>
      <c r="J56">
        <f t="shared" si="2"/>
        <v>5</v>
      </c>
      <c r="K56" t="s">
        <v>41</v>
      </c>
      <c r="L56" t="e">
        <f t="shared" si="3"/>
        <v>#VALUE!</v>
      </c>
      <c r="M56">
        <v>1</v>
      </c>
      <c r="N56" t="s">
        <v>41</v>
      </c>
      <c r="O56" t="s">
        <v>41</v>
      </c>
      <c r="P56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t="s">
        <v>41</v>
      </c>
      <c r="X56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t="s">
        <v>41</v>
      </c>
      <c r="AF56" t="s">
        <v>41</v>
      </c>
    </row>
    <row r="57" spans="1:32" x14ac:dyDescent="0.3">
      <c r="A57" t="s">
        <v>135</v>
      </c>
      <c r="B57" t="s">
        <v>113</v>
      </c>
      <c r="C57" t="s">
        <v>81</v>
      </c>
      <c r="D57" t="s">
        <v>239</v>
      </c>
      <c r="E57" t="s">
        <v>111</v>
      </c>
      <c r="F57">
        <v>1</v>
      </c>
      <c r="G57">
        <v>1</v>
      </c>
      <c r="H57">
        <v>1</v>
      </c>
      <c r="I57" t="s">
        <v>41</v>
      </c>
      <c r="J57">
        <f t="shared" si="2"/>
        <v>3</v>
      </c>
      <c r="K57" t="s">
        <v>41</v>
      </c>
      <c r="L57" t="e">
        <f t="shared" si="3"/>
        <v>#VALUE!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t="s">
        <v>41</v>
      </c>
      <c r="X57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s">
        <v>41</v>
      </c>
    </row>
    <row r="58" spans="1:32" x14ac:dyDescent="0.3">
      <c r="A58" t="s">
        <v>135</v>
      </c>
      <c r="B58" t="s">
        <v>240</v>
      </c>
      <c r="C58" t="s">
        <v>241</v>
      </c>
      <c r="D58" t="s">
        <v>41</v>
      </c>
      <c r="E58" t="s">
        <v>41</v>
      </c>
      <c r="F58">
        <v>1</v>
      </c>
      <c r="G58" t="s">
        <v>41</v>
      </c>
      <c r="H58" t="s">
        <v>41</v>
      </c>
      <c r="I58">
        <v>2</v>
      </c>
      <c r="J58">
        <f t="shared" si="2"/>
        <v>3</v>
      </c>
      <c r="K58" t="s">
        <v>41</v>
      </c>
      <c r="L58" t="e">
        <f t="shared" si="3"/>
        <v>#VALUE!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 t="s">
        <v>41</v>
      </c>
      <c r="S58" t="s">
        <v>41</v>
      </c>
      <c r="T58">
        <v>0.5</v>
      </c>
      <c r="U58" t="s">
        <v>41</v>
      </c>
      <c r="V58" t="s">
        <v>41</v>
      </c>
      <c r="W58" t="s">
        <v>41</v>
      </c>
      <c r="X58">
        <v>0.5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  <c r="AF58" t="s">
        <v>41</v>
      </c>
    </row>
    <row r="59" spans="1:32" x14ac:dyDescent="0.3">
      <c r="A59" t="s">
        <v>135</v>
      </c>
      <c r="B59" t="s">
        <v>68</v>
      </c>
      <c r="C59" t="s">
        <v>102</v>
      </c>
      <c r="D59" t="s">
        <v>242</v>
      </c>
      <c r="E59" t="s">
        <v>229</v>
      </c>
      <c r="F59">
        <v>1</v>
      </c>
      <c r="G59">
        <v>1</v>
      </c>
      <c r="H59">
        <v>2</v>
      </c>
      <c r="I59">
        <v>3</v>
      </c>
      <c r="J59">
        <f t="shared" si="2"/>
        <v>7</v>
      </c>
      <c r="K59" t="s">
        <v>41</v>
      </c>
      <c r="L59" t="e">
        <f t="shared" si="3"/>
        <v>#VALUE!</v>
      </c>
      <c r="M59">
        <v>2</v>
      </c>
      <c r="N59" t="s">
        <v>41</v>
      </c>
      <c r="O59" t="s">
        <v>41</v>
      </c>
      <c r="P59" t="s">
        <v>41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t="s">
        <v>41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41</v>
      </c>
    </row>
    <row r="60" spans="1:32" x14ac:dyDescent="0.3">
      <c r="A60" t="s">
        <v>135</v>
      </c>
      <c r="B60" t="s">
        <v>222</v>
      </c>
      <c r="C60" t="s">
        <v>102</v>
      </c>
      <c r="D60" t="s">
        <v>41</v>
      </c>
      <c r="E60" t="s">
        <v>41</v>
      </c>
      <c r="F60">
        <v>1</v>
      </c>
      <c r="G60" t="s">
        <v>41</v>
      </c>
      <c r="H60" t="s">
        <v>41</v>
      </c>
      <c r="I60" t="s">
        <v>41</v>
      </c>
      <c r="J60">
        <f t="shared" si="2"/>
        <v>1</v>
      </c>
      <c r="K60">
        <v>1</v>
      </c>
      <c r="L60">
        <f t="shared" si="3"/>
        <v>60</v>
      </c>
      <c r="M60" t="s">
        <v>41</v>
      </c>
      <c r="N60" t="s">
        <v>41</v>
      </c>
      <c r="O60" t="s">
        <v>41</v>
      </c>
      <c r="P60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t="s">
        <v>41</v>
      </c>
      <c r="X60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s">
        <v>41</v>
      </c>
    </row>
    <row r="61" spans="1:32" x14ac:dyDescent="0.3">
      <c r="A61" t="s">
        <v>135</v>
      </c>
      <c r="B61" t="s">
        <v>243</v>
      </c>
      <c r="C61" t="s">
        <v>102</v>
      </c>
      <c r="D61" t="s">
        <v>244</v>
      </c>
      <c r="E61" t="s">
        <v>52</v>
      </c>
      <c r="F61">
        <v>1</v>
      </c>
      <c r="G61">
        <v>1</v>
      </c>
      <c r="H61" t="s">
        <v>41</v>
      </c>
      <c r="I61" t="s">
        <v>41</v>
      </c>
      <c r="J61">
        <f t="shared" si="2"/>
        <v>2</v>
      </c>
      <c r="K61" t="s">
        <v>41</v>
      </c>
      <c r="L61" t="e">
        <f t="shared" si="3"/>
        <v>#VALUE!</v>
      </c>
      <c r="M61" t="s">
        <v>41</v>
      </c>
      <c r="N61" t="s">
        <v>41</v>
      </c>
      <c r="O61" t="s">
        <v>41</v>
      </c>
      <c r="P61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t="s">
        <v>41</v>
      </c>
      <c r="AF61" t="s">
        <v>41</v>
      </c>
    </row>
    <row r="62" spans="1:32" x14ac:dyDescent="0.3">
      <c r="A62" t="s">
        <v>135</v>
      </c>
      <c r="B62" t="s">
        <v>185</v>
      </c>
      <c r="C62" t="s">
        <v>122</v>
      </c>
      <c r="D62" t="s">
        <v>41</v>
      </c>
      <c r="E62" t="s">
        <v>41</v>
      </c>
      <c r="F62">
        <v>1</v>
      </c>
      <c r="G62" t="s">
        <v>41</v>
      </c>
      <c r="H62">
        <v>4</v>
      </c>
      <c r="I62">
        <v>3</v>
      </c>
      <c r="J62">
        <f t="shared" si="2"/>
        <v>8</v>
      </c>
      <c r="K62" t="s">
        <v>41</v>
      </c>
      <c r="L62" t="e">
        <f t="shared" si="3"/>
        <v>#VALUE!</v>
      </c>
      <c r="M62">
        <v>3</v>
      </c>
      <c r="N62" t="s">
        <v>41</v>
      </c>
      <c r="O62" t="s">
        <v>41</v>
      </c>
      <c r="P62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41</v>
      </c>
      <c r="X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41</v>
      </c>
    </row>
    <row r="63" spans="1:32" x14ac:dyDescent="0.3">
      <c r="A63" t="s">
        <v>135</v>
      </c>
      <c r="B63" t="s">
        <v>181</v>
      </c>
      <c r="C63" t="s">
        <v>245</v>
      </c>
      <c r="D63" t="s">
        <v>41</v>
      </c>
      <c r="E63" t="s">
        <v>41</v>
      </c>
      <c r="F63">
        <v>1</v>
      </c>
      <c r="G63" t="s">
        <v>41</v>
      </c>
      <c r="H63" t="s">
        <v>41</v>
      </c>
      <c r="I63" t="s">
        <v>41</v>
      </c>
      <c r="J63">
        <f t="shared" si="2"/>
        <v>1</v>
      </c>
      <c r="K63" t="s">
        <v>41</v>
      </c>
      <c r="L63" t="e">
        <f t="shared" si="3"/>
        <v>#VALUE!</v>
      </c>
      <c r="M63" t="s">
        <v>41</v>
      </c>
      <c r="N63">
        <v>2</v>
      </c>
      <c r="O63" t="s">
        <v>41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t="s">
        <v>41</v>
      </c>
      <c r="X63" t="s">
        <v>41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t="s">
        <v>41</v>
      </c>
      <c r="AF63" t="s">
        <v>41</v>
      </c>
    </row>
    <row r="64" spans="1:32" x14ac:dyDescent="0.3">
      <c r="A64" t="s">
        <v>135</v>
      </c>
      <c r="B64" t="s">
        <v>91</v>
      </c>
      <c r="C64" t="s">
        <v>89</v>
      </c>
      <c r="D64" t="s">
        <v>246</v>
      </c>
      <c r="E64" t="s">
        <v>196</v>
      </c>
      <c r="F64">
        <v>1</v>
      </c>
      <c r="G64">
        <v>1</v>
      </c>
      <c r="H64">
        <v>1</v>
      </c>
      <c r="I64" t="s">
        <v>41</v>
      </c>
      <c r="J64">
        <f t="shared" si="2"/>
        <v>3</v>
      </c>
      <c r="K64" t="s">
        <v>41</v>
      </c>
      <c r="L64" t="e">
        <f t="shared" si="3"/>
        <v>#VALUE!</v>
      </c>
      <c r="M64" t="s">
        <v>41</v>
      </c>
      <c r="N64" t="s">
        <v>41</v>
      </c>
      <c r="O64" t="s">
        <v>41</v>
      </c>
      <c r="P64" t="s">
        <v>41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t="s">
        <v>41</v>
      </c>
      <c r="X64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t="s">
        <v>41</v>
      </c>
      <c r="AF64" t="s">
        <v>41</v>
      </c>
    </row>
    <row r="65" spans="1:32" x14ac:dyDescent="0.3">
      <c r="A65" t="s">
        <v>135</v>
      </c>
      <c r="B65" t="s">
        <v>91</v>
      </c>
      <c r="C65" t="s">
        <v>80</v>
      </c>
      <c r="D65" t="s">
        <v>247</v>
      </c>
      <c r="E65" t="s">
        <v>56</v>
      </c>
      <c r="F65">
        <v>1</v>
      </c>
      <c r="G65">
        <v>1</v>
      </c>
      <c r="H65">
        <v>3</v>
      </c>
      <c r="I65">
        <v>1</v>
      </c>
      <c r="J65">
        <f t="shared" si="2"/>
        <v>6</v>
      </c>
      <c r="K65" t="s">
        <v>41</v>
      </c>
      <c r="L65" t="e">
        <f t="shared" si="3"/>
        <v>#VALUE!</v>
      </c>
      <c r="M65">
        <v>1</v>
      </c>
      <c r="N65" t="s">
        <v>41</v>
      </c>
      <c r="O65" t="s">
        <v>41</v>
      </c>
      <c r="P65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t="s">
        <v>41</v>
      </c>
      <c r="X65" t="s">
        <v>41</v>
      </c>
      <c r="Y65" t="s">
        <v>41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t="s">
        <v>41</v>
      </c>
      <c r="AF65" t="s">
        <v>41</v>
      </c>
    </row>
    <row r="66" spans="1:32" x14ac:dyDescent="0.3">
      <c r="A66" t="s">
        <v>135</v>
      </c>
      <c r="B66" t="s">
        <v>248</v>
      </c>
      <c r="C66" t="s">
        <v>70</v>
      </c>
      <c r="D66" t="s">
        <v>221</v>
      </c>
      <c r="E66" t="s">
        <v>249</v>
      </c>
      <c r="F66">
        <v>1</v>
      </c>
      <c r="G66">
        <v>1</v>
      </c>
      <c r="H66">
        <v>1</v>
      </c>
      <c r="I66">
        <v>1</v>
      </c>
      <c r="J66">
        <f t="shared" si="2"/>
        <v>4</v>
      </c>
      <c r="K66" t="s">
        <v>41</v>
      </c>
      <c r="L66" t="e">
        <f t="shared" si="3"/>
        <v>#VALUE!</v>
      </c>
      <c r="M66" t="s">
        <v>41</v>
      </c>
      <c r="N66" t="s">
        <v>41</v>
      </c>
      <c r="O66" t="s">
        <v>41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t="s">
        <v>41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41</v>
      </c>
    </row>
    <row r="67" spans="1:32" x14ac:dyDescent="0.3">
      <c r="A67" t="s">
        <v>135</v>
      </c>
      <c r="B67" t="s">
        <v>250</v>
      </c>
      <c r="C67" t="s">
        <v>251</v>
      </c>
      <c r="D67" t="s">
        <v>252</v>
      </c>
      <c r="E67" t="s">
        <v>147</v>
      </c>
      <c r="F67">
        <v>1</v>
      </c>
      <c r="G67">
        <v>1</v>
      </c>
      <c r="H67">
        <v>2</v>
      </c>
      <c r="I67" t="s">
        <v>41</v>
      </c>
      <c r="J67">
        <f t="shared" si="2"/>
        <v>4</v>
      </c>
      <c r="K67" t="s">
        <v>41</v>
      </c>
      <c r="L67" t="e">
        <f t="shared" si="3"/>
        <v>#VALUE!</v>
      </c>
      <c r="M67">
        <v>1</v>
      </c>
      <c r="N67" t="s">
        <v>41</v>
      </c>
      <c r="O67" t="s">
        <v>41</v>
      </c>
      <c r="P67" t="s">
        <v>41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41</v>
      </c>
      <c r="X67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s">
        <v>41</v>
      </c>
    </row>
    <row r="68" spans="1:32" x14ac:dyDescent="0.3">
      <c r="A68" t="s">
        <v>135</v>
      </c>
      <c r="B68" t="s">
        <v>91</v>
      </c>
      <c r="C68" t="s">
        <v>253</v>
      </c>
      <c r="D68" t="s">
        <v>224</v>
      </c>
      <c r="E68" t="s">
        <v>60</v>
      </c>
      <c r="F68">
        <v>1</v>
      </c>
      <c r="G68">
        <v>1</v>
      </c>
      <c r="H68" t="s">
        <v>41</v>
      </c>
      <c r="I68" t="s">
        <v>41</v>
      </c>
      <c r="J68">
        <f t="shared" si="2"/>
        <v>2</v>
      </c>
      <c r="K68" t="s">
        <v>41</v>
      </c>
      <c r="L68" t="e">
        <f t="shared" si="3"/>
        <v>#VALUE!</v>
      </c>
      <c r="M68">
        <v>2</v>
      </c>
      <c r="N68" t="s">
        <v>41</v>
      </c>
      <c r="O68" t="s">
        <v>41</v>
      </c>
      <c r="P68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 t="s">
        <v>41</v>
      </c>
      <c r="X68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  <c r="AF68" t="s">
        <v>41</v>
      </c>
    </row>
    <row r="69" spans="1:32" x14ac:dyDescent="0.3">
      <c r="A69" t="s">
        <v>135</v>
      </c>
      <c r="B69" t="s">
        <v>3</v>
      </c>
      <c r="C69" t="s">
        <v>259</v>
      </c>
      <c r="D69" t="s">
        <v>224</v>
      </c>
      <c r="E69" t="s">
        <v>81</v>
      </c>
      <c r="F69">
        <v>1</v>
      </c>
      <c r="G69">
        <v>1</v>
      </c>
      <c r="H69" t="s">
        <v>41</v>
      </c>
      <c r="I69" t="s">
        <v>41</v>
      </c>
      <c r="J69">
        <f t="shared" si="2"/>
        <v>2</v>
      </c>
      <c r="K69">
        <v>2</v>
      </c>
      <c r="L69">
        <f t="shared" si="3"/>
        <v>120</v>
      </c>
      <c r="M69">
        <v>2</v>
      </c>
      <c r="N69" t="s">
        <v>41</v>
      </c>
      <c r="O69" t="s">
        <v>41</v>
      </c>
      <c r="P69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s">
        <v>41</v>
      </c>
    </row>
    <row r="70" spans="1:32" x14ac:dyDescent="0.3">
      <c r="A70" t="s">
        <v>135</v>
      </c>
      <c r="B70" t="s">
        <v>3</v>
      </c>
      <c r="C70" t="s">
        <v>254</v>
      </c>
      <c r="D70" t="s">
        <v>255</v>
      </c>
      <c r="E70" t="s">
        <v>256</v>
      </c>
      <c r="F70">
        <v>1</v>
      </c>
      <c r="G70">
        <v>1</v>
      </c>
      <c r="H70">
        <v>4</v>
      </c>
      <c r="I70">
        <v>3</v>
      </c>
      <c r="J70">
        <f t="shared" si="2"/>
        <v>9</v>
      </c>
      <c r="K70" t="s">
        <v>41</v>
      </c>
      <c r="L70" t="e">
        <f t="shared" si="3"/>
        <v>#VALUE!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t="s">
        <v>41</v>
      </c>
      <c r="AF70" t="s">
        <v>41</v>
      </c>
    </row>
    <row r="71" spans="1:32" x14ac:dyDescent="0.3">
      <c r="A71" t="s">
        <v>135</v>
      </c>
      <c r="B71" t="s">
        <v>257</v>
      </c>
      <c r="C71" t="s">
        <v>72</v>
      </c>
      <c r="D71" t="s">
        <v>35</v>
      </c>
      <c r="E71" t="s">
        <v>258</v>
      </c>
      <c r="F71">
        <v>1</v>
      </c>
      <c r="G71">
        <v>1</v>
      </c>
      <c r="H71" t="s">
        <v>41</v>
      </c>
      <c r="I71" t="s">
        <v>41</v>
      </c>
      <c r="J71">
        <f t="shared" si="2"/>
        <v>2</v>
      </c>
      <c r="K71">
        <v>1</v>
      </c>
      <c r="L71">
        <f t="shared" si="3"/>
        <v>60</v>
      </c>
      <c r="M71" t="s">
        <v>41</v>
      </c>
      <c r="N71" t="s">
        <v>41</v>
      </c>
      <c r="O71" t="s">
        <v>41</v>
      </c>
      <c r="P71" t="s">
        <v>41</v>
      </c>
      <c r="Q71" t="s">
        <v>41</v>
      </c>
      <c r="R71" t="s">
        <v>41</v>
      </c>
      <c r="S71" t="s">
        <v>41</v>
      </c>
      <c r="T71">
        <v>0.5</v>
      </c>
      <c r="U71" t="s">
        <v>41</v>
      </c>
      <c r="V71" t="s">
        <v>41</v>
      </c>
      <c r="W71" t="s">
        <v>41</v>
      </c>
      <c r="X71">
        <v>4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s">
        <v>41</v>
      </c>
    </row>
    <row r="72" spans="1:32" x14ac:dyDescent="0.3">
      <c r="A72" t="s">
        <v>135</v>
      </c>
      <c r="B72" t="s">
        <v>260</v>
      </c>
      <c r="C72" t="s">
        <v>261</v>
      </c>
      <c r="D72" t="s">
        <v>262</v>
      </c>
      <c r="E72" t="s">
        <v>263</v>
      </c>
      <c r="F72">
        <v>1</v>
      </c>
      <c r="G72">
        <v>1</v>
      </c>
      <c r="H72">
        <v>3</v>
      </c>
      <c r="I72">
        <v>1</v>
      </c>
      <c r="J72">
        <f t="shared" si="2"/>
        <v>6</v>
      </c>
      <c r="K72" t="s">
        <v>41</v>
      </c>
      <c r="L72" t="e">
        <f t="shared" si="3"/>
        <v>#VALUE!</v>
      </c>
      <c r="M72" t="s">
        <v>41</v>
      </c>
      <c r="N72" t="s">
        <v>41</v>
      </c>
      <c r="O72" t="s">
        <v>41</v>
      </c>
      <c r="P72" t="s">
        <v>41</v>
      </c>
      <c r="Q72" t="s">
        <v>41</v>
      </c>
      <c r="R72" t="s">
        <v>41</v>
      </c>
      <c r="S72" t="s">
        <v>41</v>
      </c>
      <c r="T72">
        <v>0.75</v>
      </c>
      <c r="U72" t="s">
        <v>41</v>
      </c>
      <c r="V72" t="s">
        <v>41</v>
      </c>
      <c r="W72" t="s">
        <v>41</v>
      </c>
      <c r="X72">
        <v>5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s">
        <v>41</v>
      </c>
    </row>
    <row r="73" spans="1:32" x14ac:dyDescent="0.3">
      <c r="A73" t="s">
        <v>135</v>
      </c>
      <c r="B73" t="s">
        <v>264</v>
      </c>
      <c r="C73" t="s">
        <v>265</v>
      </c>
      <c r="D73" t="s">
        <v>266</v>
      </c>
      <c r="E73" t="s">
        <v>126</v>
      </c>
      <c r="F73">
        <v>1</v>
      </c>
      <c r="G73">
        <v>1</v>
      </c>
      <c r="H73">
        <v>1</v>
      </c>
      <c r="I73">
        <v>1</v>
      </c>
      <c r="J73">
        <f t="shared" si="2"/>
        <v>4</v>
      </c>
      <c r="K73" t="s">
        <v>41</v>
      </c>
      <c r="L73" t="e">
        <f t="shared" si="3"/>
        <v>#VALUE!</v>
      </c>
      <c r="M73">
        <v>1</v>
      </c>
      <c r="N73" t="s">
        <v>41</v>
      </c>
      <c r="O73">
        <v>2</v>
      </c>
      <c r="P73" t="s">
        <v>41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 t="s">
        <v>41</v>
      </c>
      <c r="W73" t="s">
        <v>41</v>
      </c>
      <c r="X73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s">
        <v>41</v>
      </c>
    </row>
    <row r="74" spans="1:32" x14ac:dyDescent="0.3">
      <c r="A74" t="s">
        <v>135</v>
      </c>
      <c r="B74" t="s">
        <v>127</v>
      </c>
      <c r="C74" t="s">
        <v>134</v>
      </c>
      <c r="D74" t="s">
        <v>41</v>
      </c>
      <c r="E74" t="s">
        <v>41</v>
      </c>
      <c r="F74">
        <v>1</v>
      </c>
      <c r="G74" t="s">
        <v>41</v>
      </c>
      <c r="H74" t="s">
        <v>41</v>
      </c>
      <c r="I74" t="s">
        <v>41</v>
      </c>
      <c r="J74">
        <f t="shared" si="2"/>
        <v>1</v>
      </c>
      <c r="K74" t="s">
        <v>41</v>
      </c>
      <c r="L74" t="e">
        <f t="shared" si="3"/>
        <v>#VALUE!</v>
      </c>
      <c r="M74">
        <v>2</v>
      </c>
      <c r="N74" t="s">
        <v>41</v>
      </c>
      <c r="O74" t="s">
        <v>41</v>
      </c>
      <c r="P74" t="s">
        <v>41</v>
      </c>
      <c r="Q74" t="s">
        <v>41</v>
      </c>
      <c r="R74" t="s">
        <v>41</v>
      </c>
      <c r="S74" t="s">
        <v>41</v>
      </c>
      <c r="T74">
        <v>1</v>
      </c>
      <c r="U74" t="s">
        <v>41</v>
      </c>
      <c r="V74" t="s">
        <v>41</v>
      </c>
      <c r="W74" t="s">
        <v>41</v>
      </c>
      <c r="X74">
        <v>4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41</v>
      </c>
    </row>
    <row r="75" spans="1:32" x14ac:dyDescent="0.3">
      <c r="A75" t="s">
        <v>135</v>
      </c>
      <c r="B75" t="s">
        <v>267</v>
      </c>
      <c r="C75" t="s">
        <v>81</v>
      </c>
      <c r="D75" t="s">
        <v>106</v>
      </c>
      <c r="E75" t="s">
        <v>268</v>
      </c>
      <c r="F75">
        <v>1</v>
      </c>
      <c r="G75">
        <v>1</v>
      </c>
      <c r="H75" t="s">
        <v>41</v>
      </c>
      <c r="I75" t="s">
        <v>41</v>
      </c>
      <c r="J75">
        <f t="shared" si="2"/>
        <v>2</v>
      </c>
      <c r="K75" t="s">
        <v>41</v>
      </c>
      <c r="L75" t="e">
        <f t="shared" si="3"/>
        <v>#VALUE!</v>
      </c>
      <c r="M75">
        <v>1</v>
      </c>
      <c r="N75" t="s">
        <v>41</v>
      </c>
      <c r="O75" t="s">
        <v>41</v>
      </c>
      <c r="P75" t="s">
        <v>41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41</v>
      </c>
      <c r="AA75" t="s">
        <v>41</v>
      </c>
      <c r="AB75" t="s">
        <v>41</v>
      </c>
      <c r="AC75" t="s">
        <v>41</v>
      </c>
      <c r="AD75" t="s">
        <v>41</v>
      </c>
      <c r="AE75" t="s">
        <v>41</v>
      </c>
      <c r="AF75" t="s">
        <v>41</v>
      </c>
    </row>
    <row r="76" spans="1:32" x14ac:dyDescent="0.3">
      <c r="A76" t="s">
        <v>135</v>
      </c>
      <c r="B76" t="s">
        <v>34</v>
      </c>
      <c r="C76" t="s">
        <v>270</v>
      </c>
      <c r="D76" t="s">
        <v>32</v>
      </c>
      <c r="E76" t="s">
        <v>269</v>
      </c>
      <c r="F76">
        <v>1</v>
      </c>
      <c r="G76">
        <v>1</v>
      </c>
      <c r="H76" t="s">
        <v>41</v>
      </c>
      <c r="I76" t="s">
        <v>41</v>
      </c>
      <c r="J76">
        <f t="shared" si="2"/>
        <v>2</v>
      </c>
      <c r="K76" t="s">
        <v>41</v>
      </c>
      <c r="L76" t="e">
        <f t="shared" si="3"/>
        <v>#VALUE!</v>
      </c>
      <c r="M76" t="s">
        <v>41</v>
      </c>
      <c r="N76" t="s">
        <v>41</v>
      </c>
      <c r="O76" t="s">
        <v>41</v>
      </c>
      <c r="P76" t="s">
        <v>41</v>
      </c>
      <c r="Q76" t="s">
        <v>41</v>
      </c>
      <c r="R76" t="s">
        <v>41</v>
      </c>
      <c r="S76" t="s">
        <v>41</v>
      </c>
      <c r="T76">
        <v>0.5</v>
      </c>
      <c r="U76" t="s">
        <v>41</v>
      </c>
      <c r="V76" t="s">
        <v>41</v>
      </c>
      <c r="W76" t="s">
        <v>41</v>
      </c>
      <c r="X76">
        <v>4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41</v>
      </c>
    </row>
    <row r="77" spans="1:32" x14ac:dyDescent="0.3">
      <c r="A77" t="s">
        <v>135</v>
      </c>
      <c r="B77" t="s">
        <v>74</v>
      </c>
      <c r="C77" t="s">
        <v>253</v>
      </c>
      <c r="D77" t="s">
        <v>41</v>
      </c>
      <c r="E77" t="s">
        <v>41</v>
      </c>
      <c r="F77">
        <v>1</v>
      </c>
      <c r="G77" t="s">
        <v>41</v>
      </c>
      <c r="H77" t="s">
        <v>41</v>
      </c>
      <c r="I77" t="s">
        <v>41</v>
      </c>
      <c r="J77">
        <f t="shared" si="2"/>
        <v>1</v>
      </c>
      <c r="K77" t="s">
        <v>41</v>
      </c>
      <c r="L77" t="e">
        <f t="shared" si="3"/>
        <v>#VALUE!</v>
      </c>
      <c r="M77" t="s">
        <v>41</v>
      </c>
      <c r="N77" t="s">
        <v>41</v>
      </c>
      <c r="O77" t="s">
        <v>41</v>
      </c>
      <c r="P77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t="s">
        <v>41</v>
      </c>
      <c r="X77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F77" t="s">
        <v>41</v>
      </c>
    </row>
    <row r="78" spans="1:32" x14ac:dyDescent="0.3">
      <c r="A78" t="s">
        <v>135</v>
      </c>
      <c r="B78" t="s">
        <v>243</v>
      </c>
      <c r="C78" t="s">
        <v>79</v>
      </c>
      <c r="D78" t="s">
        <v>187</v>
      </c>
      <c r="E78" t="s">
        <v>38</v>
      </c>
      <c r="F78">
        <v>1</v>
      </c>
      <c r="G78">
        <v>1</v>
      </c>
      <c r="H78" t="s">
        <v>41</v>
      </c>
      <c r="I78">
        <v>1</v>
      </c>
      <c r="J78">
        <f t="shared" si="2"/>
        <v>3</v>
      </c>
      <c r="K78" t="s">
        <v>41</v>
      </c>
      <c r="L78" t="e">
        <f t="shared" si="3"/>
        <v>#VALUE!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41</v>
      </c>
    </row>
    <row r="79" spans="1:32" x14ac:dyDescent="0.3">
      <c r="A79" t="s">
        <v>135</v>
      </c>
      <c r="B79" t="s">
        <v>44</v>
      </c>
      <c r="C79" t="s">
        <v>271</v>
      </c>
      <c r="D79" t="s">
        <v>273</v>
      </c>
      <c r="E79" t="s">
        <v>272</v>
      </c>
      <c r="F79">
        <v>1</v>
      </c>
      <c r="G79">
        <v>1</v>
      </c>
      <c r="H79">
        <v>1</v>
      </c>
      <c r="I79">
        <v>2</v>
      </c>
      <c r="J79">
        <f t="shared" si="2"/>
        <v>5</v>
      </c>
      <c r="K79" t="s">
        <v>41</v>
      </c>
      <c r="L79" t="e">
        <f t="shared" si="3"/>
        <v>#VALUE!</v>
      </c>
      <c r="M79">
        <v>1</v>
      </c>
      <c r="N79" t="s">
        <v>41</v>
      </c>
      <c r="O79" t="s">
        <v>41</v>
      </c>
      <c r="P79" t="s">
        <v>41</v>
      </c>
      <c r="Q79" t="s">
        <v>41</v>
      </c>
      <c r="R79" t="s">
        <v>41</v>
      </c>
      <c r="S79" t="s">
        <v>41</v>
      </c>
      <c r="T79">
        <v>0.5</v>
      </c>
      <c r="U79">
        <f>1/8</f>
        <v>0.125</v>
      </c>
      <c r="V79" t="s">
        <v>41</v>
      </c>
      <c r="W79" t="s">
        <v>41</v>
      </c>
      <c r="X79">
        <v>3</v>
      </c>
      <c r="Y79">
        <v>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s">
        <v>41</v>
      </c>
    </row>
    <row r="80" spans="1:32" x14ac:dyDescent="0.3">
      <c r="A80" t="s">
        <v>135</v>
      </c>
      <c r="B80" t="s">
        <v>274</v>
      </c>
      <c r="C80" t="s">
        <v>212</v>
      </c>
      <c r="D80" t="s">
        <v>209</v>
      </c>
      <c r="E80" t="s">
        <v>117</v>
      </c>
      <c r="F80">
        <v>1</v>
      </c>
      <c r="G80">
        <v>1</v>
      </c>
      <c r="H80">
        <v>3</v>
      </c>
      <c r="I80">
        <v>2</v>
      </c>
      <c r="J80">
        <f t="shared" si="2"/>
        <v>7</v>
      </c>
      <c r="K80" t="s">
        <v>41</v>
      </c>
      <c r="L80" t="e">
        <f t="shared" si="3"/>
        <v>#VALUE!</v>
      </c>
      <c r="M80">
        <v>1</v>
      </c>
      <c r="N80">
        <v>3</v>
      </c>
      <c r="O80" t="s">
        <v>41</v>
      </c>
      <c r="P80" t="s">
        <v>41</v>
      </c>
      <c r="Q80" t="s">
        <v>41</v>
      </c>
      <c r="R80" t="s">
        <v>41</v>
      </c>
      <c r="S80" t="s">
        <v>41</v>
      </c>
      <c r="T80">
        <v>0.5</v>
      </c>
      <c r="U80">
        <v>0.5</v>
      </c>
      <c r="V80" t="s">
        <v>41</v>
      </c>
      <c r="W80" t="s">
        <v>41</v>
      </c>
      <c r="X80">
        <v>3</v>
      </c>
      <c r="Y80">
        <v>14</v>
      </c>
      <c r="Z80" t="s">
        <v>41</v>
      </c>
      <c r="AA80" t="s">
        <v>41</v>
      </c>
      <c r="AB80" t="s">
        <v>41</v>
      </c>
      <c r="AC80" t="s">
        <v>41</v>
      </c>
      <c r="AD80" t="s">
        <v>41</v>
      </c>
      <c r="AE80" t="s">
        <v>41</v>
      </c>
      <c r="AF80" t="s">
        <v>41</v>
      </c>
    </row>
    <row r="81" spans="1:32" x14ac:dyDescent="0.3">
      <c r="A81" t="s">
        <v>135</v>
      </c>
      <c r="B81" t="s">
        <v>275</v>
      </c>
      <c r="C81" t="s">
        <v>54</v>
      </c>
      <c r="D81" t="s">
        <v>209</v>
      </c>
      <c r="E81" t="s">
        <v>276</v>
      </c>
      <c r="F81">
        <v>1</v>
      </c>
      <c r="G81">
        <v>1</v>
      </c>
      <c r="H81">
        <v>2</v>
      </c>
      <c r="I81">
        <v>1</v>
      </c>
      <c r="J81">
        <f t="shared" si="2"/>
        <v>5</v>
      </c>
      <c r="K81" t="s">
        <v>41</v>
      </c>
      <c r="L81" t="e">
        <f t="shared" si="3"/>
        <v>#VALUE!</v>
      </c>
      <c r="M81">
        <v>1</v>
      </c>
      <c r="N81" t="s">
        <v>41</v>
      </c>
      <c r="O81">
        <v>2</v>
      </c>
      <c r="P81" t="s">
        <v>41</v>
      </c>
      <c r="Q81" t="s">
        <v>41</v>
      </c>
      <c r="R81" t="s">
        <v>41</v>
      </c>
      <c r="S81" t="s">
        <v>41</v>
      </c>
      <c r="T81">
        <v>0.75</v>
      </c>
      <c r="U81">
        <v>0.5</v>
      </c>
      <c r="V81" t="s">
        <v>41</v>
      </c>
      <c r="W81" t="s">
        <v>41</v>
      </c>
      <c r="X81">
        <v>5</v>
      </c>
      <c r="Y81">
        <v>6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s">
        <v>41</v>
      </c>
    </row>
    <row r="82" spans="1:32" x14ac:dyDescent="0.3">
      <c r="A82" t="s">
        <v>135</v>
      </c>
      <c r="B82" t="s">
        <v>277</v>
      </c>
      <c r="C82" t="s">
        <v>278</v>
      </c>
      <c r="D82" t="s">
        <v>279</v>
      </c>
      <c r="E82" t="s">
        <v>195</v>
      </c>
      <c r="F82">
        <v>1</v>
      </c>
      <c r="G82">
        <v>1</v>
      </c>
      <c r="H82">
        <v>1</v>
      </c>
      <c r="I82" t="s">
        <v>41</v>
      </c>
      <c r="J82">
        <f t="shared" si="2"/>
        <v>3</v>
      </c>
      <c r="K82" t="s">
        <v>41</v>
      </c>
      <c r="L82" t="e">
        <f t="shared" si="3"/>
        <v>#VALUE!</v>
      </c>
      <c r="M82">
        <v>2</v>
      </c>
      <c r="N82" t="s">
        <v>41</v>
      </c>
      <c r="O82" t="s">
        <v>41</v>
      </c>
      <c r="P8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t="s">
        <v>41</v>
      </c>
      <c r="X82" t="s">
        <v>41</v>
      </c>
      <c r="Y82" t="s">
        <v>41</v>
      </c>
      <c r="Z82" t="s">
        <v>41</v>
      </c>
      <c r="AA82" t="s">
        <v>41</v>
      </c>
      <c r="AB82" t="s">
        <v>41</v>
      </c>
      <c r="AC82" t="s">
        <v>41</v>
      </c>
      <c r="AD82" t="s">
        <v>41</v>
      </c>
      <c r="AE82" t="s">
        <v>41</v>
      </c>
      <c r="AF82" t="s">
        <v>41</v>
      </c>
    </row>
    <row r="83" spans="1:32" x14ac:dyDescent="0.3">
      <c r="A83" t="s">
        <v>135</v>
      </c>
      <c r="B83" t="s">
        <v>122</v>
      </c>
      <c r="C83" t="s">
        <v>280</v>
      </c>
      <c r="D83" t="s">
        <v>41</v>
      </c>
      <c r="E83" t="s">
        <v>41</v>
      </c>
      <c r="F83">
        <v>1</v>
      </c>
      <c r="G83" t="s">
        <v>41</v>
      </c>
      <c r="H83" t="s">
        <v>41</v>
      </c>
      <c r="I83" t="s">
        <v>41</v>
      </c>
      <c r="J83">
        <f t="shared" si="2"/>
        <v>1</v>
      </c>
      <c r="K83" t="s">
        <v>41</v>
      </c>
      <c r="L83" t="e">
        <f t="shared" si="3"/>
        <v>#VALUE!</v>
      </c>
      <c r="M83" t="s">
        <v>41</v>
      </c>
      <c r="N83" t="s">
        <v>41</v>
      </c>
      <c r="O83" t="s">
        <v>41</v>
      </c>
      <c r="P8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t="s">
        <v>41</v>
      </c>
      <c r="X83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t="s">
        <v>41</v>
      </c>
      <c r="AF83" t="s">
        <v>41</v>
      </c>
    </row>
    <row r="84" spans="1:32" x14ac:dyDescent="0.3">
      <c r="A84" t="s">
        <v>135</v>
      </c>
      <c r="B84" t="s">
        <v>281</v>
      </c>
      <c r="C84" t="s">
        <v>124</v>
      </c>
      <c r="D84" t="s">
        <v>94</v>
      </c>
      <c r="E84" t="s">
        <v>282</v>
      </c>
      <c r="F84">
        <v>1</v>
      </c>
      <c r="G84">
        <v>1</v>
      </c>
      <c r="H84">
        <v>1</v>
      </c>
      <c r="I84" t="s">
        <v>41</v>
      </c>
      <c r="J84">
        <f t="shared" si="2"/>
        <v>3</v>
      </c>
      <c r="K84" t="s">
        <v>41</v>
      </c>
      <c r="L84" t="e">
        <f t="shared" si="3"/>
        <v>#VALUE!</v>
      </c>
      <c r="M84" t="s">
        <v>41</v>
      </c>
      <c r="N84" t="s">
        <v>41</v>
      </c>
      <c r="O84" t="s">
        <v>41</v>
      </c>
      <c r="P84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t="s">
        <v>41</v>
      </c>
      <c r="X84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41</v>
      </c>
    </row>
    <row r="85" spans="1:32" x14ac:dyDescent="0.3">
      <c r="A85" t="s">
        <v>135</v>
      </c>
      <c r="B85" t="s">
        <v>91</v>
      </c>
      <c r="C85" t="s">
        <v>220</v>
      </c>
      <c r="D85" t="s">
        <v>118</v>
      </c>
      <c r="E85" t="s">
        <v>105</v>
      </c>
      <c r="F85">
        <v>1</v>
      </c>
      <c r="G85">
        <v>1</v>
      </c>
      <c r="H85" t="s">
        <v>41</v>
      </c>
      <c r="I85">
        <v>1</v>
      </c>
      <c r="J85">
        <f t="shared" si="2"/>
        <v>3</v>
      </c>
      <c r="K85" t="s">
        <v>41</v>
      </c>
      <c r="L85" t="e">
        <f t="shared" si="3"/>
        <v>#VALUE!</v>
      </c>
      <c r="M85">
        <v>1</v>
      </c>
      <c r="N85" t="s">
        <v>41</v>
      </c>
      <c r="O85" t="s">
        <v>41</v>
      </c>
      <c r="P85" t="s">
        <v>41</v>
      </c>
      <c r="Q85" t="s">
        <v>41</v>
      </c>
      <c r="R85" t="s">
        <v>41</v>
      </c>
      <c r="S85" t="s">
        <v>41</v>
      </c>
      <c r="T85">
        <v>0.5</v>
      </c>
      <c r="U85" t="s">
        <v>41</v>
      </c>
      <c r="V85" t="s">
        <v>41</v>
      </c>
      <c r="W85" t="s">
        <v>41</v>
      </c>
      <c r="X85">
        <v>2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t="s">
        <v>41</v>
      </c>
      <c r="AF85" t="s">
        <v>41</v>
      </c>
    </row>
    <row r="86" spans="1:32" x14ac:dyDescent="0.3">
      <c r="A86" t="s">
        <v>135</v>
      </c>
      <c r="B86" t="s">
        <v>283</v>
      </c>
      <c r="C86" t="s">
        <v>263</v>
      </c>
      <c r="D86" t="s">
        <v>285</v>
      </c>
      <c r="E86" t="s">
        <v>284</v>
      </c>
      <c r="F86">
        <v>1</v>
      </c>
      <c r="G86">
        <v>1</v>
      </c>
      <c r="H86">
        <v>1</v>
      </c>
      <c r="I86" t="s">
        <v>41</v>
      </c>
      <c r="J86">
        <f t="shared" si="2"/>
        <v>3</v>
      </c>
      <c r="K86" t="s">
        <v>41</v>
      </c>
      <c r="L86" t="e">
        <f t="shared" si="3"/>
        <v>#VALUE!</v>
      </c>
      <c r="M86" t="s">
        <v>41</v>
      </c>
      <c r="N86" t="s">
        <v>41</v>
      </c>
      <c r="O86" t="s">
        <v>41</v>
      </c>
      <c r="P86" t="s">
        <v>41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t="s">
        <v>41</v>
      </c>
      <c r="X86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  <c r="AF86" t="s">
        <v>41</v>
      </c>
    </row>
    <row r="87" spans="1:32" x14ac:dyDescent="0.3">
      <c r="A87" t="s">
        <v>135</v>
      </c>
      <c r="B87" t="s">
        <v>68</v>
      </c>
      <c r="C87" t="s">
        <v>263</v>
      </c>
      <c r="D87" t="s">
        <v>286</v>
      </c>
      <c r="E87" t="s">
        <v>41</v>
      </c>
      <c r="F87">
        <v>1</v>
      </c>
      <c r="G87">
        <v>1</v>
      </c>
      <c r="H87">
        <v>1</v>
      </c>
      <c r="I87" t="s">
        <v>41</v>
      </c>
      <c r="J87">
        <f t="shared" si="2"/>
        <v>3</v>
      </c>
      <c r="K87" t="s">
        <v>41</v>
      </c>
      <c r="L87" t="e">
        <f t="shared" si="3"/>
        <v>#VALUE!</v>
      </c>
      <c r="M87" t="s">
        <v>41</v>
      </c>
      <c r="N87" t="s">
        <v>41</v>
      </c>
      <c r="O87" t="s">
        <v>41</v>
      </c>
      <c r="P87" t="s">
        <v>41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t="s">
        <v>41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41</v>
      </c>
    </row>
    <row r="88" spans="1:32" x14ac:dyDescent="0.3">
      <c r="A88" t="s">
        <v>135</v>
      </c>
      <c r="B88" t="s">
        <v>287</v>
      </c>
      <c r="C88" t="s">
        <v>223</v>
      </c>
      <c r="D88" t="s">
        <v>244</v>
      </c>
      <c r="E88" t="s">
        <v>229</v>
      </c>
      <c r="F88">
        <v>1</v>
      </c>
      <c r="G88">
        <v>1</v>
      </c>
      <c r="H88">
        <v>2</v>
      </c>
      <c r="I88">
        <v>2</v>
      </c>
      <c r="J88">
        <f t="shared" si="2"/>
        <v>6</v>
      </c>
      <c r="K88">
        <v>1</v>
      </c>
      <c r="L88">
        <f t="shared" si="3"/>
        <v>60</v>
      </c>
      <c r="M88" t="s">
        <v>41</v>
      </c>
      <c r="N88" t="s">
        <v>41</v>
      </c>
      <c r="O88" t="s">
        <v>41</v>
      </c>
      <c r="P88" t="s">
        <v>41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41</v>
      </c>
      <c r="W88" t="s">
        <v>41</v>
      </c>
      <c r="X88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  <c r="AF88" t="s">
        <v>41</v>
      </c>
    </row>
    <row r="89" spans="1:32" x14ac:dyDescent="0.3">
      <c r="A89" t="s">
        <v>135</v>
      </c>
      <c r="B89" t="s">
        <v>197</v>
      </c>
      <c r="C89" t="s">
        <v>85</v>
      </c>
      <c r="D89" t="s">
        <v>41</v>
      </c>
      <c r="E89" t="s">
        <v>41</v>
      </c>
      <c r="F89">
        <v>1</v>
      </c>
      <c r="G89" t="s">
        <v>41</v>
      </c>
      <c r="H89">
        <v>1</v>
      </c>
      <c r="I89">
        <v>1</v>
      </c>
      <c r="J89">
        <f t="shared" si="2"/>
        <v>3</v>
      </c>
      <c r="K89" t="s">
        <v>41</v>
      </c>
      <c r="L89" t="e">
        <f t="shared" si="3"/>
        <v>#VALUE!</v>
      </c>
      <c r="M89">
        <v>5</v>
      </c>
      <c r="N89" t="s">
        <v>41</v>
      </c>
      <c r="O89" t="s">
        <v>41</v>
      </c>
      <c r="P89" t="s">
        <v>41</v>
      </c>
      <c r="Q89" t="s">
        <v>41</v>
      </c>
      <c r="R89" t="s">
        <v>41</v>
      </c>
      <c r="S89" t="s">
        <v>41</v>
      </c>
      <c r="T89">
        <v>0.5</v>
      </c>
      <c r="U89" t="s">
        <v>41</v>
      </c>
      <c r="V89" t="s">
        <v>41</v>
      </c>
      <c r="W89" t="s">
        <v>41</v>
      </c>
      <c r="X89">
        <v>3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41</v>
      </c>
    </row>
    <row r="90" spans="1:32" x14ac:dyDescent="0.3">
      <c r="A90" t="s">
        <v>135</v>
      </c>
      <c r="B90" t="s">
        <v>68</v>
      </c>
      <c r="C90" t="s">
        <v>235</v>
      </c>
      <c r="D90" t="s">
        <v>288</v>
      </c>
      <c r="E90" t="s">
        <v>153</v>
      </c>
      <c r="F90">
        <v>1</v>
      </c>
      <c r="G90">
        <v>1</v>
      </c>
      <c r="H90">
        <v>3</v>
      </c>
      <c r="I90">
        <v>2</v>
      </c>
      <c r="J90">
        <f t="shared" si="2"/>
        <v>7</v>
      </c>
      <c r="K90">
        <v>2</v>
      </c>
      <c r="L90">
        <f t="shared" si="3"/>
        <v>120</v>
      </c>
      <c r="M90">
        <v>1</v>
      </c>
      <c r="N90">
        <v>2</v>
      </c>
      <c r="O90" t="s">
        <v>41</v>
      </c>
      <c r="P90" t="s">
        <v>41</v>
      </c>
      <c r="Q90" t="s">
        <v>41</v>
      </c>
      <c r="R90" t="s">
        <v>41</v>
      </c>
      <c r="S90" t="s">
        <v>41</v>
      </c>
      <c r="T90">
        <v>0.25</v>
      </c>
      <c r="U90">
        <v>0.25</v>
      </c>
      <c r="V90" t="s">
        <v>41</v>
      </c>
      <c r="W90" t="s">
        <v>41</v>
      </c>
      <c r="X90">
        <v>1</v>
      </c>
      <c r="Y90">
        <v>3</v>
      </c>
      <c r="Z90" t="s">
        <v>41</v>
      </c>
      <c r="AA90" t="s">
        <v>41</v>
      </c>
      <c r="AB90">
        <v>1</v>
      </c>
      <c r="AC90" t="s">
        <v>41</v>
      </c>
      <c r="AD90" t="s">
        <v>41</v>
      </c>
      <c r="AE90" t="s">
        <v>41</v>
      </c>
      <c r="AF90" t="s">
        <v>41</v>
      </c>
    </row>
    <row r="91" spans="1:32" x14ac:dyDescent="0.3">
      <c r="A91" t="s">
        <v>135</v>
      </c>
      <c r="B91" t="s">
        <v>289</v>
      </c>
      <c r="C91" t="s">
        <v>63</v>
      </c>
      <c r="D91" t="s">
        <v>69</v>
      </c>
      <c r="E91" t="s">
        <v>110</v>
      </c>
      <c r="F91">
        <v>1</v>
      </c>
      <c r="G91">
        <v>1</v>
      </c>
      <c r="H91">
        <v>3</v>
      </c>
      <c r="I91">
        <v>2</v>
      </c>
      <c r="J91">
        <f t="shared" si="2"/>
        <v>7</v>
      </c>
      <c r="K91">
        <v>2</v>
      </c>
      <c r="L91">
        <f t="shared" si="3"/>
        <v>120</v>
      </c>
      <c r="M91">
        <v>1</v>
      </c>
      <c r="N91" t="s">
        <v>41</v>
      </c>
      <c r="O91" t="s">
        <v>41</v>
      </c>
      <c r="P91" t="s">
        <v>41</v>
      </c>
      <c r="Q91" t="s">
        <v>41</v>
      </c>
      <c r="R91" t="s">
        <v>41</v>
      </c>
      <c r="S91" t="s">
        <v>41</v>
      </c>
      <c r="T91">
        <v>0.75</v>
      </c>
      <c r="U91" t="s">
        <v>41</v>
      </c>
      <c r="V91" t="s">
        <v>41</v>
      </c>
      <c r="W91" t="s">
        <v>41</v>
      </c>
      <c r="X91">
        <v>6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  <c r="AF91" t="s">
        <v>41</v>
      </c>
    </row>
    <row r="92" spans="1:32" x14ac:dyDescent="0.3">
      <c r="A92" t="s">
        <v>135</v>
      </c>
      <c r="B92" t="s">
        <v>84</v>
      </c>
      <c r="C92" t="s">
        <v>254</v>
      </c>
      <c r="D92" t="s">
        <v>41</v>
      </c>
      <c r="E92" t="s">
        <v>41</v>
      </c>
      <c r="F92">
        <v>1</v>
      </c>
      <c r="G92" t="s">
        <v>41</v>
      </c>
      <c r="H92" t="s">
        <v>41</v>
      </c>
      <c r="I92" t="s">
        <v>41</v>
      </c>
      <c r="J92">
        <f t="shared" si="2"/>
        <v>1</v>
      </c>
      <c r="K92" t="s">
        <v>41</v>
      </c>
      <c r="L92" t="e">
        <f t="shared" si="3"/>
        <v>#VALUE!</v>
      </c>
      <c r="M92" t="s">
        <v>41</v>
      </c>
      <c r="N92" t="s">
        <v>41</v>
      </c>
      <c r="O92" t="s">
        <v>41</v>
      </c>
      <c r="P92" t="s">
        <v>41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t="s">
        <v>41</v>
      </c>
      <c r="X92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41</v>
      </c>
    </row>
    <row r="93" spans="1:32" x14ac:dyDescent="0.3">
      <c r="A93" t="s">
        <v>135</v>
      </c>
      <c r="B93" t="s">
        <v>179</v>
      </c>
      <c r="C93" t="s">
        <v>89</v>
      </c>
      <c r="D93" t="s">
        <v>41</v>
      </c>
      <c r="E93" t="s">
        <v>41</v>
      </c>
      <c r="F93">
        <v>1</v>
      </c>
      <c r="G93" t="s">
        <v>41</v>
      </c>
      <c r="H93" t="s">
        <v>41</v>
      </c>
      <c r="I93" t="s">
        <v>41</v>
      </c>
      <c r="J93">
        <f t="shared" si="2"/>
        <v>1</v>
      </c>
      <c r="K93" t="s">
        <v>41</v>
      </c>
      <c r="L93" t="e">
        <f t="shared" si="3"/>
        <v>#VALUE!</v>
      </c>
      <c r="M93" t="s">
        <v>41</v>
      </c>
      <c r="N93" t="s">
        <v>41</v>
      </c>
      <c r="O93" t="s">
        <v>41</v>
      </c>
      <c r="P93" t="s">
        <v>41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t="s">
        <v>41</v>
      </c>
    </row>
    <row r="94" spans="1:32" x14ac:dyDescent="0.3">
      <c r="A94" t="s">
        <v>135</v>
      </c>
      <c r="B94" t="s">
        <v>290</v>
      </c>
      <c r="C94" t="s">
        <v>291</v>
      </c>
      <c r="D94" t="s">
        <v>41</v>
      </c>
      <c r="E94" t="s">
        <v>41</v>
      </c>
      <c r="F94">
        <v>1</v>
      </c>
      <c r="G94" t="s">
        <v>41</v>
      </c>
      <c r="H94" t="s">
        <v>41</v>
      </c>
      <c r="I94" t="s">
        <v>41</v>
      </c>
      <c r="J94">
        <f t="shared" si="2"/>
        <v>1</v>
      </c>
      <c r="K94" t="s">
        <v>41</v>
      </c>
      <c r="L94" t="e">
        <f t="shared" si="3"/>
        <v>#VALUE!</v>
      </c>
      <c r="M94" t="s">
        <v>41</v>
      </c>
      <c r="N94" t="s">
        <v>41</v>
      </c>
      <c r="O94" t="s">
        <v>41</v>
      </c>
      <c r="P94" t="s">
        <v>41</v>
      </c>
      <c r="Q94" t="s">
        <v>41</v>
      </c>
      <c r="R94" t="s">
        <v>41</v>
      </c>
      <c r="S94" t="s">
        <v>41</v>
      </c>
      <c r="T94" t="s">
        <v>41</v>
      </c>
      <c r="U94" t="s">
        <v>41</v>
      </c>
      <c r="V94" t="s">
        <v>41</v>
      </c>
      <c r="W94" t="s">
        <v>41</v>
      </c>
      <c r="X94" t="s">
        <v>41</v>
      </c>
      <c r="Y94" t="s">
        <v>41</v>
      </c>
      <c r="Z94" t="s">
        <v>41</v>
      </c>
      <c r="AA94" t="s">
        <v>41</v>
      </c>
      <c r="AB94" t="s">
        <v>41</v>
      </c>
      <c r="AC94" t="s">
        <v>41</v>
      </c>
      <c r="AD94" t="s">
        <v>41</v>
      </c>
      <c r="AE94" t="s">
        <v>41</v>
      </c>
      <c r="AF94" t="s">
        <v>41</v>
      </c>
    </row>
    <row r="95" spans="1:32" x14ac:dyDescent="0.3">
      <c r="A95" t="s">
        <v>135</v>
      </c>
      <c r="B95" t="s">
        <v>292</v>
      </c>
      <c r="C95" t="s">
        <v>291</v>
      </c>
      <c r="D95" t="s">
        <v>46</v>
      </c>
      <c r="E95" t="s">
        <v>77</v>
      </c>
      <c r="F95">
        <v>1</v>
      </c>
      <c r="G95">
        <v>1</v>
      </c>
      <c r="H95">
        <v>2</v>
      </c>
      <c r="I95">
        <v>1</v>
      </c>
      <c r="J95">
        <f t="shared" si="2"/>
        <v>5</v>
      </c>
      <c r="K95" t="s">
        <v>41</v>
      </c>
      <c r="L95" t="e">
        <f t="shared" si="3"/>
        <v>#VALUE!</v>
      </c>
      <c r="M95">
        <v>1</v>
      </c>
      <c r="N95" t="s">
        <v>41</v>
      </c>
      <c r="O95" t="s">
        <v>41</v>
      </c>
      <c r="P95" t="s">
        <v>41</v>
      </c>
      <c r="Q95" t="s">
        <v>41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41</v>
      </c>
      <c r="X95" t="s">
        <v>41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41</v>
      </c>
    </row>
    <row r="96" spans="1:32" x14ac:dyDescent="0.3">
      <c r="A96" t="s">
        <v>135</v>
      </c>
      <c r="B96" t="s">
        <v>293</v>
      </c>
      <c r="C96" t="s">
        <v>272</v>
      </c>
      <c r="D96" t="s">
        <v>294</v>
      </c>
      <c r="E96" t="s">
        <v>120</v>
      </c>
      <c r="F96">
        <v>1</v>
      </c>
      <c r="G96">
        <v>1</v>
      </c>
      <c r="H96" t="s">
        <v>41</v>
      </c>
      <c r="I96">
        <v>1</v>
      </c>
      <c r="J96">
        <f t="shared" si="2"/>
        <v>3</v>
      </c>
      <c r="K96" t="s">
        <v>41</v>
      </c>
      <c r="L96" t="e">
        <f t="shared" si="3"/>
        <v>#VALUE!</v>
      </c>
      <c r="M96" t="s">
        <v>41</v>
      </c>
      <c r="N96" t="s">
        <v>41</v>
      </c>
      <c r="O96" t="s">
        <v>41</v>
      </c>
      <c r="P96" t="s">
        <v>41</v>
      </c>
      <c r="Q96" t="s">
        <v>41</v>
      </c>
      <c r="R96" t="s">
        <v>41</v>
      </c>
      <c r="S96" t="s">
        <v>41</v>
      </c>
      <c r="T96" t="s">
        <v>41</v>
      </c>
      <c r="U96" t="s">
        <v>41</v>
      </c>
      <c r="V96" t="s">
        <v>41</v>
      </c>
      <c r="W96" t="s">
        <v>41</v>
      </c>
      <c r="X96" t="s">
        <v>41</v>
      </c>
      <c r="Y96" t="s">
        <v>41</v>
      </c>
      <c r="Z96" t="s">
        <v>41</v>
      </c>
      <c r="AA96" t="s">
        <v>41</v>
      </c>
      <c r="AB96" t="s">
        <v>41</v>
      </c>
      <c r="AC96" t="s">
        <v>41</v>
      </c>
      <c r="AD96" t="s">
        <v>41</v>
      </c>
      <c r="AE96" t="s">
        <v>41</v>
      </c>
      <c r="AF96" t="s">
        <v>41</v>
      </c>
    </row>
    <row r="97" spans="1:32" x14ac:dyDescent="0.3">
      <c r="A97" t="s">
        <v>135</v>
      </c>
      <c r="B97" t="s">
        <v>295</v>
      </c>
      <c r="C97" t="s">
        <v>62</v>
      </c>
      <c r="D97" t="s">
        <v>201</v>
      </c>
      <c r="E97" t="s">
        <v>132</v>
      </c>
      <c r="F97">
        <v>1</v>
      </c>
      <c r="G97">
        <v>1</v>
      </c>
      <c r="H97">
        <v>3</v>
      </c>
      <c r="I97">
        <v>1</v>
      </c>
      <c r="J97">
        <f t="shared" si="2"/>
        <v>6</v>
      </c>
      <c r="K97" t="s">
        <v>41</v>
      </c>
      <c r="L97" t="e">
        <f t="shared" si="3"/>
        <v>#VALUE!</v>
      </c>
      <c r="M97" t="s">
        <v>41</v>
      </c>
      <c r="N97" t="s">
        <v>41</v>
      </c>
      <c r="O97" t="s">
        <v>41</v>
      </c>
      <c r="P97" t="s">
        <v>41</v>
      </c>
      <c r="Q97" t="s">
        <v>41</v>
      </c>
      <c r="R97" t="s">
        <v>41</v>
      </c>
      <c r="S97" t="s">
        <v>41</v>
      </c>
      <c r="T97" t="s">
        <v>41</v>
      </c>
      <c r="U97" t="s">
        <v>41</v>
      </c>
      <c r="V97" t="s">
        <v>41</v>
      </c>
      <c r="W97" t="s">
        <v>41</v>
      </c>
      <c r="X97" t="s">
        <v>41</v>
      </c>
      <c r="Y97" t="s">
        <v>41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s">
        <v>41</v>
      </c>
    </row>
    <row r="98" spans="1:32" x14ac:dyDescent="0.3">
      <c r="A98" t="s">
        <v>135</v>
      </c>
      <c r="B98" t="s">
        <v>56</v>
      </c>
      <c r="C98" t="s">
        <v>296</v>
      </c>
      <c r="D98" t="s">
        <v>297</v>
      </c>
      <c r="E98" t="s">
        <v>298</v>
      </c>
      <c r="F98">
        <v>1</v>
      </c>
      <c r="G98">
        <v>1</v>
      </c>
      <c r="H98">
        <v>1</v>
      </c>
      <c r="I98" t="s">
        <v>41</v>
      </c>
      <c r="J98">
        <f t="shared" si="2"/>
        <v>3</v>
      </c>
      <c r="K98">
        <v>1</v>
      </c>
      <c r="L98">
        <f t="shared" si="3"/>
        <v>60</v>
      </c>
      <c r="M98" t="s">
        <v>41</v>
      </c>
      <c r="N98" t="s">
        <v>41</v>
      </c>
      <c r="O98" t="s">
        <v>41</v>
      </c>
      <c r="P98" t="s">
        <v>41</v>
      </c>
      <c r="Q98" t="s">
        <v>41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t="s">
        <v>41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s">
        <v>41</v>
      </c>
    </row>
    <row r="99" spans="1:32" x14ac:dyDescent="0.3">
      <c r="A99" t="s">
        <v>135</v>
      </c>
      <c r="B99" t="s">
        <v>87</v>
      </c>
      <c r="C99" t="s">
        <v>299</v>
      </c>
      <c r="D99" t="s">
        <v>41</v>
      </c>
      <c r="E99" t="s">
        <v>41</v>
      </c>
      <c r="F99">
        <v>1</v>
      </c>
      <c r="G99" t="s">
        <v>41</v>
      </c>
      <c r="H99" t="s">
        <v>41</v>
      </c>
      <c r="I99">
        <v>2</v>
      </c>
      <c r="J99">
        <f t="shared" si="2"/>
        <v>3</v>
      </c>
      <c r="K99" t="s">
        <v>41</v>
      </c>
      <c r="L99" t="e">
        <f t="shared" si="3"/>
        <v>#VALUE!</v>
      </c>
      <c r="M99" t="s">
        <v>41</v>
      </c>
      <c r="N99" t="s">
        <v>41</v>
      </c>
      <c r="O99" t="s">
        <v>41</v>
      </c>
      <c r="P99" t="s">
        <v>41</v>
      </c>
      <c r="Q99" t="s">
        <v>41</v>
      </c>
      <c r="R99" t="s">
        <v>41</v>
      </c>
      <c r="S99" t="s">
        <v>41</v>
      </c>
      <c r="T99" t="s">
        <v>41</v>
      </c>
      <c r="U99" t="s">
        <v>41</v>
      </c>
      <c r="V99" t="s">
        <v>41</v>
      </c>
      <c r="W99" t="s">
        <v>41</v>
      </c>
      <c r="X99" t="s">
        <v>41</v>
      </c>
      <c r="Y99" t="s">
        <v>41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s">
        <v>41</v>
      </c>
    </row>
    <row r="100" spans="1:32" x14ac:dyDescent="0.3">
      <c r="A100" t="s">
        <v>135</v>
      </c>
      <c r="B100" t="s">
        <v>300</v>
      </c>
      <c r="C100" t="s">
        <v>301</v>
      </c>
      <c r="D100" t="s">
        <v>272</v>
      </c>
      <c r="E100" t="s">
        <v>41</v>
      </c>
      <c r="F100">
        <v>1</v>
      </c>
      <c r="G100">
        <v>1</v>
      </c>
      <c r="H100" t="s">
        <v>41</v>
      </c>
      <c r="I100">
        <v>1</v>
      </c>
      <c r="J100">
        <f t="shared" si="2"/>
        <v>3</v>
      </c>
      <c r="K100" t="s">
        <v>41</v>
      </c>
      <c r="L100" t="e">
        <f t="shared" si="3"/>
        <v>#VALUE!</v>
      </c>
      <c r="M100" t="s">
        <v>41</v>
      </c>
      <c r="N100" t="s">
        <v>41</v>
      </c>
      <c r="O100" t="s">
        <v>41</v>
      </c>
      <c r="P100" t="s">
        <v>41</v>
      </c>
      <c r="Q100" t="s">
        <v>41</v>
      </c>
      <c r="R100" t="s">
        <v>41</v>
      </c>
      <c r="S100" t="s">
        <v>41</v>
      </c>
      <c r="T100" t="s">
        <v>41</v>
      </c>
      <c r="U100" t="s">
        <v>41</v>
      </c>
      <c r="V100" t="s">
        <v>41</v>
      </c>
      <c r="W100" t="s">
        <v>41</v>
      </c>
      <c r="X100" t="s">
        <v>41</v>
      </c>
      <c r="Y100" t="s">
        <v>41</v>
      </c>
      <c r="Z100" t="s">
        <v>41</v>
      </c>
      <c r="AA100" t="s">
        <v>41</v>
      </c>
      <c r="AB100" t="s">
        <v>41</v>
      </c>
      <c r="AC100" t="s">
        <v>41</v>
      </c>
      <c r="AD100" t="s">
        <v>41</v>
      </c>
      <c r="AE100" t="s">
        <v>41</v>
      </c>
      <c r="AF100" t="s">
        <v>41</v>
      </c>
    </row>
    <row r="101" spans="1:32" x14ac:dyDescent="0.3">
      <c r="A101" t="s">
        <v>135</v>
      </c>
      <c r="B101" t="s">
        <v>42</v>
      </c>
      <c r="C101" t="s">
        <v>253</v>
      </c>
      <c r="D101" t="s">
        <v>118</v>
      </c>
      <c r="E101" t="s">
        <v>114</v>
      </c>
      <c r="F101">
        <v>1</v>
      </c>
      <c r="G101">
        <v>1</v>
      </c>
      <c r="H101" t="s">
        <v>41</v>
      </c>
      <c r="I101">
        <v>1</v>
      </c>
      <c r="J101">
        <f t="shared" si="2"/>
        <v>3</v>
      </c>
      <c r="K101" t="s">
        <v>41</v>
      </c>
      <c r="L101" t="e">
        <f t="shared" si="3"/>
        <v>#VALUE!</v>
      </c>
      <c r="M101">
        <v>1</v>
      </c>
      <c r="N101" t="s">
        <v>41</v>
      </c>
      <c r="O101" t="s">
        <v>41</v>
      </c>
      <c r="P101" t="s">
        <v>41</v>
      </c>
      <c r="Q101" t="s">
        <v>41</v>
      </c>
      <c r="R101" t="s">
        <v>41</v>
      </c>
      <c r="S101" t="s">
        <v>41</v>
      </c>
      <c r="T101" t="s">
        <v>41</v>
      </c>
      <c r="U101" t="s">
        <v>41</v>
      </c>
      <c r="V101" t="s">
        <v>41</v>
      </c>
      <c r="W101" t="s">
        <v>41</v>
      </c>
      <c r="X101" t="s">
        <v>41</v>
      </c>
      <c r="Y101" t="s">
        <v>41</v>
      </c>
      <c r="Z101" t="s">
        <v>41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s">
        <v>41</v>
      </c>
    </row>
    <row r="102" spans="1:32" x14ac:dyDescent="0.3">
      <c r="A102" t="s">
        <v>135</v>
      </c>
      <c r="B102" t="s">
        <v>89</v>
      </c>
      <c r="C102" t="s">
        <v>302</v>
      </c>
      <c r="D102" t="s">
        <v>41</v>
      </c>
      <c r="E102" t="s">
        <v>41</v>
      </c>
      <c r="F102">
        <v>1</v>
      </c>
      <c r="G102" t="s">
        <v>41</v>
      </c>
      <c r="H102" t="s">
        <v>41</v>
      </c>
      <c r="I102" t="s">
        <v>41</v>
      </c>
      <c r="J102">
        <f t="shared" si="2"/>
        <v>1</v>
      </c>
      <c r="K102" t="s">
        <v>41</v>
      </c>
      <c r="L102" t="e">
        <f t="shared" si="3"/>
        <v>#VALUE!</v>
      </c>
      <c r="M102" t="s">
        <v>41</v>
      </c>
      <c r="N102" t="s">
        <v>41</v>
      </c>
      <c r="O102" t="s">
        <v>41</v>
      </c>
      <c r="P102" t="s">
        <v>41</v>
      </c>
      <c r="Q102" t="s">
        <v>41</v>
      </c>
      <c r="R102" t="s">
        <v>41</v>
      </c>
      <c r="S102" t="s">
        <v>41</v>
      </c>
      <c r="T102" t="s">
        <v>41</v>
      </c>
      <c r="U102" t="s">
        <v>41</v>
      </c>
      <c r="V102" t="s">
        <v>41</v>
      </c>
      <c r="W102" t="s">
        <v>41</v>
      </c>
      <c r="X102" t="s">
        <v>41</v>
      </c>
      <c r="Y102" t="s">
        <v>41</v>
      </c>
      <c r="Z102" t="s">
        <v>41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t="s">
        <v>41</v>
      </c>
    </row>
    <row r="103" spans="1:32" x14ac:dyDescent="0.3">
      <c r="A103" t="s">
        <v>135</v>
      </c>
      <c r="B103" t="s">
        <v>121</v>
      </c>
      <c r="C103" t="s">
        <v>56</v>
      </c>
      <c r="D103" t="s">
        <v>303</v>
      </c>
      <c r="E103" t="s">
        <v>259</v>
      </c>
      <c r="F103">
        <v>1</v>
      </c>
      <c r="G103">
        <v>1</v>
      </c>
      <c r="H103" t="s">
        <v>41</v>
      </c>
      <c r="I103">
        <v>1</v>
      </c>
      <c r="J103">
        <f t="shared" si="2"/>
        <v>3</v>
      </c>
      <c r="K103" t="s">
        <v>41</v>
      </c>
      <c r="L103" t="e">
        <f t="shared" si="3"/>
        <v>#VALUE!</v>
      </c>
      <c r="M103">
        <v>1</v>
      </c>
      <c r="N103" t="s">
        <v>41</v>
      </c>
      <c r="O103" t="s">
        <v>41</v>
      </c>
      <c r="P103" t="s">
        <v>41</v>
      </c>
      <c r="Q103" t="s">
        <v>41</v>
      </c>
      <c r="R103" t="s">
        <v>41</v>
      </c>
      <c r="S103" t="s">
        <v>41</v>
      </c>
      <c r="T103">
        <v>0.5</v>
      </c>
      <c r="U103" t="s">
        <v>41</v>
      </c>
      <c r="V103" t="s">
        <v>41</v>
      </c>
      <c r="W103" t="s">
        <v>41</v>
      </c>
      <c r="X103" t="s">
        <v>41</v>
      </c>
      <c r="Y103" t="s">
        <v>41</v>
      </c>
      <c r="Z103" t="s">
        <v>41</v>
      </c>
      <c r="AA103" t="s">
        <v>41</v>
      </c>
      <c r="AB103" t="s">
        <v>41</v>
      </c>
      <c r="AC103" t="s">
        <v>41</v>
      </c>
      <c r="AD103" t="s">
        <v>41</v>
      </c>
      <c r="AE103" t="s">
        <v>41</v>
      </c>
      <c r="AF103" t="s">
        <v>41</v>
      </c>
    </row>
    <row r="104" spans="1:32" x14ac:dyDescent="0.3">
      <c r="A104" t="s">
        <v>135</v>
      </c>
      <c r="B104" t="s">
        <v>304</v>
      </c>
      <c r="C104" t="s">
        <v>81</v>
      </c>
      <c r="D104" t="s">
        <v>96</v>
      </c>
      <c r="E104" t="s">
        <v>305</v>
      </c>
      <c r="F104">
        <v>1</v>
      </c>
      <c r="G104">
        <v>1</v>
      </c>
      <c r="H104" t="s">
        <v>41</v>
      </c>
      <c r="I104" t="s">
        <v>41</v>
      </c>
      <c r="J104">
        <f t="shared" si="2"/>
        <v>2</v>
      </c>
      <c r="K104" t="s">
        <v>41</v>
      </c>
      <c r="L104" t="e">
        <f t="shared" si="3"/>
        <v>#VALUE!</v>
      </c>
      <c r="M104" t="s">
        <v>41</v>
      </c>
      <c r="N104" t="s">
        <v>41</v>
      </c>
      <c r="O104" t="s">
        <v>41</v>
      </c>
      <c r="P104" t="s">
        <v>41</v>
      </c>
      <c r="Q104" t="s">
        <v>41</v>
      </c>
      <c r="R104" t="s">
        <v>41</v>
      </c>
      <c r="S104" t="s">
        <v>41</v>
      </c>
      <c r="T104" t="s">
        <v>41</v>
      </c>
      <c r="U104" t="s">
        <v>41</v>
      </c>
      <c r="V104" t="s">
        <v>41</v>
      </c>
      <c r="W104" t="s">
        <v>41</v>
      </c>
      <c r="X104" t="s">
        <v>41</v>
      </c>
      <c r="Y104" t="s">
        <v>41</v>
      </c>
      <c r="Z104" t="s">
        <v>41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41</v>
      </c>
    </row>
    <row r="105" spans="1:32" x14ac:dyDescent="0.3">
      <c r="A105" t="s">
        <v>135</v>
      </c>
      <c r="B105" t="s">
        <v>306</v>
      </c>
      <c r="C105" t="s">
        <v>307</v>
      </c>
      <c r="D105" t="s">
        <v>308</v>
      </c>
      <c r="E105" t="s">
        <v>89</v>
      </c>
      <c r="F105">
        <v>1</v>
      </c>
      <c r="G105">
        <v>1</v>
      </c>
      <c r="H105" t="s">
        <v>41</v>
      </c>
      <c r="I105">
        <v>1</v>
      </c>
      <c r="J105">
        <f t="shared" si="2"/>
        <v>3</v>
      </c>
      <c r="K105" t="s">
        <v>41</v>
      </c>
      <c r="L105" t="e">
        <f t="shared" si="3"/>
        <v>#VALUE!</v>
      </c>
      <c r="M105" t="s">
        <v>41</v>
      </c>
      <c r="N105" t="s">
        <v>41</v>
      </c>
      <c r="O105" t="s">
        <v>41</v>
      </c>
      <c r="P105" t="s">
        <v>41</v>
      </c>
      <c r="Q105" t="s">
        <v>41</v>
      </c>
      <c r="R105" t="s">
        <v>41</v>
      </c>
      <c r="S105" t="s">
        <v>41</v>
      </c>
      <c r="T105" t="s">
        <v>41</v>
      </c>
      <c r="U105" t="s">
        <v>41</v>
      </c>
      <c r="V105" t="s">
        <v>41</v>
      </c>
      <c r="W105" t="s">
        <v>41</v>
      </c>
      <c r="X105" t="s">
        <v>41</v>
      </c>
      <c r="Y105" t="s">
        <v>41</v>
      </c>
      <c r="Z105" t="s">
        <v>41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s">
        <v>41</v>
      </c>
    </row>
    <row r="106" spans="1:32" x14ac:dyDescent="0.3">
      <c r="A106" t="s">
        <v>135</v>
      </c>
      <c r="B106" t="s">
        <v>309</v>
      </c>
      <c r="C106" t="s">
        <v>47</v>
      </c>
      <c r="D106" t="s">
        <v>61</v>
      </c>
      <c r="E106" t="s">
        <v>310</v>
      </c>
      <c r="F106">
        <v>1</v>
      </c>
      <c r="G106">
        <v>1</v>
      </c>
      <c r="H106">
        <v>3</v>
      </c>
      <c r="I106">
        <v>3</v>
      </c>
      <c r="J106">
        <f t="shared" si="2"/>
        <v>8</v>
      </c>
      <c r="K106" t="s">
        <v>41</v>
      </c>
      <c r="L106" t="e">
        <f t="shared" si="3"/>
        <v>#VALUE!</v>
      </c>
      <c r="M106">
        <v>2</v>
      </c>
      <c r="N106" t="s">
        <v>41</v>
      </c>
      <c r="O106">
        <v>5</v>
      </c>
      <c r="P106" t="s">
        <v>41</v>
      </c>
      <c r="Q106" t="s">
        <v>41</v>
      </c>
      <c r="R106" t="s">
        <v>41</v>
      </c>
      <c r="S106" t="s">
        <v>41</v>
      </c>
      <c r="T106">
        <v>0.75</v>
      </c>
      <c r="U106" t="s">
        <v>41</v>
      </c>
      <c r="V106" t="s">
        <v>41</v>
      </c>
      <c r="W106" t="s">
        <v>41</v>
      </c>
      <c r="X106">
        <v>4</v>
      </c>
      <c r="Y106" t="s">
        <v>41</v>
      </c>
      <c r="Z106" t="s">
        <v>41</v>
      </c>
      <c r="AA106" t="s">
        <v>41</v>
      </c>
      <c r="AB106" t="s">
        <v>41</v>
      </c>
      <c r="AC106" t="s">
        <v>41</v>
      </c>
      <c r="AD106" t="s">
        <v>41</v>
      </c>
      <c r="AE106" t="s">
        <v>41</v>
      </c>
      <c r="AF106" t="s">
        <v>41</v>
      </c>
    </row>
    <row r="107" spans="1:32" x14ac:dyDescent="0.3">
      <c r="A107" t="s">
        <v>135</v>
      </c>
      <c r="B107" t="s">
        <v>311</v>
      </c>
      <c r="C107" t="s">
        <v>312</v>
      </c>
      <c r="D107" t="s">
        <v>308</v>
      </c>
      <c r="E107" t="s">
        <v>48</v>
      </c>
      <c r="F107">
        <v>1</v>
      </c>
      <c r="G107">
        <v>1</v>
      </c>
      <c r="H107">
        <v>1</v>
      </c>
      <c r="I107">
        <v>1</v>
      </c>
      <c r="J107">
        <f t="shared" si="2"/>
        <v>4</v>
      </c>
      <c r="K107" t="s">
        <v>41</v>
      </c>
      <c r="L107" t="e">
        <f t="shared" si="3"/>
        <v>#VALUE!</v>
      </c>
      <c r="M107">
        <v>1</v>
      </c>
      <c r="N107" t="s">
        <v>41</v>
      </c>
      <c r="O107" t="s">
        <v>41</v>
      </c>
      <c r="P107" t="s">
        <v>41</v>
      </c>
      <c r="Q107" t="s">
        <v>41</v>
      </c>
      <c r="R107" t="s">
        <v>41</v>
      </c>
      <c r="S107" t="s">
        <v>41</v>
      </c>
      <c r="T107" t="s">
        <v>41</v>
      </c>
      <c r="U107" t="s">
        <v>41</v>
      </c>
      <c r="V107" t="s">
        <v>41</v>
      </c>
      <c r="W107" t="s">
        <v>41</v>
      </c>
      <c r="X107" t="s">
        <v>41</v>
      </c>
      <c r="Y107" t="s">
        <v>41</v>
      </c>
      <c r="Z107" t="s">
        <v>41</v>
      </c>
      <c r="AA107" t="s">
        <v>41</v>
      </c>
      <c r="AB107" t="s">
        <v>41</v>
      </c>
      <c r="AC107" t="s">
        <v>41</v>
      </c>
      <c r="AD107" t="s">
        <v>41</v>
      </c>
      <c r="AE107" t="s">
        <v>41</v>
      </c>
      <c r="AF107" t="s">
        <v>41</v>
      </c>
    </row>
    <row r="108" spans="1:32" x14ac:dyDescent="0.3">
      <c r="A108" t="s">
        <v>135</v>
      </c>
      <c r="B108" t="s">
        <v>237</v>
      </c>
      <c r="C108" t="s">
        <v>313</v>
      </c>
      <c r="D108" t="s">
        <v>314</v>
      </c>
      <c r="E108" t="s">
        <v>315</v>
      </c>
      <c r="F108">
        <v>1</v>
      </c>
      <c r="G108">
        <v>1</v>
      </c>
      <c r="H108">
        <v>1</v>
      </c>
      <c r="I108">
        <v>3</v>
      </c>
      <c r="J108">
        <f t="shared" si="2"/>
        <v>6</v>
      </c>
      <c r="K108" t="s">
        <v>41</v>
      </c>
      <c r="L108" t="e">
        <f t="shared" si="3"/>
        <v>#VALUE!</v>
      </c>
      <c r="M108">
        <v>3</v>
      </c>
      <c r="N108">
        <v>2</v>
      </c>
      <c r="O108" t="s">
        <v>41</v>
      </c>
      <c r="P108" t="s">
        <v>41</v>
      </c>
      <c r="Q108" t="s">
        <v>41</v>
      </c>
      <c r="R108" t="s">
        <v>41</v>
      </c>
      <c r="S108" t="s">
        <v>41</v>
      </c>
      <c r="T108">
        <v>0.5</v>
      </c>
      <c r="U108">
        <v>0.5</v>
      </c>
      <c r="V108" t="s">
        <v>41</v>
      </c>
      <c r="W108" t="s">
        <v>41</v>
      </c>
      <c r="X108">
        <v>6</v>
      </c>
      <c r="Y108">
        <v>13</v>
      </c>
      <c r="Z108" t="s">
        <v>41</v>
      </c>
      <c r="AA108" t="s">
        <v>41</v>
      </c>
      <c r="AB108" t="s">
        <v>41</v>
      </c>
      <c r="AC108" t="s">
        <v>41</v>
      </c>
      <c r="AD108">
        <v>6</v>
      </c>
      <c r="AE108" t="s">
        <v>41</v>
      </c>
      <c r="AF108" t="s">
        <v>41</v>
      </c>
    </row>
    <row r="109" spans="1:32" x14ac:dyDescent="0.3">
      <c r="A109" t="s">
        <v>135</v>
      </c>
      <c r="B109" t="s">
        <v>225</v>
      </c>
      <c r="C109" t="s">
        <v>47</v>
      </c>
      <c r="D109" t="s">
        <v>41</v>
      </c>
      <c r="E109" t="s">
        <v>41</v>
      </c>
      <c r="F109">
        <v>1</v>
      </c>
      <c r="G109" t="s">
        <v>41</v>
      </c>
      <c r="H109" t="s">
        <v>41</v>
      </c>
      <c r="I109" t="s">
        <v>41</v>
      </c>
      <c r="J109">
        <f t="shared" si="2"/>
        <v>1</v>
      </c>
      <c r="K109" t="s">
        <v>41</v>
      </c>
      <c r="L109" t="e">
        <f t="shared" si="3"/>
        <v>#VALUE!</v>
      </c>
      <c r="M109" t="s">
        <v>41</v>
      </c>
      <c r="N109" t="s">
        <v>41</v>
      </c>
      <c r="O109" t="s">
        <v>41</v>
      </c>
      <c r="P109" t="s">
        <v>41</v>
      </c>
      <c r="Q109" t="s">
        <v>41</v>
      </c>
      <c r="R109" t="s">
        <v>41</v>
      </c>
      <c r="S109" t="s">
        <v>41</v>
      </c>
      <c r="T109" t="s">
        <v>41</v>
      </c>
      <c r="U109" t="s">
        <v>41</v>
      </c>
      <c r="V109" t="s">
        <v>41</v>
      </c>
      <c r="W109" t="s">
        <v>41</v>
      </c>
      <c r="X109" t="s">
        <v>41</v>
      </c>
      <c r="Y109" t="s">
        <v>41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41</v>
      </c>
    </row>
    <row r="110" spans="1:32" x14ac:dyDescent="0.3">
      <c r="A110" t="s">
        <v>135</v>
      </c>
      <c r="B110" t="s">
        <v>60</v>
      </c>
      <c r="C110" t="s">
        <v>130</v>
      </c>
      <c r="D110" t="s">
        <v>78</v>
      </c>
      <c r="E110" t="s">
        <v>316</v>
      </c>
      <c r="F110">
        <v>1</v>
      </c>
      <c r="G110">
        <v>1</v>
      </c>
      <c r="H110" t="s">
        <v>41</v>
      </c>
      <c r="I110" t="s">
        <v>41</v>
      </c>
      <c r="J110">
        <f t="shared" si="2"/>
        <v>2</v>
      </c>
      <c r="K110">
        <v>1</v>
      </c>
      <c r="L110">
        <f t="shared" si="3"/>
        <v>60</v>
      </c>
      <c r="M110" t="s">
        <v>41</v>
      </c>
      <c r="N110" t="s">
        <v>41</v>
      </c>
      <c r="O110" t="s">
        <v>41</v>
      </c>
      <c r="P110" t="s">
        <v>41</v>
      </c>
      <c r="Q110" t="s">
        <v>41</v>
      </c>
      <c r="R110" t="s">
        <v>41</v>
      </c>
      <c r="S110" t="s">
        <v>41</v>
      </c>
      <c r="T110" t="s">
        <v>41</v>
      </c>
      <c r="U110" t="s">
        <v>41</v>
      </c>
      <c r="V110" t="s">
        <v>41</v>
      </c>
      <c r="W110" t="s">
        <v>41</v>
      </c>
      <c r="X110" t="s">
        <v>41</v>
      </c>
      <c r="Y110" t="s">
        <v>41</v>
      </c>
      <c r="Z110" t="s">
        <v>41</v>
      </c>
      <c r="AA110" t="s">
        <v>41</v>
      </c>
      <c r="AB110" t="s">
        <v>41</v>
      </c>
      <c r="AC110" t="s">
        <v>41</v>
      </c>
      <c r="AD110" t="s">
        <v>41</v>
      </c>
      <c r="AE110" t="s">
        <v>41</v>
      </c>
      <c r="AF110" t="s">
        <v>41</v>
      </c>
    </row>
    <row r="111" spans="1:32" x14ac:dyDescent="0.3">
      <c r="A111" t="s">
        <v>135</v>
      </c>
      <c r="B111" t="s">
        <v>306</v>
      </c>
      <c r="C111" t="s">
        <v>220</v>
      </c>
      <c r="D111" t="s">
        <v>41</v>
      </c>
      <c r="E111" t="s">
        <v>41</v>
      </c>
      <c r="F111">
        <v>1</v>
      </c>
      <c r="G111" t="s">
        <v>41</v>
      </c>
      <c r="H111" t="s">
        <v>41</v>
      </c>
      <c r="I111" t="s">
        <v>41</v>
      </c>
      <c r="J111">
        <f t="shared" si="2"/>
        <v>1</v>
      </c>
      <c r="K111" t="s">
        <v>41</v>
      </c>
      <c r="L111" t="e">
        <f t="shared" si="3"/>
        <v>#VALUE!</v>
      </c>
      <c r="M111" t="s">
        <v>41</v>
      </c>
      <c r="N111" t="s">
        <v>41</v>
      </c>
      <c r="O111" t="s">
        <v>41</v>
      </c>
      <c r="P111" t="s">
        <v>41</v>
      </c>
      <c r="Q111" t="s">
        <v>41</v>
      </c>
      <c r="R111" t="s">
        <v>41</v>
      </c>
      <c r="S111" t="s">
        <v>41</v>
      </c>
      <c r="T111" t="s">
        <v>41</v>
      </c>
      <c r="U111" t="s">
        <v>41</v>
      </c>
      <c r="V111" t="s">
        <v>41</v>
      </c>
      <c r="W111" t="s">
        <v>41</v>
      </c>
      <c r="X111" t="s">
        <v>41</v>
      </c>
      <c r="Y111" t="s">
        <v>41</v>
      </c>
      <c r="Z111" t="s">
        <v>41</v>
      </c>
      <c r="AA111" t="s">
        <v>41</v>
      </c>
      <c r="AB111" t="s">
        <v>41</v>
      </c>
      <c r="AC111" t="s">
        <v>41</v>
      </c>
      <c r="AD111" t="s">
        <v>41</v>
      </c>
      <c r="AE111" t="s">
        <v>41</v>
      </c>
      <c r="AF111" t="s">
        <v>41</v>
      </c>
    </row>
    <row r="112" spans="1:32" x14ac:dyDescent="0.3">
      <c r="A112" t="s">
        <v>135</v>
      </c>
      <c r="B112" t="s">
        <v>91</v>
      </c>
      <c r="C112" t="s">
        <v>228</v>
      </c>
      <c r="D112" t="s">
        <v>203</v>
      </c>
      <c r="E112" t="s">
        <v>53</v>
      </c>
      <c r="F112">
        <v>1</v>
      </c>
      <c r="G112">
        <v>1</v>
      </c>
      <c r="H112">
        <v>3</v>
      </c>
      <c r="I112">
        <v>3</v>
      </c>
      <c r="J112">
        <f t="shared" si="2"/>
        <v>8</v>
      </c>
      <c r="K112" t="s">
        <v>41</v>
      </c>
      <c r="L112" t="e">
        <f t="shared" si="3"/>
        <v>#VALUE!</v>
      </c>
      <c r="M112">
        <v>2</v>
      </c>
      <c r="N112" t="s">
        <v>41</v>
      </c>
      <c r="O112">
        <v>2</v>
      </c>
      <c r="P112" t="s">
        <v>41</v>
      </c>
      <c r="Q112" t="s">
        <v>41</v>
      </c>
      <c r="R112" t="s">
        <v>41</v>
      </c>
      <c r="S112" t="s">
        <v>41</v>
      </c>
      <c r="T112" t="s">
        <v>41</v>
      </c>
      <c r="U112" t="s">
        <v>41</v>
      </c>
      <c r="V112" t="s">
        <v>41</v>
      </c>
      <c r="W112" t="s">
        <v>41</v>
      </c>
      <c r="X112" t="s">
        <v>41</v>
      </c>
      <c r="Y112" t="s">
        <v>41</v>
      </c>
      <c r="Z112" t="s">
        <v>41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  <c r="AF112" t="s">
        <v>41</v>
      </c>
    </row>
    <row r="113" spans="1:32" x14ac:dyDescent="0.3">
      <c r="A113" t="s">
        <v>135</v>
      </c>
      <c r="B113" t="s">
        <v>42</v>
      </c>
      <c r="C113" t="s">
        <v>110</v>
      </c>
      <c r="D113" t="s">
        <v>286</v>
      </c>
      <c r="E113" t="s">
        <v>90</v>
      </c>
      <c r="F113">
        <v>1</v>
      </c>
      <c r="G113">
        <v>1</v>
      </c>
      <c r="H113">
        <v>1</v>
      </c>
      <c r="I113">
        <v>2</v>
      </c>
      <c r="J113">
        <f t="shared" si="2"/>
        <v>5</v>
      </c>
      <c r="K113" t="s">
        <v>41</v>
      </c>
      <c r="L113" t="e">
        <f t="shared" si="3"/>
        <v>#VALUE!</v>
      </c>
      <c r="M113">
        <v>6</v>
      </c>
      <c r="N113" t="s">
        <v>41</v>
      </c>
      <c r="O113" t="s">
        <v>41</v>
      </c>
      <c r="P113" t="s">
        <v>41</v>
      </c>
      <c r="Q113" t="s">
        <v>41</v>
      </c>
      <c r="R113" t="s">
        <v>41</v>
      </c>
      <c r="S113" t="s">
        <v>41</v>
      </c>
      <c r="T113" t="s">
        <v>41</v>
      </c>
      <c r="U113" t="s">
        <v>41</v>
      </c>
      <c r="V113" t="s">
        <v>41</v>
      </c>
      <c r="W113" t="s">
        <v>41</v>
      </c>
      <c r="X113" t="s">
        <v>41</v>
      </c>
      <c r="Y113" t="s">
        <v>41</v>
      </c>
      <c r="Z113" t="s">
        <v>41</v>
      </c>
      <c r="AA113" t="s">
        <v>41</v>
      </c>
      <c r="AB113" t="s">
        <v>41</v>
      </c>
      <c r="AC113" t="s">
        <v>41</v>
      </c>
      <c r="AD113" t="s">
        <v>41</v>
      </c>
      <c r="AE113" t="s">
        <v>41</v>
      </c>
      <c r="AF113" t="s">
        <v>41</v>
      </c>
    </row>
    <row r="114" spans="1:32" x14ac:dyDescent="0.3">
      <c r="A114" t="s">
        <v>135</v>
      </c>
      <c r="B114" t="s">
        <v>317</v>
      </c>
      <c r="C114" t="s">
        <v>230</v>
      </c>
      <c r="D114" t="s">
        <v>318</v>
      </c>
      <c r="E114" t="s">
        <v>105</v>
      </c>
      <c r="F114">
        <v>1</v>
      </c>
      <c r="G114">
        <v>1</v>
      </c>
      <c r="H114">
        <v>2</v>
      </c>
      <c r="I114">
        <v>3</v>
      </c>
      <c r="J114">
        <f t="shared" si="2"/>
        <v>7</v>
      </c>
      <c r="K114" t="s">
        <v>41</v>
      </c>
      <c r="L114" t="e">
        <f t="shared" si="3"/>
        <v>#VALUE!</v>
      </c>
      <c r="M114" t="s">
        <v>41</v>
      </c>
      <c r="N114" t="s">
        <v>41</v>
      </c>
      <c r="O114">
        <v>6</v>
      </c>
      <c r="P114" t="s">
        <v>41</v>
      </c>
      <c r="Q114" t="s">
        <v>41</v>
      </c>
      <c r="R114" t="s">
        <v>41</v>
      </c>
      <c r="S114" t="s">
        <v>41</v>
      </c>
      <c r="T114">
        <v>0.75</v>
      </c>
      <c r="U114" t="s">
        <v>41</v>
      </c>
      <c r="V114" t="s">
        <v>41</v>
      </c>
      <c r="W114" t="s">
        <v>41</v>
      </c>
      <c r="X114">
        <v>2</v>
      </c>
      <c r="Y114" t="s">
        <v>41</v>
      </c>
      <c r="Z114" t="s">
        <v>41</v>
      </c>
      <c r="AA114" t="s">
        <v>41</v>
      </c>
      <c r="AB114">
        <v>1</v>
      </c>
      <c r="AC114" t="s">
        <v>41</v>
      </c>
      <c r="AD114">
        <v>5</v>
      </c>
      <c r="AE114">
        <v>2</v>
      </c>
      <c r="AF114">
        <v>4</v>
      </c>
    </row>
    <row r="115" spans="1:32" x14ac:dyDescent="0.3">
      <c r="A115" t="s">
        <v>135</v>
      </c>
      <c r="B115" t="s">
        <v>319</v>
      </c>
      <c r="C115" t="s">
        <v>230</v>
      </c>
      <c r="D115" t="s">
        <v>320</v>
      </c>
      <c r="E115" t="s">
        <v>321</v>
      </c>
      <c r="F115">
        <v>1</v>
      </c>
      <c r="G115">
        <v>1</v>
      </c>
      <c r="H115">
        <v>2</v>
      </c>
      <c r="I115">
        <v>1</v>
      </c>
      <c r="J115">
        <f t="shared" si="2"/>
        <v>5</v>
      </c>
      <c r="K115" t="s">
        <v>41</v>
      </c>
      <c r="L115" t="e">
        <f t="shared" si="3"/>
        <v>#VALUE!</v>
      </c>
      <c r="M115">
        <v>2</v>
      </c>
      <c r="N115" t="s">
        <v>41</v>
      </c>
      <c r="O115" t="s">
        <v>41</v>
      </c>
      <c r="P115" t="s">
        <v>41</v>
      </c>
      <c r="Q115" t="s">
        <v>41</v>
      </c>
      <c r="R115" t="s">
        <v>41</v>
      </c>
      <c r="S115" t="s">
        <v>41</v>
      </c>
      <c r="T115" t="s">
        <v>41</v>
      </c>
      <c r="U115" t="s">
        <v>41</v>
      </c>
      <c r="V115" t="s">
        <v>41</v>
      </c>
      <c r="W115" t="s">
        <v>41</v>
      </c>
      <c r="X115" t="s">
        <v>41</v>
      </c>
      <c r="Y115" t="s">
        <v>41</v>
      </c>
      <c r="Z115" t="s">
        <v>41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  <c r="AF115" t="s">
        <v>41</v>
      </c>
    </row>
    <row r="116" spans="1:32" x14ac:dyDescent="0.3">
      <c r="A116" t="s">
        <v>135</v>
      </c>
      <c r="B116" t="s">
        <v>243</v>
      </c>
      <c r="C116" t="s">
        <v>323</v>
      </c>
      <c r="D116" t="s">
        <v>50</v>
      </c>
      <c r="E116" t="s">
        <v>53</v>
      </c>
      <c r="F116">
        <v>1</v>
      </c>
      <c r="G116">
        <v>1</v>
      </c>
      <c r="H116">
        <v>1</v>
      </c>
      <c r="I116">
        <v>3</v>
      </c>
      <c r="J116">
        <f t="shared" si="2"/>
        <v>6</v>
      </c>
      <c r="K116">
        <v>1</v>
      </c>
      <c r="L116">
        <f t="shared" si="3"/>
        <v>60</v>
      </c>
      <c r="M116" t="s">
        <v>41</v>
      </c>
      <c r="N116" t="s">
        <v>41</v>
      </c>
      <c r="O116" t="s">
        <v>41</v>
      </c>
      <c r="P116" t="s">
        <v>41</v>
      </c>
      <c r="Q116" t="s">
        <v>41</v>
      </c>
      <c r="R116" t="s">
        <v>41</v>
      </c>
      <c r="S116" t="s">
        <v>41</v>
      </c>
      <c r="T116" t="s">
        <v>41</v>
      </c>
      <c r="U116">
        <v>0.5</v>
      </c>
      <c r="V116" t="s">
        <v>41</v>
      </c>
      <c r="W116" t="s">
        <v>41</v>
      </c>
      <c r="X116" t="s">
        <v>41</v>
      </c>
      <c r="Y116">
        <v>8</v>
      </c>
      <c r="Z116" t="s">
        <v>41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t="s">
        <v>41</v>
      </c>
    </row>
    <row r="117" spans="1:32" x14ac:dyDescent="0.3">
      <c r="A117" t="s">
        <v>135</v>
      </c>
      <c r="B117" t="s">
        <v>40</v>
      </c>
      <c r="C117" t="s">
        <v>103</v>
      </c>
      <c r="D117" t="s">
        <v>176</v>
      </c>
      <c r="E117" t="s">
        <v>322</v>
      </c>
      <c r="F117">
        <v>1</v>
      </c>
      <c r="G117">
        <v>1</v>
      </c>
      <c r="H117" t="s">
        <v>41</v>
      </c>
      <c r="I117">
        <v>2</v>
      </c>
      <c r="J117">
        <f t="shared" si="2"/>
        <v>4</v>
      </c>
      <c r="K117" t="s">
        <v>41</v>
      </c>
      <c r="L117" t="e">
        <f t="shared" si="3"/>
        <v>#VALUE!</v>
      </c>
      <c r="M117">
        <v>1</v>
      </c>
      <c r="N117">
        <v>3</v>
      </c>
      <c r="O117">
        <v>2</v>
      </c>
      <c r="P117" t="s">
        <v>41</v>
      </c>
      <c r="Q117" t="s">
        <v>41</v>
      </c>
      <c r="R117" t="s">
        <v>41</v>
      </c>
      <c r="S117" t="s">
        <v>41</v>
      </c>
      <c r="T117" t="s">
        <v>41</v>
      </c>
      <c r="U117" t="s">
        <v>41</v>
      </c>
      <c r="V117" t="s">
        <v>41</v>
      </c>
      <c r="W117" t="s">
        <v>41</v>
      </c>
      <c r="X117" t="s">
        <v>41</v>
      </c>
      <c r="Y117" t="s">
        <v>41</v>
      </c>
      <c r="Z117" t="s">
        <v>41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s">
        <v>41</v>
      </c>
    </row>
    <row r="118" spans="1:32" x14ac:dyDescent="0.3">
      <c r="A118" t="s">
        <v>135</v>
      </c>
      <c r="B118" t="s">
        <v>115</v>
      </c>
      <c r="C118" t="s">
        <v>324</v>
      </c>
      <c r="D118" t="s">
        <v>187</v>
      </c>
      <c r="E118" t="s">
        <v>52</v>
      </c>
      <c r="F118">
        <v>1</v>
      </c>
      <c r="G118">
        <v>1</v>
      </c>
      <c r="H118" t="s">
        <v>41</v>
      </c>
      <c r="I118">
        <v>2</v>
      </c>
      <c r="J118">
        <f t="shared" ref="J118:J181" si="4">SUM(F118:I118)</f>
        <v>4</v>
      </c>
      <c r="K118" t="s">
        <v>41</v>
      </c>
      <c r="L118" t="e">
        <f t="shared" ref="L118:L181" si="5">K118*60</f>
        <v>#VALUE!</v>
      </c>
      <c r="M118" t="s">
        <v>41</v>
      </c>
      <c r="N118" t="s">
        <v>41</v>
      </c>
      <c r="O118" t="s">
        <v>41</v>
      </c>
      <c r="P118" t="s">
        <v>41</v>
      </c>
      <c r="Q118" t="s">
        <v>41</v>
      </c>
      <c r="R118" t="s">
        <v>41</v>
      </c>
      <c r="S118" t="s">
        <v>41</v>
      </c>
      <c r="T118" t="s">
        <v>41</v>
      </c>
      <c r="U118" t="s">
        <v>41</v>
      </c>
      <c r="V118" t="s">
        <v>41</v>
      </c>
      <c r="W118" t="s">
        <v>41</v>
      </c>
      <c r="X118" t="s">
        <v>41</v>
      </c>
      <c r="Y118" t="s">
        <v>41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s">
        <v>41</v>
      </c>
    </row>
    <row r="119" spans="1:32" x14ac:dyDescent="0.3">
      <c r="A119" t="s">
        <v>135</v>
      </c>
      <c r="B119" t="s">
        <v>47</v>
      </c>
      <c r="C119" t="s">
        <v>141</v>
      </c>
      <c r="D119" t="s">
        <v>294</v>
      </c>
      <c r="E119" t="s">
        <v>312</v>
      </c>
      <c r="F119">
        <v>1</v>
      </c>
      <c r="G119">
        <v>1</v>
      </c>
      <c r="H119">
        <v>2</v>
      </c>
      <c r="I119">
        <v>1</v>
      </c>
      <c r="J119">
        <f t="shared" si="4"/>
        <v>5</v>
      </c>
      <c r="K119" t="s">
        <v>41</v>
      </c>
      <c r="L119" t="e">
        <f t="shared" si="5"/>
        <v>#VALUE!</v>
      </c>
      <c r="M119">
        <v>1</v>
      </c>
      <c r="N119" t="s">
        <v>41</v>
      </c>
      <c r="O119" t="s">
        <v>41</v>
      </c>
      <c r="P119" t="s">
        <v>41</v>
      </c>
      <c r="Q119" t="s">
        <v>41</v>
      </c>
      <c r="R119" t="s">
        <v>41</v>
      </c>
      <c r="S119" t="s">
        <v>41</v>
      </c>
      <c r="T119" t="s">
        <v>41</v>
      </c>
      <c r="U119">
        <v>0.125</v>
      </c>
      <c r="V119" t="s">
        <v>41</v>
      </c>
      <c r="W119" t="s">
        <v>41</v>
      </c>
      <c r="X119" t="s">
        <v>41</v>
      </c>
      <c r="Y119">
        <v>1</v>
      </c>
      <c r="Z119" t="s">
        <v>41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  <c r="AF119" t="s">
        <v>41</v>
      </c>
    </row>
    <row r="120" spans="1:32" x14ac:dyDescent="0.3">
      <c r="A120" t="s">
        <v>135</v>
      </c>
      <c r="B120" t="s">
        <v>325</v>
      </c>
      <c r="C120" t="s">
        <v>326</v>
      </c>
      <c r="D120" t="s">
        <v>244</v>
      </c>
      <c r="E120" t="s">
        <v>153</v>
      </c>
      <c r="F120">
        <v>1</v>
      </c>
      <c r="G120">
        <v>1</v>
      </c>
      <c r="H120">
        <v>2</v>
      </c>
      <c r="I120">
        <v>3</v>
      </c>
      <c r="J120">
        <f t="shared" si="4"/>
        <v>7</v>
      </c>
      <c r="K120" t="s">
        <v>41</v>
      </c>
      <c r="L120" t="e">
        <f t="shared" si="5"/>
        <v>#VALUE!</v>
      </c>
      <c r="M120">
        <v>1</v>
      </c>
      <c r="N120">
        <v>3</v>
      </c>
      <c r="O120" t="s">
        <v>41</v>
      </c>
      <c r="P120" t="s">
        <v>41</v>
      </c>
      <c r="Q120" t="s">
        <v>41</v>
      </c>
      <c r="R120" t="s">
        <v>41</v>
      </c>
      <c r="S120" t="s">
        <v>41</v>
      </c>
      <c r="T120" t="s">
        <v>41</v>
      </c>
      <c r="U120" t="s">
        <v>41</v>
      </c>
      <c r="V120" t="s">
        <v>41</v>
      </c>
      <c r="W120" t="s">
        <v>41</v>
      </c>
      <c r="X120" t="s">
        <v>41</v>
      </c>
      <c r="Y120" t="s">
        <v>41</v>
      </c>
      <c r="Z120" t="s">
        <v>41</v>
      </c>
      <c r="AA120" t="s">
        <v>41</v>
      </c>
      <c r="AB120" t="s">
        <v>41</v>
      </c>
      <c r="AC120" t="s">
        <v>41</v>
      </c>
      <c r="AD120">
        <v>5</v>
      </c>
      <c r="AE120">
        <v>1</v>
      </c>
      <c r="AF120">
        <v>2</v>
      </c>
    </row>
    <row r="121" spans="1:32" x14ac:dyDescent="0.3">
      <c r="A121" t="s">
        <v>135</v>
      </c>
      <c r="B121" t="s">
        <v>185</v>
      </c>
      <c r="C121" t="s">
        <v>141</v>
      </c>
      <c r="D121" t="s">
        <v>78</v>
      </c>
      <c r="E121" t="s">
        <v>67</v>
      </c>
      <c r="F121">
        <v>1</v>
      </c>
      <c r="G121">
        <v>1</v>
      </c>
      <c r="H121" t="s">
        <v>41</v>
      </c>
      <c r="I121" t="s">
        <v>41</v>
      </c>
      <c r="J121">
        <f t="shared" si="4"/>
        <v>2</v>
      </c>
      <c r="K121" t="s">
        <v>41</v>
      </c>
      <c r="L121" t="e">
        <f t="shared" si="5"/>
        <v>#VALUE!</v>
      </c>
      <c r="M121" t="s">
        <v>41</v>
      </c>
      <c r="N121" t="s">
        <v>41</v>
      </c>
      <c r="O121" t="s">
        <v>41</v>
      </c>
      <c r="P121" t="s">
        <v>41</v>
      </c>
      <c r="Q121" t="s">
        <v>41</v>
      </c>
      <c r="R121" t="s">
        <v>41</v>
      </c>
      <c r="S121" t="s">
        <v>41</v>
      </c>
      <c r="T121" t="s">
        <v>41</v>
      </c>
      <c r="U121" t="s">
        <v>41</v>
      </c>
      <c r="V121" t="s">
        <v>41</v>
      </c>
      <c r="W121" t="s">
        <v>41</v>
      </c>
      <c r="X121" t="s">
        <v>41</v>
      </c>
      <c r="Y121" t="s">
        <v>41</v>
      </c>
      <c r="Z121" t="s">
        <v>41</v>
      </c>
      <c r="AA121" t="s">
        <v>41</v>
      </c>
      <c r="AB121" t="s">
        <v>41</v>
      </c>
      <c r="AC121" t="s">
        <v>41</v>
      </c>
      <c r="AD121">
        <v>5</v>
      </c>
      <c r="AE121" t="s">
        <v>41</v>
      </c>
      <c r="AF121" t="s">
        <v>41</v>
      </c>
    </row>
    <row r="122" spans="1:32" x14ac:dyDescent="0.3">
      <c r="A122" t="s">
        <v>135</v>
      </c>
      <c r="B122" t="s">
        <v>327</v>
      </c>
      <c r="C122" t="s">
        <v>228</v>
      </c>
      <c r="D122" t="s">
        <v>328</v>
      </c>
      <c r="E122" t="s">
        <v>115</v>
      </c>
      <c r="F122">
        <v>1</v>
      </c>
      <c r="G122">
        <v>1</v>
      </c>
      <c r="H122">
        <v>1</v>
      </c>
      <c r="I122">
        <v>1</v>
      </c>
      <c r="J122">
        <f t="shared" si="4"/>
        <v>4</v>
      </c>
      <c r="K122" t="s">
        <v>41</v>
      </c>
      <c r="L122" t="e">
        <f t="shared" si="5"/>
        <v>#VALUE!</v>
      </c>
      <c r="M122" t="s">
        <v>41</v>
      </c>
      <c r="N122" t="s">
        <v>41</v>
      </c>
      <c r="O122" t="s">
        <v>41</v>
      </c>
      <c r="P122" t="s">
        <v>41</v>
      </c>
      <c r="Q122" t="s">
        <v>41</v>
      </c>
      <c r="R122" t="s">
        <v>41</v>
      </c>
      <c r="S122" t="s">
        <v>41</v>
      </c>
      <c r="T122">
        <v>0.5</v>
      </c>
      <c r="U122" t="s">
        <v>41</v>
      </c>
      <c r="V122" t="s">
        <v>41</v>
      </c>
      <c r="W122" t="s">
        <v>41</v>
      </c>
      <c r="X122" t="s">
        <v>41</v>
      </c>
      <c r="Y122">
        <v>5</v>
      </c>
      <c r="Z122" t="s">
        <v>41</v>
      </c>
      <c r="AA122" t="s">
        <v>41</v>
      </c>
      <c r="AB122" t="s">
        <v>41</v>
      </c>
      <c r="AC122" t="s">
        <v>41</v>
      </c>
      <c r="AD122">
        <v>5</v>
      </c>
      <c r="AE122">
        <v>2</v>
      </c>
      <c r="AF122" t="s">
        <v>41</v>
      </c>
    </row>
    <row r="123" spans="1:32" x14ac:dyDescent="0.3">
      <c r="A123" t="s">
        <v>135</v>
      </c>
      <c r="B123" t="s">
        <v>329</v>
      </c>
      <c r="C123" t="s">
        <v>103</v>
      </c>
      <c r="D123" t="s">
        <v>106</v>
      </c>
      <c r="E123" t="s">
        <v>330</v>
      </c>
      <c r="F123">
        <v>1</v>
      </c>
      <c r="G123">
        <v>1</v>
      </c>
      <c r="H123">
        <v>1</v>
      </c>
      <c r="I123" t="s">
        <v>41</v>
      </c>
      <c r="J123">
        <f t="shared" si="4"/>
        <v>3</v>
      </c>
      <c r="K123" t="s">
        <v>41</v>
      </c>
      <c r="L123" t="e">
        <f t="shared" si="5"/>
        <v>#VALUE!</v>
      </c>
      <c r="M123">
        <v>1</v>
      </c>
      <c r="N123" t="s">
        <v>41</v>
      </c>
      <c r="O123" t="s">
        <v>41</v>
      </c>
      <c r="P123" t="s">
        <v>41</v>
      </c>
      <c r="Q123" t="s">
        <v>41</v>
      </c>
      <c r="R123" t="s">
        <v>41</v>
      </c>
      <c r="S123" t="s">
        <v>41</v>
      </c>
      <c r="T123" t="s">
        <v>41</v>
      </c>
      <c r="U123" t="s">
        <v>41</v>
      </c>
      <c r="V123" t="s">
        <v>41</v>
      </c>
      <c r="W123" t="s">
        <v>41</v>
      </c>
      <c r="X123" t="s">
        <v>41</v>
      </c>
      <c r="Y123" t="s">
        <v>41</v>
      </c>
      <c r="Z123" t="s">
        <v>41</v>
      </c>
      <c r="AA123" t="s">
        <v>41</v>
      </c>
      <c r="AB123" t="s">
        <v>41</v>
      </c>
      <c r="AC123" t="s">
        <v>41</v>
      </c>
      <c r="AD123" t="s">
        <v>41</v>
      </c>
      <c r="AE123" t="s">
        <v>41</v>
      </c>
      <c r="AF123" t="s">
        <v>41</v>
      </c>
    </row>
    <row r="124" spans="1:32" x14ac:dyDescent="0.3">
      <c r="A124" t="s">
        <v>135</v>
      </c>
      <c r="B124" t="s">
        <v>264</v>
      </c>
      <c r="C124" t="s">
        <v>97</v>
      </c>
      <c r="D124" t="s">
        <v>41</v>
      </c>
      <c r="E124" t="s">
        <v>41</v>
      </c>
      <c r="F124">
        <v>1</v>
      </c>
      <c r="G124" t="s">
        <v>41</v>
      </c>
      <c r="H124" t="s">
        <v>41</v>
      </c>
      <c r="I124" t="s">
        <v>41</v>
      </c>
      <c r="J124">
        <f t="shared" si="4"/>
        <v>1</v>
      </c>
      <c r="K124" t="s">
        <v>41</v>
      </c>
      <c r="L124" t="e">
        <f t="shared" si="5"/>
        <v>#VALUE!</v>
      </c>
      <c r="M124" t="s">
        <v>41</v>
      </c>
      <c r="N124" t="s">
        <v>41</v>
      </c>
      <c r="O124" t="s">
        <v>41</v>
      </c>
      <c r="P124" t="s">
        <v>41</v>
      </c>
      <c r="Q124" t="s">
        <v>41</v>
      </c>
      <c r="R124" t="s">
        <v>41</v>
      </c>
      <c r="S124" t="s">
        <v>41</v>
      </c>
      <c r="T124" t="s">
        <v>41</v>
      </c>
      <c r="U124" t="s">
        <v>41</v>
      </c>
      <c r="V124" t="s">
        <v>41</v>
      </c>
      <c r="W124" t="s">
        <v>41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 t="s">
        <v>41</v>
      </c>
    </row>
    <row r="125" spans="1:32" x14ac:dyDescent="0.3">
      <c r="A125" t="s">
        <v>135</v>
      </c>
      <c r="B125" t="s">
        <v>331</v>
      </c>
      <c r="C125" t="s">
        <v>332</v>
      </c>
      <c r="D125" t="s">
        <v>41</v>
      </c>
      <c r="E125" t="s">
        <v>41</v>
      </c>
      <c r="F125">
        <v>1</v>
      </c>
      <c r="G125" t="s">
        <v>41</v>
      </c>
      <c r="H125" t="s">
        <v>41</v>
      </c>
      <c r="I125" t="s">
        <v>41</v>
      </c>
      <c r="J125">
        <f t="shared" si="4"/>
        <v>1</v>
      </c>
      <c r="K125" t="s">
        <v>41</v>
      </c>
      <c r="L125" t="e">
        <f t="shared" si="5"/>
        <v>#VALUE!</v>
      </c>
      <c r="M125" t="s">
        <v>41</v>
      </c>
      <c r="N125" t="s">
        <v>41</v>
      </c>
      <c r="O125" t="s">
        <v>41</v>
      </c>
      <c r="P125" t="s">
        <v>41</v>
      </c>
      <c r="Q125" t="s">
        <v>41</v>
      </c>
      <c r="R125" t="s">
        <v>41</v>
      </c>
      <c r="S125" t="s">
        <v>41</v>
      </c>
      <c r="T125" t="s">
        <v>41</v>
      </c>
      <c r="U125" t="s">
        <v>41</v>
      </c>
      <c r="V125" t="s">
        <v>41</v>
      </c>
      <c r="W125" t="s">
        <v>41</v>
      </c>
      <c r="X125" t="s">
        <v>41</v>
      </c>
      <c r="Y125" t="s">
        <v>41</v>
      </c>
      <c r="Z125" t="s">
        <v>41</v>
      </c>
      <c r="AA125" t="s">
        <v>41</v>
      </c>
      <c r="AB125" t="s">
        <v>41</v>
      </c>
      <c r="AC125" t="s">
        <v>41</v>
      </c>
      <c r="AD125" t="s">
        <v>41</v>
      </c>
      <c r="AE125" t="s">
        <v>41</v>
      </c>
      <c r="AF125" t="s">
        <v>41</v>
      </c>
    </row>
    <row r="126" spans="1:32" x14ac:dyDescent="0.3">
      <c r="A126" t="s">
        <v>135</v>
      </c>
      <c r="B126" t="s">
        <v>333</v>
      </c>
      <c r="C126" t="s">
        <v>103</v>
      </c>
      <c r="D126" t="s">
        <v>41</v>
      </c>
      <c r="E126" t="s">
        <v>41</v>
      </c>
      <c r="F126">
        <v>1</v>
      </c>
      <c r="G126" t="s">
        <v>41</v>
      </c>
      <c r="H126" t="s">
        <v>41</v>
      </c>
      <c r="I126" t="s">
        <v>41</v>
      </c>
      <c r="J126">
        <f t="shared" si="4"/>
        <v>1</v>
      </c>
      <c r="K126" t="s">
        <v>41</v>
      </c>
      <c r="L126" t="e">
        <f t="shared" si="5"/>
        <v>#VALUE!</v>
      </c>
      <c r="M126" t="s">
        <v>41</v>
      </c>
      <c r="N126" t="s">
        <v>41</v>
      </c>
      <c r="O126" t="s">
        <v>41</v>
      </c>
      <c r="P126" t="s">
        <v>41</v>
      </c>
      <c r="Q126" t="s">
        <v>41</v>
      </c>
      <c r="R126" t="s">
        <v>41</v>
      </c>
      <c r="S126" t="s">
        <v>41</v>
      </c>
      <c r="T126" t="s">
        <v>41</v>
      </c>
      <c r="U126" t="s">
        <v>41</v>
      </c>
      <c r="V126" t="s">
        <v>41</v>
      </c>
      <c r="W126" t="s">
        <v>41</v>
      </c>
      <c r="X126" t="s">
        <v>41</v>
      </c>
      <c r="Y126" t="s">
        <v>41</v>
      </c>
      <c r="Z126" t="s">
        <v>41</v>
      </c>
      <c r="AA126" t="s">
        <v>41</v>
      </c>
      <c r="AB126" t="s">
        <v>41</v>
      </c>
      <c r="AC126" t="s">
        <v>41</v>
      </c>
      <c r="AD126" t="s">
        <v>41</v>
      </c>
      <c r="AE126" t="s">
        <v>41</v>
      </c>
      <c r="AF126" t="s">
        <v>41</v>
      </c>
    </row>
    <row r="127" spans="1:32" x14ac:dyDescent="0.3">
      <c r="A127" t="s">
        <v>135</v>
      </c>
      <c r="B127" t="s">
        <v>334</v>
      </c>
      <c r="C127" t="s">
        <v>141</v>
      </c>
      <c r="D127" t="s">
        <v>335</v>
      </c>
      <c r="E127" t="s">
        <v>241</v>
      </c>
      <c r="F127">
        <v>1</v>
      </c>
      <c r="G127">
        <v>1</v>
      </c>
      <c r="H127" t="s">
        <v>41</v>
      </c>
      <c r="I127">
        <v>1</v>
      </c>
      <c r="J127">
        <f t="shared" si="4"/>
        <v>3</v>
      </c>
      <c r="K127" t="s">
        <v>41</v>
      </c>
      <c r="L127" t="e">
        <f t="shared" si="5"/>
        <v>#VALUE!</v>
      </c>
      <c r="M127" t="s">
        <v>41</v>
      </c>
      <c r="N127" t="s">
        <v>41</v>
      </c>
      <c r="O127" t="s">
        <v>41</v>
      </c>
      <c r="P127" t="s">
        <v>41</v>
      </c>
      <c r="Q127" t="s">
        <v>41</v>
      </c>
      <c r="R127" t="s">
        <v>41</v>
      </c>
      <c r="S127" t="s">
        <v>41</v>
      </c>
      <c r="T127" t="s">
        <v>41</v>
      </c>
      <c r="U127" t="s">
        <v>41</v>
      </c>
      <c r="V127" t="s">
        <v>41</v>
      </c>
      <c r="W127" t="s">
        <v>41</v>
      </c>
      <c r="X127" t="s">
        <v>41</v>
      </c>
      <c r="Y127" t="s">
        <v>41</v>
      </c>
      <c r="Z127" t="s">
        <v>41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41</v>
      </c>
    </row>
    <row r="128" spans="1:32" x14ac:dyDescent="0.3">
      <c r="A128" t="s">
        <v>135</v>
      </c>
      <c r="B128" t="s">
        <v>47</v>
      </c>
      <c r="C128" t="s">
        <v>336</v>
      </c>
      <c r="D128" t="s">
        <v>337</v>
      </c>
      <c r="E128" t="s">
        <v>338</v>
      </c>
      <c r="F128">
        <v>1</v>
      </c>
      <c r="G128">
        <v>1</v>
      </c>
      <c r="H128">
        <v>3</v>
      </c>
      <c r="I128">
        <v>2</v>
      </c>
      <c r="J128">
        <f t="shared" si="4"/>
        <v>7</v>
      </c>
      <c r="K128" t="s">
        <v>41</v>
      </c>
      <c r="L128" t="e">
        <f t="shared" si="5"/>
        <v>#VALUE!</v>
      </c>
      <c r="M128" t="s">
        <v>41</v>
      </c>
      <c r="N128" t="s">
        <v>41</v>
      </c>
      <c r="O128" t="s">
        <v>41</v>
      </c>
      <c r="P128" t="s">
        <v>41</v>
      </c>
      <c r="Q128" t="s">
        <v>41</v>
      </c>
      <c r="R128" t="s">
        <v>41</v>
      </c>
      <c r="S128" t="s">
        <v>41</v>
      </c>
      <c r="T128" t="s">
        <v>41</v>
      </c>
      <c r="U128" t="s">
        <v>41</v>
      </c>
      <c r="V128" t="s">
        <v>41</v>
      </c>
      <c r="W128" t="s">
        <v>41</v>
      </c>
      <c r="X128" t="s">
        <v>41</v>
      </c>
      <c r="Y128" t="s">
        <v>41</v>
      </c>
      <c r="Z128" t="s">
        <v>41</v>
      </c>
      <c r="AA128" t="s">
        <v>41</v>
      </c>
      <c r="AB128" t="s">
        <v>41</v>
      </c>
      <c r="AC128" t="s">
        <v>41</v>
      </c>
      <c r="AD128">
        <v>5</v>
      </c>
      <c r="AE128" t="s">
        <v>41</v>
      </c>
      <c r="AF128" t="s">
        <v>41</v>
      </c>
    </row>
    <row r="129" spans="1:32" x14ac:dyDescent="0.3">
      <c r="A129" t="s">
        <v>135</v>
      </c>
      <c r="B129" t="s">
        <v>222</v>
      </c>
      <c r="C129" t="s">
        <v>332</v>
      </c>
      <c r="D129" t="s">
        <v>339</v>
      </c>
      <c r="E129" t="s">
        <v>284</v>
      </c>
      <c r="F129">
        <v>1</v>
      </c>
      <c r="G129">
        <v>1</v>
      </c>
      <c r="H129">
        <v>2</v>
      </c>
      <c r="I129">
        <v>1</v>
      </c>
      <c r="J129">
        <f t="shared" si="4"/>
        <v>5</v>
      </c>
      <c r="K129" t="s">
        <v>41</v>
      </c>
      <c r="L129" t="e">
        <f t="shared" si="5"/>
        <v>#VALUE!</v>
      </c>
      <c r="M129" t="s">
        <v>41</v>
      </c>
      <c r="N129" t="s">
        <v>41</v>
      </c>
      <c r="O129" t="s">
        <v>41</v>
      </c>
      <c r="P129" t="s">
        <v>41</v>
      </c>
      <c r="Q129" t="s">
        <v>41</v>
      </c>
      <c r="R129" t="s">
        <v>41</v>
      </c>
      <c r="S129" t="s">
        <v>41</v>
      </c>
      <c r="T129" t="s">
        <v>41</v>
      </c>
      <c r="U129" t="s">
        <v>41</v>
      </c>
      <c r="V129" t="s">
        <v>41</v>
      </c>
      <c r="W129" t="s">
        <v>41</v>
      </c>
      <c r="X129" t="s">
        <v>41</v>
      </c>
      <c r="Y129" t="s">
        <v>41</v>
      </c>
      <c r="Z129" t="s">
        <v>41</v>
      </c>
      <c r="AA129" t="s">
        <v>41</v>
      </c>
      <c r="AB129" t="s">
        <v>41</v>
      </c>
      <c r="AC129" t="s">
        <v>41</v>
      </c>
      <c r="AD129" t="s">
        <v>41</v>
      </c>
      <c r="AE129" t="s">
        <v>41</v>
      </c>
      <c r="AF129" t="s">
        <v>41</v>
      </c>
    </row>
    <row r="130" spans="1:32" x14ac:dyDescent="0.3">
      <c r="A130" t="s">
        <v>135</v>
      </c>
      <c r="B130" t="s">
        <v>216</v>
      </c>
      <c r="C130" t="s">
        <v>340</v>
      </c>
      <c r="D130" t="s">
        <v>41</v>
      </c>
      <c r="E130" t="s">
        <v>41</v>
      </c>
      <c r="F130">
        <v>1</v>
      </c>
      <c r="G130" t="s">
        <v>41</v>
      </c>
      <c r="H130" t="s">
        <v>41</v>
      </c>
      <c r="I130" t="s">
        <v>41</v>
      </c>
      <c r="J130">
        <f t="shared" si="4"/>
        <v>1</v>
      </c>
      <c r="K130" t="s">
        <v>41</v>
      </c>
      <c r="L130" t="e">
        <f t="shared" si="5"/>
        <v>#VALUE!</v>
      </c>
      <c r="M130" t="s">
        <v>41</v>
      </c>
      <c r="N130" t="s">
        <v>41</v>
      </c>
      <c r="O130" t="s">
        <v>41</v>
      </c>
      <c r="P130" t="s">
        <v>41</v>
      </c>
      <c r="Q130" t="s">
        <v>41</v>
      </c>
      <c r="R130" t="s">
        <v>41</v>
      </c>
      <c r="S130" t="s">
        <v>41</v>
      </c>
      <c r="T130" t="s">
        <v>41</v>
      </c>
      <c r="U130" t="s">
        <v>41</v>
      </c>
      <c r="V130" t="s">
        <v>41</v>
      </c>
      <c r="W130" t="s">
        <v>41</v>
      </c>
      <c r="X130" t="s">
        <v>41</v>
      </c>
      <c r="Y130" t="s">
        <v>41</v>
      </c>
      <c r="Z130" t="s">
        <v>41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s">
        <v>41</v>
      </c>
    </row>
    <row r="131" spans="1:32" x14ac:dyDescent="0.3">
      <c r="A131" t="s">
        <v>135</v>
      </c>
      <c r="B131" t="s">
        <v>263</v>
      </c>
      <c r="C131" t="s">
        <v>341</v>
      </c>
      <c r="D131" t="s">
        <v>201</v>
      </c>
      <c r="E131" t="s">
        <v>342</v>
      </c>
      <c r="F131">
        <v>1</v>
      </c>
      <c r="G131">
        <v>1</v>
      </c>
      <c r="H131" t="s">
        <v>41</v>
      </c>
      <c r="I131">
        <v>1</v>
      </c>
      <c r="J131">
        <f t="shared" si="4"/>
        <v>3</v>
      </c>
      <c r="K131" t="s">
        <v>41</v>
      </c>
      <c r="L131" t="e">
        <f t="shared" si="5"/>
        <v>#VALUE!</v>
      </c>
      <c r="M131">
        <v>8</v>
      </c>
      <c r="N131" t="s">
        <v>41</v>
      </c>
      <c r="O131" t="s">
        <v>41</v>
      </c>
      <c r="P131" t="s">
        <v>41</v>
      </c>
      <c r="Q131" t="s">
        <v>41</v>
      </c>
      <c r="R131" t="s">
        <v>41</v>
      </c>
      <c r="S131" t="s">
        <v>41</v>
      </c>
      <c r="T131">
        <v>1</v>
      </c>
      <c r="U131">
        <v>0.5</v>
      </c>
      <c r="V131" t="s">
        <v>41</v>
      </c>
      <c r="W131" t="s">
        <v>41</v>
      </c>
      <c r="X131">
        <v>6</v>
      </c>
      <c r="Y131">
        <v>4</v>
      </c>
      <c r="Z131" t="s">
        <v>41</v>
      </c>
      <c r="AA131" t="s">
        <v>41</v>
      </c>
      <c r="AB131" t="s">
        <v>41</v>
      </c>
      <c r="AC131" t="s">
        <v>41</v>
      </c>
      <c r="AD131">
        <v>5</v>
      </c>
      <c r="AE131">
        <v>6</v>
      </c>
      <c r="AF131" t="s">
        <v>41</v>
      </c>
    </row>
    <row r="132" spans="1:32" x14ac:dyDescent="0.3">
      <c r="A132" t="s">
        <v>135</v>
      </c>
      <c r="B132" t="s">
        <v>240</v>
      </c>
      <c r="C132" t="s">
        <v>230</v>
      </c>
      <c r="D132" t="s">
        <v>308</v>
      </c>
      <c r="E132" t="s">
        <v>141</v>
      </c>
      <c r="F132">
        <v>1</v>
      </c>
      <c r="G132">
        <v>1</v>
      </c>
      <c r="H132">
        <v>2</v>
      </c>
      <c r="I132">
        <v>2</v>
      </c>
      <c r="J132">
        <f t="shared" si="4"/>
        <v>6</v>
      </c>
      <c r="K132" t="s">
        <v>41</v>
      </c>
      <c r="L132" t="e">
        <f t="shared" si="5"/>
        <v>#VALUE!</v>
      </c>
      <c r="M132" t="s">
        <v>41</v>
      </c>
      <c r="N132" t="s">
        <v>41</v>
      </c>
      <c r="O132" t="s">
        <v>41</v>
      </c>
      <c r="P132" t="s">
        <v>41</v>
      </c>
      <c r="Q132" t="s">
        <v>41</v>
      </c>
      <c r="R132" t="s">
        <v>41</v>
      </c>
      <c r="S132" t="s">
        <v>41</v>
      </c>
      <c r="T132">
        <v>0.5</v>
      </c>
      <c r="U132" t="s">
        <v>41</v>
      </c>
      <c r="V132" t="s">
        <v>41</v>
      </c>
      <c r="W132" t="s">
        <v>41</v>
      </c>
      <c r="X132">
        <v>2</v>
      </c>
      <c r="Y132" t="s">
        <v>41</v>
      </c>
      <c r="Z132" t="s">
        <v>41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s">
        <v>41</v>
      </c>
    </row>
    <row r="133" spans="1:32" x14ac:dyDescent="0.3">
      <c r="A133" t="s">
        <v>135</v>
      </c>
      <c r="B133" t="s">
        <v>40</v>
      </c>
      <c r="C133" t="s">
        <v>100</v>
      </c>
      <c r="D133" t="s">
        <v>41</v>
      </c>
      <c r="E133" t="s">
        <v>41</v>
      </c>
      <c r="F133">
        <v>1</v>
      </c>
      <c r="G133" t="s">
        <v>41</v>
      </c>
      <c r="H133" t="s">
        <v>41</v>
      </c>
      <c r="I133" t="s">
        <v>41</v>
      </c>
      <c r="J133">
        <f t="shared" si="4"/>
        <v>1</v>
      </c>
      <c r="K133">
        <v>1</v>
      </c>
      <c r="L133">
        <f t="shared" si="5"/>
        <v>60</v>
      </c>
      <c r="M133">
        <v>1</v>
      </c>
      <c r="N133" t="s">
        <v>41</v>
      </c>
      <c r="O133" t="s">
        <v>41</v>
      </c>
      <c r="P133" t="s">
        <v>41</v>
      </c>
      <c r="Q133" t="s">
        <v>41</v>
      </c>
      <c r="R133" t="s">
        <v>41</v>
      </c>
      <c r="S133" t="s">
        <v>41</v>
      </c>
      <c r="T133" t="s">
        <v>41</v>
      </c>
      <c r="U133" t="s">
        <v>41</v>
      </c>
      <c r="V133" t="s">
        <v>41</v>
      </c>
      <c r="W133" t="s">
        <v>41</v>
      </c>
      <c r="X133" t="s">
        <v>41</v>
      </c>
      <c r="Y133" t="s">
        <v>41</v>
      </c>
      <c r="Z133" t="s">
        <v>41</v>
      </c>
      <c r="AA133" t="s">
        <v>41</v>
      </c>
      <c r="AB133" t="s">
        <v>41</v>
      </c>
      <c r="AC133" t="s">
        <v>41</v>
      </c>
      <c r="AD133" t="s">
        <v>41</v>
      </c>
      <c r="AE133" t="s">
        <v>41</v>
      </c>
      <c r="AF133" t="s">
        <v>41</v>
      </c>
    </row>
    <row r="134" spans="1:32" x14ac:dyDescent="0.3">
      <c r="A134" t="s">
        <v>135</v>
      </c>
      <c r="B134" t="s">
        <v>145</v>
      </c>
      <c r="C134" t="s">
        <v>100</v>
      </c>
      <c r="D134" t="s">
        <v>176</v>
      </c>
      <c r="E134" t="s">
        <v>81</v>
      </c>
      <c r="F134">
        <v>1</v>
      </c>
      <c r="G134">
        <v>1</v>
      </c>
      <c r="H134">
        <v>3</v>
      </c>
      <c r="I134">
        <v>1</v>
      </c>
      <c r="J134">
        <f t="shared" si="4"/>
        <v>6</v>
      </c>
      <c r="K134" t="s">
        <v>41</v>
      </c>
      <c r="L134" t="e">
        <f t="shared" si="5"/>
        <v>#VALUE!</v>
      </c>
      <c r="M134">
        <v>1</v>
      </c>
      <c r="N134" t="s">
        <v>41</v>
      </c>
      <c r="O134" t="s">
        <v>41</v>
      </c>
      <c r="P134" t="s">
        <v>41</v>
      </c>
      <c r="Q134" t="s">
        <v>41</v>
      </c>
      <c r="R134" t="s">
        <v>41</v>
      </c>
      <c r="S134" t="s">
        <v>41</v>
      </c>
      <c r="T134" t="s">
        <v>41</v>
      </c>
      <c r="U134" t="s">
        <v>41</v>
      </c>
      <c r="V134" t="s">
        <v>41</v>
      </c>
      <c r="W134" t="s">
        <v>41</v>
      </c>
      <c r="X134" t="s">
        <v>41</v>
      </c>
      <c r="Y134" t="s">
        <v>41</v>
      </c>
      <c r="Z134" t="s">
        <v>41</v>
      </c>
      <c r="AA134" t="s">
        <v>41</v>
      </c>
      <c r="AB134" t="s">
        <v>41</v>
      </c>
      <c r="AC134" t="s">
        <v>41</v>
      </c>
      <c r="AD134">
        <v>5</v>
      </c>
      <c r="AE134">
        <v>0</v>
      </c>
      <c r="AF134">
        <v>2</v>
      </c>
    </row>
    <row r="135" spans="1:32" x14ac:dyDescent="0.3">
      <c r="A135" t="s">
        <v>135</v>
      </c>
      <c r="B135" t="s">
        <v>283</v>
      </c>
      <c r="C135" t="s">
        <v>100</v>
      </c>
      <c r="D135" t="s">
        <v>50</v>
      </c>
      <c r="E135" t="s">
        <v>141</v>
      </c>
      <c r="F135">
        <v>1</v>
      </c>
      <c r="G135">
        <v>1</v>
      </c>
      <c r="H135">
        <v>1</v>
      </c>
      <c r="I135">
        <v>8</v>
      </c>
      <c r="J135">
        <f t="shared" si="4"/>
        <v>11</v>
      </c>
      <c r="K135">
        <v>1</v>
      </c>
      <c r="L135">
        <f t="shared" si="5"/>
        <v>60</v>
      </c>
      <c r="M135">
        <v>4</v>
      </c>
      <c r="N135">
        <v>5</v>
      </c>
      <c r="O135" t="s">
        <v>41</v>
      </c>
      <c r="P135" t="s">
        <v>41</v>
      </c>
      <c r="Q135" t="s">
        <v>41</v>
      </c>
      <c r="R135" t="s">
        <v>41</v>
      </c>
      <c r="S135" t="s">
        <v>41</v>
      </c>
      <c r="T135">
        <v>0.5</v>
      </c>
      <c r="U135">
        <v>0.5</v>
      </c>
      <c r="V135" t="s">
        <v>41</v>
      </c>
      <c r="W135" t="s">
        <v>41</v>
      </c>
      <c r="X135">
        <v>5</v>
      </c>
      <c r="Y135">
        <v>14</v>
      </c>
      <c r="Z135" t="s">
        <v>41</v>
      </c>
      <c r="AA135" t="s">
        <v>41</v>
      </c>
      <c r="AB135" t="s">
        <v>41</v>
      </c>
      <c r="AC135" t="s">
        <v>41</v>
      </c>
      <c r="AD135">
        <v>5</v>
      </c>
      <c r="AE135" t="s">
        <v>41</v>
      </c>
      <c r="AF135" t="s">
        <v>41</v>
      </c>
    </row>
    <row r="136" spans="1:32" x14ac:dyDescent="0.3">
      <c r="A136" t="s">
        <v>135</v>
      </c>
      <c r="B136" t="s">
        <v>344</v>
      </c>
      <c r="C136" t="s">
        <v>263</v>
      </c>
      <c r="D136" t="s">
        <v>343</v>
      </c>
      <c r="E136" t="s">
        <v>223</v>
      </c>
      <c r="F136">
        <v>1</v>
      </c>
      <c r="G136">
        <v>1</v>
      </c>
      <c r="H136" t="s">
        <v>41</v>
      </c>
      <c r="I136">
        <v>1</v>
      </c>
      <c r="J136">
        <f t="shared" si="4"/>
        <v>3</v>
      </c>
      <c r="K136" t="s">
        <v>41</v>
      </c>
      <c r="L136" t="e">
        <f t="shared" si="5"/>
        <v>#VALUE!</v>
      </c>
      <c r="M136">
        <v>2</v>
      </c>
      <c r="N136" t="s">
        <v>41</v>
      </c>
      <c r="O136">
        <v>2</v>
      </c>
      <c r="P136" t="s">
        <v>41</v>
      </c>
      <c r="Q136" t="s">
        <v>41</v>
      </c>
      <c r="R136" t="s">
        <v>41</v>
      </c>
      <c r="S136" t="s">
        <v>41</v>
      </c>
      <c r="T136" t="s">
        <v>41</v>
      </c>
      <c r="U136" t="s">
        <v>41</v>
      </c>
      <c r="V136" t="s">
        <v>41</v>
      </c>
      <c r="W136" t="s">
        <v>41</v>
      </c>
      <c r="X136" t="s">
        <v>41</v>
      </c>
      <c r="Y136" t="s">
        <v>41</v>
      </c>
      <c r="Z136" t="s">
        <v>41</v>
      </c>
      <c r="AA136" t="s">
        <v>41</v>
      </c>
      <c r="AB136" t="s">
        <v>41</v>
      </c>
      <c r="AC136" t="s">
        <v>41</v>
      </c>
      <c r="AD136" t="s">
        <v>41</v>
      </c>
      <c r="AE136" t="s">
        <v>41</v>
      </c>
      <c r="AF136" t="s">
        <v>41</v>
      </c>
    </row>
    <row r="137" spans="1:32" x14ac:dyDescent="0.3">
      <c r="A137" t="s">
        <v>135</v>
      </c>
      <c r="B137" t="s">
        <v>345</v>
      </c>
      <c r="C137" t="s">
        <v>263</v>
      </c>
      <c r="D137" t="s">
        <v>41</v>
      </c>
      <c r="E137" t="s">
        <v>41</v>
      </c>
      <c r="F137">
        <v>1</v>
      </c>
      <c r="G137" t="s">
        <v>41</v>
      </c>
      <c r="H137" t="s">
        <v>41</v>
      </c>
      <c r="I137" t="s">
        <v>41</v>
      </c>
      <c r="J137">
        <f t="shared" si="4"/>
        <v>1</v>
      </c>
      <c r="K137">
        <v>2</v>
      </c>
      <c r="L137">
        <f t="shared" si="5"/>
        <v>120</v>
      </c>
      <c r="M137">
        <v>1</v>
      </c>
      <c r="N137" t="s">
        <v>41</v>
      </c>
      <c r="O137" t="s">
        <v>41</v>
      </c>
      <c r="P137" t="s">
        <v>41</v>
      </c>
      <c r="Q137" t="s">
        <v>41</v>
      </c>
      <c r="R137" t="s">
        <v>41</v>
      </c>
      <c r="S137" t="s">
        <v>41</v>
      </c>
      <c r="T137" t="s">
        <v>41</v>
      </c>
      <c r="U137" t="s">
        <v>41</v>
      </c>
      <c r="V137" t="s">
        <v>41</v>
      </c>
      <c r="W137" t="s">
        <v>41</v>
      </c>
      <c r="X137" t="s">
        <v>41</v>
      </c>
      <c r="Y137" t="s">
        <v>41</v>
      </c>
      <c r="Z137" t="s">
        <v>41</v>
      </c>
      <c r="AA137" t="s">
        <v>41</v>
      </c>
      <c r="AB137" t="s">
        <v>41</v>
      </c>
      <c r="AC137" t="s">
        <v>41</v>
      </c>
      <c r="AD137" t="s">
        <v>41</v>
      </c>
      <c r="AE137" t="s">
        <v>41</v>
      </c>
      <c r="AF137" t="s">
        <v>41</v>
      </c>
    </row>
    <row r="138" spans="1:32" x14ac:dyDescent="0.3">
      <c r="A138" t="s">
        <v>135</v>
      </c>
      <c r="B138" t="s">
        <v>346</v>
      </c>
      <c r="C138" t="s">
        <v>263</v>
      </c>
      <c r="D138" t="s">
        <v>41</v>
      </c>
      <c r="E138" t="s">
        <v>41</v>
      </c>
      <c r="F138">
        <v>1</v>
      </c>
      <c r="G138" t="s">
        <v>41</v>
      </c>
      <c r="H138" t="s">
        <v>41</v>
      </c>
      <c r="I138" t="s">
        <v>41</v>
      </c>
      <c r="J138">
        <f t="shared" si="4"/>
        <v>1</v>
      </c>
      <c r="K138" t="s">
        <v>41</v>
      </c>
      <c r="L138" t="e">
        <f t="shared" si="5"/>
        <v>#VALUE!</v>
      </c>
      <c r="M138">
        <v>1</v>
      </c>
      <c r="N138" t="s">
        <v>41</v>
      </c>
      <c r="O138" t="s">
        <v>41</v>
      </c>
      <c r="P138" t="s">
        <v>41</v>
      </c>
      <c r="Q138" t="s">
        <v>41</v>
      </c>
      <c r="R138" t="s">
        <v>41</v>
      </c>
      <c r="S138" t="s">
        <v>41</v>
      </c>
      <c r="T138" t="s">
        <v>41</v>
      </c>
      <c r="U138" t="s">
        <v>41</v>
      </c>
      <c r="V138" t="s">
        <v>41</v>
      </c>
      <c r="W138" t="s">
        <v>41</v>
      </c>
      <c r="X138" t="s">
        <v>41</v>
      </c>
      <c r="Y138" t="s">
        <v>41</v>
      </c>
      <c r="Z138" t="s">
        <v>41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  <c r="AF138" t="s">
        <v>41</v>
      </c>
    </row>
    <row r="139" spans="1:32" x14ac:dyDescent="0.3">
      <c r="A139" t="s">
        <v>135</v>
      </c>
      <c r="B139" t="s">
        <v>347</v>
      </c>
      <c r="C139" t="s">
        <v>79</v>
      </c>
      <c r="D139" t="s">
        <v>348</v>
      </c>
      <c r="E139" t="s">
        <v>195</v>
      </c>
      <c r="F139">
        <v>1</v>
      </c>
      <c r="G139">
        <v>1</v>
      </c>
      <c r="H139">
        <v>1</v>
      </c>
      <c r="I139">
        <v>1</v>
      </c>
      <c r="J139">
        <f t="shared" si="4"/>
        <v>4</v>
      </c>
      <c r="K139" t="s">
        <v>41</v>
      </c>
      <c r="L139" t="e">
        <f t="shared" si="5"/>
        <v>#VALUE!</v>
      </c>
      <c r="M139">
        <v>2</v>
      </c>
      <c r="N139" t="s">
        <v>41</v>
      </c>
      <c r="O139" t="s">
        <v>41</v>
      </c>
      <c r="P139" t="s">
        <v>41</v>
      </c>
      <c r="Q139" t="s">
        <v>41</v>
      </c>
      <c r="R139" t="s">
        <v>41</v>
      </c>
      <c r="S139" t="s">
        <v>41</v>
      </c>
      <c r="T139" t="s">
        <v>41</v>
      </c>
      <c r="U139" t="s">
        <v>41</v>
      </c>
      <c r="V139" t="s">
        <v>41</v>
      </c>
      <c r="W139" t="s">
        <v>41</v>
      </c>
      <c r="X139" t="s">
        <v>41</v>
      </c>
      <c r="Y139" t="s">
        <v>41</v>
      </c>
      <c r="Z139" t="s">
        <v>41</v>
      </c>
      <c r="AA139" t="s">
        <v>41</v>
      </c>
      <c r="AB139" t="s">
        <v>41</v>
      </c>
      <c r="AC139" t="s">
        <v>41</v>
      </c>
      <c r="AD139" t="s">
        <v>41</v>
      </c>
      <c r="AE139" t="s">
        <v>41</v>
      </c>
      <c r="AF139" t="s">
        <v>41</v>
      </c>
    </row>
    <row r="140" spans="1:32" x14ac:dyDescent="0.3">
      <c r="A140" t="s">
        <v>135</v>
      </c>
      <c r="B140" t="s">
        <v>237</v>
      </c>
      <c r="C140" t="s">
        <v>57</v>
      </c>
      <c r="D140" t="s">
        <v>41</v>
      </c>
      <c r="E140" t="s">
        <v>41</v>
      </c>
      <c r="F140">
        <v>1</v>
      </c>
      <c r="G140" t="s">
        <v>41</v>
      </c>
      <c r="H140" t="s">
        <v>41</v>
      </c>
      <c r="I140" t="s">
        <v>41</v>
      </c>
      <c r="J140">
        <f t="shared" si="4"/>
        <v>1</v>
      </c>
      <c r="K140" t="s">
        <v>41</v>
      </c>
      <c r="L140" t="e">
        <f t="shared" si="5"/>
        <v>#VALUE!</v>
      </c>
      <c r="M140" t="s">
        <v>41</v>
      </c>
      <c r="N140" t="s">
        <v>41</v>
      </c>
      <c r="O140" t="s">
        <v>41</v>
      </c>
      <c r="P140" t="s">
        <v>41</v>
      </c>
      <c r="Q140" t="s">
        <v>41</v>
      </c>
      <c r="R140" t="s">
        <v>41</v>
      </c>
      <c r="S140" t="s">
        <v>41</v>
      </c>
      <c r="T140" t="s">
        <v>41</v>
      </c>
      <c r="U140" t="s">
        <v>41</v>
      </c>
      <c r="V140" t="s">
        <v>41</v>
      </c>
      <c r="W140" t="s">
        <v>41</v>
      </c>
      <c r="X140" t="s">
        <v>41</v>
      </c>
      <c r="Y140" t="s">
        <v>41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41</v>
      </c>
    </row>
    <row r="141" spans="1:32" x14ac:dyDescent="0.3">
      <c r="A141" t="s">
        <v>135</v>
      </c>
      <c r="B141" t="s">
        <v>349</v>
      </c>
      <c r="C141" t="s">
        <v>263</v>
      </c>
      <c r="D141" t="s">
        <v>41</v>
      </c>
      <c r="E141" t="s">
        <v>41</v>
      </c>
      <c r="F141">
        <v>1</v>
      </c>
      <c r="G141" t="s">
        <v>41</v>
      </c>
      <c r="H141" t="s">
        <v>41</v>
      </c>
      <c r="I141" t="s">
        <v>41</v>
      </c>
      <c r="J141">
        <f t="shared" si="4"/>
        <v>1</v>
      </c>
      <c r="K141" t="s">
        <v>41</v>
      </c>
      <c r="L141" t="e">
        <f t="shared" si="5"/>
        <v>#VALUE!</v>
      </c>
      <c r="M141" t="s">
        <v>41</v>
      </c>
      <c r="N141" t="s">
        <v>41</v>
      </c>
      <c r="O141" t="s">
        <v>41</v>
      </c>
      <c r="P141" t="s">
        <v>41</v>
      </c>
      <c r="Q141" t="s">
        <v>41</v>
      </c>
      <c r="R141" t="s">
        <v>41</v>
      </c>
      <c r="S141" t="s">
        <v>41</v>
      </c>
      <c r="T141" t="s">
        <v>41</v>
      </c>
      <c r="U141" t="s">
        <v>41</v>
      </c>
      <c r="V141" t="s">
        <v>41</v>
      </c>
      <c r="W141" t="s">
        <v>41</v>
      </c>
      <c r="X141" t="s">
        <v>41</v>
      </c>
      <c r="Y141" t="s">
        <v>41</v>
      </c>
      <c r="Z141" t="s">
        <v>41</v>
      </c>
      <c r="AA141" t="s">
        <v>41</v>
      </c>
      <c r="AB141" t="s">
        <v>41</v>
      </c>
      <c r="AC141" t="s">
        <v>41</v>
      </c>
      <c r="AD141" t="s">
        <v>41</v>
      </c>
      <c r="AE141" t="s">
        <v>41</v>
      </c>
      <c r="AF141" t="s">
        <v>41</v>
      </c>
    </row>
    <row r="142" spans="1:32" x14ac:dyDescent="0.3">
      <c r="A142" t="s">
        <v>135</v>
      </c>
      <c r="B142" t="s">
        <v>350</v>
      </c>
      <c r="C142" t="s">
        <v>77</v>
      </c>
      <c r="D142" t="s">
        <v>273</v>
      </c>
      <c r="E142" t="s">
        <v>41</v>
      </c>
      <c r="F142">
        <v>1</v>
      </c>
      <c r="G142">
        <v>1</v>
      </c>
      <c r="H142" t="s">
        <v>41</v>
      </c>
      <c r="I142">
        <v>1</v>
      </c>
      <c r="J142">
        <f t="shared" si="4"/>
        <v>3</v>
      </c>
      <c r="K142">
        <v>1</v>
      </c>
      <c r="L142">
        <f t="shared" si="5"/>
        <v>60</v>
      </c>
      <c r="M142" t="s">
        <v>41</v>
      </c>
      <c r="N142" t="s">
        <v>41</v>
      </c>
      <c r="O142" t="s">
        <v>41</v>
      </c>
      <c r="P142" t="s">
        <v>41</v>
      </c>
      <c r="Q142" t="s">
        <v>41</v>
      </c>
      <c r="R142" t="s">
        <v>41</v>
      </c>
      <c r="S142" t="s">
        <v>41</v>
      </c>
      <c r="T142" t="s">
        <v>41</v>
      </c>
      <c r="U142" t="s">
        <v>41</v>
      </c>
      <c r="V142" t="s">
        <v>41</v>
      </c>
      <c r="W142" t="s">
        <v>41</v>
      </c>
      <c r="X142" t="s">
        <v>41</v>
      </c>
      <c r="Y142" t="s">
        <v>41</v>
      </c>
      <c r="Z142" t="s">
        <v>41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  <c r="AF142" t="s">
        <v>41</v>
      </c>
    </row>
    <row r="143" spans="1:32" x14ac:dyDescent="0.3">
      <c r="A143" t="s">
        <v>135</v>
      </c>
      <c r="B143" t="s">
        <v>351</v>
      </c>
      <c r="C143" t="s">
        <v>352</v>
      </c>
      <c r="D143" t="s">
        <v>353</v>
      </c>
      <c r="E143" t="s">
        <v>269</v>
      </c>
      <c r="F143">
        <v>1</v>
      </c>
      <c r="G143">
        <v>1</v>
      </c>
      <c r="H143">
        <v>2</v>
      </c>
      <c r="I143">
        <v>6</v>
      </c>
      <c r="J143">
        <f t="shared" si="4"/>
        <v>10</v>
      </c>
      <c r="K143">
        <v>1</v>
      </c>
      <c r="L143">
        <f t="shared" si="5"/>
        <v>60</v>
      </c>
      <c r="M143">
        <v>1</v>
      </c>
      <c r="N143" t="s">
        <v>41</v>
      </c>
      <c r="O143">
        <v>4</v>
      </c>
      <c r="P143" t="s">
        <v>41</v>
      </c>
      <c r="Q143" t="s">
        <v>41</v>
      </c>
      <c r="R143" t="s">
        <v>41</v>
      </c>
      <c r="S143" t="s">
        <v>41</v>
      </c>
      <c r="T143">
        <v>0.5</v>
      </c>
      <c r="U143">
        <v>0.25</v>
      </c>
      <c r="V143" t="s">
        <v>41</v>
      </c>
      <c r="W143" t="s">
        <v>41</v>
      </c>
      <c r="X143">
        <v>5</v>
      </c>
      <c r="Y143">
        <v>3</v>
      </c>
      <c r="Z143" t="s">
        <v>41</v>
      </c>
      <c r="AA143" t="s">
        <v>41</v>
      </c>
      <c r="AB143" t="s">
        <v>41</v>
      </c>
      <c r="AC143" t="s">
        <v>41</v>
      </c>
      <c r="AD143">
        <v>5</v>
      </c>
      <c r="AE143" t="s">
        <v>41</v>
      </c>
      <c r="AF143" t="s">
        <v>41</v>
      </c>
    </row>
    <row r="144" spans="1:32" x14ac:dyDescent="0.3">
      <c r="A144" t="s">
        <v>135</v>
      </c>
      <c r="B144" t="s">
        <v>225</v>
      </c>
      <c r="C144" t="s">
        <v>77</v>
      </c>
      <c r="D144" t="s">
        <v>354</v>
      </c>
      <c r="E144" t="s">
        <v>81</v>
      </c>
      <c r="F144">
        <v>1</v>
      </c>
      <c r="G144">
        <v>1</v>
      </c>
      <c r="H144">
        <v>5</v>
      </c>
      <c r="I144" t="s">
        <v>41</v>
      </c>
      <c r="J144">
        <f t="shared" si="4"/>
        <v>7</v>
      </c>
      <c r="K144" t="s">
        <v>41</v>
      </c>
      <c r="L144" t="e">
        <f t="shared" si="5"/>
        <v>#VALUE!</v>
      </c>
      <c r="M144" t="s">
        <v>41</v>
      </c>
      <c r="N144" t="s">
        <v>41</v>
      </c>
      <c r="O144" t="s">
        <v>41</v>
      </c>
      <c r="P144" t="s">
        <v>41</v>
      </c>
      <c r="Q144" t="s">
        <v>41</v>
      </c>
      <c r="R144" t="s">
        <v>41</v>
      </c>
      <c r="S144" t="s">
        <v>41</v>
      </c>
      <c r="T144" t="s">
        <v>41</v>
      </c>
      <c r="U144" t="s">
        <v>41</v>
      </c>
      <c r="V144" t="s">
        <v>41</v>
      </c>
      <c r="W144" t="s">
        <v>41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41</v>
      </c>
    </row>
    <row r="145" spans="1:32" x14ac:dyDescent="0.3">
      <c r="A145" t="s">
        <v>135</v>
      </c>
      <c r="B145" t="s">
        <v>68</v>
      </c>
      <c r="C145" t="s">
        <v>355</v>
      </c>
      <c r="D145" t="s">
        <v>28</v>
      </c>
      <c r="E145" t="s">
        <v>90</v>
      </c>
      <c r="F145">
        <v>1</v>
      </c>
      <c r="G145">
        <v>1</v>
      </c>
      <c r="H145">
        <v>1</v>
      </c>
      <c r="I145" t="s">
        <v>41</v>
      </c>
      <c r="J145">
        <f t="shared" si="4"/>
        <v>3</v>
      </c>
      <c r="K145" t="s">
        <v>41</v>
      </c>
      <c r="L145" t="e">
        <f t="shared" si="5"/>
        <v>#VALUE!</v>
      </c>
      <c r="M145" t="s">
        <v>41</v>
      </c>
      <c r="N145" t="s">
        <v>41</v>
      </c>
      <c r="O145" t="s">
        <v>41</v>
      </c>
      <c r="P145" t="s">
        <v>41</v>
      </c>
      <c r="Q145" t="s">
        <v>41</v>
      </c>
      <c r="R145" t="s">
        <v>41</v>
      </c>
      <c r="S145" t="s">
        <v>41</v>
      </c>
      <c r="T145" t="s">
        <v>41</v>
      </c>
      <c r="U145" t="s">
        <v>41</v>
      </c>
      <c r="V145" t="s">
        <v>41</v>
      </c>
      <c r="W145" t="s">
        <v>41</v>
      </c>
      <c r="X145" t="s">
        <v>41</v>
      </c>
      <c r="Y145" t="s">
        <v>41</v>
      </c>
      <c r="Z145" t="s">
        <v>41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s">
        <v>41</v>
      </c>
    </row>
    <row r="146" spans="1:32" x14ac:dyDescent="0.3">
      <c r="A146" t="s">
        <v>135</v>
      </c>
      <c r="B146" t="s">
        <v>344</v>
      </c>
      <c r="C146" t="s">
        <v>355</v>
      </c>
      <c r="D146" t="s">
        <v>356</v>
      </c>
      <c r="E146" t="s">
        <v>357</v>
      </c>
      <c r="F146">
        <v>1</v>
      </c>
      <c r="G146">
        <v>1</v>
      </c>
      <c r="H146">
        <v>1</v>
      </c>
      <c r="I146">
        <v>3</v>
      </c>
      <c r="J146">
        <f t="shared" si="4"/>
        <v>6</v>
      </c>
      <c r="K146" t="s">
        <v>41</v>
      </c>
      <c r="L146" t="e">
        <f t="shared" si="5"/>
        <v>#VALUE!</v>
      </c>
      <c r="M146" t="s">
        <v>41</v>
      </c>
      <c r="N146" t="s">
        <v>41</v>
      </c>
      <c r="O146" t="s">
        <v>41</v>
      </c>
      <c r="P146" t="s">
        <v>41</v>
      </c>
      <c r="Q146" t="s">
        <v>41</v>
      </c>
      <c r="R146" t="s">
        <v>41</v>
      </c>
      <c r="S146" t="s">
        <v>41</v>
      </c>
      <c r="T146" t="s">
        <v>41</v>
      </c>
      <c r="U146" t="s">
        <v>41</v>
      </c>
      <c r="V146" t="s">
        <v>41</v>
      </c>
      <c r="W146" t="s">
        <v>41</v>
      </c>
      <c r="X146" t="s">
        <v>41</v>
      </c>
      <c r="Y146" t="s">
        <v>41</v>
      </c>
      <c r="Z146" t="s">
        <v>41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41</v>
      </c>
    </row>
    <row r="147" spans="1:32" x14ac:dyDescent="0.3">
      <c r="A147" t="s">
        <v>135</v>
      </c>
      <c r="B147" t="s">
        <v>219</v>
      </c>
      <c r="C147" t="s">
        <v>38</v>
      </c>
      <c r="D147" t="s">
        <v>66</v>
      </c>
      <c r="E147" t="s">
        <v>126</v>
      </c>
      <c r="F147">
        <v>1</v>
      </c>
      <c r="G147">
        <v>1</v>
      </c>
      <c r="H147" t="s">
        <v>41</v>
      </c>
      <c r="I147">
        <v>3</v>
      </c>
      <c r="J147">
        <f t="shared" si="4"/>
        <v>5</v>
      </c>
      <c r="K147">
        <v>1</v>
      </c>
      <c r="L147">
        <f t="shared" si="5"/>
        <v>60</v>
      </c>
      <c r="M147">
        <v>1</v>
      </c>
      <c r="N147" t="s">
        <v>41</v>
      </c>
      <c r="O147" t="s">
        <v>41</v>
      </c>
      <c r="P147" t="s">
        <v>41</v>
      </c>
      <c r="Q147" t="s">
        <v>41</v>
      </c>
      <c r="R147" t="s">
        <v>41</v>
      </c>
      <c r="S147" t="s">
        <v>41</v>
      </c>
      <c r="T147" t="s">
        <v>41</v>
      </c>
      <c r="U147" t="s">
        <v>41</v>
      </c>
      <c r="V147" t="s">
        <v>41</v>
      </c>
      <c r="W147" t="s">
        <v>41</v>
      </c>
      <c r="X147" t="s">
        <v>41</v>
      </c>
      <c r="Y147" t="s">
        <v>41</v>
      </c>
      <c r="Z147" t="s">
        <v>41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  <c r="AF147" t="s">
        <v>41</v>
      </c>
    </row>
    <row r="148" spans="1:32" x14ac:dyDescent="0.3">
      <c r="A148" t="s">
        <v>135</v>
      </c>
      <c r="B148" t="s">
        <v>358</v>
      </c>
      <c r="C148" t="s">
        <v>355</v>
      </c>
      <c r="D148" t="s">
        <v>41</v>
      </c>
      <c r="E148" t="s">
        <v>41</v>
      </c>
      <c r="F148">
        <v>1</v>
      </c>
      <c r="G148" t="s">
        <v>41</v>
      </c>
      <c r="H148" t="s">
        <v>41</v>
      </c>
      <c r="I148" t="s">
        <v>41</v>
      </c>
      <c r="J148">
        <f t="shared" si="4"/>
        <v>1</v>
      </c>
      <c r="K148" t="s">
        <v>41</v>
      </c>
      <c r="L148" t="e">
        <f t="shared" si="5"/>
        <v>#VALUE!</v>
      </c>
      <c r="M148" t="s">
        <v>41</v>
      </c>
      <c r="N148" t="s">
        <v>41</v>
      </c>
      <c r="O148" t="s">
        <v>41</v>
      </c>
      <c r="P148" t="s">
        <v>41</v>
      </c>
      <c r="Q148" t="s">
        <v>41</v>
      </c>
      <c r="R148" t="s">
        <v>41</v>
      </c>
      <c r="S148" t="s">
        <v>41</v>
      </c>
      <c r="T148" t="s">
        <v>41</v>
      </c>
      <c r="U148" t="s">
        <v>41</v>
      </c>
      <c r="V148" t="s">
        <v>41</v>
      </c>
      <c r="W148" t="s">
        <v>41</v>
      </c>
      <c r="X148" t="s">
        <v>41</v>
      </c>
      <c r="Y148" t="s">
        <v>41</v>
      </c>
      <c r="Z148" t="s">
        <v>41</v>
      </c>
      <c r="AA148" t="s">
        <v>41</v>
      </c>
      <c r="AB148" t="s">
        <v>41</v>
      </c>
      <c r="AC148" t="s">
        <v>41</v>
      </c>
      <c r="AD148" t="s">
        <v>41</v>
      </c>
      <c r="AE148" t="s">
        <v>41</v>
      </c>
      <c r="AF148" t="s">
        <v>41</v>
      </c>
    </row>
    <row r="149" spans="1:32" x14ac:dyDescent="0.3">
      <c r="A149" t="s">
        <v>135</v>
      </c>
      <c r="B149" t="s">
        <v>24</v>
      </c>
      <c r="C149" t="s">
        <v>104</v>
      </c>
      <c r="D149" t="s">
        <v>41</v>
      </c>
      <c r="E149" t="s">
        <v>41</v>
      </c>
      <c r="F149">
        <v>1</v>
      </c>
      <c r="G149" t="s">
        <v>41</v>
      </c>
      <c r="H149" t="s">
        <v>41</v>
      </c>
      <c r="I149" t="s">
        <v>41</v>
      </c>
      <c r="J149">
        <f t="shared" si="4"/>
        <v>1</v>
      </c>
      <c r="K149" t="s">
        <v>41</v>
      </c>
      <c r="L149" t="e">
        <f t="shared" si="5"/>
        <v>#VALUE!</v>
      </c>
      <c r="M149" t="s">
        <v>41</v>
      </c>
      <c r="N149" t="s">
        <v>41</v>
      </c>
      <c r="O149" t="s">
        <v>41</v>
      </c>
      <c r="P149" t="s">
        <v>41</v>
      </c>
      <c r="Q149" t="s">
        <v>41</v>
      </c>
      <c r="R149" t="s">
        <v>41</v>
      </c>
      <c r="S149" t="s">
        <v>41</v>
      </c>
      <c r="T149" t="s">
        <v>41</v>
      </c>
      <c r="U149" t="s">
        <v>41</v>
      </c>
      <c r="V149" t="s">
        <v>41</v>
      </c>
      <c r="W149" t="s">
        <v>41</v>
      </c>
      <c r="X149" t="s">
        <v>41</v>
      </c>
      <c r="Y149" t="s">
        <v>41</v>
      </c>
      <c r="Z149" t="s">
        <v>41</v>
      </c>
      <c r="AA149" t="s">
        <v>41</v>
      </c>
      <c r="AB149" t="s">
        <v>41</v>
      </c>
      <c r="AC149" t="s">
        <v>41</v>
      </c>
      <c r="AD149" t="s">
        <v>41</v>
      </c>
      <c r="AE149" t="s">
        <v>41</v>
      </c>
      <c r="AF149" t="s">
        <v>41</v>
      </c>
    </row>
    <row r="150" spans="1:32" x14ac:dyDescent="0.3">
      <c r="A150" t="s">
        <v>135</v>
      </c>
      <c r="B150" t="s">
        <v>197</v>
      </c>
      <c r="C150" t="s">
        <v>359</v>
      </c>
      <c r="D150" t="s">
        <v>41</v>
      </c>
      <c r="E150" t="s">
        <v>41</v>
      </c>
      <c r="F150">
        <v>1</v>
      </c>
      <c r="G150" t="s">
        <v>41</v>
      </c>
      <c r="H150" t="s">
        <v>41</v>
      </c>
      <c r="I150" t="s">
        <v>41</v>
      </c>
      <c r="J150">
        <f t="shared" si="4"/>
        <v>1</v>
      </c>
      <c r="K150" t="s">
        <v>41</v>
      </c>
      <c r="L150" t="e">
        <f t="shared" si="5"/>
        <v>#VALUE!</v>
      </c>
      <c r="M150" t="s">
        <v>41</v>
      </c>
      <c r="N150" t="s">
        <v>41</v>
      </c>
      <c r="O150" t="s">
        <v>41</v>
      </c>
      <c r="P150" t="s">
        <v>41</v>
      </c>
      <c r="Q150" t="s">
        <v>41</v>
      </c>
      <c r="R150" t="s">
        <v>41</v>
      </c>
      <c r="S150" t="s">
        <v>41</v>
      </c>
      <c r="T150" t="s">
        <v>41</v>
      </c>
      <c r="U150" t="s">
        <v>41</v>
      </c>
      <c r="V150" t="s">
        <v>41</v>
      </c>
      <c r="W150" t="s">
        <v>41</v>
      </c>
      <c r="X150" t="s">
        <v>41</v>
      </c>
      <c r="Y150" t="s">
        <v>41</v>
      </c>
      <c r="Z150" t="s">
        <v>41</v>
      </c>
      <c r="AA150" t="s">
        <v>41</v>
      </c>
      <c r="AB150" t="s">
        <v>41</v>
      </c>
      <c r="AC150" t="s">
        <v>41</v>
      </c>
      <c r="AD150" t="s">
        <v>41</v>
      </c>
      <c r="AE150" t="s">
        <v>41</v>
      </c>
      <c r="AF150" t="s">
        <v>41</v>
      </c>
    </row>
    <row r="151" spans="1:32" x14ac:dyDescent="0.3">
      <c r="A151" t="s">
        <v>135</v>
      </c>
      <c r="B151" t="s">
        <v>360</v>
      </c>
      <c r="C151" t="s">
        <v>93</v>
      </c>
      <c r="D151" t="s">
        <v>361</v>
      </c>
      <c r="E151" t="s">
        <v>156</v>
      </c>
      <c r="F151">
        <v>1</v>
      </c>
      <c r="G151">
        <v>1</v>
      </c>
      <c r="H151">
        <v>1</v>
      </c>
      <c r="I151">
        <v>1</v>
      </c>
      <c r="J151">
        <f t="shared" si="4"/>
        <v>4</v>
      </c>
      <c r="K151" t="s">
        <v>41</v>
      </c>
      <c r="L151" t="e">
        <f t="shared" si="5"/>
        <v>#VALUE!</v>
      </c>
      <c r="M151" t="s">
        <v>41</v>
      </c>
      <c r="N151">
        <v>4</v>
      </c>
      <c r="O151" t="s">
        <v>41</v>
      </c>
      <c r="P151" t="s">
        <v>41</v>
      </c>
      <c r="Q151" t="s">
        <v>41</v>
      </c>
      <c r="R151" t="s">
        <v>41</v>
      </c>
      <c r="S151" t="s">
        <v>41</v>
      </c>
      <c r="T151">
        <v>0.75</v>
      </c>
      <c r="U151">
        <v>0.25</v>
      </c>
      <c r="V151" t="s">
        <v>41</v>
      </c>
      <c r="W151" t="s">
        <v>41</v>
      </c>
      <c r="X151">
        <v>7</v>
      </c>
      <c r="Y151">
        <v>2</v>
      </c>
      <c r="Z151" t="s">
        <v>41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  <c r="AF151" t="s">
        <v>41</v>
      </c>
    </row>
    <row r="152" spans="1:32" x14ac:dyDescent="0.3">
      <c r="A152" t="s">
        <v>135</v>
      </c>
      <c r="B152" t="s">
        <v>40</v>
      </c>
      <c r="C152" t="s">
        <v>93</v>
      </c>
      <c r="D152" t="s">
        <v>41</v>
      </c>
      <c r="E152" t="s">
        <v>41</v>
      </c>
      <c r="F152">
        <v>1</v>
      </c>
      <c r="G152" t="s">
        <v>41</v>
      </c>
      <c r="H152" t="s">
        <v>41</v>
      </c>
      <c r="I152" t="s">
        <v>41</v>
      </c>
      <c r="J152">
        <f t="shared" si="4"/>
        <v>1</v>
      </c>
      <c r="K152" t="s">
        <v>41</v>
      </c>
      <c r="L152" t="e">
        <f t="shared" si="5"/>
        <v>#VALUE!</v>
      </c>
      <c r="M152" t="s">
        <v>41</v>
      </c>
      <c r="N152">
        <v>1</v>
      </c>
      <c r="O152" t="s">
        <v>41</v>
      </c>
      <c r="P152" t="s">
        <v>41</v>
      </c>
      <c r="Q152" t="s">
        <v>41</v>
      </c>
      <c r="R152" t="s">
        <v>41</v>
      </c>
      <c r="S152" t="s">
        <v>41</v>
      </c>
      <c r="T152" t="s">
        <v>41</v>
      </c>
      <c r="U152" t="s">
        <v>41</v>
      </c>
      <c r="V152" t="s">
        <v>41</v>
      </c>
      <c r="W152" t="s">
        <v>41</v>
      </c>
      <c r="X152" t="s">
        <v>41</v>
      </c>
      <c r="Y152" t="s">
        <v>41</v>
      </c>
      <c r="Z152" t="s">
        <v>41</v>
      </c>
      <c r="AA152" t="s">
        <v>41</v>
      </c>
      <c r="AB152" t="s">
        <v>41</v>
      </c>
      <c r="AC152" t="s">
        <v>41</v>
      </c>
      <c r="AD152">
        <v>2</v>
      </c>
      <c r="AE152">
        <v>4</v>
      </c>
      <c r="AF152" t="s">
        <v>41</v>
      </c>
    </row>
    <row r="153" spans="1:32" x14ac:dyDescent="0.3">
      <c r="A153" t="s">
        <v>135</v>
      </c>
      <c r="B153" t="s">
        <v>362</v>
      </c>
      <c r="C153" t="s">
        <v>116</v>
      </c>
      <c r="D153" t="s">
        <v>82</v>
      </c>
      <c r="E153" t="s">
        <v>47</v>
      </c>
      <c r="F153">
        <v>1</v>
      </c>
      <c r="G153">
        <v>1</v>
      </c>
      <c r="H153">
        <v>3</v>
      </c>
      <c r="I153">
        <v>1</v>
      </c>
      <c r="J153">
        <f t="shared" si="4"/>
        <v>6</v>
      </c>
      <c r="K153" t="s">
        <v>41</v>
      </c>
      <c r="L153" t="e">
        <f t="shared" si="5"/>
        <v>#VALUE!</v>
      </c>
      <c r="M153">
        <v>1</v>
      </c>
      <c r="N153">
        <v>1</v>
      </c>
      <c r="O153" t="s">
        <v>41</v>
      </c>
      <c r="P153" t="s">
        <v>41</v>
      </c>
      <c r="Q153" t="s">
        <v>41</v>
      </c>
      <c r="R153" t="s">
        <v>41</v>
      </c>
      <c r="S153" t="s">
        <v>41</v>
      </c>
      <c r="T153" t="s">
        <v>41</v>
      </c>
      <c r="U153" t="s">
        <v>41</v>
      </c>
      <c r="V153" t="s">
        <v>41</v>
      </c>
      <c r="W153" t="s">
        <v>41</v>
      </c>
      <c r="X153" t="s">
        <v>41</v>
      </c>
      <c r="Y153" t="s">
        <v>41</v>
      </c>
      <c r="Z153" t="s">
        <v>41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s">
        <v>41</v>
      </c>
    </row>
    <row r="154" spans="1:32" x14ac:dyDescent="0.3">
      <c r="A154" t="s">
        <v>135</v>
      </c>
      <c r="B154" t="s">
        <v>344</v>
      </c>
      <c r="C154" t="s">
        <v>223</v>
      </c>
      <c r="D154" t="s">
        <v>41</v>
      </c>
      <c r="E154" t="s">
        <v>41</v>
      </c>
      <c r="F154">
        <v>1</v>
      </c>
      <c r="G154" t="s">
        <v>41</v>
      </c>
      <c r="H154" t="s">
        <v>41</v>
      </c>
      <c r="I154" t="s">
        <v>41</v>
      </c>
      <c r="J154">
        <f t="shared" si="4"/>
        <v>1</v>
      </c>
      <c r="K154" t="s">
        <v>41</v>
      </c>
      <c r="L154" t="e">
        <f t="shared" si="5"/>
        <v>#VALUE!</v>
      </c>
      <c r="M154">
        <v>1</v>
      </c>
      <c r="N154" t="s">
        <v>41</v>
      </c>
      <c r="O154" t="s">
        <v>41</v>
      </c>
      <c r="P154" t="s">
        <v>41</v>
      </c>
      <c r="Q154" t="s">
        <v>41</v>
      </c>
      <c r="R154" t="s">
        <v>41</v>
      </c>
      <c r="S154" t="s">
        <v>41</v>
      </c>
      <c r="T154" t="s">
        <v>41</v>
      </c>
      <c r="U154" t="s">
        <v>41</v>
      </c>
      <c r="V154" t="s">
        <v>41</v>
      </c>
      <c r="W154" t="s">
        <v>41</v>
      </c>
      <c r="X154" t="s">
        <v>41</v>
      </c>
      <c r="Y154" t="s">
        <v>41</v>
      </c>
      <c r="Z154" t="s">
        <v>41</v>
      </c>
      <c r="AA154" t="s">
        <v>41</v>
      </c>
      <c r="AB154" t="s">
        <v>41</v>
      </c>
      <c r="AC154" t="s">
        <v>41</v>
      </c>
      <c r="AD154">
        <v>2</v>
      </c>
      <c r="AE154">
        <v>4</v>
      </c>
      <c r="AF154" t="s">
        <v>41</v>
      </c>
    </row>
    <row r="155" spans="1:32" x14ac:dyDescent="0.3">
      <c r="A155" t="s">
        <v>135</v>
      </c>
      <c r="B155" t="s">
        <v>363</v>
      </c>
      <c r="C155" t="s">
        <v>223</v>
      </c>
      <c r="D155" t="s">
        <v>41</v>
      </c>
      <c r="E155" t="s">
        <v>41</v>
      </c>
      <c r="F155">
        <v>1</v>
      </c>
      <c r="G155" t="s">
        <v>41</v>
      </c>
      <c r="H155" t="s">
        <v>41</v>
      </c>
      <c r="I155" t="s">
        <v>41</v>
      </c>
      <c r="J155">
        <f t="shared" si="4"/>
        <v>1</v>
      </c>
      <c r="K155" t="s">
        <v>41</v>
      </c>
      <c r="L155" t="e">
        <f t="shared" si="5"/>
        <v>#VALUE!</v>
      </c>
      <c r="M155" t="s">
        <v>41</v>
      </c>
      <c r="N155" t="s">
        <v>41</v>
      </c>
      <c r="O155" t="s">
        <v>41</v>
      </c>
      <c r="P155" t="s">
        <v>41</v>
      </c>
      <c r="Q155" t="s">
        <v>41</v>
      </c>
      <c r="R155" t="s">
        <v>41</v>
      </c>
      <c r="S155" t="s">
        <v>41</v>
      </c>
      <c r="T155" t="s">
        <v>41</v>
      </c>
      <c r="U155" t="s">
        <v>41</v>
      </c>
      <c r="V155" t="s">
        <v>41</v>
      </c>
      <c r="W155" t="s">
        <v>41</v>
      </c>
      <c r="X155" t="s">
        <v>41</v>
      </c>
      <c r="Y155" t="s">
        <v>41</v>
      </c>
      <c r="Z155" t="s">
        <v>41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F155" t="s">
        <v>41</v>
      </c>
    </row>
    <row r="156" spans="1:32" x14ac:dyDescent="0.3">
      <c r="A156" t="s">
        <v>135</v>
      </c>
      <c r="B156" t="s">
        <v>189</v>
      </c>
      <c r="C156" t="s">
        <v>223</v>
      </c>
      <c r="D156" t="s">
        <v>41</v>
      </c>
      <c r="E156" t="s">
        <v>41</v>
      </c>
      <c r="F156">
        <v>1</v>
      </c>
      <c r="G156" t="s">
        <v>41</v>
      </c>
      <c r="H156" t="s">
        <v>41</v>
      </c>
      <c r="I156" t="s">
        <v>41</v>
      </c>
      <c r="J156">
        <f t="shared" si="4"/>
        <v>1</v>
      </c>
      <c r="K156" t="s">
        <v>41</v>
      </c>
      <c r="L156" t="e">
        <f t="shared" si="5"/>
        <v>#VALUE!</v>
      </c>
      <c r="M156" t="s">
        <v>41</v>
      </c>
      <c r="N156" t="s">
        <v>41</v>
      </c>
      <c r="O156" t="s">
        <v>41</v>
      </c>
      <c r="P156" t="s">
        <v>41</v>
      </c>
      <c r="Q156" t="s">
        <v>41</v>
      </c>
      <c r="R156" t="s">
        <v>41</v>
      </c>
      <c r="S156" t="s">
        <v>41</v>
      </c>
      <c r="T156" t="s">
        <v>41</v>
      </c>
      <c r="U156" t="s">
        <v>41</v>
      </c>
      <c r="V156" t="s">
        <v>41</v>
      </c>
      <c r="W156" t="s">
        <v>41</v>
      </c>
      <c r="X156" t="s">
        <v>41</v>
      </c>
      <c r="Y156" t="s">
        <v>41</v>
      </c>
      <c r="Z156" t="s">
        <v>41</v>
      </c>
      <c r="AA156" t="s">
        <v>41</v>
      </c>
      <c r="AB156" t="s">
        <v>41</v>
      </c>
      <c r="AC156" t="s">
        <v>41</v>
      </c>
      <c r="AD156">
        <v>2</v>
      </c>
      <c r="AE156">
        <v>4</v>
      </c>
      <c r="AF156" t="s">
        <v>41</v>
      </c>
    </row>
    <row r="157" spans="1:32" x14ac:dyDescent="0.3">
      <c r="A157" t="s">
        <v>135</v>
      </c>
      <c r="B157" t="s">
        <v>349</v>
      </c>
      <c r="C157" t="s">
        <v>54</v>
      </c>
      <c r="D157" t="s">
        <v>364</v>
      </c>
      <c r="E157" t="s">
        <v>114</v>
      </c>
      <c r="F157">
        <v>1</v>
      </c>
      <c r="G157">
        <v>1</v>
      </c>
      <c r="H157">
        <v>1</v>
      </c>
      <c r="I157">
        <v>3</v>
      </c>
      <c r="J157">
        <f t="shared" si="4"/>
        <v>6</v>
      </c>
      <c r="K157" t="s">
        <v>41</v>
      </c>
      <c r="L157" t="e">
        <f t="shared" si="5"/>
        <v>#VALUE!</v>
      </c>
      <c r="M157">
        <v>1</v>
      </c>
      <c r="N157" t="s">
        <v>41</v>
      </c>
      <c r="O157" t="s">
        <v>41</v>
      </c>
      <c r="P157" t="s">
        <v>41</v>
      </c>
      <c r="Q157" t="s">
        <v>41</v>
      </c>
      <c r="R157" t="s">
        <v>41</v>
      </c>
      <c r="S157" t="s">
        <v>41</v>
      </c>
      <c r="T157" t="s">
        <v>41</v>
      </c>
      <c r="U157" t="s">
        <v>41</v>
      </c>
      <c r="V157" t="s">
        <v>41</v>
      </c>
      <c r="W157" t="s">
        <v>41</v>
      </c>
      <c r="X157" t="s">
        <v>41</v>
      </c>
      <c r="Y157" t="s">
        <v>41</v>
      </c>
      <c r="Z157" t="s">
        <v>41</v>
      </c>
      <c r="AA157" t="s">
        <v>41</v>
      </c>
      <c r="AB157" t="s">
        <v>41</v>
      </c>
      <c r="AC157">
        <v>1</v>
      </c>
      <c r="AD157">
        <v>5</v>
      </c>
      <c r="AE157" t="s">
        <v>41</v>
      </c>
      <c r="AF157" t="s">
        <v>41</v>
      </c>
    </row>
    <row r="158" spans="1:32" x14ac:dyDescent="0.3">
      <c r="A158" t="s">
        <v>135</v>
      </c>
      <c r="B158" t="s">
        <v>365</v>
      </c>
      <c r="C158" t="s">
        <v>366</v>
      </c>
      <c r="D158" t="s">
        <v>41</v>
      </c>
      <c r="E158" t="s">
        <v>41</v>
      </c>
      <c r="F158">
        <v>1</v>
      </c>
      <c r="G158" t="s">
        <v>41</v>
      </c>
      <c r="H158" t="s">
        <v>41</v>
      </c>
      <c r="I158" t="s">
        <v>41</v>
      </c>
      <c r="J158">
        <f t="shared" si="4"/>
        <v>1</v>
      </c>
      <c r="K158" t="s">
        <v>41</v>
      </c>
      <c r="L158" t="e">
        <f t="shared" si="5"/>
        <v>#VALUE!</v>
      </c>
      <c r="M158" t="s">
        <v>41</v>
      </c>
      <c r="N158" t="s">
        <v>41</v>
      </c>
      <c r="O158" t="s">
        <v>41</v>
      </c>
      <c r="P158" t="s">
        <v>41</v>
      </c>
      <c r="Q158" t="s">
        <v>41</v>
      </c>
      <c r="R158" t="s">
        <v>41</v>
      </c>
      <c r="S158" t="s">
        <v>41</v>
      </c>
      <c r="T158" t="s">
        <v>41</v>
      </c>
      <c r="U158" t="s">
        <v>41</v>
      </c>
      <c r="V158" t="s">
        <v>41</v>
      </c>
      <c r="W158" t="s">
        <v>41</v>
      </c>
      <c r="X158" t="s">
        <v>41</v>
      </c>
      <c r="Y158" t="s">
        <v>41</v>
      </c>
      <c r="Z158" t="s">
        <v>41</v>
      </c>
      <c r="AA158" t="s">
        <v>41</v>
      </c>
      <c r="AB158" t="s">
        <v>41</v>
      </c>
      <c r="AC158" t="s">
        <v>41</v>
      </c>
      <c r="AD158">
        <v>2</v>
      </c>
      <c r="AE158">
        <v>4</v>
      </c>
      <c r="AF158" t="s">
        <v>41</v>
      </c>
    </row>
    <row r="159" spans="1:32" x14ac:dyDescent="0.3">
      <c r="A159" t="s">
        <v>135</v>
      </c>
      <c r="B159" t="s">
        <v>115</v>
      </c>
      <c r="C159" t="s">
        <v>24</v>
      </c>
      <c r="D159" t="s">
        <v>46</v>
      </c>
      <c r="E159" t="s">
        <v>38</v>
      </c>
      <c r="F159">
        <v>1</v>
      </c>
      <c r="G159">
        <v>1</v>
      </c>
      <c r="H159" t="s">
        <v>41</v>
      </c>
      <c r="I159">
        <v>3</v>
      </c>
      <c r="J159">
        <f t="shared" si="4"/>
        <v>5</v>
      </c>
      <c r="K159" t="s">
        <v>41</v>
      </c>
      <c r="L159" t="e">
        <f t="shared" si="5"/>
        <v>#VALUE!</v>
      </c>
      <c r="M159">
        <v>5</v>
      </c>
      <c r="N159">
        <v>4</v>
      </c>
      <c r="O159" t="s">
        <v>41</v>
      </c>
      <c r="P159" t="s">
        <v>41</v>
      </c>
      <c r="Q159" t="s">
        <v>41</v>
      </c>
      <c r="R159" t="s">
        <v>41</v>
      </c>
      <c r="S159" t="s">
        <v>41</v>
      </c>
      <c r="T159">
        <v>0.5</v>
      </c>
      <c r="U159">
        <v>0.25</v>
      </c>
      <c r="V159" t="s">
        <v>41</v>
      </c>
      <c r="W159" t="s">
        <v>41</v>
      </c>
      <c r="X159">
        <v>5</v>
      </c>
      <c r="Y159">
        <v>14</v>
      </c>
      <c r="Z159" t="s">
        <v>41</v>
      </c>
      <c r="AA159" t="s">
        <v>41</v>
      </c>
      <c r="AB159" t="s">
        <v>41</v>
      </c>
      <c r="AC159" t="s">
        <v>41</v>
      </c>
      <c r="AD159">
        <v>6</v>
      </c>
      <c r="AE159" t="s">
        <v>41</v>
      </c>
      <c r="AF159" t="s">
        <v>41</v>
      </c>
    </row>
    <row r="160" spans="1:32" x14ac:dyDescent="0.3">
      <c r="A160" t="s">
        <v>135</v>
      </c>
      <c r="B160" t="s">
        <v>197</v>
      </c>
      <c r="C160" t="s">
        <v>24</v>
      </c>
      <c r="D160" t="s">
        <v>41</v>
      </c>
      <c r="E160" t="s">
        <v>41</v>
      </c>
      <c r="F160">
        <v>1</v>
      </c>
      <c r="G160" t="s">
        <v>41</v>
      </c>
      <c r="H160" t="s">
        <v>41</v>
      </c>
      <c r="I160" t="s">
        <v>41</v>
      </c>
      <c r="J160">
        <f t="shared" si="4"/>
        <v>1</v>
      </c>
      <c r="K160" t="s">
        <v>41</v>
      </c>
      <c r="L160" t="e">
        <f t="shared" si="5"/>
        <v>#VALUE!</v>
      </c>
      <c r="M160" t="s">
        <v>41</v>
      </c>
      <c r="N160" t="s">
        <v>41</v>
      </c>
      <c r="O160" t="s">
        <v>41</v>
      </c>
      <c r="P160" t="s">
        <v>41</v>
      </c>
      <c r="Q160" t="s">
        <v>41</v>
      </c>
      <c r="R160" t="s">
        <v>41</v>
      </c>
      <c r="S160" t="s">
        <v>41</v>
      </c>
      <c r="T160">
        <v>0.5</v>
      </c>
      <c r="U160">
        <v>3</v>
      </c>
      <c r="V160" t="s">
        <v>41</v>
      </c>
      <c r="W160" t="s">
        <v>41</v>
      </c>
      <c r="X160" t="s">
        <v>41</v>
      </c>
      <c r="Y160" t="s">
        <v>41</v>
      </c>
      <c r="Z160" t="s">
        <v>41</v>
      </c>
      <c r="AA160" t="s">
        <v>41</v>
      </c>
      <c r="AB160" t="s">
        <v>41</v>
      </c>
      <c r="AC160" t="s">
        <v>41</v>
      </c>
      <c r="AD160">
        <v>2</v>
      </c>
      <c r="AE160">
        <v>5</v>
      </c>
      <c r="AF160" t="s">
        <v>41</v>
      </c>
    </row>
    <row r="161" spans="1:32" x14ac:dyDescent="0.3">
      <c r="A161" t="s">
        <v>135</v>
      </c>
      <c r="B161" t="s">
        <v>367</v>
      </c>
      <c r="C161" t="s">
        <v>368</v>
      </c>
      <c r="D161" t="s">
        <v>41</v>
      </c>
      <c r="E161" t="s">
        <v>41</v>
      </c>
      <c r="F161">
        <v>1</v>
      </c>
      <c r="G161" t="s">
        <v>41</v>
      </c>
      <c r="H161">
        <v>3</v>
      </c>
      <c r="I161">
        <v>2</v>
      </c>
      <c r="J161">
        <f t="shared" si="4"/>
        <v>6</v>
      </c>
      <c r="K161" t="s">
        <v>41</v>
      </c>
      <c r="L161" t="e">
        <f t="shared" si="5"/>
        <v>#VALUE!</v>
      </c>
      <c r="M161">
        <v>3</v>
      </c>
      <c r="N161">
        <v>4</v>
      </c>
      <c r="O161">
        <v>5</v>
      </c>
      <c r="P161" t="s">
        <v>41</v>
      </c>
      <c r="Q161" t="s">
        <v>41</v>
      </c>
      <c r="R161" t="s">
        <v>41</v>
      </c>
      <c r="S161" t="s">
        <v>41</v>
      </c>
      <c r="T161">
        <v>0.25</v>
      </c>
      <c r="U161" t="s">
        <v>41</v>
      </c>
      <c r="V161" t="s">
        <v>41</v>
      </c>
      <c r="W161" t="s">
        <v>41</v>
      </c>
      <c r="X161">
        <v>2</v>
      </c>
      <c r="Y161" t="s">
        <v>41</v>
      </c>
      <c r="Z161" t="s">
        <v>41</v>
      </c>
      <c r="AA161" t="s">
        <v>41</v>
      </c>
      <c r="AB161" t="s">
        <v>41</v>
      </c>
      <c r="AC161" t="s">
        <v>41</v>
      </c>
      <c r="AD161">
        <v>3</v>
      </c>
      <c r="AE161" t="s">
        <v>41</v>
      </c>
      <c r="AF161" t="s">
        <v>41</v>
      </c>
    </row>
    <row r="162" spans="1:32" x14ac:dyDescent="0.3">
      <c r="A162" t="s">
        <v>135</v>
      </c>
      <c r="B162" t="s">
        <v>370</v>
      </c>
      <c r="C162" t="s">
        <v>142</v>
      </c>
      <c r="D162" t="s">
        <v>286</v>
      </c>
      <c r="E162" t="s">
        <v>371</v>
      </c>
      <c r="F162">
        <v>1</v>
      </c>
      <c r="G162">
        <v>1</v>
      </c>
      <c r="H162">
        <v>3</v>
      </c>
      <c r="I162">
        <v>2</v>
      </c>
      <c r="J162">
        <f t="shared" si="4"/>
        <v>7</v>
      </c>
      <c r="K162">
        <v>1</v>
      </c>
      <c r="L162">
        <f t="shared" si="5"/>
        <v>60</v>
      </c>
      <c r="M162">
        <v>4</v>
      </c>
      <c r="N162">
        <v>2</v>
      </c>
      <c r="O162" t="s">
        <v>41</v>
      </c>
      <c r="P162" t="s">
        <v>41</v>
      </c>
      <c r="Q162" t="s">
        <v>41</v>
      </c>
      <c r="R162" t="s">
        <v>41</v>
      </c>
      <c r="S162" t="s">
        <v>41</v>
      </c>
      <c r="T162">
        <v>0.25</v>
      </c>
      <c r="U162">
        <v>0.25</v>
      </c>
      <c r="V162" t="s">
        <v>41</v>
      </c>
      <c r="W162" t="s">
        <v>41</v>
      </c>
      <c r="X162">
        <v>4</v>
      </c>
      <c r="Y162">
        <v>3</v>
      </c>
      <c r="Z162" t="s">
        <v>41</v>
      </c>
      <c r="AA162" t="s">
        <v>41</v>
      </c>
      <c r="AB162" t="s">
        <v>41</v>
      </c>
      <c r="AC162" t="s">
        <v>41</v>
      </c>
      <c r="AD162">
        <v>5</v>
      </c>
      <c r="AE162" t="s">
        <v>41</v>
      </c>
      <c r="AF162" t="s">
        <v>41</v>
      </c>
    </row>
    <row r="163" spans="1:32" x14ac:dyDescent="0.3">
      <c r="A163" t="s">
        <v>135</v>
      </c>
      <c r="B163" t="s">
        <v>226</v>
      </c>
      <c r="C163" t="s">
        <v>142</v>
      </c>
      <c r="D163" t="s">
        <v>273</v>
      </c>
      <c r="E163" t="s">
        <v>369</v>
      </c>
      <c r="F163">
        <v>1</v>
      </c>
      <c r="G163">
        <v>1</v>
      </c>
      <c r="H163">
        <v>4</v>
      </c>
      <c r="I163">
        <v>1</v>
      </c>
      <c r="J163">
        <f t="shared" si="4"/>
        <v>7</v>
      </c>
      <c r="K163" t="s">
        <v>41</v>
      </c>
      <c r="L163" t="e">
        <f t="shared" si="5"/>
        <v>#VALUE!</v>
      </c>
      <c r="M163">
        <v>2</v>
      </c>
      <c r="N163">
        <v>3</v>
      </c>
      <c r="O163" t="s">
        <v>41</v>
      </c>
      <c r="P163" t="s">
        <v>41</v>
      </c>
      <c r="Q163" t="s">
        <v>41</v>
      </c>
      <c r="R163" t="s">
        <v>41</v>
      </c>
      <c r="S163" t="s">
        <v>41</v>
      </c>
      <c r="T163">
        <v>0.75</v>
      </c>
      <c r="U163">
        <v>0.25</v>
      </c>
      <c r="V163" t="s">
        <v>41</v>
      </c>
      <c r="W163" t="s">
        <v>41</v>
      </c>
      <c r="X163">
        <v>8</v>
      </c>
      <c r="Y163">
        <v>16</v>
      </c>
      <c r="Z163" t="s">
        <v>41</v>
      </c>
      <c r="AA163" t="s">
        <v>41</v>
      </c>
      <c r="AB163" t="s">
        <v>41</v>
      </c>
      <c r="AC163" t="s">
        <v>41</v>
      </c>
      <c r="AD163">
        <v>6</v>
      </c>
      <c r="AE163">
        <v>1</v>
      </c>
      <c r="AF163" t="s">
        <v>41</v>
      </c>
    </row>
    <row r="164" spans="1:32" x14ac:dyDescent="0.3">
      <c r="A164" t="s">
        <v>135</v>
      </c>
      <c r="B164" t="s">
        <v>309</v>
      </c>
      <c r="C164" t="s">
        <v>372</v>
      </c>
      <c r="D164" t="s">
        <v>335</v>
      </c>
      <c r="E164" t="s">
        <v>52</v>
      </c>
      <c r="F164">
        <v>1</v>
      </c>
      <c r="G164">
        <v>1</v>
      </c>
      <c r="H164">
        <v>3</v>
      </c>
      <c r="I164" t="s">
        <v>41</v>
      </c>
      <c r="J164">
        <f t="shared" si="4"/>
        <v>5</v>
      </c>
      <c r="K164">
        <v>1</v>
      </c>
      <c r="L164">
        <f t="shared" si="5"/>
        <v>60</v>
      </c>
      <c r="M164" t="s">
        <v>41</v>
      </c>
      <c r="N164" t="s">
        <v>41</v>
      </c>
      <c r="O164" t="s">
        <v>41</v>
      </c>
      <c r="P164" t="s">
        <v>41</v>
      </c>
      <c r="Q164" t="s">
        <v>41</v>
      </c>
      <c r="R164" t="s">
        <v>41</v>
      </c>
      <c r="S164" t="s">
        <v>41</v>
      </c>
      <c r="T164">
        <v>0.5</v>
      </c>
      <c r="U164" t="s">
        <v>41</v>
      </c>
      <c r="V164" t="s">
        <v>41</v>
      </c>
      <c r="W164" t="s">
        <v>41</v>
      </c>
      <c r="X164">
        <v>2</v>
      </c>
      <c r="Y164" t="s">
        <v>41</v>
      </c>
      <c r="Z164" t="s">
        <v>41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  <c r="AF164" t="s">
        <v>41</v>
      </c>
    </row>
    <row r="165" spans="1:32" x14ac:dyDescent="0.3">
      <c r="A165" t="s">
        <v>135</v>
      </c>
      <c r="B165" t="s">
        <v>264</v>
      </c>
      <c r="C165" t="s">
        <v>373</v>
      </c>
      <c r="D165" t="s">
        <v>201</v>
      </c>
      <c r="E165" t="s">
        <v>38</v>
      </c>
      <c r="F165">
        <v>1</v>
      </c>
      <c r="G165">
        <v>1</v>
      </c>
      <c r="H165">
        <v>1</v>
      </c>
      <c r="I165">
        <v>1</v>
      </c>
      <c r="J165">
        <f t="shared" si="4"/>
        <v>4</v>
      </c>
      <c r="K165" t="s">
        <v>41</v>
      </c>
      <c r="L165" t="e">
        <f t="shared" si="5"/>
        <v>#VALUE!</v>
      </c>
      <c r="M165" t="s">
        <v>41</v>
      </c>
      <c r="N165" t="s">
        <v>41</v>
      </c>
      <c r="O165" t="s">
        <v>41</v>
      </c>
      <c r="P165" t="s">
        <v>41</v>
      </c>
      <c r="Q165" t="s">
        <v>41</v>
      </c>
      <c r="R165" t="s">
        <v>41</v>
      </c>
      <c r="S165" t="s">
        <v>41</v>
      </c>
      <c r="T165" t="s">
        <v>41</v>
      </c>
      <c r="U165" t="s">
        <v>41</v>
      </c>
      <c r="V165" t="s">
        <v>41</v>
      </c>
      <c r="W165" t="s">
        <v>41</v>
      </c>
      <c r="X165" t="s">
        <v>41</v>
      </c>
      <c r="Y165" t="s">
        <v>41</v>
      </c>
      <c r="Z165" t="s">
        <v>41</v>
      </c>
      <c r="AA165" t="s">
        <v>41</v>
      </c>
      <c r="AB165" t="s">
        <v>41</v>
      </c>
      <c r="AC165" t="s">
        <v>41</v>
      </c>
      <c r="AD165">
        <v>5</v>
      </c>
      <c r="AE165" t="s">
        <v>41</v>
      </c>
      <c r="AF165" t="s">
        <v>41</v>
      </c>
    </row>
    <row r="166" spans="1:32" x14ac:dyDescent="0.3">
      <c r="A166" t="s">
        <v>135</v>
      </c>
      <c r="B166" t="s">
        <v>374</v>
      </c>
      <c r="C166" t="s">
        <v>142</v>
      </c>
      <c r="D166" t="s">
        <v>375</v>
      </c>
      <c r="E166" t="s">
        <v>376</v>
      </c>
      <c r="F166">
        <v>1</v>
      </c>
      <c r="G166">
        <v>1</v>
      </c>
      <c r="H166" t="s">
        <v>41</v>
      </c>
      <c r="I166">
        <v>2</v>
      </c>
      <c r="J166">
        <f t="shared" si="4"/>
        <v>4</v>
      </c>
      <c r="K166" t="s">
        <v>41</v>
      </c>
      <c r="L166" t="e">
        <f t="shared" si="5"/>
        <v>#VALUE!</v>
      </c>
      <c r="M166">
        <v>1</v>
      </c>
      <c r="N166" t="s">
        <v>41</v>
      </c>
      <c r="O166" t="s">
        <v>41</v>
      </c>
      <c r="P166" t="s">
        <v>41</v>
      </c>
      <c r="Q166" t="s">
        <v>41</v>
      </c>
      <c r="R166" t="s">
        <v>41</v>
      </c>
      <c r="S166" t="s">
        <v>41</v>
      </c>
      <c r="T166">
        <v>0.75</v>
      </c>
      <c r="U166" t="s">
        <v>41</v>
      </c>
      <c r="V166" t="s">
        <v>41</v>
      </c>
      <c r="W166" t="s">
        <v>41</v>
      </c>
      <c r="X166">
        <v>6</v>
      </c>
      <c r="Y166" t="s">
        <v>41</v>
      </c>
      <c r="Z166" t="s">
        <v>41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  <c r="AF166" t="s">
        <v>41</v>
      </c>
    </row>
    <row r="167" spans="1:32" x14ac:dyDescent="0.3">
      <c r="A167" t="s">
        <v>135</v>
      </c>
      <c r="B167" t="s">
        <v>185</v>
      </c>
      <c r="C167" t="s">
        <v>366</v>
      </c>
      <c r="D167" t="s">
        <v>41</v>
      </c>
      <c r="E167" t="s">
        <v>41</v>
      </c>
      <c r="F167">
        <v>1</v>
      </c>
      <c r="G167" t="s">
        <v>41</v>
      </c>
      <c r="H167" t="s">
        <v>41</v>
      </c>
      <c r="I167" t="s">
        <v>41</v>
      </c>
      <c r="J167">
        <f t="shared" si="4"/>
        <v>1</v>
      </c>
      <c r="K167" t="s">
        <v>41</v>
      </c>
      <c r="L167" t="e">
        <f t="shared" si="5"/>
        <v>#VALUE!</v>
      </c>
      <c r="M167" t="s">
        <v>41</v>
      </c>
      <c r="N167" t="s">
        <v>41</v>
      </c>
      <c r="O167" t="s">
        <v>41</v>
      </c>
      <c r="P167" t="s">
        <v>41</v>
      </c>
      <c r="Q167" t="s">
        <v>41</v>
      </c>
      <c r="R167" t="s">
        <v>41</v>
      </c>
      <c r="S167" t="s">
        <v>41</v>
      </c>
      <c r="T167" t="s">
        <v>41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s">
        <v>41</v>
      </c>
      <c r="AB167" t="s">
        <v>41</v>
      </c>
      <c r="AC167" t="s">
        <v>41</v>
      </c>
      <c r="AD167">
        <v>2</v>
      </c>
      <c r="AE167">
        <v>4</v>
      </c>
      <c r="AF167" t="s">
        <v>41</v>
      </c>
    </row>
    <row r="168" spans="1:32" x14ac:dyDescent="0.3">
      <c r="A168" t="s">
        <v>135</v>
      </c>
      <c r="B168" t="s">
        <v>377</v>
      </c>
      <c r="C168" t="s">
        <v>366</v>
      </c>
      <c r="D168" t="s">
        <v>41</v>
      </c>
      <c r="E168" t="s">
        <v>41</v>
      </c>
      <c r="F168">
        <v>1</v>
      </c>
      <c r="G168" t="s">
        <v>41</v>
      </c>
      <c r="H168" t="s">
        <v>41</v>
      </c>
      <c r="I168" t="s">
        <v>41</v>
      </c>
      <c r="J168">
        <f t="shared" si="4"/>
        <v>1</v>
      </c>
      <c r="K168" t="s">
        <v>41</v>
      </c>
      <c r="L168" t="e">
        <f t="shared" si="5"/>
        <v>#VALUE!</v>
      </c>
      <c r="M168" t="s">
        <v>41</v>
      </c>
      <c r="N168" t="s">
        <v>41</v>
      </c>
      <c r="O168" t="s">
        <v>41</v>
      </c>
      <c r="P168" t="s">
        <v>41</v>
      </c>
      <c r="Q168" t="s">
        <v>41</v>
      </c>
      <c r="R168" t="s">
        <v>41</v>
      </c>
      <c r="S168" t="s">
        <v>41</v>
      </c>
      <c r="T168" t="s">
        <v>41</v>
      </c>
      <c r="U168" t="s">
        <v>41</v>
      </c>
      <c r="V168" t="s">
        <v>41</v>
      </c>
      <c r="W168" t="s">
        <v>41</v>
      </c>
      <c r="X168" t="s">
        <v>41</v>
      </c>
      <c r="Y168" t="s">
        <v>41</v>
      </c>
      <c r="Z168" t="s">
        <v>41</v>
      </c>
      <c r="AA168" t="s">
        <v>41</v>
      </c>
      <c r="AB168" t="s">
        <v>41</v>
      </c>
      <c r="AC168" t="s">
        <v>41</v>
      </c>
      <c r="AD168" t="s">
        <v>41</v>
      </c>
      <c r="AE168" t="s">
        <v>41</v>
      </c>
      <c r="AF168" t="s">
        <v>41</v>
      </c>
    </row>
    <row r="169" spans="1:32" x14ac:dyDescent="0.3">
      <c r="A169" t="s">
        <v>135</v>
      </c>
      <c r="B169" t="s">
        <v>219</v>
      </c>
      <c r="C169" t="s">
        <v>81</v>
      </c>
      <c r="D169" t="s">
        <v>41</v>
      </c>
      <c r="E169" t="s">
        <v>41</v>
      </c>
      <c r="F169">
        <v>1</v>
      </c>
      <c r="G169" t="s">
        <v>41</v>
      </c>
      <c r="H169" t="s">
        <v>41</v>
      </c>
      <c r="I169" t="s">
        <v>41</v>
      </c>
      <c r="J169">
        <f t="shared" si="4"/>
        <v>1</v>
      </c>
      <c r="K169" t="s">
        <v>41</v>
      </c>
      <c r="L169" t="e">
        <f t="shared" si="5"/>
        <v>#VALUE!</v>
      </c>
      <c r="M169" t="s">
        <v>41</v>
      </c>
      <c r="N169" t="s">
        <v>41</v>
      </c>
      <c r="O169" t="s">
        <v>41</v>
      </c>
      <c r="P169" t="s">
        <v>41</v>
      </c>
      <c r="Q169" t="s">
        <v>41</v>
      </c>
      <c r="R169" t="s">
        <v>41</v>
      </c>
      <c r="S169" t="s">
        <v>41</v>
      </c>
      <c r="T169" t="s">
        <v>41</v>
      </c>
      <c r="U169" t="s">
        <v>41</v>
      </c>
      <c r="V169" t="s">
        <v>41</v>
      </c>
      <c r="W169" t="s">
        <v>41</v>
      </c>
      <c r="X169" t="s">
        <v>41</v>
      </c>
      <c r="Y169" t="s">
        <v>41</v>
      </c>
      <c r="Z169" t="s">
        <v>41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41</v>
      </c>
    </row>
    <row r="170" spans="1:32" x14ac:dyDescent="0.3">
      <c r="A170" t="s">
        <v>135</v>
      </c>
      <c r="B170" t="s">
        <v>290</v>
      </c>
      <c r="C170" t="s">
        <v>128</v>
      </c>
      <c r="D170" t="s">
        <v>82</v>
      </c>
      <c r="E170" t="s">
        <v>109</v>
      </c>
      <c r="F170">
        <v>1</v>
      </c>
      <c r="G170">
        <v>1</v>
      </c>
      <c r="H170">
        <v>1</v>
      </c>
      <c r="I170">
        <v>1</v>
      </c>
      <c r="J170">
        <f t="shared" si="4"/>
        <v>4</v>
      </c>
      <c r="K170" t="s">
        <v>41</v>
      </c>
      <c r="L170" t="e">
        <f t="shared" si="5"/>
        <v>#VALUE!</v>
      </c>
      <c r="M170">
        <v>1</v>
      </c>
      <c r="N170" t="s">
        <v>41</v>
      </c>
      <c r="O170" t="s">
        <v>41</v>
      </c>
      <c r="P170" t="s">
        <v>41</v>
      </c>
      <c r="Q170" t="s">
        <v>41</v>
      </c>
      <c r="R170" t="s">
        <v>41</v>
      </c>
      <c r="S170" t="s">
        <v>41</v>
      </c>
      <c r="T170" t="s">
        <v>41</v>
      </c>
      <c r="U170" t="s">
        <v>41</v>
      </c>
      <c r="V170" t="s">
        <v>41</v>
      </c>
      <c r="W170" t="s">
        <v>41</v>
      </c>
      <c r="X170">
        <v>5</v>
      </c>
      <c r="Y170" t="s">
        <v>41</v>
      </c>
      <c r="Z170" t="s">
        <v>41</v>
      </c>
      <c r="AA170" t="s">
        <v>41</v>
      </c>
      <c r="AB170" t="s">
        <v>41</v>
      </c>
      <c r="AC170" t="s">
        <v>41</v>
      </c>
      <c r="AD170" t="s">
        <v>41</v>
      </c>
      <c r="AE170" t="s">
        <v>41</v>
      </c>
      <c r="AF170" t="s">
        <v>41</v>
      </c>
    </row>
    <row r="171" spans="1:32" x14ac:dyDescent="0.3">
      <c r="A171" t="s">
        <v>135</v>
      </c>
      <c r="B171" t="s">
        <v>263</v>
      </c>
      <c r="C171" t="s">
        <v>81</v>
      </c>
      <c r="D171" t="s">
        <v>66</v>
      </c>
      <c r="E171" t="s">
        <v>378</v>
      </c>
      <c r="F171">
        <v>1</v>
      </c>
      <c r="G171">
        <v>1</v>
      </c>
      <c r="H171" t="s">
        <v>41</v>
      </c>
      <c r="I171" t="s">
        <v>41</v>
      </c>
      <c r="J171">
        <f t="shared" si="4"/>
        <v>2</v>
      </c>
      <c r="K171" t="s">
        <v>41</v>
      </c>
      <c r="L171" t="e">
        <f t="shared" si="5"/>
        <v>#VALUE!</v>
      </c>
      <c r="M171" t="s">
        <v>41</v>
      </c>
      <c r="N171" t="s">
        <v>41</v>
      </c>
      <c r="O171" t="s">
        <v>41</v>
      </c>
      <c r="P171" t="s">
        <v>41</v>
      </c>
      <c r="Q171" t="s">
        <v>41</v>
      </c>
      <c r="R171" t="s">
        <v>41</v>
      </c>
      <c r="S171" t="s">
        <v>41</v>
      </c>
      <c r="T171" t="s">
        <v>41</v>
      </c>
      <c r="U171" t="s">
        <v>41</v>
      </c>
      <c r="V171" t="s">
        <v>41</v>
      </c>
      <c r="W171" t="s">
        <v>41</v>
      </c>
      <c r="X171" t="s">
        <v>41</v>
      </c>
      <c r="Y171" t="s">
        <v>41</v>
      </c>
      <c r="Z171" t="s">
        <v>41</v>
      </c>
      <c r="AA171" t="s">
        <v>41</v>
      </c>
      <c r="AB171" t="s">
        <v>41</v>
      </c>
      <c r="AC171" t="s">
        <v>41</v>
      </c>
      <c r="AD171" t="s">
        <v>41</v>
      </c>
      <c r="AE171" t="s">
        <v>41</v>
      </c>
      <c r="AF171" t="s">
        <v>41</v>
      </c>
    </row>
    <row r="172" spans="1:32" x14ac:dyDescent="0.3">
      <c r="A172" t="s">
        <v>135</v>
      </c>
      <c r="B172" t="s">
        <v>145</v>
      </c>
      <c r="C172" t="s">
        <v>142</v>
      </c>
      <c r="D172" t="s">
        <v>320</v>
      </c>
      <c r="E172" t="s">
        <v>324</v>
      </c>
      <c r="F172">
        <v>1</v>
      </c>
      <c r="G172">
        <v>1</v>
      </c>
      <c r="H172" t="s">
        <v>41</v>
      </c>
      <c r="I172" t="s">
        <v>41</v>
      </c>
      <c r="J172">
        <f t="shared" si="4"/>
        <v>2</v>
      </c>
      <c r="K172" t="s">
        <v>41</v>
      </c>
      <c r="L172" t="e">
        <f t="shared" si="5"/>
        <v>#VALUE!</v>
      </c>
      <c r="M172" t="s">
        <v>41</v>
      </c>
      <c r="N172" t="s">
        <v>41</v>
      </c>
      <c r="O172" t="s">
        <v>41</v>
      </c>
      <c r="P172" t="s">
        <v>41</v>
      </c>
      <c r="Q172" t="s">
        <v>41</v>
      </c>
      <c r="R172" t="s">
        <v>41</v>
      </c>
      <c r="S172" t="s">
        <v>41</v>
      </c>
      <c r="T172" t="s">
        <v>41</v>
      </c>
      <c r="U172" t="s">
        <v>41</v>
      </c>
      <c r="V172" t="s">
        <v>41</v>
      </c>
      <c r="W172" t="s">
        <v>41</v>
      </c>
      <c r="X172" t="s">
        <v>41</v>
      </c>
      <c r="Y172" t="s">
        <v>41</v>
      </c>
      <c r="Z172" t="s">
        <v>41</v>
      </c>
      <c r="AA172" t="s">
        <v>41</v>
      </c>
      <c r="AB172" t="s">
        <v>41</v>
      </c>
      <c r="AC172" t="s">
        <v>41</v>
      </c>
      <c r="AD172" t="s">
        <v>41</v>
      </c>
      <c r="AE172" t="s">
        <v>41</v>
      </c>
      <c r="AF172" t="s">
        <v>41</v>
      </c>
    </row>
    <row r="173" spans="1:32" x14ac:dyDescent="0.3">
      <c r="A173" t="s">
        <v>135</v>
      </c>
      <c r="B173" t="s">
        <v>362</v>
      </c>
      <c r="C173" t="s">
        <v>194</v>
      </c>
      <c r="D173" t="s">
        <v>41</v>
      </c>
      <c r="E173" t="s">
        <v>41</v>
      </c>
      <c r="F173">
        <v>1</v>
      </c>
      <c r="G173" t="s">
        <v>41</v>
      </c>
      <c r="H173" t="s">
        <v>41</v>
      </c>
      <c r="I173" t="s">
        <v>41</v>
      </c>
      <c r="J173">
        <f t="shared" si="4"/>
        <v>1</v>
      </c>
      <c r="K173">
        <v>1</v>
      </c>
      <c r="L173">
        <f t="shared" si="5"/>
        <v>60</v>
      </c>
      <c r="M173" t="s">
        <v>41</v>
      </c>
      <c r="N173" t="s">
        <v>41</v>
      </c>
      <c r="O173" t="s">
        <v>41</v>
      </c>
      <c r="P173" t="s">
        <v>41</v>
      </c>
      <c r="Q173" t="s">
        <v>41</v>
      </c>
      <c r="R173" t="s">
        <v>41</v>
      </c>
      <c r="S173" t="s">
        <v>41</v>
      </c>
      <c r="T173" t="s">
        <v>41</v>
      </c>
      <c r="U173" t="s">
        <v>41</v>
      </c>
      <c r="V173" t="s">
        <v>41</v>
      </c>
      <c r="W173" t="s">
        <v>41</v>
      </c>
      <c r="X173" t="s">
        <v>41</v>
      </c>
      <c r="Y173" t="s">
        <v>41</v>
      </c>
      <c r="Z173" t="s">
        <v>41</v>
      </c>
      <c r="AA173" t="s">
        <v>41</v>
      </c>
      <c r="AB173" t="s">
        <v>41</v>
      </c>
      <c r="AC173" t="s">
        <v>41</v>
      </c>
      <c r="AD173" t="s">
        <v>41</v>
      </c>
      <c r="AE173" t="s">
        <v>41</v>
      </c>
      <c r="AF173" t="s">
        <v>41</v>
      </c>
    </row>
    <row r="174" spans="1:32" x14ac:dyDescent="0.3">
      <c r="A174" t="s">
        <v>135</v>
      </c>
      <c r="B174" t="s">
        <v>91</v>
      </c>
      <c r="C174" t="s">
        <v>81</v>
      </c>
      <c r="D174" t="s">
        <v>41</v>
      </c>
      <c r="E174" t="s">
        <v>41</v>
      </c>
      <c r="F174">
        <v>1</v>
      </c>
      <c r="G174" t="s">
        <v>41</v>
      </c>
      <c r="H174" t="s">
        <v>41</v>
      </c>
      <c r="I174" t="s">
        <v>41</v>
      </c>
      <c r="J174">
        <f t="shared" si="4"/>
        <v>1</v>
      </c>
      <c r="K174" t="s">
        <v>41</v>
      </c>
      <c r="L174" t="e">
        <f t="shared" si="5"/>
        <v>#VALUE!</v>
      </c>
      <c r="M174" t="s">
        <v>41</v>
      </c>
      <c r="N174" t="s">
        <v>41</v>
      </c>
      <c r="O174" t="s">
        <v>41</v>
      </c>
      <c r="P174" t="s">
        <v>41</v>
      </c>
      <c r="Q174" t="s">
        <v>41</v>
      </c>
      <c r="R174" t="s">
        <v>41</v>
      </c>
      <c r="S174" t="s">
        <v>41</v>
      </c>
      <c r="T174" t="s">
        <v>41</v>
      </c>
      <c r="U174" t="s">
        <v>41</v>
      </c>
      <c r="V174" t="s">
        <v>41</v>
      </c>
      <c r="W174" t="s">
        <v>41</v>
      </c>
      <c r="X174" t="s">
        <v>41</v>
      </c>
      <c r="Y174" t="s">
        <v>41</v>
      </c>
      <c r="Z174" t="s">
        <v>41</v>
      </c>
      <c r="AA174" t="s">
        <v>41</v>
      </c>
      <c r="AB174" t="s">
        <v>41</v>
      </c>
      <c r="AC174" t="s">
        <v>41</v>
      </c>
      <c r="AD174" t="s">
        <v>41</v>
      </c>
      <c r="AE174" t="s">
        <v>41</v>
      </c>
      <c r="AF174" t="s">
        <v>41</v>
      </c>
    </row>
    <row r="175" spans="1:32" x14ac:dyDescent="0.3">
      <c r="A175" t="s">
        <v>135</v>
      </c>
      <c r="B175" t="s">
        <v>119</v>
      </c>
      <c r="C175" t="s">
        <v>142</v>
      </c>
      <c r="D175" t="s">
        <v>379</v>
      </c>
      <c r="E175" t="s">
        <v>380</v>
      </c>
      <c r="F175">
        <v>1</v>
      </c>
      <c r="G175">
        <v>1</v>
      </c>
      <c r="H175">
        <v>3</v>
      </c>
      <c r="I175">
        <v>1</v>
      </c>
      <c r="J175">
        <f t="shared" si="4"/>
        <v>6</v>
      </c>
      <c r="K175">
        <v>1</v>
      </c>
      <c r="L175">
        <f t="shared" si="5"/>
        <v>60</v>
      </c>
      <c r="M175" t="s">
        <v>41</v>
      </c>
      <c r="N175">
        <v>6</v>
      </c>
      <c r="O175" t="s">
        <v>41</v>
      </c>
      <c r="P175" t="s">
        <v>41</v>
      </c>
      <c r="Q175" t="s">
        <v>41</v>
      </c>
      <c r="R175" t="s">
        <v>41</v>
      </c>
      <c r="S175" t="s">
        <v>41</v>
      </c>
      <c r="T175">
        <v>1.5</v>
      </c>
      <c r="U175">
        <v>0.25</v>
      </c>
      <c r="V175" t="s">
        <v>41</v>
      </c>
      <c r="W175" t="s">
        <v>41</v>
      </c>
      <c r="X175">
        <v>9</v>
      </c>
      <c r="Y175">
        <v>5</v>
      </c>
      <c r="Z175" t="s">
        <v>41</v>
      </c>
      <c r="AA175" t="s">
        <v>41</v>
      </c>
      <c r="AB175">
        <v>1</v>
      </c>
      <c r="AC175" t="s">
        <v>41</v>
      </c>
      <c r="AD175" t="s">
        <v>41</v>
      </c>
      <c r="AE175" t="s">
        <v>41</v>
      </c>
      <c r="AF175" t="s">
        <v>41</v>
      </c>
    </row>
    <row r="176" spans="1:32" x14ac:dyDescent="0.3">
      <c r="A176" t="s">
        <v>135</v>
      </c>
      <c r="B176" t="s">
        <v>381</v>
      </c>
      <c r="C176" t="s">
        <v>102</v>
      </c>
      <c r="D176" t="s">
        <v>285</v>
      </c>
      <c r="E176" t="s">
        <v>54</v>
      </c>
      <c r="F176">
        <v>1</v>
      </c>
      <c r="G176">
        <v>1</v>
      </c>
      <c r="H176">
        <v>1</v>
      </c>
      <c r="I176">
        <v>2</v>
      </c>
      <c r="J176">
        <f t="shared" si="4"/>
        <v>5</v>
      </c>
      <c r="K176" t="s">
        <v>41</v>
      </c>
      <c r="L176" t="e">
        <f t="shared" si="5"/>
        <v>#VALUE!</v>
      </c>
      <c r="M176">
        <v>1</v>
      </c>
      <c r="N176" t="s">
        <v>41</v>
      </c>
      <c r="O176" t="s">
        <v>41</v>
      </c>
      <c r="P176" t="s">
        <v>41</v>
      </c>
      <c r="Q176" t="s">
        <v>41</v>
      </c>
      <c r="R176" t="s">
        <v>41</v>
      </c>
      <c r="S176" t="s">
        <v>41</v>
      </c>
      <c r="T176" t="s">
        <v>41</v>
      </c>
      <c r="U176" t="s">
        <v>41</v>
      </c>
      <c r="V176" t="s">
        <v>41</v>
      </c>
      <c r="W176" t="s">
        <v>41</v>
      </c>
      <c r="X176" t="s">
        <v>41</v>
      </c>
      <c r="Y176" t="s">
        <v>41</v>
      </c>
      <c r="Z176" t="s">
        <v>41</v>
      </c>
      <c r="AA176" t="s">
        <v>41</v>
      </c>
      <c r="AB176" t="s">
        <v>41</v>
      </c>
      <c r="AC176" t="s">
        <v>41</v>
      </c>
      <c r="AD176">
        <v>5</v>
      </c>
      <c r="AE176">
        <v>6</v>
      </c>
      <c r="AF176">
        <v>4</v>
      </c>
    </row>
    <row r="177" spans="1:32" x14ac:dyDescent="0.3">
      <c r="A177" t="s">
        <v>135</v>
      </c>
      <c r="B177" t="s">
        <v>382</v>
      </c>
      <c r="C177" t="s">
        <v>383</v>
      </c>
      <c r="D177" t="s">
        <v>46</v>
      </c>
      <c r="E177" t="s">
        <v>33</v>
      </c>
      <c r="F177">
        <v>1</v>
      </c>
      <c r="G177">
        <v>1</v>
      </c>
      <c r="H177">
        <v>1</v>
      </c>
      <c r="I177">
        <v>1</v>
      </c>
      <c r="J177">
        <f t="shared" si="4"/>
        <v>4</v>
      </c>
      <c r="K177" t="s">
        <v>41</v>
      </c>
      <c r="L177" t="e">
        <f t="shared" si="5"/>
        <v>#VALUE!</v>
      </c>
      <c r="M177" t="s">
        <v>41</v>
      </c>
      <c r="N177" t="s">
        <v>41</v>
      </c>
      <c r="O177" t="s">
        <v>41</v>
      </c>
      <c r="P177" t="s">
        <v>41</v>
      </c>
      <c r="Q177" t="s">
        <v>41</v>
      </c>
      <c r="R177" t="s">
        <v>41</v>
      </c>
      <c r="S177" t="s">
        <v>41</v>
      </c>
      <c r="T177" t="s">
        <v>41</v>
      </c>
      <c r="U177" t="s">
        <v>41</v>
      </c>
      <c r="V177" t="s">
        <v>41</v>
      </c>
      <c r="W177" t="s">
        <v>41</v>
      </c>
      <c r="X177" t="s">
        <v>41</v>
      </c>
      <c r="Y177" t="s">
        <v>41</v>
      </c>
      <c r="Z177" t="s">
        <v>41</v>
      </c>
      <c r="AA177" t="s">
        <v>41</v>
      </c>
      <c r="AB177" t="s">
        <v>41</v>
      </c>
      <c r="AC177" t="s">
        <v>41</v>
      </c>
      <c r="AD177">
        <v>5</v>
      </c>
      <c r="AE177" t="s">
        <v>41</v>
      </c>
      <c r="AF177" t="s">
        <v>41</v>
      </c>
    </row>
    <row r="178" spans="1:32" x14ac:dyDescent="0.3">
      <c r="A178" t="s">
        <v>135</v>
      </c>
      <c r="B178" t="s">
        <v>108</v>
      </c>
      <c r="C178" t="s">
        <v>64</v>
      </c>
      <c r="D178" t="s">
        <v>384</v>
      </c>
      <c r="E178" t="s">
        <v>385</v>
      </c>
      <c r="F178">
        <v>1</v>
      </c>
      <c r="G178">
        <v>1</v>
      </c>
      <c r="H178">
        <v>2</v>
      </c>
      <c r="I178" t="s">
        <v>41</v>
      </c>
      <c r="J178">
        <f t="shared" si="4"/>
        <v>4</v>
      </c>
      <c r="K178" t="s">
        <v>41</v>
      </c>
      <c r="L178" t="e">
        <f t="shared" si="5"/>
        <v>#VALUE!</v>
      </c>
      <c r="M178" t="s">
        <v>41</v>
      </c>
      <c r="N178" t="s">
        <v>41</v>
      </c>
      <c r="O178" t="s">
        <v>41</v>
      </c>
      <c r="P178" t="s">
        <v>41</v>
      </c>
      <c r="Q178" t="s">
        <v>41</v>
      </c>
      <c r="R178" t="s">
        <v>41</v>
      </c>
      <c r="S178" t="s">
        <v>41</v>
      </c>
      <c r="T178">
        <v>0.75</v>
      </c>
      <c r="U178" t="s">
        <v>41</v>
      </c>
      <c r="V178" t="s">
        <v>41</v>
      </c>
      <c r="W178" t="s">
        <v>41</v>
      </c>
      <c r="X178">
        <v>3</v>
      </c>
      <c r="Y178" t="s">
        <v>41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s">
        <v>41</v>
      </c>
    </row>
    <row r="179" spans="1:32" x14ac:dyDescent="0.3">
      <c r="A179" t="s">
        <v>135</v>
      </c>
      <c r="B179" t="s">
        <v>386</v>
      </c>
      <c r="C179" t="s">
        <v>64</v>
      </c>
      <c r="D179" t="s">
        <v>246</v>
      </c>
      <c r="E179" t="s">
        <v>41</v>
      </c>
      <c r="F179">
        <v>1</v>
      </c>
      <c r="G179">
        <v>1</v>
      </c>
      <c r="H179" t="s">
        <v>41</v>
      </c>
      <c r="I179">
        <v>2</v>
      </c>
      <c r="J179">
        <f t="shared" si="4"/>
        <v>4</v>
      </c>
      <c r="K179" t="s">
        <v>41</v>
      </c>
      <c r="L179" t="e">
        <f t="shared" si="5"/>
        <v>#VALUE!</v>
      </c>
      <c r="M179" t="s">
        <v>41</v>
      </c>
      <c r="N179" t="s">
        <v>41</v>
      </c>
      <c r="O179" t="s">
        <v>41</v>
      </c>
      <c r="P179" t="s">
        <v>41</v>
      </c>
      <c r="Q179" t="s">
        <v>41</v>
      </c>
      <c r="R179" t="s">
        <v>41</v>
      </c>
      <c r="S179" t="s">
        <v>41</v>
      </c>
      <c r="T179" t="s">
        <v>41</v>
      </c>
      <c r="U179" t="s">
        <v>41</v>
      </c>
      <c r="V179" t="s">
        <v>41</v>
      </c>
      <c r="W179" t="s">
        <v>41</v>
      </c>
      <c r="X179" t="s">
        <v>41</v>
      </c>
      <c r="Y179" t="s">
        <v>41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s">
        <v>41</v>
      </c>
    </row>
    <row r="180" spans="1:32" x14ac:dyDescent="0.3">
      <c r="A180" t="s">
        <v>135</v>
      </c>
      <c r="B180" t="s">
        <v>59</v>
      </c>
      <c r="C180" t="s">
        <v>85</v>
      </c>
      <c r="D180" t="s">
        <v>387</v>
      </c>
      <c r="E180" t="s">
        <v>141</v>
      </c>
      <c r="F180">
        <v>1</v>
      </c>
      <c r="G180">
        <v>1</v>
      </c>
      <c r="H180">
        <v>1</v>
      </c>
      <c r="I180">
        <v>2</v>
      </c>
      <c r="J180">
        <f t="shared" si="4"/>
        <v>5</v>
      </c>
      <c r="K180" t="s">
        <v>41</v>
      </c>
      <c r="L180" t="e">
        <f t="shared" si="5"/>
        <v>#VALUE!</v>
      </c>
      <c r="M180">
        <v>1</v>
      </c>
      <c r="N180">
        <v>2</v>
      </c>
      <c r="O180" t="s">
        <v>41</v>
      </c>
      <c r="P180" t="s">
        <v>41</v>
      </c>
      <c r="Q180" t="s">
        <v>41</v>
      </c>
      <c r="R180" t="s">
        <v>41</v>
      </c>
      <c r="S180" t="s">
        <v>41</v>
      </c>
      <c r="T180">
        <v>0.75</v>
      </c>
      <c r="U180">
        <v>0.5</v>
      </c>
      <c r="V180" t="s">
        <v>41</v>
      </c>
      <c r="W180" t="s">
        <v>41</v>
      </c>
      <c r="X180">
        <v>3</v>
      </c>
      <c r="Y180">
        <v>20</v>
      </c>
      <c r="Z180" t="s">
        <v>41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s">
        <v>41</v>
      </c>
    </row>
    <row r="181" spans="1:32" x14ac:dyDescent="0.3">
      <c r="A181" t="s">
        <v>135</v>
      </c>
      <c r="B181" t="s">
        <v>68</v>
      </c>
      <c r="C181" t="s">
        <v>181</v>
      </c>
      <c r="D181" t="s">
        <v>242</v>
      </c>
      <c r="E181" t="s">
        <v>90</v>
      </c>
      <c r="F181">
        <v>1</v>
      </c>
      <c r="G181">
        <v>1</v>
      </c>
      <c r="H181">
        <v>1</v>
      </c>
      <c r="I181">
        <v>1</v>
      </c>
      <c r="J181">
        <f t="shared" si="4"/>
        <v>4</v>
      </c>
      <c r="K181" t="s">
        <v>41</v>
      </c>
      <c r="L181" t="e">
        <f t="shared" si="5"/>
        <v>#VALUE!</v>
      </c>
      <c r="M181" t="s">
        <v>41</v>
      </c>
      <c r="N181" t="s">
        <v>41</v>
      </c>
      <c r="O181" t="s">
        <v>41</v>
      </c>
      <c r="P181" t="s">
        <v>41</v>
      </c>
      <c r="Q181" t="s">
        <v>41</v>
      </c>
      <c r="R181" t="s">
        <v>41</v>
      </c>
      <c r="S181" t="s">
        <v>41</v>
      </c>
      <c r="T181" t="s">
        <v>41</v>
      </c>
      <c r="U181" t="s">
        <v>41</v>
      </c>
      <c r="V181" t="s">
        <v>41</v>
      </c>
      <c r="W181" t="s">
        <v>41</v>
      </c>
      <c r="X181" t="s">
        <v>41</v>
      </c>
      <c r="Y181" t="s">
        <v>41</v>
      </c>
      <c r="Z181" t="s">
        <v>41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s">
        <v>41</v>
      </c>
    </row>
    <row r="182" spans="1:32" x14ac:dyDescent="0.3">
      <c r="A182" t="s">
        <v>135</v>
      </c>
      <c r="B182" t="s">
        <v>274</v>
      </c>
      <c r="C182" t="s">
        <v>138</v>
      </c>
      <c r="D182" t="s">
        <v>209</v>
      </c>
      <c r="E182" t="s">
        <v>130</v>
      </c>
      <c r="F182">
        <v>1</v>
      </c>
      <c r="G182">
        <v>1</v>
      </c>
      <c r="H182">
        <v>2</v>
      </c>
      <c r="I182">
        <v>2</v>
      </c>
      <c r="J182">
        <f t="shared" ref="J182:J245" si="6">SUM(F182:I182)</f>
        <v>6</v>
      </c>
      <c r="K182" t="s">
        <v>41</v>
      </c>
      <c r="L182" t="e">
        <f t="shared" ref="L182:L245" si="7">K182*60</f>
        <v>#VALUE!</v>
      </c>
      <c r="M182" t="s">
        <v>41</v>
      </c>
      <c r="N182" t="s">
        <v>41</v>
      </c>
      <c r="O182" t="s">
        <v>41</v>
      </c>
      <c r="P182" t="s">
        <v>41</v>
      </c>
      <c r="Q182" t="s">
        <v>41</v>
      </c>
      <c r="R182" t="s">
        <v>41</v>
      </c>
      <c r="S182" t="s">
        <v>41</v>
      </c>
      <c r="T182" t="s">
        <v>41</v>
      </c>
      <c r="U182" t="s">
        <v>41</v>
      </c>
      <c r="V182" t="s">
        <v>41</v>
      </c>
      <c r="W182" t="s">
        <v>41</v>
      </c>
      <c r="X182" t="s">
        <v>41</v>
      </c>
      <c r="Y182" t="s">
        <v>41</v>
      </c>
      <c r="Z182" t="s">
        <v>41</v>
      </c>
      <c r="AA182" t="s">
        <v>41</v>
      </c>
      <c r="AB182" t="s">
        <v>41</v>
      </c>
      <c r="AC182" t="s">
        <v>41</v>
      </c>
      <c r="AD182" t="s">
        <v>41</v>
      </c>
      <c r="AE182" t="s">
        <v>41</v>
      </c>
      <c r="AF182" t="s">
        <v>41</v>
      </c>
    </row>
    <row r="183" spans="1:32" x14ac:dyDescent="0.3">
      <c r="A183" t="s">
        <v>135</v>
      </c>
      <c r="B183" t="s">
        <v>263</v>
      </c>
      <c r="C183" t="s">
        <v>241</v>
      </c>
      <c r="D183" t="s">
        <v>388</v>
      </c>
      <c r="E183" t="s">
        <v>230</v>
      </c>
      <c r="F183">
        <v>1</v>
      </c>
      <c r="G183">
        <v>1</v>
      </c>
      <c r="H183">
        <v>3</v>
      </c>
      <c r="I183" t="s">
        <v>41</v>
      </c>
      <c r="J183">
        <f t="shared" si="6"/>
        <v>5</v>
      </c>
      <c r="K183">
        <v>1</v>
      </c>
      <c r="L183">
        <f t="shared" si="7"/>
        <v>60</v>
      </c>
      <c r="M183" t="s">
        <v>41</v>
      </c>
      <c r="N183">
        <v>3</v>
      </c>
      <c r="O183">
        <v>1</v>
      </c>
      <c r="P183" t="s">
        <v>41</v>
      </c>
      <c r="Q183" t="s">
        <v>41</v>
      </c>
      <c r="R183" t="s">
        <v>41</v>
      </c>
      <c r="S183" t="s">
        <v>41</v>
      </c>
      <c r="T183" t="s">
        <v>41</v>
      </c>
      <c r="U183" t="s">
        <v>41</v>
      </c>
      <c r="V183" t="s">
        <v>41</v>
      </c>
      <c r="W183" t="s">
        <v>41</v>
      </c>
      <c r="X183">
        <v>3</v>
      </c>
      <c r="Y183" t="s">
        <v>41</v>
      </c>
      <c r="Z183" t="s">
        <v>41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t="s">
        <v>41</v>
      </c>
    </row>
    <row r="184" spans="1:32" x14ac:dyDescent="0.3">
      <c r="A184" t="s">
        <v>135</v>
      </c>
      <c r="B184" t="s">
        <v>68</v>
      </c>
      <c r="C184" t="s">
        <v>85</v>
      </c>
      <c r="D184" t="s">
        <v>242</v>
      </c>
      <c r="E184" t="s">
        <v>122</v>
      </c>
      <c r="F184">
        <v>1</v>
      </c>
      <c r="G184">
        <v>1</v>
      </c>
      <c r="H184" t="s">
        <v>41</v>
      </c>
      <c r="I184">
        <v>3</v>
      </c>
      <c r="J184">
        <f t="shared" si="6"/>
        <v>5</v>
      </c>
      <c r="K184" t="s">
        <v>41</v>
      </c>
      <c r="L184" t="e">
        <f t="shared" si="7"/>
        <v>#VALUE!</v>
      </c>
      <c r="M184">
        <v>1</v>
      </c>
      <c r="N184" t="s">
        <v>41</v>
      </c>
      <c r="O184">
        <v>2</v>
      </c>
      <c r="P184" t="s">
        <v>41</v>
      </c>
      <c r="Q184" t="s">
        <v>41</v>
      </c>
      <c r="R184" t="s">
        <v>41</v>
      </c>
      <c r="S184" t="s">
        <v>41</v>
      </c>
      <c r="T184" t="s">
        <v>41</v>
      </c>
      <c r="U184" t="s">
        <v>41</v>
      </c>
      <c r="V184" t="s">
        <v>41</v>
      </c>
      <c r="W184" t="s">
        <v>41</v>
      </c>
      <c r="X184" t="s">
        <v>41</v>
      </c>
      <c r="Y184" t="s">
        <v>41</v>
      </c>
      <c r="Z184" t="s">
        <v>41</v>
      </c>
      <c r="AA184" t="s">
        <v>41</v>
      </c>
      <c r="AB184">
        <v>1</v>
      </c>
      <c r="AC184" t="s">
        <v>41</v>
      </c>
      <c r="AD184" t="s">
        <v>41</v>
      </c>
      <c r="AE184" t="s">
        <v>41</v>
      </c>
      <c r="AF184" t="s">
        <v>41</v>
      </c>
    </row>
    <row r="185" spans="1:32" x14ac:dyDescent="0.3">
      <c r="A185" t="s">
        <v>135</v>
      </c>
      <c r="B185" t="s">
        <v>198</v>
      </c>
      <c r="C185" t="s">
        <v>132</v>
      </c>
      <c r="D185" t="s">
        <v>41</v>
      </c>
      <c r="E185" t="s">
        <v>41</v>
      </c>
      <c r="F185">
        <v>1</v>
      </c>
      <c r="G185" t="s">
        <v>41</v>
      </c>
      <c r="H185" t="s">
        <v>41</v>
      </c>
      <c r="I185" t="s">
        <v>41</v>
      </c>
      <c r="J185">
        <f t="shared" si="6"/>
        <v>1</v>
      </c>
      <c r="K185" t="s">
        <v>41</v>
      </c>
      <c r="L185" t="e">
        <f t="shared" si="7"/>
        <v>#VALUE!</v>
      </c>
      <c r="M185" t="s">
        <v>41</v>
      </c>
      <c r="N185" t="s">
        <v>41</v>
      </c>
      <c r="O185" t="s">
        <v>41</v>
      </c>
      <c r="P185" t="s">
        <v>41</v>
      </c>
      <c r="Q185" t="s">
        <v>41</v>
      </c>
      <c r="R185" t="s">
        <v>41</v>
      </c>
      <c r="S185" t="s">
        <v>41</v>
      </c>
      <c r="T185" t="s">
        <v>41</v>
      </c>
      <c r="U185" t="s">
        <v>41</v>
      </c>
      <c r="V185" t="s">
        <v>41</v>
      </c>
      <c r="W185" t="s">
        <v>41</v>
      </c>
      <c r="X185" t="s">
        <v>41</v>
      </c>
      <c r="Y185" t="s">
        <v>41</v>
      </c>
      <c r="Z185" t="s">
        <v>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s">
        <v>41</v>
      </c>
    </row>
    <row r="186" spans="1:32" x14ac:dyDescent="0.3">
      <c r="A186" t="s">
        <v>135</v>
      </c>
      <c r="B186" t="s">
        <v>219</v>
      </c>
      <c r="C186" t="s">
        <v>389</v>
      </c>
      <c r="D186" t="s">
        <v>46</v>
      </c>
      <c r="E186" t="s">
        <v>75</v>
      </c>
      <c r="F186">
        <v>1</v>
      </c>
      <c r="G186">
        <v>1</v>
      </c>
      <c r="H186" t="s">
        <v>41</v>
      </c>
      <c r="I186" t="s">
        <v>41</v>
      </c>
      <c r="J186">
        <f t="shared" si="6"/>
        <v>2</v>
      </c>
      <c r="K186" t="s">
        <v>41</v>
      </c>
      <c r="L186" t="e">
        <f t="shared" si="7"/>
        <v>#VALUE!</v>
      </c>
      <c r="M186" t="s">
        <v>41</v>
      </c>
      <c r="N186" t="s">
        <v>41</v>
      </c>
      <c r="O186" t="s">
        <v>41</v>
      </c>
      <c r="P186" t="s">
        <v>41</v>
      </c>
      <c r="Q186" t="s">
        <v>41</v>
      </c>
      <c r="R186" t="s">
        <v>41</v>
      </c>
      <c r="S186" t="s">
        <v>41</v>
      </c>
      <c r="T186" t="s">
        <v>41</v>
      </c>
      <c r="U186" t="s">
        <v>41</v>
      </c>
      <c r="V186" t="s">
        <v>41</v>
      </c>
      <c r="W186" t="s">
        <v>41</v>
      </c>
      <c r="X186" t="s">
        <v>41</v>
      </c>
      <c r="Y186" t="s">
        <v>41</v>
      </c>
      <c r="Z186" t="s">
        <v>41</v>
      </c>
      <c r="AA186" t="s">
        <v>41</v>
      </c>
      <c r="AB186" t="s">
        <v>41</v>
      </c>
      <c r="AC186" t="s">
        <v>41</v>
      </c>
      <c r="AD186" t="s">
        <v>41</v>
      </c>
      <c r="AE186" t="s">
        <v>41</v>
      </c>
      <c r="AF186" t="s">
        <v>41</v>
      </c>
    </row>
    <row r="187" spans="1:32" x14ac:dyDescent="0.3">
      <c r="A187" t="s">
        <v>135</v>
      </c>
      <c r="B187" t="s">
        <v>390</v>
      </c>
      <c r="C187" t="s">
        <v>391</v>
      </c>
      <c r="D187" t="s">
        <v>94</v>
      </c>
      <c r="E187" t="s">
        <v>124</v>
      </c>
      <c r="F187">
        <v>1</v>
      </c>
      <c r="G187">
        <v>1</v>
      </c>
      <c r="H187">
        <v>3</v>
      </c>
      <c r="I187" t="s">
        <v>41</v>
      </c>
      <c r="J187">
        <f t="shared" si="6"/>
        <v>5</v>
      </c>
      <c r="K187">
        <v>1</v>
      </c>
      <c r="L187">
        <f t="shared" si="7"/>
        <v>60</v>
      </c>
      <c r="M187" t="s">
        <v>41</v>
      </c>
      <c r="N187" t="s">
        <v>41</v>
      </c>
      <c r="O187">
        <v>1</v>
      </c>
      <c r="P187" t="s">
        <v>41</v>
      </c>
      <c r="Q187" t="s">
        <v>41</v>
      </c>
      <c r="R187" t="s">
        <v>41</v>
      </c>
      <c r="S187" t="s">
        <v>41</v>
      </c>
      <c r="T187" t="s">
        <v>41</v>
      </c>
      <c r="U187" t="s">
        <v>41</v>
      </c>
      <c r="V187" t="s">
        <v>41</v>
      </c>
      <c r="W187" t="s">
        <v>41</v>
      </c>
      <c r="X187" t="s">
        <v>41</v>
      </c>
      <c r="Y187" t="s">
        <v>41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41</v>
      </c>
    </row>
    <row r="188" spans="1:32" x14ac:dyDescent="0.3">
      <c r="A188" t="s">
        <v>135</v>
      </c>
      <c r="B188" t="s">
        <v>392</v>
      </c>
      <c r="C188" t="s">
        <v>391</v>
      </c>
      <c r="D188" t="s">
        <v>41</v>
      </c>
      <c r="E188" t="s">
        <v>41</v>
      </c>
      <c r="F188">
        <v>1</v>
      </c>
      <c r="G188" t="s">
        <v>41</v>
      </c>
      <c r="H188" t="s">
        <v>41</v>
      </c>
      <c r="I188" t="s">
        <v>41</v>
      </c>
      <c r="J188">
        <f t="shared" si="6"/>
        <v>1</v>
      </c>
      <c r="K188" t="s">
        <v>41</v>
      </c>
      <c r="L188" t="e">
        <f t="shared" si="7"/>
        <v>#VALUE!</v>
      </c>
      <c r="M188" t="s">
        <v>41</v>
      </c>
      <c r="N188" t="s">
        <v>41</v>
      </c>
      <c r="O188" t="s">
        <v>41</v>
      </c>
      <c r="P188" t="s">
        <v>41</v>
      </c>
      <c r="Q188" t="s">
        <v>41</v>
      </c>
      <c r="R188" t="s">
        <v>41</v>
      </c>
      <c r="S188" t="s">
        <v>41</v>
      </c>
      <c r="T188" t="s">
        <v>41</v>
      </c>
      <c r="U188" t="s">
        <v>41</v>
      </c>
      <c r="V188" t="s">
        <v>41</v>
      </c>
      <c r="W188" t="s">
        <v>41</v>
      </c>
      <c r="X188" t="s">
        <v>41</v>
      </c>
      <c r="Y188" t="s">
        <v>41</v>
      </c>
      <c r="Z188" t="s">
        <v>41</v>
      </c>
      <c r="AA188" t="s">
        <v>41</v>
      </c>
      <c r="AB188" t="s">
        <v>41</v>
      </c>
      <c r="AC188" t="s">
        <v>41</v>
      </c>
      <c r="AD188" t="s">
        <v>41</v>
      </c>
      <c r="AE188" t="s">
        <v>41</v>
      </c>
      <c r="AF188" t="s">
        <v>41</v>
      </c>
    </row>
    <row r="189" spans="1:32" x14ac:dyDescent="0.3">
      <c r="A189" t="s">
        <v>135</v>
      </c>
      <c r="B189" t="s">
        <v>185</v>
      </c>
      <c r="C189" t="s">
        <v>123</v>
      </c>
      <c r="D189" t="s">
        <v>41</v>
      </c>
      <c r="E189" t="s">
        <v>41</v>
      </c>
      <c r="F189">
        <v>1</v>
      </c>
      <c r="G189" t="s">
        <v>41</v>
      </c>
      <c r="H189" t="s">
        <v>41</v>
      </c>
      <c r="I189" t="s">
        <v>41</v>
      </c>
      <c r="J189">
        <f t="shared" si="6"/>
        <v>1</v>
      </c>
      <c r="K189" t="s">
        <v>41</v>
      </c>
      <c r="L189" t="e">
        <f t="shared" si="7"/>
        <v>#VALUE!</v>
      </c>
      <c r="M189" t="s">
        <v>41</v>
      </c>
      <c r="N189" t="s">
        <v>41</v>
      </c>
      <c r="O189" t="s">
        <v>41</v>
      </c>
      <c r="P189" t="s">
        <v>41</v>
      </c>
      <c r="Q189" t="s">
        <v>41</v>
      </c>
      <c r="R189" t="s">
        <v>41</v>
      </c>
      <c r="S189" t="s">
        <v>41</v>
      </c>
      <c r="T189" t="s">
        <v>41</v>
      </c>
      <c r="U189" t="s">
        <v>41</v>
      </c>
      <c r="V189" t="s">
        <v>41</v>
      </c>
      <c r="W189" t="s">
        <v>41</v>
      </c>
      <c r="X189" t="s">
        <v>41</v>
      </c>
      <c r="Y189" t="s">
        <v>41</v>
      </c>
      <c r="Z189" t="s">
        <v>41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  <c r="AF189" t="s">
        <v>41</v>
      </c>
    </row>
    <row r="190" spans="1:32" x14ac:dyDescent="0.3">
      <c r="A190" t="s">
        <v>135</v>
      </c>
      <c r="B190" t="s">
        <v>68</v>
      </c>
      <c r="C190" t="s">
        <v>393</v>
      </c>
      <c r="D190" t="s">
        <v>231</v>
      </c>
      <c r="E190" t="s">
        <v>394</v>
      </c>
      <c r="F190">
        <v>1</v>
      </c>
      <c r="G190">
        <v>1</v>
      </c>
      <c r="H190">
        <v>1</v>
      </c>
      <c r="I190">
        <v>2</v>
      </c>
      <c r="J190">
        <f t="shared" si="6"/>
        <v>5</v>
      </c>
      <c r="K190" t="s">
        <v>41</v>
      </c>
      <c r="L190" t="e">
        <f t="shared" si="7"/>
        <v>#VALUE!</v>
      </c>
      <c r="M190">
        <v>4</v>
      </c>
      <c r="N190">
        <v>4</v>
      </c>
      <c r="O190" t="s">
        <v>41</v>
      </c>
      <c r="P190" t="s">
        <v>41</v>
      </c>
      <c r="Q190" t="s">
        <v>41</v>
      </c>
      <c r="R190" t="s">
        <v>41</v>
      </c>
      <c r="S190" t="s">
        <v>41</v>
      </c>
      <c r="T190">
        <v>2.5</v>
      </c>
      <c r="U190">
        <v>0.75</v>
      </c>
      <c r="V190" t="s">
        <v>41</v>
      </c>
      <c r="W190" t="s">
        <v>41</v>
      </c>
      <c r="X190">
        <v>26</v>
      </c>
      <c r="Y190">
        <v>24</v>
      </c>
      <c r="Z190" t="s">
        <v>41</v>
      </c>
      <c r="AA190" t="s">
        <v>41</v>
      </c>
      <c r="AB190">
        <v>1</v>
      </c>
      <c r="AC190" t="s">
        <v>41</v>
      </c>
      <c r="AD190">
        <v>7</v>
      </c>
      <c r="AE190">
        <v>3</v>
      </c>
      <c r="AF190">
        <v>2</v>
      </c>
    </row>
    <row r="191" spans="1:32" x14ac:dyDescent="0.3">
      <c r="A191" t="s">
        <v>135</v>
      </c>
      <c r="B191" t="s">
        <v>395</v>
      </c>
      <c r="C191" t="s">
        <v>369</v>
      </c>
      <c r="D191" t="s">
        <v>396</v>
      </c>
      <c r="E191" t="s">
        <v>397</v>
      </c>
      <c r="F191">
        <v>1</v>
      </c>
      <c r="G191">
        <v>1</v>
      </c>
      <c r="H191" t="s">
        <v>41</v>
      </c>
      <c r="I191">
        <v>2</v>
      </c>
      <c r="J191">
        <f t="shared" si="6"/>
        <v>4</v>
      </c>
      <c r="K191" t="s">
        <v>41</v>
      </c>
      <c r="L191" t="e">
        <f t="shared" si="7"/>
        <v>#VALUE!</v>
      </c>
      <c r="M191" t="s">
        <v>41</v>
      </c>
      <c r="N191" t="s">
        <v>41</v>
      </c>
      <c r="O191" t="s">
        <v>41</v>
      </c>
      <c r="P191" t="s">
        <v>41</v>
      </c>
      <c r="Q191" t="s">
        <v>41</v>
      </c>
      <c r="R191" t="s">
        <v>41</v>
      </c>
      <c r="S191" t="s">
        <v>41</v>
      </c>
      <c r="T191" t="s">
        <v>41</v>
      </c>
      <c r="U191" t="s">
        <v>41</v>
      </c>
      <c r="V191" t="s">
        <v>41</v>
      </c>
      <c r="W191" t="s">
        <v>41</v>
      </c>
      <c r="X191" t="s">
        <v>41</v>
      </c>
      <c r="Y191" t="s">
        <v>41</v>
      </c>
      <c r="Z191" t="s">
        <v>41</v>
      </c>
      <c r="AA191" t="s">
        <v>41</v>
      </c>
      <c r="AB191" t="s">
        <v>41</v>
      </c>
      <c r="AC191" t="s">
        <v>41</v>
      </c>
      <c r="AD191">
        <v>5</v>
      </c>
      <c r="AE191" t="s">
        <v>41</v>
      </c>
      <c r="AF191" t="s">
        <v>41</v>
      </c>
    </row>
    <row r="192" spans="1:32" x14ac:dyDescent="0.3">
      <c r="A192" t="s">
        <v>135</v>
      </c>
      <c r="B192" t="s">
        <v>398</v>
      </c>
      <c r="C192" t="s">
        <v>136</v>
      </c>
      <c r="D192" t="s">
        <v>399</v>
      </c>
      <c r="E192" t="s">
        <v>142</v>
      </c>
      <c r="F192">
        <v>1</v>
      </c>
      <c r="G192">
        <v>1</v>
      </c>
      <c r="H192">
        <v>1</v>
      </c>
      <c r="I192">
        <v>1</v>
      </c>
      <c r="J192">
        <f t="shared" si="6"/>
        <v>4</v>
      </c>
      <c r="K192" t="s">
        <v>41</v>
      </c>
      <c r="L192" t="e">
        <f t="shared" si="7"/>
        <v>#VALUE!</v>
      </c>
      <c r="M192" t="s">
        <v>41</v>
      </c>
      <c r="N192" t="s">
        <v>41</v>
      </c>
      <c r="O192" t="s">
        <v>41</v>
      </c>
      <c r="P192" t="s">
        <v>41</v>
      </c>
      <c r="Q192" t="s">
        <v>41</v>
      </c>
      <c r="R192" t="s">
        <v>41</v>
      </c>
      <c r="S192" t="s">
        <v>41</v>
      </c>
      <c r="T192" t="s">
        <v>41</v>
      </c>
      <c r="U192" t="s">
        <v>41</v>
      </c>
      <c r="V192" t="s">
        <v>41</v>
      </c>
      <c r="W192" t="s">
        <v>41</v>
      </c>
      <c r="X192" t="s">
        <v>41</v>
      </c>
      <c r="Y192" t="s">
        <v>41</v>
      </c>
      <c r="Z192" t="s">
        <v>41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s">
        <v>41</v>
      </c>
    </row>
    <row r="193" spans="1:32" x14ac:dyDescent="0.3">
      <c r="A193" t="s">
        <v>135</v>
      </c>
      <c r="B193" t="s">
        <v>145</v>
      </c>
      <c r="C193" t="s">
        <v>400</v>
      </c>
      <c r="D193" t="s">
        <v>41</v>
      </c>
      <c r="E193" t="s">
        <v>41</v>
      </c>
      <c r="F193">
        <v>1</v>
      </c>
      <c r="G193" t="s">
        <v>41</v>
      </c>
      <c r="H193" t="s">
        <v>41</v>
      </c>
      <c r="I193" t="s">
        <v>41</v>
      </c>
      <c r="J193">
        <f t="shared" si="6"/>
        <v>1</v>
      </c>
      <c r="K193" t="s">
        <v>41</v>
      </c>
      <c r="L193" t="e">
        <f t="shared" si="7"/>
        <v>#VALUE!</v>
      </c>
      <c r="M193" t="s">
        <v>41</v>
      </c>
      <c r="N193" t="s">
        <v>41</v>
      </c>
      <c r="O193" t="s">
        <v>41</v>
      </c>
      <c r="P193" t="s">
        <v>41</v>
      </c>
      <c r="Q193" t="s">
        <v>41</v>
      </c>
      <c r="R193" t="s">
        <v>41</v>
      </c>
      <c r="S193" t="s">
        <v>41</v>
      </c>
      <c r="T193" t="s">
        <v>41</v>
      </c>
      <c r="U193" t="s">
        <v>41</v>
      </c>
      <c r="V193" t="s">
        <v>41</v>
      </c>
      <c r="W193" t="s">
        <v>41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41</v>
      </c>
    </row>
    <row r="194" spans="1:32" x14ac:dyDescent="0.3">
      <c r="A194" t="s">
        <v>135</v>
      </c>
      <c r="B194" t="s">
        <v>225</v>
      </c>
      <c r="C194" t="s">
        <v>52</v>
      </c>
      <c r="D194" t="s">
        <v>82</v>
      </c>
      <c r="E194" t="s">
        <v>41</v>
      </c>
      <c r="F194">
        <v>1</v>
      </c>
      <c r="G194">
        <v>1</v>
      </c>
      <c r="H194">
        <v>3</v>
      </c>
      <c r="I194" t="s">
        <v>41</v>
      </c>
      <c r="J194">
        <f t="shared" si="6"/>
        <v>5</v>
      </c>
      <c r="K194" t="s">
        <v>41</v>
      </c>
      <c r="L194" t="e">
        <f t="shared" si="7"/>
        <v>#VALUE!</v>
      </c>
      <c r="M194" t="s">
        <v>41</v>
      </c>
      <c r="N194" t="s">
        <v>41</v>
      </c>
      <c r="O194" t="s">
        <v>41</v>
      </c>
      <c r="P194" t="s">
        <v>41</v>
      </c>
      <c r="Q194" t="s">
        <v>41</v>
      </c>
      <c r="R194" t="s">
        <v>41</v>
      </c>
      <c r="S194" t="s">
        <v>41</v>
      </c>
      <c r="T194" t="s">
        <v>41</v>
      </c>
      <c r="U194" t="s">
        <v>41</v>
      </c>
      <c r="V194" t="s">
        <v>41</v>
      </c>
      <c r="W194" t="s">
        <v>41</v>
      </c>
      <c r="X194" t="s">
        <v>41</v>
      </c>
      <c r="Y194" t="s">
        <v>41</v>
      </c>
      <c r="Z194" t="s">
        <v>41</v>
      </c>
      <c r="AA194" t="s">
        <v>41</v>
      </c>
      <c r="AB194" t="s">
        <v>41</v>
      </c>
      <c r="AC194" t="s">
        <v>41</v>
      </c>
      <c r="AD194" t="s">
        <v>41</v>
      </c>
      <c r="AE194" t="s">
        <v>41</v>
      </c>
      <c r="AF194" t="s">
        <v>41</v>
      </c>
    </row>
    <row r="195" spans="1:32" x14ac:dyDescent="0.3">
      <c r="A195" t="s">
        <v>135</v>
      </c>
      <c r="B195" t="s">
        <v>401</v>
      </c>
      <c r="C195" t="s">
        <v>105</v>
      </c>
      <c r="D195" t="s">
        <v>388</v>
      </c>
      <c r="E195" t="s">
        <v>402</v>
      </c>
      <c r="F195">
        <v>1</v>
      </c>
      <c r="G195">
        <v>1</v>
      </c>
      <c r="H195">
        <v>1</v>
      </c>
      <c r="I195">
        <v>2</v>
      </c>
      <c r="J195">
        <f t="shared" si="6"/>
        <v>5</v>
      </c>
      <c r="K195" t="s">
        <v>41</v>
      </c>
      <c r="L195" t="e">
        <f t="shared" si="7"/>
        <v>#VALUE!</v>
      </c>
      <c r="M195">
        <v>1</v>
      </c>
      <c r="N195" t="s">
        <v>41</v>
      </c>
      <c r="O195" t="s">
        <v>41</v>
      </c>
      <c r="P195" t="s">
        <v>41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 t="s">
        <v>41</v>
      </c>
      <c r="W195" t="s">
        <v>41</v>
      </c>
      <c r="X195" t="s">
        <v>41</v>
      </c>
      <c r="Y195" t="s">
        <v>41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  <c r="AF195" t="s">
        <v>41</v>
      </c>
    </row>
    <row r="196" spans="1:32" x14ac:dyDescent="0.3">
      <c r="A196" t="s">
        <v>135</v>
      </c>
      <c r="B196" t="s">
        <v>219</v>
      </c>
      <c r="C196" t="s">
        <v>122</v>
      </c>
      <c r="D196" t="s">
        <v>50</v>
      </c>
      <c r="E196" t="s">
        <v>316</v>
      </c>
      <c r="F196">
        <v>1</v>
      </c>
      <c r="G196">
        <v>1</v>
      </c>
      <c r="H196">
        <v>2</v>
      </c>
      <c r="I196">
        <v>2</v>
      </c>
      <c r="J196">
        <f t="shared" si="6"/>
        <v>6</v>
      </c>
      <c r="K196" t="s">
        <v>41</v>
      </c>
      <c r="L196" t="e">
        <f t="shared" si="7"/>
        <v>#VALUE!</v>
      </c>
      <c r="M196" t="s">
        <v>41</v>
      </c>
      <c r="N196" t="s">
        <v>41</v>
      </c>
      <c r="O196" t="s">
        <v>41</v>
      </c>
      <c r="P196" t="s">
        <v>41</v>
      </c>
      <c r="Q196" t="s">
        <v>41</v>
      </c>
      <c r="R196" t="s">
        <v>41</v>
      </c>
      <c r="S196" t="s">
        <v>41</v>
      </c>
      <c r="T196">
        <v>0.5</v>
      </c>
      <c r="U196" t="s">
        <v>41</v>
      </c>
      <c r="V196" t="s">
        <v>41</v>
      </c>
      <c r="W196" t="s">
        <v>41</v>
      </c>
      <c r="X196">
        <v>5</v>
      </c>
      <c r="Y196" t="s">
        <v>41</v>
      </c>
      <c r="Z196" t="s">
        <v>41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s">
        <v>41</v>
      </c>
    </row>
    <row r="197" spans="1:32" x14ac:dyDescent="0.3">
      <c r="A197" t="s">
        <v>135</v>
      </c>
      <c r="B197" t="s">
        <v>185</v>
      </c>
      <c r="C197" t="s">
        <v>24</v>
      </c>
      <c r="D197" t="s">
        <v>273</v>
      </c>
      <c r="E197" t="s">
        <v>369</v>
      </c>
      <c r="F197">
        <v>1</v>
      </c>
      <c r="G197">
        <v>1</v>
      </c>
      <c r="H197">
        <v>2</v>
      </c>
      <c r="I197">
        <v>3</v>
      </c>
      <c r="J197">
        <f t="shared" si="6"/>
        <v>7</v>
      </c>
      <c r="K197">
        <v>1</v>
      </c>
      <c r="L197">
        <f t="shared" si="7"/>
        <v>60</v>
      </c>
      <c r="M197">
        <v>1</v>
      </c>
      <c r="N197" t="s">
        <v>41</v>
      </c>
      <c r="O197">
        <v>1</v>
      </c>
      <c r="P197" t="s">
        <v>41</v>
      </c>
      <c r="Q197" t="s">
        <v>41</v>
      </c>
      <c r="R197" t="s">
        <v>41</v>
      </c>
      <c r="S197" t="s">
        <v>41</v>
      </c>
      <c r="T197" t="s">
        <v>41</v>
      </c>
      <c r="U197" t="s">
        <v>41</v>
      </c>
      <c r="V197" t="s">
        <v>41</v>
      </c>
      <c r="W197" t="s">
        <v>41</v>
      </c>
      <c r="X197" t="s">
        <v>41</v>
      </c>
      <c r="Y197" t="s">
        <v>41</v>
      </c>
      <c r="Z197" t="s">
        <v>41</v>
      </c>
      <c r="AA197" t="s">
        <v>41</v>
      </c>
      <c r="AB197">
        <v>1</v>
      </c>
      <c r="AC197" t="s">
        <v>41</v>
      </c>
      <c r="AD197">
        <v>5</v>
      </c>
      <c r="AE197">
        <v>1</v>
      </c>
      <c r="AF197">
        <v>2</v>
      </c>
    </row>
    <row r="198" spans="1:32" x14ac:dyDescent="0.3">
      <c r="A198" t="s">
        <v>135</v>
      </c>
      <c r="B198" t="s">
        <v>367</v>
      </c>
      <c r="C198" t="s">
        <v>369</v>
      </c>
      <c r="D198" t="s">
        <v>41</v>
      </c>
      <c r="E198" t="s">
        <v>41</v>
      </c>
      <c r="F198">
        <v>1</v>
      </c>
      <c r="G198" t="s">
        <v>41</v>
      </c>
      <c r="H198" t="s">
        <v>41</v>
      </c>
      <c r="I198" t="s">
        <v>41</v>
      </c>
      <c r="J198">
        <f t="shared" si="6"/>
        <v>1</v>
      </c>
      <c r="K198" t="s">
        <v>41</v>
      </c>
      <c r="L198" t="e">
        <f t="shared" si="7"/>
        <v>#VALUE!</v>
      </c>
      <c r="M198" t="s">
        <v>41</v>
      </c>
      <c r="N198" t="s">
        <v>41</v>
      </c>
      <c r="O198" t="s">
        <v>41</v>
      </c>
      <c r="P198" t="s">
        <v>41</v>
      </c>
      <c r="Q198" t="s">
        <v>41</v>
      </c>
      <c r="R198" t="s">
        <v>41</v>
      </c>
      <c r="S198" t="s">
        <v>41</v>
      </c>
      <c r="T198" t="s">
        <v>41</v>
      </c>
      <c r="U198" t="s">
        <v>41</v>
      </c>
      <c r="V198" t="s">
        <v>41</v>
      </c>
      <c r="W198" t="s">
        <v>41</v>
      </c>
      <c r="X198" t="s">
        <v>41</v>
      </c>
      <c r="Y198" t="s">
        <v>41</v>
      </c>
      <c r="Z198" t="s">
        <v>41</v>
      </c>
      <c r="AA198" t="s">
        <v>41</v>
      </c>
      <c r="AB198" t="s">
        <v>41</v>
      </c>
      <c r="AC198" t="s">
        <v>41</v>
      </c>
      <c r="AD198" t="s">
        <v>41</v>
      </c>
      <c r="AE198" t="s">
        <v>41</v>
      </c>
      <c r="AF198" t="s">
        <v>41</v>
      </c>
    </row>
    <row r="199" spans="1:32" x14ac:dyDescent="0.3">
      <c r="A199" t="s">
        <v>135</v>
      </c>
      <c r="B199" t="s">
        <v>403</v>
      </c>
      <c r="C199" t="s">
        <v>24</v>
      </c>
      <c r="D199" t="s">
        <v>384</v>
      </c>
      <c r="E199" t="s">
        <v>24</v>
      </c>
      <c r="F199">
        <v>1</v>
      </c>
      <c r="G199">
        <v>1</v>
      </c>
      <c r="H199">
        <v>3</v>
      </c>
      <c r="I199">
        <v>1</v>
      </c>
      <c r="J199">
        <f t="shared" si="6"/>
        <v>6</v>
      </c>
      <c r="K199" t="s">
        <v>41</v>
      </c>
      <c r="L199" t="e">
        <f t="shared" si="7"/>
        <v>#VALUE!</v>
      </c>
      <c r="M199" t="s">
        <v>41</v>
      </c>
      <c r="N199" t="s">
        <v>41</v>
      </c>
      <c r="O199" t="s">
        <v>41</v>
      </c>
      <c r="P199" t="s">
        <v>41</v>
      </c>
      <c r="Q199" t="s">
        <v>41</v>
      </c>
      <c r="R199" t="s">
        <v>41</v>
      </c>
      <c r="S199" t="s">
        <v>41</v>
      </c>
      <c r="T199" t="s">
        <v>41</v>
      </c>
      <c r="U199" t="s">
        <v>41</v>
      </c>
      <c r="V199" t="s">
        <v>41</v>
      </c>
      <c r="W199" t="s">
        <v>41</v>
      </c>
      <c r="X199" t="s">
        <v>41</v>
      </c>
      <c r="Y199" t="s">
        <v>41</v>
      </c>
      <c r="Z199" t="s">
        <v>41</v>
      </c>
      <c r="AA199" t="s">
        <v>41</v>
      </c>
      <c r="AB199" t="s">
        <v>41</v>
      </c>
      <c r="AC199" t="s">
        <v>41</v>
      </c>
      <c r="AD199" t="s">
        <v>41</v>
      </c>
      <c r="AE199" t="s">
        <v>41</v>
      </c>
      <c r="AF199" t="s">
        <v>41</v>
      </c>
    </row>
    <row r="200" spans="1:32" x14ac:dyDescent="0.3">
      <c r="A200" t="s">
        <v>135</v>
      </c>
      <c r="B200" t="s">
        <v>185</v>
      </c>
      <c r="C200" t="s">
        <v>404</v>
      </c>
      <c r="D200" t="s">
        <v>41</v>
      </c>
      <c r="E200" t="s">
        <v>41</v>
      </c>
      <c r="F200">
        <v>1</v>
      </c>
      <c r="G200" t="s">
        <v>41</v>
      </c>
      <c r="H200" t="s">
        <v>41</v>
      </c>
      <c r="I200" t="s">
        <v>41</v>
      </c>
      <c r="J200">
        <f t="shared" si="6"/>
        <v>1</v>
      </c>
      <c r="K200" t="s">
        <v>41</v>
      </c>
      <c r="L200" t="e">
        <f t="shared" si="7"/>
        <v>#VALUE!</v>
      </c>
      <c r="M200">
        <v>1</v>
      </c>
      <c r="N200">
        <v>7</v>
      </c>
      <c r="O200" t="s">
        <v>41</v>
      </c>
      <c r="P200" t="s">
        <v>41</v>
      </c>
      <c r="Q200" t="s">
        <v>41</v>
      </c>
      <c r="R200" t="s">
        <v>41</v>
      </c>
      <c r="S200" t="s">
        <v>41</v>
      </c>
      <c r="T200" t="s">
        <v>41</v>
      </c>
      <c r="U200" t="s">
        <v>41</v>
      </c>
      <c r="V200" t="s">
        <v>41</v>
      </c>
      <c r="W200" t="s">
        <v>41</v>
      </c>
      <c r="X200" t="s">
        <v>41</v>
      </c>
      <c r="Y200" t="s">
        <v>41</v>
      </c>
      <c r="Z200" t="s">
        <v>41</v>
      </c>
      <c r="AA200" t="s">
        <v>41</v>
      </c>
      <c r="AB200" t="s">
        <v>41</v>
      </c>
      <c r="AC200" t="s">
        <v>41</v>
      </c>
      <c r="AD200">
        <v>2</v>
      </c>
      <c r="AE200">
        <v>6</v>
      </c>
      <c r="AF200">
        <v>4</v>
      </c>
    </row>
    <row r="201" spans="1:32" x14ac:dyDescent="0.3">
      <c r="A201" t="s">
        <v>135</v>
      </c>
      <c r="B201" t="s">
        <v>405</v>
      </c>
      <c r="C201" t="s">
        <v>52</v>
      </c>
      <c r="D201" t="s">
        <v>406</v>
      </c>
      <c r="E201" t="s">
        <v>89</v>
      </c>
      <c r="F201">
        <v>1</v>
      </c>
      <c r="G201">
        <v>1</v>
      </c>
      <c r="H201" t="s">
        <v>41</v>
      </c>
      <c r="I201">
        <v>4</v>
      </c>
      <c r="J201">
        <f t="shared" si="6"/>
        <v>6</v>
      </c>
      <c r="K201" t="s">
        <v>41</v>
      </c>
      <c r="L201" t="e">
        <f t="shared" si="7"/>
        <v>#VALUE!</v>
      </c>
      <c r="M201" t="s">
        <v>41</v>
      </c>
      <c r="N201" t="s">
        <v>41</v>
      </c>
      <c r="O201" t="s">
        <v>41</v>
      </c>
      <c r="P201" t="s">
        <v>41</v>
      </c>
      <c r="Q201" t="s">
        <v>41</v>
      </c>
      <c r="R201" t="s">
        <v>41</v>
      </c>
      <c r="S201" t="s">
        <v>41</v>
      </c>
      <c r="T201" t="s">
        <v>41</v>
      </c>
      <c r="U201" t="s">
        <v>41</v>
      </c>
      <c r="V201" t="s">
        <v>41</v>
      </c>
      <c r="W201" t="s">
        <v>41</v>
      </c>
      <c r="X201" t="s">
        <v>41</v>
      </c>
      <c r="Y201" t="s">
        <v>41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41</v>
      </c>
    </row>
    <row r="202" spans="1:32" x14ac:dyDescent="0.3">
      <c r="A202" t="s">
        <v>135</v>
      </c>
      <c r="B202" t="s">
        <v>73</v>
      </c>
      <c r="C202" t="s">
        <v>122</v>
      </c>
      <c r="D202" t="s">
        <v>335</v>
      </c>
      <c r="E202" t="s">
        <v>183</v>
      </c>
      <c r="F202">
        <v>1</v>
      </c>
      <c r="G202">
        <v>1</v>
      </c>
      <c r="H202">
        <v>1</v>
      </c>
      <c r="I202" t="s">
        <v>41</v>
      </c>
      <c r="J202">
        <f t="shared" si="6"/>
        <v>3</v>
      </c>
      <c r="K202" t="s">
        <v>41</v>
      </c>
      <c r="L202" t="e">
        <f t="shared" si="7"/>
        <v>#VALUE!</v>
      </c>
      <c r="M202" t="s">
        <v>41</v>
      </c>
      <c r="N202" t="s">
        <v>41</v>
      </c>
      <c r="O202" t="s">
        <v>41</v>
      </c>
      <c r="P202" t="s">
        <v>41</v>
      </c>
      <c r="Q202" t="s">
        <v>41</v>
      </c>
      <c r="R202" t="s">
        <v>41</v>
      </c>
      <c r="S202" t="s">
        <v>41</v>
      </c>
      <c r="T202" t="s">
        <v>41</v>
      </c>
      <c r="U202" t="s">
        <v>41</v>
      </c>
      <c r="V202" t="s">
        <v>41</v>
      </c>
      <c r="W202" t="s">
        <v>41</v>
      </c>
      <c r="X202" t="s">
        <v>41</v>
      </c>
      <c r="Y202" t="s">
        <v>41</v>
      </c>
      <c r="Z202" t="s">
        <v>41</v>
      </c>
      <c r="AA202" t="s">
        <v>41</v>
      </c>
      <c r="AB202" t="s">
        <v>41</v>
      </c>
      <c r="AC202" t="s">
        <v>41</v>
      </c>
      <c r="AD202" t="s">
        <v>41</v>
      </c>
      <c r="AE202" t="s">
        <v>41</v>
      </c>
      <c r="AF202" t="s">
        <v>41</v>
      </c>
    </row>
    <row r="203" spans="1:32" x14ac:dyDescent="0.3">
      <c r="A203" t="s">
        <v>135</v>
      </c>
      <c r="B203" t="s">
        <v>42</v>
      </c>
      <c r="C203" t="s">
        <v>407</v>
      </c>
      <c r="D203" t="s">
        <v>94</v>
      </c>
      <c r="E203" t="s">
        <v>408</v>
      </c>
      <c r="F203">
        <v>1</v>
      </c>
      <c r="G203">
        <v>1</v>
      </c>
      <c r="H203">
        <v>2</v>
      </c>
      <c r="I203">
        <v>1</v>
      </c>
      <c r="J203">
        <f t="shared" si="6"/>
        <v>5</v>
      </c>
      <c r="K203" t="s">
        <v>41</v>
      </c>
      <c r="L203" t="e">
        <f t="shared" si="7"/>
        <v>#VALUE!</v>
      </c>
      <c r="M203">
        <v>2</v>
      </c>
      <c r="N203" t="s">
        <v>41</v>
      </c>
      <c r="O203" t="s">
        <v>41</v>
      </c>
      <c r="P203" t="s">
        <v>41</v>
      </c>
      <c r="Q203" t="s">
        <v>41</v>
      </c>
      <c r="R203" t="s">
        <v>41</v>
      </c>
      <c r="S203" t="s">
        <v>41</v>
      </c>
      <c r="T203">
        <v>0.5</v>
      </c>
      <c r="U203" t="s">
        <v>41</v>
      </c>
      <c r="V203" t="s">
        <v>41</v>
      </c>
      <c r="W203" t="s">
        <v>41</v>
      </c>
      <c r="X203">
        <v>7</v>
      </c>
      <c r="Y203" t="s">
        <v>41</v>
      </c>
      <c r="Z203" t="s">
        <v>41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41</v>
      </c>
    </row>
    <row r="204" spans="1:32" x14ac:dyDescent="0.3">
      <c r="A204" t="s">
        <v>135</v>
      </c>
      <c r="B204" t="s">
        <v>409</v>
      </c>
      <c r="C204" t="s">
        <v>52</v>
      </c>
      <c r="D204" t="s">
        <v>320</v>
      </c>
      <c r="E204" t="s">
        <v>410</v>
      </c>
      <c r="F204">
        <v>1</v>
      </c>
      <c r="G204">
        <v>1</v>
      </c>
      <c r="H204">
        <v>2</v>
      </c>
      <c r="I204" t="s">
        <v>41</v>
      </c>
      <c r="J204">
        <f t="shared" si="6"/>
        <v>4</v>
      </c>
      <c r="K204" t="s">
        <v>41</v>
      </c>
      <c r="L204" t="e">
        <f t="shared" si="7"/>
        <v>#VALUE!</v>
      </c>
      <c r="M204">
        <v>5</v>
      </c>
      <c r="N204">
        <v>4</v>
      </c>
      <c r="O204" t="s">
        <v>41</v>
      </c>
      <c r="P204" t="s">
        <v>41</v>
      </c>
      <c r="Q204" t="s">
        <v>41</v>
      </c>
      <c r="R204" t="s">
        <v>41</v>
      </c>
      <c r="S204" t="s">
        <v>41</v>
      </c>
      <c r="T204" t="s">
        <v>41</v>
      </c>
      <c r="U204" t="s">
        <v>41</v>
      </c>
      <c r="V204" t="s">
        <v>41</v>
      </c>
      <c r="W204" t="s">
        <v>41</v>
      </c>
      <c r="X204" t="s">
        <v>41</v>
      </c>
      <c r="Y204" t="s">
        <v>41</v>
      </c>
      <c r="Z204" t="s">
        <v>41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  <c r="AF204" t="s">
        <v>41</v>
      </c>
    </row>
    <row r="205" spans="1:32" x14ac:dyDescent="0.3">
      <c r="A205" t="s">
        <v>135</v>
      </c>
      <c r="B205" t="s">
        <v>411</v>
      </c>
      <c r="C205" t="s">
        <v>52</v>
      </c>
      <c r="D205" t="s">
        <v>66</v>
      </c>
      <c r="E205" t="s">
        <v>55</v>
      </c>
      <c r="F205">
        <v>1</v>
      </c>
      <c r="G205">
        <v>1</v>
      </c>
      <c r="H205" t="s">
        <v>41</v>
      </c>
      <c r="I205">
        <v>1</v>
      </c>
      <c r="J205">
        <f t="shared" si="6"/>
        <v>3</v>
      </c>
      <c r="K205" t="s">
        <v>41</v>
      </c>
      <c r="L205" t="e">
        <f t="shared" si="7"/>
        <v>#VALUE!</v>
      </c>
      <c r="M205">
        <v>8</v>
      </c>
      <c r="N205" t="s">
        <v>41</v>
      </c>
      <c r="O205">
        <v>1</v>
      </c>
      <c r="P205" t="s">
        <v>41</v>
      </c>
      <c r="Q205" t="s">
        <v>41</v>
      </c>
      <c r="R205" t="s">
        <v>41</v>
      </c>
      <c r="S205" t="s">
        <v>41</v>
      </c>
      <c r="T205" t="s">
        <v>41</v>
      </c>
      <c r="U205" t="s">
        <v>41</v>
      </c>
      <c r="V205" t="s">
        <v>41</v>
      </c>
      <c r="W205" t="s">
        <v>41</v>
      </c>
      <c r="X205" t="s">
        <v>41</v>
      </c>
      <c r="Y205" t="s">
        <v>41</v>
      </c>
      <c r="Z205" t="s">
        <v>41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s">
        <v>41</v>
      </c>
    </row>
    <row r="206" spans="1:32" x14ac:dyDescent="0.3">
      <c r="A206" t="s">
        <v>135</v>
      </c>
      <c r="B206" t="s">
        <v>60</v>
      </c>
      <c r="C206" t="s">
        <v>408</v>
      </c>
      <c r="D206" t="s">
        <v>41</v>
      </c>
      <c r="E206" t="s">
        <v>41</v>
      </c>
      <c r="F206">
        <v>1</v>
      </c>
      <c r="G206" t="s">
        <v>41</v>
      </c>
      <c r="H206" t="s">
        <v>41</v>
      </c>
      <c r="I206" t="s">
        <v>41</v>
      </c>
      <c r="J206">
        <f t="shared" si="6"/>
        <v>1</v>
      </c>
      <c r="K206" t="s">
        <v>41</v>
      </c>
      <c r="L206" t="e">
        <f t="shared" si="7"/>
        <v>#VALUE!</v>
      </c>
      <c r="M206" t="s">
        <v>41</v>
      </c>
      <c r="N206" t="s">
        <v>41</v>
      </c>
      <c r="O206" t="s">
        <v>41</v>
      </c>
      <c r="P206" t="s">
        <v>41</v>
      </c>
      <c r="Q206" t="s">
        <v>41</v>
      </c>
      <c r="R206" t="s">
        <v>41</v>
      </c>
      <c r="S206" t="s">
        <v>41</v>
      </c>
      <c r="T206" t="s">
        <v>41</v>
      </c>
      <c r="U206" t="s">
        <v>41</v>
      </c>
      <c r="V206" t="s">
        <v>41</v>
      </c>
      <c r="W206" t="s">
        <v>41</v>
      </c>
      <c r="X206" t="s">
        <v>41</v>
      </c>
      <c r="Y206" t="s">
        <v>41</v>
      </c>
      <c r="Z206" t="s">
        <v>41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  <c r="AF206" t="s">
        <v>41</v>
      </c>
    </row>
    <row r="207" spans="1:32" x14ac:dyDescent="0.3">
      <c r="A207" t="s">
        <v>135</v>
      </c>
      <c r="B207" t="s">
        <v>412</v>
      </c>
      <c r="C207" t="s">
        <v>413</v>
      </c>
      <c r="D207" t="s">
        <v>41</v>
      </c>
      <c r="E207" t="s">
        <v>41</v>
      </c>
      <c r="F207">
        <v>1</v>
      </c>
      <c r="G207" t="s">
        <v>41</v>
      </c>
      <c r="H207" t="s">
        <v>41</v>
      </c>
      <c r="I207" t="s">
        <v>41</v>
      </c>
      <c r="J207">
        <f t="shared" si="6"/>
        <v>1</v>
      </c>
      <c r="K207" t="s">
        <v>41</v>
      </c>
      <c r="L207" t="e">
        <f t="shared" si="7"/>
        <v>#VALUE!</v>
      </c>
      <c r="M207" t="s">
        <v>41</v>
      </c>
      <c r="N207" t="s">
        <v>41</v>
      </c>
      <c r="O207" t="s">
        <v>41</v>
      </c>
      <c r="P207" t="s">
        <v>41</v>
      </c>
      <c r="Q207" t="s">
        <v>41</v>
      </c>
      <c r="R207" t="s">
        <v>41</v>
      </c>
      <c r="S207" t="s">
        <v>41</v>
      </c>
      <c r="T207" t="s">
        <v>41</v>
      </c>
      <c r="U207" t="s">
        <v>41</v>
      </c>
      <c r="V207" t="s">
        <v>41</v>
      </c>
      <c r="W207" t="s">
        <v>41</v>
      </c>
      <c r="X207" t="s">
        <v>41</v>
      </c>
      <c r="Y207" t="s">
        <v>41</v>
      </c>
      <c r="Z207" t="s">
        <v>41</v>
      </c>
      <c r="AA207" t="s">
        <v>41</v>
      </c>
      <c r="AB207" t="s">
        <v>41</v>
      </c>
      <c r="AC207" t="s">
        <v>41</v>
      </c>
      <c r="AD207">
        <v>2</v>
      </c>
      <c r="AE207">
        <v>4</v>
      </c>
      <c r="AF207" t="s">
        <v>41</v>
      </c>
    </row>
    <row r="208" spans="1:32" x14ac:dyDescent="0.3">
      <c r="A208" t="s">
        <v>135</v>
      </c>
      <c r="B208" t="s">
        <v>222</v>
      </c>
      <c r="C208" t="s">
        <v>52</v>
      </c>
      <c r="D208" t="s">
        <v>41</v>
      </c>
      <c r="E208" t="s">
        <v>41</v>
      </c>
      <c r="F208">
        <v>1</v>
      </c>
      <c r="G208" t="s">
        <v>41</v>
      </c>
      <c r="H208" t="s">
        <v>41</v>
      </c>
      <c r="I208" t="s">
        <v>41</v>
      </c>
      <c r="J208">
        <f t="shared" si="6"/>
        <v>1</v>
      </c>
      <c r="K208" t="s">
        <v>41</v>
      </c>
      <c r="L208" t="e">
        <f t="shared" si="7"/>
        <v>#VALUE!</v>
      </c>
      <c r="M208" t="s">
        <v>41</v>
      </c>
      <c r="N208" t="s">
        <v>41</v>
      </c>
      <c r="O208" t="s">
        <v>41</v>
      </c>
      <c r="P208" t="s">
        <v>41</v>
      </c>
      <c r="Q208" t="s">
        <v>41</v>
      </c>
      <c r="R208" t="s">
        <v>41</v>
      </c>
      <c r="S208" t="s">
        <v>41</v>
      </c>
      <c r="T208" t="s">
        <v>41</v>
      </c>
      <c r="U208" t="s">
        <v>41</v>
      </c>
      <c r="V208" t="s">
        <v>41</v>
      </c>
      <c r="W208" t="s">
        <v>41</v>
      </c>
      <c r="X208" t="s">
        <v>41</v>
      </c>
      <c r="Y208" t="s">
        <v>41</v>
      </c>
      <c r="Z208" t="s">
        <v>41</v>
      </c>
      <c r="AA208" t="s">
        <v>41</v>
      </c>
      <c r="AB208" t="s">
        <v>41</v>
      </c>
      <c r="AC208" t="s">
        <v>41</v>
      </c>
      <c r="AD208">
        <v>2</v>
      </c>
      <c r="AE208" t="s">
        <v>41</v>
      </c>
      <c r="AF208" t="s">
        <v>41</v>
      </c>
    </row>
    <row r="209" spans="1:32" x14ac:dyDescent="0.3">
      <c r="A209" t="s">
        <v>135</v>
      </c>
      <c r="B209" t="s">
        <v>333</v>
      </c>
      <c r="C209" t="s">
        <v>369</v>
      </c>
      <c r="D209" t="s">
        <v>414</v>
      </c>
      <c r="E209" t="s">
        <v>230</v>
      </c>
      <c r="F209">
        <v>1</v>
      </c>
      <c r="G209">
        <v>1</v>
      </c>
      <c r="H209">
        <v>1</v>
      </c>
      <c r="I209">
        <v>1</v>
      </c>
      <c r="J209">
        <f t="shared" si="6"/>
        <v>4</v>
      </c>
      <c r="K209" t="s">
        <v>41</v>
      </c>
      <c r="L209" t="e">
        <f t="shared" si="7"/>
        <v>#VALUE!</v>
      </c>
      <c r="M209" t="s">
        <v>41</v>
      </c>
      <c r="N209" t="s">
        <v>41</v>
      </c>
      <c r="O209" t="s">
        <v>41</v>
      </c>
      <c r="P209" t="s">
        <v>41</v>
      </c>
      <c r="Q209" t="s">
        <v>41</v>
      </c>
      <c r="R209" t="s">
        <v>41</v>
      </c>
      <c r="S209" t="s">
        <v>41</v>
      </c>
      <c r="T209">
        <v>0.5</v>
      </c>
      <c r="U209" t="s">
        <v>41</v>
      </c>
      <c r="V209" t="s">
        <v>41</v>
      </c>
      <c r="W209" t="s">
        <v>41</v>
      </c>
      <c r="X209">
        <v>2</v>
      </c>
      <c r="Y209" t="s">
        <v>41</v>
      </c>
      <c r="Z209" t="s">
        <v>41</v>
      </c>
      <c r="AA209" t="s">
        <v>41</v>
      </c>
      <c r="AB209" t="s">
        <v>41</v>
      </c>
      <c r="AC209" t="s">
        <v>41</v>
      </c>
      <c r="AD209" t="s">
        <v>41</v>
      </c>
      <c r="AE209" t="s">
        <v>41</v>
      </c>
      <c r="AF209" t="s">
        <v>41</v>
      </c>
    </row>
    <row r="210" spans="1:32" x14ac:dyDescent="0.3">
      <c r="A210" t="s">
        <v>135</v>
      </c>
      <c r="B210" t="s">
        <v>415</v>
      </c>
      <c r="C210" t="s">
        <v>402</v>
      </c>
      <c r="D210" t="s">
        <v>46</v>
      </c>
      <c r="E210" t="s">
        <v>416</v>
      </c>
      <c r="F210">
        <v>1</v>
      </c>
      <c r="G210">
        <v>1</v>
      </c>
      <c r="H210" t="s">
        <v>41</v>
      </c>
      <c r="I210">
        <v>2</v>
      </c>
      <c r="J210">
        <f t="shared" si="6"/>
        <v>4</v>
      </c>
      <c r="K210" t="s">
        <v>41</v>
      </c>
      <c r="L210" t="e">
        <f t="shared" si="7"/>
        <v>#VALUE!</v>
      </c>
      <c r="M210">
        <v>1</v>
      </c>
      <c r="N210" t="s">
        <v>41</v>
      </c>
      <c r="O210" t="s">
        <v>41</v>
      </c>
      <c r="P210" t="s">
        <v>41</v>
      </c>
      <c r="Q210" t="s">
        <v>41</v>
      </c>
      <c r="R210" t="s">
        <v>41</v>
      </c>
      <c r="S210" t="s">
        <v>41</v>
      </c>
      <c r="T210" t="s">
        <v>41</v>
      </c>
      <c r="U210" t="s">
        <v>41</v>
      </c>
      <c r="V210" t="s">
        <v>41</v>
      </c>
      <c r="W210" t="s">
        <v>41</v>
      </c>
      <c r="X210" t="s">
        <v>41</v>
      </c>
      <c r="Y210" t="s">
        <v>41</v>
      </c>
      <c r="Z210" t="s">
        <v>41</v>
      </c>
      <c r="AA210" t="s">
        <v>41</v>
      </c>
      <c r="AB210" t="s">
        <v>41</v>
      </c>
      <c r="AC210" t="s">
        <v>41</v>
      </c>
      <c r="AD210" t="s">
        <v>41</v>
      </c>
      <c r="AE210" t="s">
        <v>41</v>
      </c>
      <c r="AF210" t="s">
        <v>41</v>
      </c>
    </row>
    <row r="211" spans="1:32" x14ac:dyDescent="0.3">
      <c r="A211" t="s">
        <v>135</v>
      </c>
      <c r="B211" t="s">
        <v>417</v>
      </c>
      <c r="C211" t="s">
        <v>402</v>
      </c>
      <c r="D211" t="s">
        <v>41</v>
      </c>
      <c r="E211" t="s">
        <v>41</v>
      </c>
      <c r="F211">
        <v>1</v>
      </c>
      <c r="G211" t="s">
        <v>41</v>
      </c>
      <c r="H211" t="s">
        <v>41</v>
      </c>
      <c r="I211">
        <v>1</v>
      </c>
      <c r="J211">
        <f t="shared" si="6"/>
        <v>2</v>
      </c>
      <c r="K211" t="s">
        <v>41</v>
      </c>
      <c r="L211" t="e">
        <f t="shared" si="7"/>
        <v>#VALUE!</v>
      </c>
      <c r="M211" t="s">
        <v>41</v>
      </c>
      <c r="N211" t="s">
        <v>41</v>
      </c>
      <c r="O211" t="s">
        <v>41</v>
      </c>
      <c r="P211" t="s">
        <v>41</v>
      </c>
      <c r="Q211" t="s">
        <v>41</v>
      </c>
      <c r="R211" t="s">
        <v>41</v>
      </c>
      <c r="S211" t="s">
        <v>41</v>
      </c>
      <c r="T211" t="s">
        <v>41</v>
      </c>
      <c r="U211" t="s">
        <v>41</v>
      </c>
      <c r="V211" t="s">
        <v>41</v>
      </c>
      <c r="W211" t="s">
        <v>41</v>
      </c>
      <c r="X211" t="s">
        <v>41</v>
      </c>
      <c r="Y211" t="s">
        <v>41</v>
      </c>
      <c r="Z211" t="s">
        <v>41</v>
      </c>
      <c r="AA211" t="s">
        <v>41</v>
      </c>
      <c r="AB211" t="s">
        <v>41</v>
      </c>
      <c r="AC211" t="s">
        <v>41</v>
      </c>
      <c r="AD211">
        <v>2</v>
      </c>
      <c r="AE211">
        <v>2</v>
      </c>
      <c r="AF211" t="s">
        <v>41</v>
      </c>
    </row>
    <row r="212" spans="1:32" x14ac:dyDescent="0.3">
      <c r="A212" t="s">
        <v>135</v>
      </c>
      <c r="B212" t="s">
        <v>165</v>
      </c>
      <c r="C212" t="s">
        <v>418</v>
      </c>
      <c r="D212" t="s">
        <v>41</v>
      </c>
      <c r="E212" t="s">
        <v>41</v>
      </c>
      <c r="F212">
        <v>1</v>
      </c>
      <c r="G212" t="s">
        <v>41</v>
      </c>
      <c r="H212" t="s">
        <v>41</v>
      </c>
      <c r="I212" t="s">
        <v>41</v>
      </c>
      <c r="J212">
        <f t="shared" si="6"/>
        <v>1</v>
      </c>
      <c r="K212" t="s">
        <v>41</v>
      </c>
      <c r="L212" t="e">
        <f t="shared" si="7"/>
        <v>#VALUE!</v>
      </c>
      <c r="M212">
        <v>3</v>
      </c>
      <c r="N212" t="s">
        <v>41</v>
      </c>
      <c r="O212" t="s">
        <v>41</v>
      </c>
      <c r="P212" t="s">
        <v>41</v>
      </c>
      <c r="Q212" t="s">
        <v>41</v>
      </c>
      <c r="R212" t="s">
        <v>41</v>
      </c>
      <c r="S212" t="s">
        <v>41</v>
      </c>
      <c r="T212" t="s">
        <v>41</v>
      </c>
      <c r="U212" t="s">
        <v>41</v>
      </c>
      <c r="V212" t="s">
        <v>41</v>
      </c>
      <c r="W212" t="s">
        <v>41</v>
      </c>
      <c r="X212" t="s">
        <v>41</v>
      </c>
      <c r="Y212" t="s">
        <v>41</v>
      </c>
      <c r="Z212" t="s">
        <v>41</v>
      </c>
      <c r="AA212" t="s">
        <v>41</v>
      </c>
      <c r="AB212" t="s">
        <v>41</v>
      </c>
      <c r="AC212" t="s">
        <v>41</v>
      </c>
      <c r="AD212">
        <v>2</v>
      </c>
      <c r="AE212">
        <v>5</v>
      </c>
      <c r="AF212" t="s">
        <v>41</v>
      </c>
    </row>
    <row r="213" spans="1:32" x14ac:dyDescent="0.3">
      <c r="A213" t="s">
        <v>135</v>
      </c>
      <c r="B213" t="s">
        <v>165</v>
      </c>
      <c r="C213" t="s">
        <v>153</v>
      </c>
      <c r="D213" t="s">
        <v>41</v>
      </c>
      <c r="E213" t="s">
        <v>41</v>
      </c>
      <c r="F213">
        <v>1</v>
      </c>
      <c r="G213" t="s">
        <v>41</v>
      </c>
      <c r="H213" t="s">
        <v>41</v>
      </c>
      <c r="I213" t="s">
        <v>41</v>
      </c>
      <c r="J213">
        <f t="shared" si="6"/>
        <v>1</v>
      </c>
      <c r="K213" t="s">
        <v>41</v>
      </c>
      <c r="L213" t="e">
        <f t="shared" si="7"/>
        <v>#VALUE!</v>
      </c>
      <c r="M213" t="s">
        <v>41</v>
      </c>
      <c r="N213" t="s">
        <v>41</v>
      </c>
      <c r="O213" t="s">
        <v>41</v>
      </c>
      <c r="P213" t="s">
        <v>41</v>
      </c>
      <c r="Q213" t="s">
        <v>41</v>
      </c>
      <c r="R213" t="s">
        <v>41</v>
      </c>
      <c r="S213" t="s">
        <v>41</v>
      </c>
      <c r="T213" t="s">
        <v>41</v>
      </c>
      <c r="U213" t="s">
        <v>41</v>
      </c>
      <c r="V213" t="s">
        <v>41</v>
      </c>
      <c r="W213" t="s">
        <v>41</v>
      </c>
      <c r="X213" t="s">
        <v>41</v>
      </c>
      <c r="Y213" t="s">
        <v>41</v>
      </c>
      <c r="Z213" t="s">
        <v>41</v>
      </c>
      <c r="AA213" t="s">
        <v>41</v>
      </c>
      <c r="AB213" t="s">
        <v>41</v>
      </c>
      <c r="AC213" t="s">
        <v>41</v>
      </c>
      <c r="AD213" t="s">
        <v>41</v>
      </c>
      <c r="AE213" t="s">
        <v>41</v>
      </c>
      <c r="AF213" t="s">
        <v>41</v>
      </c>
    </row>
    <row r="214" spans="1:32" x14ac:dyDescent="0.3">
      <c r="A214" t="s">
        <v>135</v>
      </c>
      <c r="B214" t="s">
        <v>419</v>
      </c>
      <c r="C214" t="s">
        <v>150</v>
      </c>
      <c r="D214" t="s">
        <v>41</v>
      </c>
      <c r="E214" t="s">
        <v>41</v>
      </c>
      <c r="F214">
        <v>1</v>
      </c>
      <c r="G214" t="s">
        <v>41</v>
      </c>
      <c r="H214" t="s">
        <v>41</v>
      </c>
      <c r="I214" t="s">
        <v>41</v>
      </c>
      <c r="J214">
        <f t="shared" si="6"/>
        <v>1</v>
      </c>
      <c r="K214" t="s">
        <v>41</v>
      </c>
      <c r="L214" t="e">
        <f t="shared" si="7"/>
        <v>#VALUE!</v>
      </c>
      <c r="M214" t="s">
        <v>41</v>
      </c>
      <c r="N214" t="s">
        <v>41</v>
      </c>
      <c r="O214" t="s">
        <v>41</v>
      </c>
      <c r="P214" t="s">
        <v>41</v>
      </c>
      <c r="Q214" t="s">
        <v>41</v>
      </c>
      <c r="R214" t="s">
        <v>41</v>
      </c>
      <c r="S214" t="s">
        <v>41</v>
      </c>
      <c r="T214" t="s">
        <v>41</v>
      </c>
      <c r="U214" t="s">
        <v>41</v>
      </c>
      <c r="V214" t="s">
        <v>41</v>
      </c>
      <c r="W214" t="s">
        <v>41</v>
      </c>
      <c r="X214" t="s">
        <v>41</v>
      </c>
      <c r="Y214" t="s">
        <v>41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41</v>
      </c>
    </row>
    <row r="215" spans="1:32" x14ac:dyDescent="0.3">
      <c r="A215" t="s">
        <v>135</v>
      </c>
      <c r="B215" t="s">
        <v>198</v>
      </c>
      <c r="C215" t="s">
        <v>422</v>
      </c>
      <c r="D215" t="s">
        <v>420</v>
      </c>
      <c r="E215" t="s">
        <v>421</v>
      </c>
      <c r="F215">
        <v>1</v>
      </c>
      <c r="G215">
        <v>1</v>
      </c>
      <c r="H215">
        <v>2</v>
      </c>
      <c r="I215">
        <v>1</v>
      </c>
      <c r="J215">
        <f t="shared" si="6"/>
        <v>5</v>
      </c>
      <c r="K215" t="s">
        <v>41</v>
      </c>
      <c r="L215" t="e">
        <f t="shared" si="7"/>
        <v>#VALUE!</v>
      </c>
      <c r="M215">
        <v>2</v>
      </c>
      <c r="N215">
        <v>1</v>
      </c>
      <c r="O215" t="s">
        <v>41</v>
      </c>
      <c r="P215" t="s">
        <v>41</v>
      </c>
      <c r="Q215" t="s">
        <v>41</v>
      </c>
      <c r="R215" t="s">
        <v>41</v>
      </c>
      <c r="S215" t="s">
        <v>41</v>
      </c>
      <c r="T215">
        <v>1</v>
      </c>
      <c r="U215">
        <f>3/8</f>
        <v>0.375</v>
      </c>
      <c r="V215" t="s">
        <v>41</v>
      </c>
      <c r="W215" t="s">
        <v>41</v>
      </c>
      <c r="X215">
        <v>3</v>
      </c>
      <c r="Y215">
        <v>8</v>
      </c>
      <c r="Z215" t="s">
        <v>41</v>
      </c>
      <c r="AA215" t="s">
        <v>41</v>
      </c>
      <c r="AB215">
        <v>1</v>
      </c>
      <c r="AC215" t="s">
        <v>41</v>
      </c>
      <c r="AD215">
        <v>5</v>
      </c>
      <c r="AE215">
        <v>4</v>
      </c>
      <c r="AF215">
        <v>4</v>
      </c>
    </row>
    <row r="216" spans="1:32" x14ac:dyDescent="0.3">
      <c r="A216" t="s">
        <v>135</v>
      </c>
      <c r="B216" t="s">
        <v>423</v>
      </c>
      <c r="C216" t="s">
        <v>150</v>
      </c>
      <c r="D216" t="s">
        <v>41</v>
      </c>
      <c r="E216" t="s">
        <v>41</v>
      </c>
      <c r="F216">
        <v>1</v>
      </c>
      <c r="G216" t="s">
        <v>41</v>
      </c>
      <c r="H216">
        <v>2</v>
      </c>
      <c r="I216" t="s">
        <v>41</v>
      </c>
      <c r="J216">
        <f t="shared" si="6"/>
        <v>3</v>
      </c>
      <c r="K216" t="s">
        <v>41</v>
      </c>
      <c r="L216" t="e">
        <f t="shared" si="7"/>
        <v>#VALUE!</v>
      </c>
      <c r="M216" t="s">
        <v>41</v>
      </c>
      <c r="N216">
        <v>6</v>
      </c>
      <c r="O216" t="s">
        <v>41</v>
      </c>
      <c r="P216" t="s">
        <v>41</v>
      </c>
      <c r="Q216" t="s">
        <v>41</v>
      </c>
      <c r="R216" t="s">
        <v>41</v>
      </c>
      <c r="S216" t="s">
        <v>41</v>
      </c>
      <c r="T216" t="s">
        <v>41</v>
      </c>
      <c r="U216" t="s">
        <v>41</v>
      </c>
      <c r="V216" t="s">
        <v>41</v>
      </c>
      <c r="W216" t="s">
        <v>41</v>
      </c>
      <c r="X216" t="s">
        <v>41</v>
      </c>
      <c r="Y216" t="s">
        <v>41</v>
      </c>
      <c r="Z216" t="s">
        <v>41</v>
      </c>
      <c r="AA216" t="s">
        <v>41</v>
      </c>
      <c r="AB216" t="s">
        <v>41</v>
      </c>
      <c r="AC216" t="s">
        <v>41</v>
      </c>
      <c r="AD216">
        <v>2</v>
      </c>
      <c r="AE216">
        <v>6</v>
      </c>
      <c r="AF216" t="s">
        <v>41</v>
      </c>
    </row>
    <row r="217" spans="1:32" x14ac:dyDescent="0.3">
      <c r="A217" t="s">
        <v>135</v>
      </c>
      <c r="B217" t="s">
        <v>145</v>
      </c>
      <c r="C217" t="s">
        <v>424</v>
      </c>
      <c r="D217" t="s">
        <v>425</v>
      </c>
      <c r="E217" t="s">
        <v>426</v>
      </c>
      <c r="F217">
        <v>1</v>
      </c>
      <c r="G217">
        <v>1</v>
      </c>
      <c r="H217">
        <v>1</v>
      </c>
      <c r="I217">
        <v>2</v>
      </c>
      <c r="J217">
        <f t="shared" si="6"/>
        <v>5</v>
      </c>
      <c r="K217" t="s">
        <v>41</v>
      </c>
      <c r="L217" t="e">
        <f t="shared" si="7"/>
        <v>#VALUE!</v>
      </c>
      <c r="M217" t="s">
        <v>41</v>
      </c>
      <c r="N217" t="s">
        <v>41</v>
      </c>
      <c r="O217" t="s">
        <v>41</v>
      </c>
      <c r="P217" t="s">
        <v>41</v>
      </c>
      <c r="Q217" t="s">
        <v>41</v>
      </c>
      <c r="R217" t="s">
        <v>41</v>
      </c>
      <c r="S217" t="s">
        <v>41</v>
      </c>
      <c r="T217" t="s">
        <v>41</v>
      </c>
      <c r="U217" t="s">
        <v>41</v>
      </c>
      <c r="V217" t="s">
        <v>41</v>
      </c>
      <c r="W217" t="s">
        <v>41</v>
      </c>
      <c r="X217" t="s">
        <v>41</v>
      </c>
      <c r="Y217" t="s">
        <v>41</v>
      </c>
      <c r="Z217" t="s">
        <v>41</v>
      </c>
      <c r="AA217" t="s">
        <v>41</v>
      </c>
      <c r="AB217" t="s">
        <v>41</v>
      </c>
      <c r="AC217" t="s">
        <v>41</v>
      </c>
      <c r="AD217" t="s">
        <v>41</v>
      </c>
      <c r="AE217" t="s">
        <v>41</v>
      </c>
      <c r="AF217" t="s">
        <v>41</v>
      </c>
    </row>
    <row r="218" spans="1:32" x14ac:dyDescent="0.3">
      <c r="A218" t="s">
        <v>135</v>
      </c>
      <c r="B218" t="s">
        <v>391</v>
      </c>
      <c r="C218" t="s">
        <v>235</v>
      </c>
      <c r="D218" t="s">
        <v>303</v>
      </c>
      <c r="E218" t="s">
        <v>54</v>
      </c>
      <c r="F218">
        <v>1</v>
      </c>
      <c r="G218">
        <v>1</v>
      </c>
      <c r="H218">
        <v>2</v>
      </c>
      <c r="I218">
        <v>2</v>
      </c>
      <c r="J218">
        <f t="shared" si="6"/>
        <v>6</v>
      </c>
      <c r="K218" t="s">
        <v>41</v>
      </c>
      <c r="L218" t="e">
        <f t="shared" si="7"/>
        <v>#VALUE!</v>
      </c>
      <c r="M218" t="s">
        <v>41</v>
      </c>
      <c r="N218" t="s">
        <v>41</v>
      </c>
      <c r="O218" t="s">
        <v>41</v>
      </c>
      <c r="P218" t="s">
        <v>41</v>
      </c>
      <c r="Q218" t="s">
        <v>41</v>
      </c>
      <c r="R218" t="s">
        <v>41</v>
      </c>
      <c r="S218" t="s">
        <v>41</v>
      </c>
      <c r="T218">
        <f>5/8</f>
        <v>0.625</v>
      </c>
      <c r="U218" t="s">
        <v>41</v>
      </c>
      <c r="V218" t="s">
        <v>41</v>
      </c>
      <c r="W218" t="s">
        <v>41</v>
      </c>
      <c r="X218">
        <v>4</v>
      </c>
      <c r="Y218" t="s">
        <v>41</v>
      </c>
      <c r="Z218" t="s">
        <v>41</v>
      </c>
      <c r="AA218" t="s">
        <v>41</v>
      </c>
      <c r="AB218" t="s">
        <v>41</v>
      </c>
      <c r="AC218" t="s">
        <v>41</v>
      </c>
      <c r="AD218">
        <v>5</v>
      </c>
      <c r="AE218">
        <v>1</v>
      </c>
      <c r="AF218">
        <v>4</v>
      </c>
    </row>
    <row r="219" spans="1:32" x14ac:dyDescent="0.3">
      <c r="A219" t="s">
        <v>135</v>
      </c>
      <c r="B219" t="s">
        <v>390</v>
      </c>
      <c r="C219" t="s">
        <v>235</v>
      </c>
      <c r="D219" t="s">
        <v>167</v>
      </c>
      <c r="E219" t="s">
        <v>427</v>
      </c>
      <c r="F219">
        <v>1</v>
      </c>
      <c r="G219">
        <v>1</v>
      </c>
      <c r="H219">
        <v>4</v>
      </c>
      <c r="I219">
        <v>2</v>
      </c>
      <c r="J219">
        <f t="shared" si="6"/>
        <v>8</v>
      </c>
      <c r="K219" t="s">
        <v>41</v>
      </c>
      <c r="L219" t="e">
        <f t="shared" si="7"/>
        <v>#VALUE!</v>
      </c>
      <c r="M219">
        <v>1</v>
      </c>
      <c r="N219" t="s">
        <v>41</v>
      </c>
      <c r="O219" t="s">
        <v>41</v>
      </c>
      <c r="P219" t="s">
        <v>41</v>
      </c>
      <c r="Q219" t="s">
        <v>41</v>
      </c>
      <c r="R219" t="s">
        <v>41</v>
      </c>
      <c r="S219" t="s">
        <v>41</v>
      </c>
      <c r="T219" t="s">
        <v>41</v>
      </c>
      <c r="U219" t="s">
        <v>41</v>
      </c>
      <c r="V219" t="s">
        <v>41</v>
      </c>
      <c r="W219" t="s">
        <v>41</v>
      </c>
      <c r="X219" t="s">
        <v>41</v>
      </c>
      <c r="Y219" t="s">
        <v>41</v>
      </c>
      <c r="Z219" t="s">
        <v>41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  <c r="AF219" t="s">
        <v>41</v>
      </c>
    </row>
    <row r="220" spans="1:32" x14ac:dyDescent="0.3">
      <c r="A220" t="s">
        <v>135</v>
      </c>
      <c r="B220" t="s">
        <v>185</v>
      </c>
      <c r="C220" t="s">
        <v>89</v>
      </c>
      <c r="D220" t="s">
        <v>414</v>
      </c>
      <c r="E220" t="s">
        <v>428</v>
      </c>
      <c r="F220">
        <v>1</v>
      </c>
      <c r="G220">
        <v>1</v>
      </c>
      <c r="H220">
        <v>3</v>
      </c>
      <c r="I220">
        <v>3</v>
      </c>
      <c r="J220">
        <f t="shared" si="6"/>
        <v>8</v>
      </c>
      <c r="K220" t="s">
        <v>41</v>
      </c>
      <c r="L220" t="e">
        <f t="shared" si="7"/>
        <v>#VALUE!</v>
      </c>
      <c r="M220" t="s">
        <v>41</v>
      </c>
      <c r="N220" t="s">
        <v>41</v>
      </c>
      <c r="O220" t="s">
        <v>41</v>
      </c>
      <c r="P220" t="s">
        <v>41</v>
      </c>
      <c r="Q220" t="s">
        <v>41</v>
      </c>
      <c r="R220" t="s">
        <v>41</v>
      </c>
      <c r="S220" t="s">
        <v>41</v>
      </c>
      <c r="T220" t="s">
        <v>41</v>
      </c>
      <c r="U220" t="s">
        <v>41</v>
      </c>
      <c r="V220" t="s">
        <v>41</v>
      </c>
      <c r="W220" t="s">
        <v>41</v>
      </c>
      <c r="X220" t="s">
        <v>41</v>
      </c>
      <c r="Y220" t="s">
        <v>41</v>
      </c>
      <c r="Z220" t="s">
        <v>41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  <c r="AF220" t="s">
        <v>41</v>
      </c>
    </row>
    <row r="221" spans="1:32" x14ac:dyDescent="0.3">
      <c r="A221" t="s">
        <v>135</v>
      </c>
      <c r="B221" t="s">
        <v>115</v>
      </c>
      <c r="C221" t="s">
        <v>429</v>
      </c>
      <c r="D221" t="s">
        <v>430</v>
      </c>
      <c r="E221" t="s">
        <v>413</v>
      </c>
      <c r="F221">
        <v>1</v>
      </c>
      <c r="G221">
        <v>1</v>
      </c>
      <c r="H221">
        <v>3</v>
      </c>
      <c r="I221">
        <v>1</v>
      </c>
      <c r="J221">
        <f t="shared" si="6"/>
        <v>6</v>
      </c>
      <c r="K221" t="s">
        <v>41</v>
      </c>
      <c r="L221" t="e">
        <f t="shared" si="7"/>
        <v>#VALUE!</v>
      </c>
      <c r="M221" t="s">
        <v>41</v>
      </c>
      <c r="N221">
        <v>8</v>
      </c>
      <c r="O221" t="s">
        <v>41</v>
      </c>
      <c r="P221" t="s">
        <v>41</v>
      </c>
      <c r="Q221" t="s">
        <v>41</v>
      </c>
      <c r="R221" t="s">
        <v>41</v>
      </c>
      <c r="S221" t="s">
        <v>41</v>
      </c>
      <c r="T221">
        <v>0.5</v>
      </c>
      <c r="U221">
        <v>0.5</v>
      </c>
      <c r="V221" t="s">
        <v>41</v>
      </c>
      <c r="W221" t="s">
        <v>41</v>
      </c>
      <c r="X221">
        <v>5</v>
      </c>
      <c r="Y221">
        <v>6</v>
      </c>
      <c r="Z221" t="s">
        <v>41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s">
        <v>41</v>
      </c>
    </row>
    <row r="222" spans="1:32" x14ac:dyDescent="0.3">
      <c r="A222" t="s">
        <v>135</v>
      </c>
      <c r="B222" t="s">
        <v>431</v>
      </c>
      <c r="C222" t="s">
        <v>235</v>
      </c>
      <c r="D222" t="s">
        <v>432</v>
      </c>
      <c r="E222" t="s">
        <v>413</v>
      </c>
      <c r="F222">
        <v>1</v>
      </c>
      <c r="G222">
        <v>1</v>
      </c>
      <c r="H222">
        <v>3</v>
      </c>
      <c r="I222" t="s">
        <v>41</v>
      </c>
      <c r="J222">
        <f t="shared" si="6"/>
        <v>5</v>
      </c>
      <c r="K222" t="s">
        <v>41</v>
      </c>
      <c r="L222" t="e">
        <f t="shared" si="7"/>
        <v>#VALUE!</v>
      </c>
      <c r="M222" t="s">
        <v>41</v>
      </c>
      <c r="N222">
        <v>5</v>
      </c>
      <c r="O222" t="s">
        <v>41</v>
      </c>
      <c r="P222" t="s">
        <v>41</v>
      </c>
      <c r="Q222" t="s">
        <v>41</v>
      </c>
      <c r="R222" t="s">
        <v>41</v>
      </c>
      <c r="S222" t="s">
        <v>41</v>
      </c>
      <c r="T222" t="s">
        <v>41</v>
      </c>
      <c r="U222" t="s">
        <v>41</v>
      </c>
      <c r="V222" t="s">
        <v>41</v>
      </c>
      <c r="W222" t="s">
        <v>41</v>
      </c>
      <c r="X222" t="s">
        <v>41</v>
      </c>
      <c r="Y222" t="s">
        <v>41</v>
      </c>
      <c r="Z222" t="s">
        <v>41</v>
      </c>
      <c r="AA222" t="s">
        <v>41</v>
      </c>
      <c r="AB222" t="s">
        <v>41</v>
      </c>
      <c r="AC222" t="s">
        <v>41</v>
      </c>
      <c r="AD222">
        <v>5</v>
      </c>
      <c r="AE222">
        <v>1</v>
      </c>
      <c r="AF222">
        <v>4</v>
      </c>
    </row>
    <row r="223" spans="1:32" x14ac:dyDescent="0.3">
      <c r="A223" t="s">
        <v>135</v>
      </c>
      <c r="B223" t="s">
        <v>433</v>
      </c>
      <c r="C223" t="s">
        <v>434</v>
      </c>
      <c r="D223" t="s">
        <v>41</v>
      </c>
      <c r="E223" t="s">
        <v>41</v>
      </c>
      <c r="F223">
        <v>1</v>
      </c>
      <c r="G223" t="s">
        <v>41</v>
      </c>
      <c r="H223" t="s">
        <v>41</v>
      </c>
      <c r="I223" t="s">
        <v>41</v>
      </c>
      <c r="J223">
        <f t="shared" si="6"/>
        <v>1</v>
      </c>
      <c r="K223" t="s">
        <v>41</v>
      </c>
      <c r="L223" t="e">
        <f t="shared" si="7"/>
        <v>#VALUE!</v>
      </c>
      <c r="M223" t="s">
        <v>41</v>
      </c>
      <c r="N223" t="s">
        <v>41</v>
      </c>
      <c r="O223" t="s">
        <v>41</v>
      </c>
      <c r="P223" t="s">
        <v>41</v>
      </c>
      <c r="Q223" t="s">
        <v>41</v>
      </c>
      <c r="R223" t="s">
        <v>41</v>
      </c>
      <c r="S223" t="s">
        <v>41</v>
      </c>
      <c r="T223" t="s">
        <v>41</v>
      </c>
      <c r="U223" t="s">
        <v>41</v>
      </c>
      <c r="V223" t="s">
        <v>41</v>
      </c>
      <c r="W223" t="s">
        <v>41</v>
      </c>
      <c r="X223" t="s">
        <v>41</v>
      </c>
      <c r="Y223" t="s">
        <v>41</v>
      </c>
      <c r="Z223" t="s">
        <v>41</v>
      </c>
      <c r="AA223" t="s">
        <v>41</v>
      </c>
      <c r="AB223" t="s">
        <v>41</v>
      </c>
      <c r="AC223" t="s">
        <v>41</v>
      </c>
      <c r="AD223" t="s">
        <v>41</v>
      </c>
      <c r="AE223" t="s">
        <v>41</v>
      </c>
      <c r="AF223" t="s">
        <v>41</v>
      </c>
    </row>
    <row r="224" spans="1:32" x14ac:dyDescent="0.3">
      <c r="A224" t="s">
        <v>135</v>
      </c>
      <c r="B224" t="s">
        <v>435</v>
      </c>
      <c r="C224" t="s">
        <v>235</v>
      </c>
      <c r="D224" t="s">
        <v>167</v>
      </c>
      <c r="E224" t="s">
        <v>436</v>
      </c>
      <c r="F224">
        <v>1</v>
      </c>
      <c r="G224">
        <v>1</v>
      </c>
      <c r="H224">
        <v>1</v>
      </c>
      <c r="I224">
        <v>1</v>
      </c>
      <c r="J224">
        <f t="shared" si="6"/>
        <v>4</v>
      </c>
      <c r="K224" t="s">
        <v>41</v>
      </c>
      <c r="L224" t="e">
        <f t="shared" si="7"/>
        <v>#VALUE!</v>
      </c>
      <c r="M224">
        <v>2</v>
      </c>
      <c r="N224" t="s">
        <v>41</v>
      </c>
      <c r="O224">
        <v>2</v>
      </c>
      <c r="P224" t="s">
        <v>41</v>
      </c>
      <c r="Q224" t="s">
        <v>41</v>
      </c>
      <c r="R224" t="s">
        <v>41</v>
      </c>
      <c r="S224" t="s">
        <v>41</v>
      </c>
      <c r="T224" t="s">
        <v>41</v>
      </c>
      <c r="U224" t="s">
        <v>41</v>
      </c>
      <c r="V224" t="s">
        <v>41</v>
      </c>
      <c r="W224" t="s">
        <v>41</v>
      </c>
      <c r="X224" t="s">
        <v>41</v>
      </c>
      <c r="Y224" t="s">
        <v>41</v>
      </c>
      <c r="Z224" t="s">
        <v>41</v>
      </c>
      <c r="AA224" t="s">
        <v>41</v>
      </c>
      <c r="AB224" t="s">
        <v>41</v>
      </c>
      <c r="AC224" t="s">
        <v>41</v>
      </c>
      <c r="AD224" t="s">
        <v>41</v>
      </c>
      <c r="AE224" t="s">
        <v>41</v>
      </c>
      <c r="AF224" t="s">
        <v>41</v>
      </c>
    </row>
    <row r="225" spans="1:32" x14ac:dyDescent="0.3">
      <c r="A225" t="s">
        <v>135</v>
      </c>
      <c r="B225" t="s">
        <v>76</v>
      </c>
      <c r="C225" t="s">
        <v>437</v>
      </c>
      <c r="D225" t="s">
        <v>41</v>
      </c>
      <c r="E225" t="s">
        <v>41</v>
      </c>
      <c r="F225">
        <v>1</v>
      </c>
      <c r="G225" t="s">
        <v>41</v>
      </c>
      <c r="H225" t="s">
        <v>41</v>
      </c>
      <c r="I225" t="s">
        <v>41</v>
      </c>
      <c r="J225">
        <f t="shared" si="6"/>
        <v>1</v>
      </c>
      <c r="K225" t="s">
        <v>41</v>
      </c>
      <c r="L225" t="e">
        <f t="shared" si="7"/>
        <v>#VALUE!</v>
      </c>
      <c r="M225" t="s">
        <v>41</v>
      </c>
      <c r="N225" t="s">
        <v>41</v>
      </c>
      <c r="O225" t="s">
        <v>41</v>
      </c>
      <c r="P225" t="s">
        <v>41</v>
      </c>
      <c r="Q225" t="s">
        <v>41</v>
      </c>
      <c r="R225" t="s">
        <v>41</v>
      </c>
      <c r="S225" t="s">
        <v>41</v>
      </c>
      <c r="T225" t="s">
        <v>41</v>
      </c>
      <c r="U225" t="s">
        <v>41</v>
      </c>
      <c r="V225" t="s">
        <v>41</v>
      </c>
      <c r="W225" t="s">
        <v>41</v>
      </c>
      <c r="X225" t="s">
        <v>41</v>
      </c>
      <c r="Y225" t="s">
        <v>41</v>
      </c>
      <c r="Z225" t="s">
        <v>41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s">
        <v>41</v>
      </c>
    </row>
    <row r="226" spans="1:32" x14ac:dyDescent="0.3">
      <c r="A226" t="s">
        <v>135</v>
      </c>
      <c r="B226" t="s">
        <v>274</v>
      </c>
      <c r="C226" t="s">
        <v>305</v>
      </c>
      <c r="D226" t="s">
        <v>438</v>
      </c>
      <c r="E226" t="s">
        <v>439</v>
      </c>
      <c r="F226">
        <v>1</v>
      </c>
      <c r="G226">
        <v>1</v>
      </c>
      <c r="H226">
        <v>2</v>
      </c>
      <c r="I226" t="s">
        <v>41</v>
      </c>
      <c r="J226">
        <f t="shared" si="6"/>
        <v>4</v>
      </c>
      <c r="K226" t="s">
        <v>41</v>
      </c>
      <c r="L226" t="e">
        <f t="shared" si="7"/>
        <v>#VALUE!</v>
      </c>
      <c r="M226">
        <v>2</v>
      </c>
      <c r="N226" t="s">
        <v>41</v>
      </c>
      <c r="O226" t="s">
        <v>41</v>
      </c>
      <c r="P226" t="s">
        <v>41</v>
      </c>
      <c r="Q226" t="s">
        <v>41</v>
      </c>
      <c r="R226" t="s">
        <v>41</v>
      </c>
      <c r="S226" t="s">
        <v>41</v>
      </c>
      <c r="T226">
        <v>0.375</v>
      </c>
      <c r="U226" t="s">
        <v>41</v>
      </c>
      <c r="V226" t="s">
        <v>41</v>
      </c>
      <c r="W226" t="s">
        <v>41</v>
      </c>
      <c r="X226">
        <v>5</v>
      </c>
      <c r="Y226" t="s">
        <v>41</v>
      </c>
      <c r="Z226" t="s">
        <v>41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s">
        <v>41</v>
      </c>
    </row>
    <row r="227" spans="1:32" x14ac:dyDescent="0.3">
      <c r="A227" t="s">
        <v>135</v>
      </c>
      <c r="B227" t="s">
        <v>440</v>
      </c>
      <c r="C227" t="s">
        <v>441</v>
      </c>
      <c r="D227" t="s">
        <v>442</v>
      </c>
      <c r="E227" t="s">
        <v>443</v>
      </c>
      <c r="F227">
        <v>1</v>
      </c>
      <c r="G227">
        <v>1</v>
      </c>
      <c r="H227" t="s">
        <v>41</v>
      </c>
      <c r="I227">
        <v>1</v>
      </c>
      <c r="J227">
        <f t="shared" si="6"/>
        <v>3</v>
      </c>
      <c r="K227" t="s">
        <v>41</v>
      </c>
      <c r="L227" t="e">
        <f t="shared" si="7"/>
        <v>#VALUE!</v>
      </c>
      <c r="M227" t="s">
        <v>41</v>
      </c>
      <c r="N227" t="s">
        <v>41</v>
      </c>
      <c r="O227" t="s">
        <v>41</v>
      </c>
      <c r="P227" t="s">
        <v>41</v>
      </c>
      <c r="Q227" t="s">
        <v>41</v>
      </c>
      <c r="R227" t="s">
        <v>41</v>
      </c>
      <c r="S227" t="s">
        <v>41</v>
      </c>
      <c r="T227" t="s">
        <v>41</v>
      </c>
      <c r="U227" t="s">
        <v>41</v>
      </c>
      <c r="V227" t="s">
        <v>41</v>
      </c>
      <c r="W227" t="s">
        <v>41</v>
      </c>
      <c r="X227" t="s">
        <v>41</v>
      </c>
      <c r="Y227" t="s">
        <v>41</v>
      </c>
      <c r="Z227" t="s">
        <v>41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  <c r="AF227" t="s">
        <v>41</v>
      </c>
    </row>
    <row r="228" spans="1:32" x14ac:dyDescent="0.3">
      <c r="A228" t="s">
        <v>135</v>
      </c>
      <c r="B228" t="s">
        <v>235</v>
      </c>
      <c r="C228" t="s">
        <v>195</v>
      </c>
      <c r="D228" t="s">
        <v>41</v>
      </c>
      <c r="E228" t="s">
        <v>41</v>
      </c>
      <c r="F228">
        <v>1</v>
      </c>
      <c r="G228" t="s">
        <v>41</v>
      </c>
      <c r="H228" t="s">
        <v>41</v>
      </c>
      <c r="I228" t="s">
        <v>41</v>
      </c>
      <c r="J228">
        <f t="shared" si="6"/>
        <v>1</v>
      </c>
      <c r="K228" t="s">
        <v>41</v>
      </c>
      <c r="L228" t="e">
        <f t="shared" si="7"/>
        <v>#VALUE!</v>
      </c>
      <c r="M228" t="s">
        <v>41</v>
      </c>
      <c r="N228" t="s">
        <v>41</v>
      </c>
      <c r="O228" t="s">
        <v>41</v>
      </c>
      <c r="P228" t="s">
        <v>41</v>
      </c>
      <c r="Q228" t="s">
        <v>41</v>
      </c>
      <c r="R228" t="s">
        <v>41</v>
      </c>
      <c r="S228" t="s">
        <v>41</v>
      </c>
      <c r="T228" t="s">
        <v>41</v>
      </c>
      <c r="U228" t="s">
        <v>41</v>
      </c>
      <c r="V228" t="s">
        <v>41</v>
      </c>
      <c r="W228" t="s">
        <v>41</v>
      </c>
      <c r="X228" t="s">
        <v>41</v>
      </c>
      <c r="Y228" t="s">
        <v>41</v>
      </c>
      <c r="Z228" t="s">
        <v>41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s">
        <v>41</v>
      </c>
    </row>
    <row r="229" spans="1:32" x14ac:dyDescent="0.3">
      <c r="A229" t="s">
        <v>135</v>
      </c>
      <c r="B229" t="s">
        <v>93</v>
      </c>
      <c r="C229" t="s">
        <v>195</v>
      </c>
      <c r="D229" t="s">
        <v>41</v>
      </c>
      <c r="E229" t="s">
        <v>41</v>
      </c>
      <c r="F229">
        <v>1</v>
      </c>
      <c r="G229" t="s">
        <v>41</v>
      </c>
      <c r="H229" t="s">
        <v>41</v>
      </c>
      <c r="I229" t="s">
        <v>41</v>
      </c>
      <c r="J229">
        <f t="shared" si="6"/>
        <v>1</v>
      </c>
      <c r="K229" t="s">
        <v>41</v>
      </c>
      <c r="L229" t="e">
        <f t="shared" si="7"/>
        <v>#VALUE!</v>
      </c>
      <c r="M229">
        <v>1</v>
      </c>
      <c r="N229" t="s">
        <v>41</v>
      </c>
      <c r="O229" t="s">
        <v>41</v>
      </c>
      <c r="P229" t="s">
        <v>41</v>
      </c>
      <c r="Q229" t="s">
        <v>41</v>
      </c>
      <c r="R229" t="s">
        <v>41</v>
      </c>
      <c r="S229" t="s">
        <v>41</v>
      </c>
      <c r="T229" t="s">
        <v>41</v>
      </c>
      <c r="U229" t="s">
        <v>41</v>
      </c>
      <c r="V229" t="s">
        <v>41</v>
      </c>
      <c r="W229" t="s">
        <v>41</v>
      </c>
      <c r="X229" t="s">
        <v>41</v>
      </c>
      <c r="Y229" t="s">
        <v>41</v>
      </c>
      <c r="Z229" t="s">
        <v>41</v>
      </c>
      <c r="AA229" t="s">
        <v>41</v>
      </c>
      <c r="AB229" t="s">
        <v>41</v>
      </c>
      <c r="AC229" t="s">
        <v>41</v>
      </c>
      <c r="AD229" t="s">
        <v>41</v>
      </c>
      <c r="AE229" t="s">
        <v>41</v>
      </c>
      <c r="AF229" t="s">
        <v>41</v>
      </c>
    </row>
    <row r="230" spans="1:32" x14ac:dyDescent="0.3">
      <c r="A230" t="s">
        <v>135</v>
      </c>
      <c r="B230" t="s">
        <v>179</v>
      </c>
      <c r="C230" t="s">
        <v>195</v>
      </c>
      <c r="D230" t="s">
        <v>41</v>
      </c>
      <c r="E230" t="s">
        <v>41</v>
      </c>
      <c r="F230">
        <v>1</v>
      </c>
      <c r="G230" t="s">
        <v>41</v>
      </c>
      <c r="H230" t="s">
        <v>41</v>
      </c>
      <c r="I230" t="s">
        <v>41</v>
      </c>
      <c r="J230">
        <f t="shared" si="6"/>
        <v>1</v>
      </c>
      <c r="K230" t="s">
        <v>41</v>
      </c>
      <c r="L230" t="e">
        <f t="shared" si="7"/>
        <v>#VALUE!</v>
      </c>
      <c r="M230" t="s">
        <v>41</v>
      </c>
      <c r="N230" t="s">
        <v>41</v>
      </c>
      <c r="O230" t="s">
        <v>41</v>
      </c>
      <c r="P230" t="s">
        <v>41</v>
      </c>
      <c r="Q230" t="s">
        <v>41</v>
      </c>
      <c r="R230" t="s">
        <v>41</v>
      </c>
      <c r="S230" t="s">
        <v>41</v>
      </c>
      <c r="T230" t="s">
        <v>41</v>
      </c>
      <c r="U230" t="s">
        <v>41</v>
      </c>
      <c r="V230" t="s">
        <v>41</v>
      </c>
      <c r="W230" t="s">
        <v>41</v>
      </c>
      <c r="X230" t="s">
        <v>41</v>
      </c>
      <c r="Y230" t="s">
        <v>41</v>
      </c>
      <c r="Z230" t="s">
        <v>41</v>
      </c>
      <c r="AA230" t="s">
        <v>41</v>
      </c>
      <c r="AB230" t="s">
        <v>41</v>
      </c>
      <c r="AC230" t="s">
        <v>41</v>
      </c>
      <c r="AD230" t="s">
        <v>41</v>
      </c>
      <c r="AE230" t="s">
        <v>41</v>
      </c>
      <c r="AF230" t="s">
        <v>41</v>
      </c>
    </row>
    <row r="231" spans="1:32" x14ac:dyDescent="0.3">
      <c r="A231" t="s">
        <v>135</v>
      </c>
      <c r="B231" t="s">
        <v>91</v>
      </c>
      <c r="C231" t="s">
        <v>291</v>
      </c>
      <c r="D231" t="s">
        <v>308</v>
      </c>
      <c r="E231" t="s">
        <v>422</v>
      </c>
      <c r="F231">
        <v>1</v>
      </c>
      <c r="G231">
        <v>1</v>
      </c>
      <c r="H231">
        <v>3</v>
      </c>
      <c r="I231">
        <v>3</v>
      </c>
      <c r="J231">
        <f t="shared" si="6"/>
        <v>8</v>
      </c>
      <c r="K231" t="s">
        <v>41</v>
      </c>
      <c r="L231" t="e">
        <f t="shared" si="7"/>
        <v>#VALUE!</v>
      </c>
      <c r="M231" t="s">
        <v>41</v>
      </c>
      <c r="N231" t="s">
        <v>41</v>
      </c>
      <c r="O231" t="s">
        <v>41</v>
      </c>
      <c r="P231" t="s">
        <v>41</v>
      </c>
      <c r="Q231" t="s">
        <v>41</v>
      </c>
      <c r="R231" t="s">
        <v>41</v>
      </c>
      <c r="S231" t="s">
        <v>41</v>
      </c>
      <c r="T231" t="s">
        <v>41</v>
      </c>
      <c r="U231" t="s">
        <v>41</v>
      </c>
      <c r="V231" t="s">
        <v>41</v>
      </c>
      <c r="W231" t="s">
        <v>41</v>
      </c>
      <c r="X231" t="s">
        <v>41</v>
      </c>
      <c r="Y231" t="s">
        <v>41</v>
      </c>
      <c r="Z231" t="s">
        <v>41</v>
      </c>
      <c r="AA231" t="s">
        <v>41</v>
      </c>
      <c r="AB231" t="s">
        <v>41</v>
      </c>
      <c r="AC231" t="s">
        <v>41</v>
      </c>
      <c r="AD231" t="s">
        <v>41</v>
      </c>
      <c r="AE231" t="s">
        <v>41</v>
      </c>
      <c r="AF231" t="s">
        <v>41</v>
      </c>
    </row>
    <row r="232" spans="1:32" x14ac:dyDescent="0.3">
      <c r="A232" t="s">
        <v>135</v>
      </c>
      <c r="B232" t="s">
        <v>71</v>
      </c>
      <c r="C232" t="s">
        <v>235</v>
      </c>
      <c r="D232" t="s">
        <v>41</v>
      </c>
      <c r="E232" t="s">
        <v>41</v>
      </c>
      <c r="F232">
        <v>1</v>
      </c>
      <c r="G232" t="s">
        <v>41</v>
      </c>
      <c r="H232" t="s">
        <v>41</v>
      </c>
      <c r="I232" t="s">
        <v>41</v>
      </c>
      <c r="J232">
        <f t="shared" si="6"/>
        <v>1</v>
      </c>
      <c r="K232" t="s">
        <v>41</v>
      </c>
      <c r="L232" t="e">
        <f t="shared" si="7"/>
        <v>#VALUE!</v>
      </c>
      <c r="M232" t="s">
        <v>41</v>
      </c>
      <c r="N232" t="s">
        <v>41</v>
      </c>
      <c r="O232" t="s">
        <v>41</v>
      </c>
      <c r="P232" t="s">
        <v>41</v>
      </c>
      <c r="Q232" t="s">
        <v>41</v>
      </c>
      <c r="R232" t="s">
        <v>41</v>
      </c>
      <c r="S232" t="s">
        <v>41</v>
      </c>
      <c r="T232" t="s">
        <v>41</v>
      </c>
      <c r="U232" t="s">
        <v>41</v>
      </c>
      <c r="V232" t="s">
        <v>41</v>
      </c>
      <c r="W232" t="s">
        <v>41</v>
      </c>
      <c r="X232" t="s">
        <v>41</v>
      </c>
      <c r="Y232" t="s">
        <v>41</v>
      </c>
      <c r="Z232" t="s">
        <v>41</v>
      </c>
      <c r="AA232" t="s">
        <v>41</v>
      </c>
      <c r="AB232" t="s">
        <v>41</v>
      </c>
      <c r="AC232" t="s">
        <v>41</v>
      </c>
      <c r="AD232" t="s">
        <v>41</v>
      </c>
      <c r="AE232" t="s">
        <v>41</v>
      </c>
      <c r="AF232" t="s">
        <v>41</v>
      </c>
    </row>
    <row r="233" spans="1:32" x14ac:dyDescent="0.3">
      <c r="A233" t="s">
        <v>135</v>
      </c>
      <c r="B233" t="s">
        <v>219</v>
      </c>
      <c r="C233" t="s">
        <v>315</v>
      </c>
      <c r="D233" t="s">
        <v>444</v>
      </c>
      <c r="E233" t="s">
        <v>3</v>
      </c>
      <c r="F233">
        <v>1</v>
      </c>
      <c r="G233">
        <v>1</v>
      </c>
      <c r="H233">
        <v>2</v>
      </c>
      <c r="I233">
        <v>4</v>
      </c>
      <c r="J233">
        <f t="shared" si="6"/>
        <v>8</v>
      </c>
      <c r="K233" t="s">
        <v>41</v>
      </c>
      <c r="L233" t="e">
        <f t="shared" si="7"/>
        <v>#VALUE!</v>
      </c>
      <c r="M233" t="s">
        <v>41</v>
      </c>
      <c r="N233">
        <v>2</v>
      </c>
      <c r="O233">
        <v>8</v>
      </c>
      <c r="P233" t="s">
        <v>41</v>
      </c>
      <c r="Q233" t="s">
        <v>41</v>
      </c>
      <c r="R233" t="s">
        <v>41</v>
      </c>
      <c r="S233" t="s">
        <v>41</v>
      </c>
      <c r="T233">
        <v>0.5</v>
      </c>
      <c r="U233">
        <v>0.5</v>
      </c>
      <c r="V233" t="s">
        <v>41</v>
      </c>
      <c r="W233" t="s">
        <v>41</v>
      </c>
      <c r="X233">
        <v>6</v>
      </c>
      <c r="Y233">
        <v>16</v>
      </c>
      <c r="Z233" t="s">
        <v>41</v>
      </c>
      <c r="AA233" t="s">
        <v>41</v>
      </c>
      <c r="AB233">
        <v>1</v>
      </c>
      <c r="AC233" t="s">
        <v>41</v>
      </c>
      <c r="AD233">
        <v>4</v>
      </c>
      <c r="AE233" t="s">
        <v>41</v>
      </c>
      <c r="AF233" t="s">
        <v>41</v>
      </c>
    </row>
    <row r="234" spans="1:32" x14ac:dyDescent="0.3">
      <c r="A234" t="s">
        <v>135</v>
      </c>
      <c r="B234" t="s">
        <v>40</v>
      </c>
      <c r="C234" t="s">
        <v>315</v>
      </c>
      <c r="D234" t="s">
        <v>446</v>
      </c>
      <c r="E234" t="s">
        <v>445</v>
      </c>
      <c r="F234">
        <v>1</v>
      </c>
      <c r="G234">
        <v>1</v>
      </c>
      <c r="H234">
        <v>2</v>
      </c>
      <c r="I234" t="s">
        <v>41</v>
      </c>
      <c r="J234">
        <f t="shared" si="6"/>
        <v>4</v>
      </c>
      <c r="K234" t="s">
        <v>41</v>
      </c>
      <c r="L234" t="e">
        <f t="shared" si="7"/>
        <v>#VALUE!</v>
      </c>
      <c r="M234">
        <v>1</v>
      </c>
      <c r="N234">
        <v>6</v>
      </c>
      <c r="O234">
        <v>4</v>
      </c>
      <c r="P234" t="s">
        <v>41</v>
      </c>
      <c r="Q234" t="s">
        <v>41</v>
      </c>
      <c r="R234" t="s">
        <v>41</v>
      </c>
      <c r="S234" t="s">
        <v>41</v>
      </c>
      <c r="T234">
        <v>0.75</v>
      </c>
      <c r="U234">
        <v>0.5</v>
      </c>
      <c r="V234" t="s">
        <v>41</v>
      </c>
      <c r="W234" t="s">
        <v>41</v>
      </c>
      <c r="X234">
        <v>5</v>
      </c>
      <c r="Y234">
        <v>11</v>
      </c>
      <c r="Z234" t="s">
        <v>41</v>
      </c>
      <c r="AA234" t="s">
        <v>41</v>
      </c>
      <c r="AB234">
        <v>1</v>
      </c>
      <c r="AC234" t="s">
        <v>41</v>
      </c>
      <c r="AD234">
        <v>6</v>
      </c>
      <c r="AE234">
        <v>1</v>
      </c>
      <c r="AF234" t="s">
        <v>41</v>
      </c>
    </row>
    <row r="235" spans="1:32" x14ac:dyDescent="0.3">
      <c r="A235" t="s">
        <v>135</v>
      </c>
      <c r="B235" t="s">
        <v>145</v>
      </c>
      <c r="C235" t="s">
        <v>315</v>
      </c>
      <c r="D235" t="s">
        <v>41</v>
      </c>
      <c r="E235" t="s">
        <v>41</v>
      </c>
      <c r="F235">
        <v>1</v>
      </c>
      <c r="G235" t="s">
        <v>41</v>
      </c>
      <c r="H235" t="s">
        <v>41</v>
      </c>
      <c r="I235" t="s">
        <v>41</v>
      </c>
      <c r="J235">
        <f t="shared" si="6"/>
        <v>1</v>
      </c>
      <c r="K235">
        <v>1</v>
      </c>
      <c r="L235">
        <f t="shared" si="7"/>
        <v>60</v>
      </c>
      <c r="M235" t="s">
        <v>41</v>
      </c>
      <c r="N235" t="s">
        <v>41</v>
      </c>
      <c r="O235" t="s">
        <v>41</v>
      </c>
      <c r="P235" t="s">
        <v>41</v>
      </c>
      <c r="Q235" t="s">
        <v>41</v>
      </c>
      <c r="R235" t="s">
        <v>41</v>
      </c>
      <c r="S235" t="s">
        <v>41</v>
      </c>
      <c r="T235" t="s">
        <v>41</v>
      </c>
      <c r="U235" t="s">
        <v>41</v>
      </c>
      <c r="V235" t="s">
        <v>41</v>
      </c>
      <c r="W235" t="s">
        <v>41</v>
      </c>
      <c r="X235" t="s">
        <v>41</v>
      </c>
      <c r="Y235" t="s">
        <v>41</v>
      </c>
      <c r="Z235" t="s">
        <v>41</v>
      </c>
      <c r="AA235" t="s">
        <v>41</v>
      </c>
      <c r="AB235" t="s">
        <v>41</v>
      </c>
      <c r="AC235" t="s">
        <v>41</v>
      </c>
      <c r="AD235">
        <v>2</v>
      </c>
      <c r="AE235">
        <v>4</v>
      </c>
      <c r="AF235">
        <v>2</v>
      </c>
    </row>
    <row r="236" spans="1:32" x14ac:dyDescent="0.3">
      <c r="A236" t="s">
        <v>135</v>
      </c>
      <c r="B236" t="s">
        <v>447</v>
      </c>
      <c r="C236" t="s">
        <v>183</v>
      </c>
      <c r="D236" t="s">
        <v>448</v>
      </c>
      <c r="E236" t="s">
        <v>150</v>
      </c>
      <c r="F236">
        <v>1</v>
      </c>
      <c r="G236">
        <v>1</v>
      </c>
      <c r="H236" t="s">
        <v>41</v>
      </c>
      <c r="I236">
        <v>1</v>
      </c>
      <c r="J236">
        <f t="shared" si="6"/>
        <v>3</v>
      </c>
      <c r="K236" t="s">
        <v>41</v>
      </c>
      <c r="L236" t="e">
        <f t="shared" si="7"/>
        <v>#VALUE!</v>
      </c>
      <c r="M236">
        <v>1</v>
      </c>
      <c r="N236" t="s">
        <v>41</v>
      </c>
      <c r="O236" t="s">
        <v>41</v>
      </c>
      <c r="P236" t="s">
        <v>41</v>
      </c>
      <c r="Q236" t="s">
        <v>41</v>
      </c>
      <c r="R236" t="s">
        <v>41</v>
      </c>
      <c r="S236" t="s">
        <v>41</v>
      </c>
      <c r="T236" t="s">
        <v>41</v>
      </c>
      <c r="U236" t="s">
        <v>41</v>
      </c>
      <c r="V236" t="s">
        <v>41</v>
      </c>
      <c r="W236" t="s">
        <v>41</v>
      </c>
      <c r="X236" t="s">
        <v>41</v>
      </c>
      <c r="Y236" t="s">
        <v>41</v>
      </c>
      <c r="Z236" t="s">
        <v>41</v>
      </c>
      <c r="AA236" t="s">
        <v>41</v>
      </c>
      <c r="AB236" t="s">
        <v>41</v>
      </c>
      <c r="AC236" t="s">
        <v>41</v>
      </c>
      <c r="AD236" t="s">
        <v>41</v>
      </c>
      <c r="AE236" t="s">
        <v>41</v>
      </c>
      <c r="AF236" t="s">
        <v>41</v>
      </c>
    </row>
    <row r="237" spans="1:32" x14ac:dyDescent="0.3">
      <c r="A237" t="s">
        <v>135</v>
      </c>
      <c r="B237" t="s">
        <v>177</v>
      </c>
      <c r="C237" t="s">
        <v>183</v>
      </c>
      <c r="D237" t="s">
        <v>41</v>
      </c>
      <c r="E237" t="s">
        <v>41</v>
      </c>
      <c r="F237">
        <v>1</v>
      </c>
      <c r="G237" t="s">
        <v>41</v>
      </c>
      <c r="H237" t="s">
        <v>41</v>
      </c>
      <c r="I237" t="s">
        <v>41</v>
      </c>
      <c r="J237">
        <f t="shared" si="6"/>
        <v>1</v>
      </c>
      <c r="K237" t="s">
        <v>41</v>
      </c>
      <c r="L237" t="e">
        <f t="shared" si="7"/>
        <v>#VALUE!</v>
      </c>
      <c r="M237" t="s">
        <v>41</v>
      </c>
      <c r="N237" t="s">
        <v>41</v>
      </c>
      <c r="O237" t="s">
        <v>41</v>
      </c>
      <c r="P237" t="s">
        <v>41</v>
      </c>
      <c r="Q237" t="s">
        <v>41</v>
      </c>
      <c r="R237" t="s">
        <v>41</v>
      </c>
      <c r="S237" t="s">
        <v>41</v>
      </c>
      <c r="T237" t="s">
        <v>41</v>
      </c>
      <c r="U237" t="s">
        <v>41</v>
      </c>
      <c r="V237" t="s">
        <v>41</v>
      </c>
      <c r="W237" t="s">
        <v>41</v>
      </c>
      <c r="X237" t="s">
        <v>41</v>
      </c>
      <c r="Y237" t="s">
        <v>41</v>
      </c>
      <c r="Z237" t="s">
        <v>41</v>
      </c>
      <c r="AA237" t="s">
        <v>41</v>
      </c>
      <c r="AB237" t="s">
        <v>41</v>
      </c>
      <c r="AC237" t="s">
        <v>41</v>
      </c>
      <c r="AD237" t="s">
        <v>41</v>
      </c>
      <c r="AE237" t="s">
        <v>41</v>
      </c>
      <c r="AF237" t="s">
        <v>41</v>
      </c>
    </row>
    <row r="238" spans="1:32" x14ac:dyDescent="0.3">
      <c r="A238" t="s">
        <v>135</v>
      </c>
      <c r="B238" t="s">
        <v>423</v>
      </c>
      <c r="C238" t="s">
        <v>315</v>
      </c>
      <c r="D238" t="s">
        <v>41</v>
      </c>
      <c r="E238" t="s">
        <v>41</v>
      </c>
      <c r="F238">
        <v>1</v>
      </c>
      <c r="G238" t="s">
        <v>41</v>
      </c>
      <c r="H238" t="s">
        <v>41</v>
      </c>
      <c r="I238">
        <v>1</v>
      </c>
      <c r="J238">
        <f t="shared" si="6"/>
        <v>2</v>
      </c>
      <c r="K238" t="s">
        <v>41</v>
      </c>
      <c r="L238" t="e">
        <f t="shared" si="7"/>
        <v>#VALUE!</v>
      </c>
      <c r="M238">
        <v>2</v>
      </c>
      <c r="N238" t="s">
        <v>41</v>
      </c>
      <c r="O238" t="s">
        <v>41</v>
      </c>
      <c r="P238" t="s">
        <v>41</v>
      </c>
      <c r="Q238" t="s">
        <v>41</v>
      </c>
      <c r="R238" t="s">
        <v>41</v>
      </c>
      <c r="S238" t="s">
        <v>41</v>
      </c>
      <c r="T238" t="s">
        <v>41</v>
      </c>
      <c r="U238" t="s">
        <v>41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s">
        <v>41</v>
      </c>
    </row>
    <row r="239" spans="1:32" x14ac:dyDescent="0.3">
      <c r="A239" t="s">
        <v>135</v>
      </c>
      <c r="B239" t="s">
        <v>40</v>
      </c>
      <c r="C239" t="s">
        <v>183</v>
      </c>
      <c r="D239" t="s">
        <v>41</v>
      </c>
      <c r="E239" t="s">
        <v>41</v>
      </c>
      <c r="F239">
        <v>1</v>
      </c>
      <c r="G239" t="s">
        <v>41</v>
      </c>
      <c r="H239" t="s">
        <v>41</v>
      </c>
      <c r="I239" t="s">
        <v>41</v>
      </c>
      <c r="J239">
        <f t="shared" si="6"/>
        <v>1</v>
      </c>
      <c r="K239" t="s">
        <v>41</v>
      </c>
      <c r="L239" t="e">
        <f t="shared" si="7"/>
        <v>#VALUE!</v>
      </c>
      <c r="M239" t="s">
        <v>41</v>
      </c>
      <c r="N239" t="s">
        <v>41</v>
      </c>
      <c r="O239" t="s">
        <v>41</v>
      </c>
      <c r="P239" t="s">
        <v>41</v>
      </c>
      <c r="Q239" t="s">
        <v>41</v>
      </c>
      <c r="R239" t="s">
        <v>41</v>
      </c>
      <c r="S239" t="s">
        <v>41</v>
      </c>
      <c r="T239" t="s">
        <v>41</v>
      </c>
      <c r="U239" t="s">
        <v>41</v>
      </c>
      <c r="V239" t="s">
        <v>41</v>
      </c>
      <c r="W239" t="s">
        <v>41</v>
      </c>
      <c r="X239" t="s">
        <v>41</v>
      </c>
      <c r="Y239" t="s">
        <v>41</v>
      </c>
      <c r="Z239" t="s">
        <v>41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  <c r="AF239" t="s">
        <v>41</v>
      </c>
    </row>
    <row r="240" spans="1:32" x14ac:dyDescent="0.3">
      <c r="A240" t="s">
        <v>135</v>
      </c>
      <c r="B240" t="s">
        <v>108</v>
      </c>
      <c r="C240" t="s">
        <v>70</v>
      </c>
      <c r="D240" t="s">
        <v>41</v>
      </c>
      <c r="E240" t="s">
        <v>41</v>
      </c>
      <c r="F240">
        <v>1</v>
      </c>
      <c r="G240" t="s">
        <v>41</v>
      </c>
      <c r="H240" t="s">
        <v>41</v>
      </c>
      <c r="I240" t="s">
        <v>41</v>
      </c>
      <c r="J240">
        <f t="shared" si="6"/>
        <v>1</v>
      </c>
      <c r="K240" t="s">
        <v>41</v>
      </c>
      <c r="L240" t="e">
        <f t="shared" si="7"/>
        <v>#VALUE!</v>
      </c>
      <c r="M240">
        <v>2</v>
      </c>
      <c r="N240" t="s">
        <v>41</v>
      </c>
      <c r="O240" t="s">
        <v>41</v>
      </c>
      <c r="P240" t="s">
        <v>41</v>
      </c>
      <c r="Q240" t="s">
        <v>41</v>
      </c>
      <c r="R240" t="s">
        <v>41</v>
      </c>
      <c r="S240" t="s">
        <v>41</v>
      </c>
      <c r="T240" t="s">
        <v>41</v>
      </c>
      <c r="U240" t="s">
        <v>41</v>
      </c>
      <c r="V240" t="s">
        <v>41</v>
      </c>
      <c r="W240" t="s">
        <v>41</v>
      </c>
      <c r="X240" t="s">
        <v>41</v>
      </c>
      <c r="Y240" t="s">
        <v>41</v>
      </c>
      <c r="Z240" t="s">
        <v>41</v>
      </c>
      <c r="AA240" t="s">
        <v>41</v>
      </c>
      <c r="AB240" t="s">
        <v>41</v>
      </c>
      <c r="AC240" t="s">
        <v>41</v>
      </c>
      <c r="AD240">
        <v>2</v>
      </c>
      <c r="AE240">
        <v>4</v>
      </c>
      <c r="AF240">
        <v>4</v>
      </c>
    </row>
    <row r="241" spans="1:32" x14ac:dyDescent="0.3">
      <c r="A241" t="s">
        <v>135</v>
      </c>
      <c r="B241" t="s">
        <v>351</v>
      </c>
      <c r="C241" t="s">
        <v>449</v>
      </c>
      <c r="D241" t="s">
        <v>450</v>
      </c>
      <c r="E241" t="s">
        <v>451</v>
      </c>
      <c r="F241">
        <v>1</v>
      </c>
      <c r="G241">
        <v>1</v>
      </c>
      <c r="H241" t="s">
        <v>41</v>
      </c>
      <c r="I241" t="s">
        <v>41</v>
      </c>
      <c r="J241">
        <f t="shared" si="6"/>
        <v>2</v>
      </c>
      <c r="K241" t="s">
        <v>41</v>
      </c>
      <c r="L241" t="e">
        <f t="shared" si="7"/>
        <v>#VALUE!</v>
      </c>
      <c r="M241" t="s">
        <v>41</v>
      </c>
      <c r="N241" t="s">
        <v>41</v>
      </c>
      <c r="O241">
        <v>2</v>
      </c>
      <c r="P241" t="s">
        <v>41</v>
      </c>
      <c r="Q241" t="s">
        <v>41</v>
      </c>
      <c r="R241" t="s">
        <v>41</v>
      </c>
      <c r="S241" t="s">
        <v>41</v>
      </c>
      <c r="T241" t="s">
        <v>41</v>
      </c>
      <c r="U241" t="s">
        <v>41</v>
      </c>
      <c r="V241" t="s">
        <v>41</v>
      </c>
      <c r="W241" t="s">
        <v>41</v>
      </c>
      <c r="X241" t="s">
        <v>41</v>
      </c>
      <c r="Y241" t="s">
        <v>41</v>
      </c>
      <c r="Z241" t="s">
        <v>41</v>
      </c>
      <c r="AA241" t="s">
        <v>41</v>
      </c>
      <c r="AB241" t="s">
        <v>41</v>
      </c>
      <c r="AC241" t="s">
        <v>41</v>
      </c>
      <c r="AD241" t="s">
        <v>41</v>
      </c>
      <c r="AE241" t="s">
        <v>41</v>
      </c>
      <c r="AF241" t="s">
        <v>41</v>
      </c>
    </row>
    <row r="242" spans="1:32" x14ac:dyDescent="0.3">
      <c r="A242" t="s">
        <v>135</v>
      </c>
      <c r="B242" t="s">
        <v>264</v>
      </c>
      <c r="C242" t="s">
        <v>212</v>
      </c>
      <c r="D242" t="s">
        <v>452</v>
      </c>
      <c r="E242" t="s">
        <v>164</v>
      </c>
      <c r="F242">
        <v>1</v>
      </c>
      <c r="G242">
        <v>1</v>
      </c>
      <c r="H242" t="s">
        <v>41</v>
      </c>
      <c r="I242" t="s">
        <v>41</v>
      </c>
      <c r="J242">
        <f t="shared" si="6"/>
        <v>2</v>
      </c>
      <c r="K242" t="s">
        <v>41</v>
      </c>
      <c r="L242" t="e">
        <f t="shared" si="7"/>
        <v>#VALUE!</v>
      </c>
      <c r="M242" t="s">
        <v>41</v>
      </c>
      <c r="N242" t="s">
        <v>41</v>
      </c>
      <c r="O242" t="s">
        <v>41</v>
      </c>
      <c r="P242" t="s">
        <v>41</v>
      </c>
      <c r="Q242" t="s">
        <v>41</v>
      </c>
      <c r="R242" t="s">
        <v>41</v>
      </c>
      <c r="S242" t="s">
        <v>41</v>
      </c>
      <c r="T242" t="s">
        <v>41</v>
      </c>
      <c r="U242" t="s">
        <v>41</v>
      </c>
      <c r="V242" t="s">
        <v>41</v>
      </c>
      <c r="W242" t="s">
        <v>41</v>
      </c>
      <c r="X242" t="s">
        <v>41</v>
      </c>
      <c r="Y242" t="s">
        <v>41</v>
      </c>
      <c r="Z242" t="s">
        <v>41</v>
      </c>
      <c r="AA242" t="s">
        <v>41</v>
      </c>
      <c r="AB242" t="s">
        <v>41</v>
      </c>
      <c r="AC242" t="s">
        <v>41</v>
      </c>
      <c r="AD242" t="s">
        <v>41</v>
      </c>
      <c r="AE242" t="s">
        <v>41</v>
      </c>
      <c r="AF242" t="s">
        <v>41</v>
      </c>
    </row>
    <row r="243" spans="1:32" x14ac:dyDescent="0.3">
      <c r="A243" t="s">
        <v>135</v>
      </c>
      <c r="B243" t="s">
        <v>386</v>
      </c>
      <c r="C243" t="s">
        <v>453</v>
      </c>
      <c r="D243" t="s">
        <v>41</v>
      </c>
      <c r="E243" t="s">
        <v>41</v>
      </c>
      <c r="F243">
        <v>1</v>
      </c>
      <c r="G243" t="s">
        <v>41</v>
      </c>
      <c r="H243">
        <v>2</v>
      </c>
      <c r="I243">
        <v>1</v>
      </c>
      <c r="J243">
        <f t="shared" si="6"/>
        <v>4</v>
      </c>
      <c r="K243" t="s">
        <v>41</v>
      </c>
      <c r="L243" t="e">
        <f t="shared" si="7"/>
        <v>#VALUE!</v>
      </c>
      <c r="M243">
        <v>2</v>
      </c>
      <c r="N243">
        <v>3</v>
      </c>
      <c r="O243">
        <v>4</v>
      </c>
      <c r="P243" t="s">
        <v>41</v>
      </c>
      <c r="Q243" t="s">
        <v>41</v>
      </c>
      <c r="R243" t="s">
        <v>41</v>
      </c>
      <c r="S243" t="s">
        <v>41</v>
      </c>
      <c r="T243">
        <v>0.5</v>
      </c>
      <c r="U243" t="s">
        <v>41</v>
      </c>
      <c r="V243" t="s">
        <v>41</v>
      </c>
      <c r="W243" t="s">
        <v>41</v>
      </c>
      <c r="X243">
        <v>2</v>
      </c>
      <c r="Y243" t="s">
        <v>41</v>
      </c>
      <c r="Z243" t="s">
        <v>41</v>
      </c>
      <c r="AA243" t="s">
        <v>41</v>
      </c>
      <c r="AB243" t="s">
        <v>41</v>
      </c>
      <c r="AC243" t="s">
        <v>41</v>
      </c>
      <c r="AD243" t="s">
        <v>41</v>
      </c>
      <c r="AE243" t="s">
        <v>41</v>
      </c>
      <c r="AF243" t="s">
        <v>41</v>
      </c>
    </row>
    <row r="244" spans="1:32" x14ac:dyDescent="0.3">
      <c r="A244" t="s">
        <v>135</v>
      </c>
      <c r="B244" t="s">
        <v>185</v>
      </c>
      <c r="C244" t="s">
        <v>67</v>
      </c>
      <c r="D244" t="s">
        <v>160</v>
      </c>
      <c r="E244" t="s">
        <v>404</v>
      </c>
      <c r="F244">
        <v>1</v>
      </c>
      <c r="G244">
        <v>1</v>
      </c>
      <c r="H244" t="s">
        <v>41</v>
      </c>
      <c r="I244">
        <v>3</v>
      </c>
      <c r="J244">
        <f t="shared" si="6"/>
        <v>5</v>
      </c>
      <c r="K244" t="s">
        <v>41</v>
      </c>
      <c r="L244" t="e">
        <f t="shared" si="7"/>
        <v>#VALUE!</v>
      </c>
      <c r="M244">
        <v>2</v>
      </c>
      <c r="N244" t="s">
        <v>41</v>
      </c>
      <c r="O244" t="s">
        <v>41</v>
      </c>
      <c r="P244" t="s">
        <v>41</v>
      </c>
      <c r="Q244" t="s">
        <v>41</v>
      </c>
      <c r="R244" t="s">
        <v>41</v>
      </c>
      <c r="S244" t="s">
        <v>41</v>
      </c>
      <c r="T244" t="s">
        <v>41</v>
      </c>
      <c r="U244" t="s">
        <v>41</v>
      </c>
      <c r="V244" t="s">
        <v>41</v>
      </c>
      <c r="W244" t="s">
        <v>41</v>
      </c>
      <c r="X244" t="s">
        <v>41</v>
      </c>
      <c r="Y244" t="s">
        <v>41</v>
      </c>
      <c r="Z244" t="s">
        <v>41</v>
      </c>
      <c r="AA244" t="s">
        <v>41</v>
      </c>
      <c r="AB244" t="s">
        <v>41</v>
      </c>
      <c r="AC244" t="s">
        <v>41</v>
      </c>
      <c r="AD244" t="s">
        <v>41</v>
      </c>
      <c r="AE244" t="s">
        <v>41</v>
      </c>
      <c r="AF244" t="s">
        <v>41</v>
      </c>
    </row>
    <row r="245" spans="1:32" x14ac:dyDescent="0.3">
      <c r="A245" t="s">
        <v>135</v>
      </c>
      <c r="B245" t="s">
        <v>454</v>
      </c>
      <c r="C245" t="s">
        <v>117</v>
      </c>
      <c r="D245" t="s">
        <v>455</v>
      </c>
      <c r="E245" t="s">
        <v>456</v>
      </c>
      <c r="F245">
        <v>1</v>
      </c>
      <c r="G245">
        <v>1</v>
      </c>
      <c r="H245">
        <v>1</v>
      </c>
      <c r="I245">
        <v>2</v>
      </c>
      <c r="J245">
        <f t="shared" si="6"/>
        <v>5</v>
      </c>
      <c r="K245" t="s">
        <v>41</v>
      </c>
      <c r="L245" t="e">
        <f t="shared" si="7"/>
        <v>#VALUE!</v>
      </c>
      <c r="M245" t="s">
        <v>41</v>
      </c>
      <c r="N245" t="s">
        <v>41</v>
      </c>
      <c r="O245" t="s">
        <v>41</v>
      </c>
      <c r="P245" t="s">
        <v>41</v>
      </c>
      <c r="Q245" t="s">
        <v>41</v>
      </c>
      <c r="R245" t="s">
        <v>41</v>
      </c>
      <c r="S245" t="s">
        <v>41</v>
      </c>
      <c r="T245" t="s">
        <v>41</v>
      </c>
      <c r="U245" t="s">
        <v>41</v>
      </c>
      <c r="V245" t="s">
        <v>41</v>
      </c>
      <c r="W245" t="s">
        <v>41</v>
      </c>
      <c r="X245" t="s">
        <v>41</v>
      </c>
      <c r="Y245" t="s">
        <v>41</v>
      </c>
      <c r="Z245" t="s">
        <v>41</v>
      </c>
      <c r="AA245" t="s">
        <v>41</v>
      </c>
      <c r="AB245" t="s">
        <v>41</v>
      </c>
      <c r="AC245" t="s">
        <v>41</v>
      </c>
      <c r="AD245">
        <v>5</v>
      </c>
      <c r="AE245" t="s">
        <v>41</v>
      </c>
      <c r="AF245" t="s">
        <v>41</v>
      </c>
    </row>
    <row r="246" spans="1:32" x14ac:dyDescent="0.3">
      <c r="A246" t="s">
        <v>135</v>
      </c>
      <c r="B246" t="s">
        <v>186</v>
      </c>
      <c r="C246" t="s">
        <v>436</v>
      </c>
      <c r="D246" t="s">
        <v>41</v>
      </c>
      <c r="E246" t="s">
        <v>41</v>
      </c>
      <c r="F246">
        <v>1</v>
      </c>
      <c r="G246" t="s">
        <v>41</v>
      </c>
      <c r="H246" t="s">
        <v>41</v>
      </c>
      <c r="I246" t="s">
        <v>41</v>
      </c>
      <c r="J246">
        <f t="shared" ref="J246:J309" si="8">SUM(F246:I246)</f>
        <v>1</v>
      </c>
      <c r="K246" t="s">
        <v>41</v>
      </c>
      <c r="L246" t="e">
        <f t="shared" ref="L246:L309" si="9">K246*60</f>
        <v>#VALUE!</v>
      </c>
      <c r="M246" t="s">
        <v>41</v>
      </c>
      <c r="N246" t="s">
        <v>41</v>
      </c>
      <c r="O246" t="s">
        <v>41</v>
      </c>
      <c r="P246" t="s">
        <v>41</v>
      </c>
      <c r="Q246" t="s">
        <v>41</v>
      </c>
      <c r="R246" t="s">
        <v>41</v>
      </c>
      <c r="S246" t="s">
        <v>41</v>
      </c>
      <c r="T246" t="s">
        <v>41</v>
      </c>
      <c r="U246" t="s">
        <v>41</v>
      </c>
      <c r="V246" t="s">
        <v>41</v>
      </c>
      <c r="W246" t="s">
        <v>41</v>
      </c>
      <c r="X246" t="s">
        <v>41</v>
      </c>
      <c r="Y246" t="s">
        <v>41</v>
      </c>
      <c r="Z246" t="s">
        <v>41</v>
      </c>
      <c r="AA246" t="s">
        <v>41</v>
      </c>
      <c r="AB246" t="s">
        <v>41</v>
      </c>
      <c r="AC246" t="s">
        <v>41</v>
      </c>
      <c r="AD246" t="s">
        <v>41</v>
      </c>
      <c r="AE246" t="s">
        <v>41</v>
      </c>
      <c r="AF246" t="s">
        <v>41</v>
      </c>
    </row>
    <row r="247" spans="1:32" x14ac:dyDescent="0.3">
      <c r="A247" t="s">
        <v>135</v>
      </c>
      <c r="B247" t="s">
        <v>40</v>
      </c>
      <c r="C247" t="s">
        <v>436</v>
      </c>
      <c r="D247" t="s">
        <v>203</v>
      </c>
      <c r="E247" t="s">
        <v>313</v>
      </c>
      <c r="F247">
        <v>1</v>
      </c>
      <c r="G247">
        <v>1</v>
      </c>
      <c r="H247">
        <v>2</v>
      </c>
      <c r="I247" t="s">
        <v>41</v>
      </c>
      <c r="J247">
        <f t="shared" si="8"/>
        <v>4</v>
      </c>
      <c r="K247" t="s">
        <v>41</v>
      </c>
      <c r="L247" t="e">
        <f t="shared" si="9"/>
        <v>#VALUE!</v>
      </c>
      <c r="M247" t="s">
        <v>41</v>
      </c>
      <c r="N247" t="s">
        <v>41</v>
      </c>
      <c r="O247" t="s">
        <v>41</v>
      </c>
      <c r="P247" t="s">
        <v>41</v>
      </c>
      <c r="Q247" t="s">
        <v>41</v>
      </c>
      <c r="R247" t="s">
        <v>41</v>
      </c>
      <c r="S247" t="s">
        <v>41</v>
      </c>
      <c r="T247" t="s">
        <v>41</v>
      </c>
      <c r="U247" t="s">
        <v>41</v>
      </c>
      <c r="V247" t="s">
        <v>41</v>
      </c>
      <c r="W247" t="s">
        <v>41</v>
      </c>
      <c r="X247" t="s">
        <v>41</v>
      </c>
      <c r="Y247" t="s">
        <v>41</v>
      </c>
      <c r="Z247" t="s">
        <v>41</v>
      </c>
      <c r="AA247" t="s">
        <v>41</v>
      </c>
      <c r="AB247" t="s">
        <v>41</v>
      </c>
      <c r="AC247" t="s">
        <v>41</v>
      </c>
      <c r="AD247" t="s">
        <v>41</v>
      </c>
      <c r="AE247" t="s">
        <v>41</v>
      </c>
      <c r="AF247" t="s">
        <v>41</v>
      </c>
    </row>
    <row r="248" spans="1:32" x14ac:dyDescent="0.3">
      <c r="A248" t="s">
        <v>135</v>
      </c>
      <c r="B248" t="s">
        <v>40</v>
      </c>
      <c r="C248" t="s">
        <v>378</v>
      </c>
      <c r="D248" t="s">
        <v>244</v>
      </c>
      <c r="E248" t="s">
        <v>51</v>
      </c>
      <c r="F248">
        <v>1</v>
      </c>
      <c r="G248">
        <v>1</v>
      </c>
      <c r="H248">
        <v>1</v>
      </c>
      <c r="I248">
        <v>1</v>
      </c>
      <c r="J248">
        <f t="shared" si="8"/>
        <v>4</v>
      </c>
      <c r="K248">
        <v>1</v>
      </c>
      <c r="L248">
        <f t="shared" si="9"/>
        <v>60</v>
      </c>
      <c r="M248">
        <v>2</v>
      </c>
      <c r="N248">
        <v>5</v>
      </c>
      <c r="O248">
        <v>1</v>
      </c>
      <c r="P248" t="s">
        <v>41</v>
      </c>
      <c r="Q248" t="s">
        <v>41</v>
      </c>
      <c r="R248" t="s">
        <v>41</v>
      </c>
      <c r="S248" t="s">
        <v>41</v>
      </c>
      <c r="T248">
        <v>0.5</v>
      </c>
      <c r="U248">
        <v>0.25</v>
      </c>
      <c r="V248" t="s">
        <v>41</v>
      </c>
      <c r="W248" t="s">
        <v>41</v>
      </c>
      <c r="X248">
        <v>6</v>
      </c>
      <c r="Y248">
        <v>3</v>
      </c>
      <c r="Z248" t="s">
        <v>41</v>
      </c>
      <c r="AA248" t="s">
        <v>41</v>
      </c>
      <c r="AB248" t="s">
        <v>41</v>
      </c>
      <c r="AC248" t="s">
        <v>41</v>
      </c>
      <c r="AD248" t="s">
        <v>41</v>
      </c>
      <c r="AE248" t="s">
        <v>41</v>
      </c>
      <c r="AF248" t="s">
        <v>41</v>
      </c>
    </row>
    <row r="249" spans="1:32" x14ac:dyDescent="0.3">
      <c r="A249" t="s">
        <v>135</v>
      </c>
      <c r="B249" t="s">
        <v>457</v>
      </c>
      <c r="C249" t="s">
        <v>453</v>
      </c>
      <c r="D249" t="s">
        <v>203</v>
      </c>
      <c r="E249" t="s">
        <v>291</v>
      </c>
      <c r="F249">
        <v>1</v>
      </c>
      <c r="G249">
        <v>1</v>
      </c>
      <c r="H249" t="s">
        <v>41</v>
      </c>
      <c r="I249">
        <v>1</v>
      </c>
      <c r="J249">
        <f t="shared" si="8"/>
        <v>3</v>
      </c>
      <c r="K249">
        <v>1</v>
      </c>
      <c r="L249">
        <f t="shared" si="9"/>
        <v>60</v>
      </c>
      <c r="M249">
        <v>3</v>
      </c>
      <c r="N249" t="s">
        <v>41</v>
      </c>
      <c r="O249" t="s">
        <v>41</v>
      </c>
      <c r="P249" t="s">
        <v>41</v>
      </c>
      <c r="Q249" t="s">
        <v>41</v>
      </c>
      <c r="R249" t="s">
        <v>41</v>
      </c>
      <c r="S249" t="s">
        <v>41</v>
      </c>
      <c r="T249" t="s">
        <v>41</v>
      </c>
      <c r="U249" t="s">
        <v>41</v>
      </c>
      <c r="V249" t="s">
        <v>41</v>
      </c>
      <c r="W249" t="s">
        <v>41</v>
      </c>
      <c r="X249" t="s">
        <v>41</v>
      </c>
      <c r="Y249" t="s">
        <v>41</v>
      </c>
      <c r="Z249" t="s">
        <v>41</v>
      </c>
      <c r="AA249" t="s">
        <v>41</v>
      </c>
      <c r="AB249" t="s">
        <v>41</v>
      </c>
      <c r="AC249" t="s">
        <v>41</v>
      </c>
      <c r="AD249" t="s">
        <v>41</v>
      </c>
      <c r="AE249" t="s">
        <v>41</v>
      </c>
      <c r="AF249" t="s">
        <v>41</v>
      </c>
    </row>
    <row r="250" spans="1:32" x14ac:dyDescent="0.3">
      <c r="A250" t="s">
        <v>135</v>
      </c>
      <c r="B250" t="s">
        <v>39</v>
      </c>
      <c r="C250" t="s">
        <v>378</v>
      </c>
      <c r="D250" t="s">
        <v>458</v>
      </c>
      <c r="E250" t="s">
        <v>459</v>
      </c>
      <c r="F250">
        <v>1</v>
      </c>
      <c r="G250">
        <v>1</v>
      </c>
      <c r="H250">
        <v>3</v>
      </c>
      <c r="I250">
        <v>3</v>
      </c>
      <c r="J250">
        <f t="shared" si="8"/>
        <v>8</v>
      </c>
      <c r="K250">
        <v>1</v>
      </c>
      <c r="L250">
        <f t="shared" si="9"/>
        <v>60</v>
      </c>
      <c r="M250">
        <v>6</v>
      </c>
      <c r="N250">
        <v>7</v>
      </c>
      <c r="O250" t="s">
        <v>41</v>
      </c>
      <c r="P250" t="s">
        <v>41</v>
      </c>
      <c r="Q250" t="s">
        <v>41</v>
      </c>
      <c r="R250" t="s">
        <v>41</v>
      </c>
      <c r="S250" t="s">
        <v>41</v>
      </c>
      <c r="T250">
        <v>1.25</v>
      </c>
      <c r="U250">
        <v>1</v>
      </c>
      <c r="V250" t="s">
        <v>41</v>
      </c>
      <c r="W250" t="s">
        <v>41</v>
      </c>
      <c r="X250">
        <v>14</v>
      </c>
      <c r="Y250">
        <v>15</v>
      </c>
      <c r="Z250" t="s">
        <v>41</v>
      </c>
      <c r="AA250" t="s">
        <v>41</v>
      </c>
      <c r="AB250" t="s">
        <v>41</v>
      </c>
      <c r="AC250" t="s">
        <v>41</v>
      </c>
      <c r="AD250">
        <v>6</v>
      </c>
      <c r="AE250">
        <v>6</v>
      </c>
      <c r="AF250">
        <v>4</v>
      </c>
    </row>
    <row r="251" spans="1:32" x14ac:dyDescent="0.3">
      <c r="A251" t="s">
        <v>135</v>
      </c>
      <c r="B251" t="s">
        <v>185</v>
      </c>
      <c r="C251" t="s">
        <v>436</v>
      </c>
      <c r="D251" t="s">
        <v>41</v>
      </c>
      <c r="E251" t="s">
        <v>41</v>
      </c>
      <c r="F251">
        <v>1</v>
      </c>
      <c r="G251" t="s">
        <v>41</v>
      </c>
      <c r="H251" t="s">
        <v>41</v>
      </c>
      <c r="I251" t="s">
        <v>41</v>
      </c>
      <c r="J251">
        <f t="shared" si="8"/>
        <v>1</v>
      </c>
      <c r="K251" t="s">
        <v>41</v>
      </c>
      <c r="L251" t="e">
        <f t="shared" si="9"/>
        <v>#VALUE!</v>
      </c>
      <c r="M251" t="s">
        <v>41</v>
      </c>
      <c r="N251" t="s">
        <v>41</v>
      </c>
      <c r="O251" t="s">
        <v>41</v>
      </c>
      <c r="P251" t="s">
        <v>41</v>
      </c>
      <c r="Q251" t="s">
        <v>41</v>
      </c>
      <c r="R251" t="s">
        <v>41</v>
      </c>
      <c r="S251" t="s">
        <v>41</v>
      </c>
      <c r="T251" t="s">
        <v>41</v>
      </c>
      <c r="U251" t="s">
        <v>41</v>
      </c>
      <c r="V251" t="s">
        <v>41</v>
      </c>
      <c r="W251" t="s">
        <v>41</v>
      </c>
      <c r="X251" t="s">
        <v>41</v>
      </c>
      <c r="Y251" t="s">
        <v>41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 t="s">
        <v>41</v>
      </c>
    </row>
    <row r="252" spans="1:32" x14ac:dyDescent="0.3">
      <c r="A252" t="s">
        <v>135</v>
      </c>
      <c r="B252" t="s">
        <v>108</v>
      </c>
      <c r="C252" t="s">
        <v>378</v>
      </c>
      <c r="D252" t="s">
        <v>41</v>
      </c>
      <c r="E252" t="s">
        <v>41</v>
      </c>
      <c r="F252">
        <v>1</v>
      </c>
      <c r="G252" t="s">
        <v>41</v>
      </c>
      <c r="H252" t="s">
        <v>41</v>
      </c>
      <c r="I252" t="s">
        <v>41</v>
      </c>
      <c r="J252">
        <f t="shared" si="8"/>
        <v>1</v>
      </c>
      <c r="K252" t="s">
        <v>41</v>
      </c>
      <c r="L252" t="e">
        <f t="shared" si="9"/>
        <v>#VALUE!</v>
      </c>
      <c r="M252">
        <v>2</v>
      </c>
      <c r="N252" t="s">
        <v>41</v>
      </c>
      <c r="O252" t="s">
        <v>41</v>
      </c>
      <c r="P252" t="s">
        <v>41</v>
      </c>
      <c r="Q252" t="s">
        <v>41</v>
      </c>
      <c r="R252" t="s">
        <v>41</v>
      </c>
      <c r="S252" t="s">
        <v>41</v>
      </c>
      <c r="T252">
        <v>0.5</v>
      </c>
      <c r="U252" t="s">
        <v>41</v>
      </c>
      <c r="V252" t="s">
        <v>41</v>
      </c>
      <c r="W252" t="s">
        <v>41</v>
      </c>
      <c r="X252">
        <v>5</v>
      </c>
      <c r="Y252" t="s">
        <v>41</v>
      </c>
      <c r="Z252" t="s">
        <v>41</v>
      </c>
      <c r="AA252" t="s">
        <v>41</v>
      </c>
      <c r="AB252" t="s">
        <v>41</v>
      </c>
      <c r="AC252" t="s">
        <v>41</v>
      </c>
      <c r="AD252">
        <v>2</v>
      </c>
      <c r="AE252">
        <v>6</v>
      </c>
      <c r="AF252">
        <v>2</v>
      </c>
    </row>
    <row r="253" spans="1:32" x14ac:dyDescent="0.3">
      <c r="A253" t="s">
        <v>135</v>
      </c>
      <c r="B253" t="s">
        <v>47</v>
      </c>
      <c r="C253" t="s">
        <v>460</v>
      </c>
      <c r="D253" t="s">
        <v>41</v>
      </c>
      <c r="E253" t="s">
        <v>41</v>
      </c>
      <c r="F253">
        <v>1</v>
      </c>
      <c r="G253" t="s">
        <v>41</v>
      </c>
      <c r="H253" t="s">
        <v>41</v>
      </c>
      <c r="I253" t="s">
        <v>41</v>
      </c>
      <c r="J253">
        <f t="shared" si="8"/>
        <v>1</v>
      </c>
      <c r="K253">
        <v>1</v>
      </c>
      <c r="L253">
        <f t="shared" si="9"/>
        <v>60</v>
      </c>
      <c r="M253" t="s">
        <v>41</v>
      </c>
      <c r="N253" t="s">
        <v>41</v>
      </c>
      <c r="O253" t="s">
        <v>41</v>
      </c>
      <c r="P253" t="s">
        <v>41</v>
      </c>
      <c r="Q253" t="s">
        <v>41</v>
      </c>
      <c r="R253" t="s">
        <v>41</v>
      </c>
      <c r="S253" t="s">
        <v>41</v>
      </c>
      <c r="T253" t="s">
        <v>41</v>
      </c>
      <c r="U253" t="s">
        <v>41</v>
      </c>
      <c r="V253" t="s">
        <v>41</v>
      </c>
      <c r="W253" t="s">
        <v>41</v>
      </c>
      <c r="X253" t="s">
        <v>41</v>
      </c>
      <c r="Y253" t="s">
        <v>41</v>
      </c>
      <c r="Z253" t="s">
        <v>41</v>
      </c>
      <c r="AA253" t="s">
        <v>41</v>
      </c>
      <c r="AB253" t="s">
        <v>41</v>
      </c>
      <c r="AC253" t="s">
        <v>41</v>
      </c>
      <c r="AD253">
        <v>2</v>
      </c>
      <c r="AE253">
        <v>4</v>
      </c>
      <c r="AF253">
        <v>4</v>
      </c>
    </row>
    <row r="254" spans="1:32" x14ac:dyDescent="0.3">
      <c r="A254" t="s">
        <v>135</v>
      </c>
      <c r="B254" t="s">
        <v>59</v>
      </c>
      <c r="C254" t="s">
        <v>461</v>
      </c>
      <c r="D254" t="s">
        <v>41</v>
      </c>
      <c r="E254" t="s">
        <v>41</v>
      </c>
      <c r="F254">
        <v>1</v>
      </c>
      <c r="G254" t="s">
        <v>41</v>
      </c>
      <c r="H254" t="s">
        <v>41</v>
      </c>
      <c r="I254" t="s">
        <v>41</v>
      </c>
      <c r="J254">
        <f t="shared" si="8"/>
        <v>1</v>
      </c>
      <c r="K254" t="s">
        <v>41</v>
      </c>
      <c r="L254" t="e">
        <f t="shared" si="9"/>
        <v>#VALUE!</v>
      </c>
      <c r="M254" t="s">
        <v>41</v>
      </c>
      <c r="N254" t="s">
        <v>41</v>
      </c>
      <c r="O254" t="s">
        <v>41</v>
      </c>
      <c r="P254" t="s">
        <v>41</v>
      </c>
      <c r="Q254" t="s">
        <v>41</v>
      </c>
      <c r="R254" t="s">
        <v>41</v>
      </c>
      <c r="S254" t="s">
        <v>41</v>
      </c>
      <c r="T254" t="s">
        <v>41</v>
      </c>
      <c r="U254" t="s">
        <v>41</v>
      </c>
      <c r="V254" t="s">
        <v>41</v>
      </c>
      <c r="W254" t="s">
        <v>41</v>
      </c>
      <c r="X254" t="s">
        <v>41</v>
      </c>
      <c r="Y254" t="s">
        <v>41</v>
      </c>
      <c r="Z254" t="s">
        <v>41</v>
      </c>
      <c r="AA254" t="s">
        <v>41</v>
      </c>
      <c r="AB254" t="s">
        <v>41</v>
      </c>
      <c r="AC254" t="s">
        <v>41</v>
      </c>
      <c r="AD254">
        <v>2</v>
      </c>
      <c r="AE254">
        <v>4</v>
      </c>
      <c r="AF254" t="s">
        <v>41</v>
      </c>
    </row>
    <row r="255" spans="1:32" x14ac:dyDescent="0.3">
      <c r="A255" t="s">
        <v>135</v>
      </c>
      <c r="B255" t="s">
        <v>462</v>
      </c>
      <c r="C255" t="s">
        <v>164</v>
      </c>
      <c r="D255" t="s">
        <v>167</v>
      </c>
      <c r="E255" t="s">
        <v>79</v>
      </c>
      <c r="F255">
        <v>1</v>
      </c>
      <c r="G255">
        <v>1</v>
      </c>
      <c r="H255">
        <v>1</v>
      </c>
      <c r="I255">
        <v>1</v>
      </c>
      <c r="J255">
        <f t="shared" si="8"/>
        <v>4</v>
      </c>
      <c r="K255" t="s">
        <v>41</v>
      </c>
      <c r="L255" t="e">
        <f t="shared" si="9"/>
        <v>#VALUE!</v>
      </c>
      <c r="M255" t="s">
        <v>41</v>
      </c>
      <c r="N255" t="s">
        <v>41</v>
      </c>
      <c r="O255">
        <v>3</v>
      </c>
      <c r="P255" t="s">
        <v>41</v>
      </c>
      <c r="Q255" t="s">
        <v>41</v>
      </c>
      <c r="R255" t="s">
        <v>41</v>
      </c>
      <c r="S255" t="s">
        <v>41</v>
      </c>
      <c r="T255" t="s">
        <v>41</v>
      </c>
      <c r="U255" t="s">
        <v>41</v>
      </c>
      <c r="V255" t="s">
        <v>41</v>
      </c>
      <c r="W255" t="s">
        <v>41</v>
      </c>
      <c r="X255" t="s">
        <v>41</v>
      </c>
      <c r="Y255" t="s">
        <v>41</v>
      </c>
      <c r="Z255" t="s">
        <v>41</v>
      </c>
      <c r="AA255" t="s">
        <v>41</v>
      </c>
      <c r="AB255">
        <v>1</v>
      </c>
      <c r="AC255" t="s">
        <v>41</v>
      </c>
      <c r="AD255" t="s">
        <v>41</v>
      </c>
      <c r="AE255" t="s">
        <v>41</v>
      </c>
      <c r="AF255" t="s">
        <v>41</v>
      </c>
    </row>
    <row r="256" spans="1:32" x14ac:dyDescent="0.3">
      <c r="A256" t="s">
        <v>135</v>
      </c>
      <c r="B256" t="s">
        <v>27</v>
      </c>
      <c r="C256" t="s">
        <v>164</v>
      </c>
      <c r="D256" t="s">
        <v>463</v>
      </c>
      <c r="E256" t="s">
        <v>52</v>
      </c>
      <c r="F256">
        <v>1</v>
      </c>
      <c r="G256">
        <v>1</v>
      </c>
      <c r="H256">
        <v>1</v>
      </c>
      <c r="I256">
        <v>3</v>
      </c>
      <c r="J256">
        <f t="shared" si="8"/>
        <v>6</v>
      </c>
      <c r="K256" t="s">
        <v>41</v>
      </c>
      <c r="L256" t="e">
        <f t="shared" si="9"/>
        <v>#VALUE!</v>
      </c>
      <c r="M256" t="s">
        <v>41</v>
      </c>
      <c r="N256" t="s">
        <v>41</v>
      </c>
      <c r="O256">
        <v>1</v>
      </c>
      <c r="P256" t="s">
        <v>41</v>
      </c>
      <c r="Q256" t="s">
        <v>41</v>
      </c>
      <c r="R256" t="s">
        <v>41</v>
      </c>
      <c r="S256" t="s">
        <v>41</v>
      </c>
      <c r="T256" t="s">
        <v>41</v>
      </c>
      <c r="U256" t="s">
        <v>41</v>
      </c>
      <c r="V256" t="s">
        <v>41</v>
      </c>
      <c r="W256" t="s">
        <v>41</v>
      </c>
      <c r="X256" t="s">
        <v>41</v>
      </c>
      <c r="Y256" t="s">
        <v>41</v>
      </c>
      <c r="Z256" t="s">
        <v>41</v>
      </c>
      <c r="AA256" t="s">
        <v>41</v>
      </c>
      <c r="AB256" t="s">
        <v>41</v>
      </c>
      <c r="AC256" t="s">
        <v>41</v>
      </c>
      <c r="AD256" t="s">
        <v>41</v>
      </c>
      <c r="AE256" t="s">
        <v>41</v>
      </c>
      <c r="AF256" t="s">
        <v>41</v>
      </c>
    </row>
    <row r="257" spans="1:32" x14ac:dyDescent="0.3">
      <c r="A257" t="s">
        <v>135</v>
      </c>
      <c r="B257" t="s">
        <v>464</v>
      </c>
      <c r="C257" t="s">
        <v>218</v>
      </c>
      <c r="D257" t="s">
        <v>50</v>
      </c>
      <c r="E257" t="s">
        <v>195</v>
      </c>
      <c r="F257">
        <v>1</v>
      </c>
      <c r="G257">
        <v>1</v>
      </c>
      <c r="H257" t="s">
        <v>41</v>
      </c>
      <c r="I257" t="s">
        <v>41</v>
      </c>
      <c r="J257">
        <f t="shared" si="8"/>
        <v>2</v>
      </c>
      <c r="K257" t="s">
        <v>41</v>
      </c>
      <c r="L257" t="e">
        <f t="shared" si="9"/>
        <v>#VALUE!</v>
      </c>
      <c r="M257" t="s">
        <v>41</v>
      </c>
      <c r="N257" t="s">
        <v>41</v>
      </c>
      <c r="O257" t="s">
        <v>41</v>
      </c>
      <c r="P257" t="s">
        <v>41</v>
      </c>
      <c r="Q257" t="s">
        <v>41</v>
      </c>
      <c r="R257" t="s">
        <v>41</v>
      </c>
      <c r="S257" t="s">
        <v>41</v>
      </c>
      <c r="T257">
        <v>1</v>
      </c>
      <c r="U257" t="s">
        <v>41</v>
      </c>
      <c r="V257" t="s">
        <v>41</v>
      </c>
      <c r="W257" t="s">
        <v>41</v>
      </c>
      <c r="X257">
        <v>5</v>
      </c>
      <c r="Y257" t="s">
        <v>41</v>
      </c>
      <c r="Z257" t="s">
        <v>41</v>
      </c>
      <c r="AA257" t="s">
        <v>41</v>
      </c>
      <c r="AB257" t="s">
        <v>41</v>
      </c>
      <c r="AC257" t="s">
        <v>41</v>
      </c>
      <c r="AD257">
        <v>5</v>
      </c>
      <c r="AE257">
        <v>1</v>
      </c>
      <c r="AF257">
        <v>4</v>
      </c>
    </row>
    <row r="258" spans="1:32" x14ac:dyDescent="0.3">
      <c r="A258" t="s">
        <v>135</v>
      </c>
      <c r="B258" t="s">
        <v>115</v>
      </c>
      <c r="C258" t="s">
        <v>90</v>
      </c>
      <c r="D258" t="s">
        <v>41</v>
      </c>
      <c r="E258" t="s">
        <v>41</v>
      </c>
      <c r="F258">
        <v>1</v>
      </c>
      <c r="G258" t="s">
        <v>41</v>
      </c>
      <c r="H258" t="s">
        <v>41</v>
      </c>
      <c r="I258" t="s">
        <v>41</v>
      </c>
      <c r="J258">
        <f t="shared" si="8"/>
        <v>1</v>
      </c>
      <c r="K258" t="s">
        <v>41</v>
      </c>
      <c r="L258" t="e">
        <f t="shared" si="9"/>
        <v>#VALUE!</v>
      </c>
      <c r="M258" t="s">
        <v>41</v>
      </c>
      <c r="N258" t="s">
        <v>41</v>
      </c>
      <c r="O258" t="s">
        <v>41</v>
      </c>
      <c r="P258" t="s">
        <v>41</v>
      </c>
      <c r="Q258" t="s">
        <v>41</v>
      </c>
      <c r="R258" t="s">
        <v>41</v>
      </c>
      <c r="S258" t="s">
        <v>41</v>
      </c>
      <c r="T258" t="s">
        <v>41</v>
      </c>
      <c r="U258" t="s">
        <v>41</v>
      </c>
      <c r="V258" t="s">
        <v>41</v>
      </c>
      <c r="W258" t="s">
        <v>41</v>
      </c>
      <c r="X258" t="s">
        <v>41</v>
      </c>
      <c r="Y258" t="s">
        <v>41</v>
      </c>
      <c r="Z258" t="s">
        <v>41</v>
      </c>
      <c r="AA258" t="s">
        <v>41</v>
      </c>
      <c r="AB258" t="s">
        <v>41</v>
      </c>
      <c r="AC258" t="s">
        <v>41</v>
      </c>
      <c r="AD258" t="s">
        <v>41</v>
      </c>
      <c r="AE258" t="s">
        <v>41</v>
      </c>
      <c r="AF258" t="s">
        <v>41</v>
      </c>
    </row>
    <row r="259" spans="1:32" x14ac:dyDescent="0.3">
      <c r="A259" t="s">
        <v>135</v>
      </c>
      <c r="B259" t="s">
        <v>465</v>
      </c>
      <c r="C259" t="s">
        <v>330</v>
      </c>
      <c r="D259" t="s">
        <v>82</v>
      </c>
      <c r="E259" t="s">
        <v>103</v>
      </c>
      <c r="F259">
        <v>1</v>
      </c>
      <c r="G259">
        <v>1</v>
      </c>
      <c r="H259" t="s">
        <v>41</v>
      </c>
      <c r="I259">
        <v>3</v>
      </c>
      <c r="J259">
        <f t="shared" si="8"/>
        <v>5</v>
      </c>
      <c r="K259" t="s">
        <v>41</v>
      </c>
      <c r="L259" t="e">
        <f t="shared" si="9"/>
        <v>#VALUE!</v>
      </c>
      <c r="M259">
        <v>2</v>
      </c>
      <c r="N259" t="s">
        <v>41</v>
      </c>
      <c r="O259" t="s">
        <v>41</v>
      </c>
      <c r="P259" t="s">
        <v>41</v>
      </c>
      <c r="Q259" t="s">
        <v>41</v>
      </c>
      <c r="R259" t="s">
        <v>41</v>
      </c>
      <c r="S259" t="s">
        <v>41</v>
      </c>
      <c r="T259">
        <f>1/8</f>
        <v>0.125</v>
      </c>
      <c r="U259" t="s">
        <v>41</v>
      </c>
      <c r="V259" t="s">
        <v>41</v>
      </c>
      <c r="W259" t="s">
        <v>41</v>
      </c>
      <c r="X259">
        <v>1.5</v>
      </c>
      <c r="Y259" t="s">
        <v>41</v>
      </c>
      <c r="Z259" t="s">
        <v>41</v>
      </c>
      <c r="AA259" t="s">
        <v>41</v>
      </c>
      <c r="AB259" t="s">
        <v>41</v>
      </c>
      <c r="AC259" t="s">
        <v>41</v>
      </c>
      <c r="AD259" t="s">
        <v>41</v>
      </c>
      <c r="AE259" t="s">
        <v>41</v>
      </c>
      <c r="AF259" t="s">
        <v>41</v>
      </c>
    </row>
    <row r="260" spans="1:32" x14ac:dyDescent="0.3">
      <c r="A260" t="s">
        <v>135</v>
      </c>
      <c r="B260" t="s">
        <v>27</v>
      </c>
      <c r="C260" t="s">
        <v>254</v>
      </c>
      <c r="D260" t="s">
        <v>41</v>
      </c>
      <c r="E260" t="s">
        <v>41</v>
      </c>
      <c r="F260">
        <v>1</v>
      </c>
      <c r="G260" t="s">
        <v>41</v>
      </c>
      <c r="H260" t="s">
        <v>41</v>
      </c>
      <c r="I260" t="s">
        <v>41</v>
      </c>
      <c r="J260">
        <f t="shared" si="8"/>
        <v>1</v>
      </c>
      <c r="K260" t="s">
        <v>41</v>
      </c>
      <c r="L260" t="e">
        <f t="shared" si="9"/>
        <v>#VALUE!</v>
      </c>
      <c r="M260" t="s">
        <v>41</v>
      </c>
      <c r="N260" t="s">
        <v>41</v>
      </c>
      <c r="O260" t="s">
        <v>41</v>
      </c>
      <c r="P260" t="s">
        <v>41</v>
      </c>
      <c r="Q260" t="s">
        <v>41</v>
      </c>
      <c r="R260" t="s">
        <v>41</v>
      </c>
      <c r="S260" t="s">
        <v>41</v>
      </c>
      <c r="T260" t="s">
        <v>41</v>
      </c>
      <c r="U260" t="s">
        <v>41</v>
      </c>
      <c r="V260" t="s">
        <v>41</v>
      </c>
      <c r="W260" t="s">
        <v>41</v>
      </c>
      <c r="X260" t="s">
        <v>41</v>
      </c>
      <c r="Y260" t="s">
        <v>41</v>
      </c>
      <c r="Z260" t="s">
        <v>41</v>
      </c>
      <c r="AA260" t="s">
        <v>41</v>
      </c>
      <c r="AB260" t="s">
        <v>41</v>
      </c>
      <c r="AC260" t="s">
        <v>41</v>
      </c>
      <c r="AD260" t="s">
        <v>41</v>
      </c>
      <c r="AE260" t="s">
        <v>41</v>
      </c>
      <c r="AF260" t="s">
        <v>41</v>
      </c>
    </row>
    <row r="261" spans="1:32" x14ac:dyDescent="0.3">
      <c r="A261" t="s">
        <v>135</v>
      </c>
      <c r="B261" t="s">
        <v>466</v>
      </c>
      <c r="C261" t="s">
        <v>92</v>
      </c>
      <c r="D261" t="s">
        <v>41</v>
      </c>
      <c r="E261" t="s">
        <v>41</v>
      </c>
      <c r="F261">
        <v>1</v>
      </c>
      <c r="G261" t="s">
        <v>41</v>
      </c>
      <c r="H261" t="s">
        <v>41</v>
      </c>
      <c r="I261" t="s">
        <v>41</v>
      </c>
      <c r="J261">
        <f t="shared" si="8"/>
        <v>1</v>
      </c>
      <c r="K261" t="s">
        <v>41</v>
      </c>
      <c r="L261" t="e">
        <f t="shared" si="9"/>
        <v>#VALUE!</v>
      </c>
      <c r="M261" t="s">
        <v>41</v>
      </c>
      <c r="N261" t="s">
        <v>41</v>
      </c>
      <c r="O261" t="s">
        <v>41</v>
      </c>
      <c r="P261" t="s">
        <v>41</v>
      </c>
      <c r="Q261" t="s">
        <v>41</v>
      </c>
      <c r="R261" t="s">
        <v>41</v>
      </c>
      <c r="S261" t="s">
        <v>41</v>
      </c>
      <c r="T261" t="s">
        <v>41</v>
      </c>
      <c r="U261" t="s">
        <v>41</v>
      </c>
      <c r="V261" t="s">
        <v>41</v>
      </c>
      <c r="W261" t="s">
        <v>41</v>
      </c>
      <c r="X261" t="s">
        <v>41</v>
      </c>
      <c r="Y261" t="s">
        <v>41</v>
      </c>
      <c r="Z261" t="s">
        <v>41</v>
      </c>
      <c r="AA261" t="s">
        <v>41</v>
      </c>
      <c r="AB261" t="s">
        <v>41</v>
      </c>
      <c r="AC261" t="s">
        <v>41</v>
      </c>
      <c r="AD261" t="s">
        <v>41</v>
      </c>
      <c r="AE261" t="s">
        <v>41</v>
      </c>
      <c r="AF261" t="s">
        <v>41</v>
      </c>
    </row>
    <row r="262" spans="1:32" x14ac:dyDescent="0.3">
      <c r="A262" t="s">
        <v>135</v>
      </c>
      <c r="B262" t="s">
        <v>349</v>
      </c>
      <c r="C262" t="s">
        <v>443</v>
      </c>
      <c r="D262" t="s">
        <v>41</v>
      </c>
      <c r="E262" t="s">
        <v>41</v>
      </c>
      <c r="F262">
        <v>1</v>
      </c>
      <c r="G262" t="s">
        <v>41</v>
      </c>
      <c r="H262" t="s">
        <v>41</v>
      </c>
      <c r="I262" t="s">
        <v>41</v>
      </c>
      <c r="J262">
        <f t="shared" si="8"/>
        <v>1</v>
      </c>
      <c r="K262" t="s">
        <v>41</v>
      </c>
      <c r="L262" t="e">
        <f t="shared" si="9"/>
        <v>#VALUE!</v>
      </c>
      <c r="M262" t="s">
        <v>41</v>
      </c>
      <c r="N262" t="s">
        <v>41</v>
      </c>
      <c r="O262" t="s">
        <v>41</v>
      </c>
      <c r="P262" t="s">
        <v>41</v>
      </c>
      <c r="Q262" t="s">
        <v>41</v>
      </c>
      <c r="R262" t="s">
        <v>41</v>
      </c>
      <c r="S262" t="s">
        <v>41</v>
      </c>
      <c r="T262" t="s">
        <v>41</v>
      </c>
      <c r="U262" t="s">
        <v>41</v>
      </c>
      <c r="V262" t="s">
        <v>41</v>
      </c>
      <c r="W262" t="s">
        <v>41</v>
      </c>
      <c r="X262" t="s">
        <v>41</v>
      </c>
      <c r="Y262" t="s">
        <v>41</v>
      </c>
      <c r="Z262" t="s">
        <v>41</v>
      </c>
      <c r="AA262" t="s">
        <v>41</v>
      </c>
      <c r="AB262" t="s">
        <v>41</v>
      </c>
      <c r="AC262" t="s">
        <v>41</v>
      </c>
      <c r="AD262" t="s">
        <v>41</v>
      </c>
      <c r="AE262" t="s">
        <v>41</v>
      </c>
      <c r="AF262" t="s">
        <v>41</v>
      </c>
    </row>
    <row r="263" spans="1:32" x14ac:dyDescent="0.3">
      <c r="A263" t="s">
        <v>135</v>
      </c>
      <c r="B263" t="s">
        <v>198</v>
      </c>
      <c r="C263" t="s">
        <v>259</v>
      </c>
      <c r="D263" t="s">
        <v>41</v>
      </c>
      <c r="E263" t="s">
        <v>41</v>
      </c>
      <c r="F263">
        <v>1</v>
      </c>
      <c r="G263" t="s">
        <v>41</v>
      </c>
      <c r="H263" t="s">
        <v>41</v>
      </c>
      <c r="I263" t="s">
        <v>41</v>
      </c>
      <c r="J263">
        <f t="shared" si="8"/>
        <v>1</v>
      </c>
      <c r="K263" t="s">
        <v>41</v>
      </c>
      <c r="L263" t="e">
        <f t="shared" si="9"/>
        <v>#VALUE!</v>
      </c>
      <c r="M263" t="s">
        <v>41</v>
      </c>
      <c r="N263" t="s">
        <v>41</v>
      </c>
      <c r="O263" t="s">
        <v>41</v>
      </c>
      <c r="P263" t="s">
        <v>41</v>
      </c>
      <c r="Q263" t="s">
        <v>41</v>
      </c>
      <c r="R263" t="s">
        <v>41</v>
      </c>
      <c r="S263" t="s">
        <v>41</v>
      </c>
      <c r="T263" t="s">
        <v>41</v>
      </c>
      <c r="U263" t="s">
        <v>41</v>
      </c>
      <c r="V263" t="s">
        <v>41</v>
      </c>
      <c r="W263" t="s">
        <v>41</v>
      </c>
      <c r="X263" t="s">
        <v>41</v>
      </c>
      <c r="Y263" t="s">
        <v>41</v>
      </c>
      <c r="Z263" t="s">
        <v>41</v>
      </c>
      <c r="AA263" t="s">
        <v>41</v>
      </c>
      <c r="AB263" t="s">
        <v>41</v>
      </c>
      <c r="AC263" t="s">
        <v>41</v>
      </c>
      <c r="AD263" t="s">
        <v>41</v>
      </c>
      <c r="AE263" t="s">
        <v>41</v>
      </c>
      <c r="AF263" t="s">
        <v>41</v>
      </c>
    </row>
    <row r="264" spans="1:32" x14ac:dyDescent="0.3">
      <c r="A264" t="s">
        <v>135</v>
      </c>
      <c r="B264" t="s">
        <v>219</v>
      </c>
      <c r="C264" t="s">
        <v>259</v>
      </c>
      <c r="D264" t="s">
        <v>303</v>
      </c>
      <c r="E264" t="s">
        <v>467</v>
      </c>
      <c r="F264">
        <v>1</v>
      </c>
      <c r="G264">
        <v>1</v>
      </c>
      <c r="H264" t="s">
        <v>41</v>
      </c>
      <c r="I264" t="s">
        <v>41</v>
      </c>
      <c r="J264">
        <f t="shared" si="8"/>
        <v>2</v>
      </c>
      <c r="K264" t="s">
        <v>41</v>
      </c>
      <c r="L264" t="e">
        <f t="shared" si="9"/>
        <v>#VALUE!</v>
      </c>
      <c r="M264" t="s">
        <v>41</v>
      </c>
      <c r="N264">
        <v>2</v>
      </c>
      <c r="O264" t="s">
        <v>41</v>
      </c>
      <c r="P264" t="s">
        <v>41</v>
      </c>
      <c r="Q264" t="s">
        <v>41</v>
      </c>
      <c r="R264" t="s">
        <v>41</v>
      </c>
      <c r="S264" t="s">
        <v>41</v>
      </c>
      <c r="T264">
        <v>0.5</v>
      </c>
      <c r="U264">
        <v>0.5</v>
      </c>
      <c r="V264" t="s">
        <v>41</v>
      </c>
      <c r="W264" t="s">
        <v>41</v>
      </c>
      <c r="X264">
        <v>9</v>
      </c>
      <c r="Y264">
        <v>16</v>
      </c>
      <c r="Z264" t="s">
        <v>41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  <c r="AF264" t="s">
        <v>41</v>
      </c>
    </row>
    <row r="265" spans="1:32" x14ac:dyDescent="0.3">
      <c r="A265" t="s">
        <v>135</v>
      </c>
      <c r="B265" t="s">
        <v>115</v>
      </c>
      <c r="C265" t="s">
        <v>468</v>
      </c>
      <c r="D265" t="s">
        <v>41</v>
      </c>
      <c r="E265" t="s">
        <v>41</v>
      </c>
      <c r="F265">
        <v>1</v>
      </c>
      <c r="G265" t="s">
        <v>41</v>
      </c>
      <c r="H265" t="s">
        <v>41</v>
      </c>
      <c r="I265" t="s">
        <v>41</v>
      </c>
      <c r="J265">
        <f t="shared" si="8"/>
        <v>1</v>
      </c>
      <c r="K265" t="s">
        <v>41</v>
      </c>
      <c r="L265" t="e">
        <f t="shared" si="9"/>
        <v>#VALUE!</v>
      </c>
      <c r="M265">
        <v>1</v>
      </c>
      <c r="N265" t="s">
        <v>41</v>
      </c>
      <c r="O265" t="s">
        <v>41</v>
      </c>
      <c r="P265" t="s">
        <v>41</v>
      </c>
      <c r="Q265" t="s">
        <v>41</v>
      </c>
      <c r="R265" t="s">
        <v>41</v>
      </c>
      <c r="S265" t="s">
        <v>41</v>
      </c>
      <c r="T265" t="s">
        <v>41</v>
      </c>
      <c r="U265" t="s">
        <v>41</v>
      </c>
      <c r="V265" t="s">
        <v>41</v>
      </c>
      <c r="W265" t="s">
        <v>41</v>
      </c>
      <c r="X265" t="s">
        <v>41</v>
      </c>
      <c r="Y265" t="s">
        <v>41</v>
      </c>
      <c r="Z265" t="s">
        <v>41</v>
      </c>
      <c r="AA265" t="s">
        <v>41</v>
      </c>
      <c r="AB265" t="s">
        <v>41</v>
      </c>
      <c r="AC265" t="s">
        <v>41</v>
      </c>
      <c r="AD265">
        <v>2</v>
      </c>
      <c r="AE265">
        <v>4</v>
      </c>
      <c r="AF265">
        <v>2</v>
      </c>
    </row>
    <row r="266" spans="1:32" x14ac:dyDescent="0.3">
      <c r="A266" t="s">
        <v>135</v>
      </c>
      <c r="B266" t="s">
        <v>469</v>
      </c>
      <c r="C266" t="s">
        <v>92</v>
      </c>
      <c r="D266" t="s">
        <v>61</v>
      </c>
      <c r="E266" t="s">
        <v>81</v>
      </c>
      <c r="F266">
        <v>1</v>
      </c>
      <c r="G266">
        <v>1</v>
      </c>
      <c r="H266">
        <v>2</v>
      </c>
      <c r="I266">
        <v>3</v>
      </c>
      <c r="J266">
        <f t="shared" si="8"/>
        <v>7</v>
      </c>
      <c r="K266">
        <v>2</v>
      </c>
      <c r="L266">
        <f t="shared" si="9"/>
        <v>120</v>
      </c>
      <c r="M266">
        <v>4</v>
      </c>
      <c r="N266" t="s">
        <v>41</v>
      </c>
      <c r="O266" t="s">
        <v>41</v>
      </c>
      <c r="P266" t="s">
        <v>41</v>
      </c>
      <c r="Q266" t="s">
        <v>41</v>
      </c>
      <c r="R266" t="s">
        <v>41</v>
      </c>
      <c r="S266" t="s">
        <v>41</v>
      </c>
      <c r="T266" t="s">
        <v>41</v>
      </c>
      <c r="U266" t="s">
        <v>41</v>
      </c>
      <c r="V266" t="s">
        <v>41</v>
      </c>
      <c r="W266" t="s">
        <v>41</v>
      </c>
      <c r="X266" t="s">
        <v>41</v>
      </c>
      <c r="Y266" t="s">
        <v>41</v>
      </c>
      <c r="Z266" t="s">
        <v>41</v>
      </c>
      <c r="AA266" t="s">
        <v>41</v>
      </c>
      <c r="AB266" t="s">
        <v>41</v>
      </c>
      <c r="AC266" t="s">
        <v>41</v>
      </c>
      <c r="AD266">
        <v>5</v>
      </c>
      <c r="AE266" t="s">
        <v>41</v>
      </c>
      <c r="AF266" t="s">
        <v>41</v>
      </c>
    </row>
    <row r="267" spans="1:32" x14ac:dyDescent="0.3">
      <c r="A267" t="s">
        <v>135</v>
      </c>
      <c r="B267" t="s">
        <v>185</v>
      </c>
      <c r="C267" t="s">
        <v>470</v>
      </c>
      <c r="D267" t="s">
        <v>201</v>
      </c>
      <c r="E267" t="s">
        <v>24</v>
      </c>
      <c r="F267">
        <v>1</v>
      </c>
      <c r="G267">
        <v>1</v>
      </c>
      <c r="H267" t="s">
        <v>41</v>
      </c>
      <c r="I267" t="s">
        <v>41</v>
      </c>
      <c r="J267">
        <f t="shared" si="8"/>
        <v>2</v>
      </c>
      <c r="K267" t="s">
        <v>41</v>
      </c>
      <c r="L267" t="e">
        <f t="shared" si="9"/>
        <v>#VALUE!</v>
      </c>
      <c r="M267">
        <v>2</v>
      </c>
      <c r="N267" t="s">
        <v>41</v>
      </c>
      <c r="O267" t="s">
        <v>41</v>
      </c>
      <c r="P267" t="s">
        <v>41</v>
      </c>
      <c r="Q267" t="s">
        <v>41</v>
      </c>
      <c r="R267" t="s">
        <v>41</v>
      </c>
      <c r="S267" t="s">
        <v>41</v>
      </c>
      <c r="T267" t="s">
        <v>41</v>
      </c>
      <c r="U267" t="s">
        <v>41</v>
      </c>
      <c r="V267" t="s">
        <v>41</v>
      </c>
      <c r="W267" t="s">
        <v>41</v>
      </c>
      <c r="X267" t="s">
        <v>41</v>
      </c>
      <c r="Y267" t="s">
        <v>41</v>
      </c>
      <c r="Z267" t="s">
        <v>41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  <c r="AF267" t="s">
        <v>41</v>
      </c>
    </row>
    <row r="268" spans="1:32" x14ac:dyDescent="0.3">
      <c r="A268" t="s">
        <v>135</v>
      </c>
      <c r="B268" t="s">
        <v>471</v>
      </c>
      <c r="C268" t="s">
        <v>472</v>
      </c>
      <c r="D268" t="s">
        <v>473</v>
      </c>
      <c r="E268" t="s">
        <v>134</v>
      </c>
      <c r="F268">
        <v>1</v>
      </c>
      <c r="G268">
        <v>1</v>
      </c>
      <c r="H268" t="s">
        <v>41</v>
      </c>
      <c r="I268">
        <v>2</v>
      </c>
      <c r="J268">
        <f t="shared" si="8"/>
        <v>4</v>
      </c>
      <c r="K268" t="s">
        <v>41</v>
      </c>
      <c r="L268" t="e">
        <f t="shared" si="9"/>
        <v>#VALUE!</v>
      </c>
      <c r="M268">
        <v>6</v>
      </c>
      <c r="N268" t="s">
        <v>41</v>
      </c>
      <c r="O268" t="s">
        <v>41</v>
      </c>
      <c r="P268" t="s">
        <v>41</v>
      </c>
      <c r="Q268" t="s">
        <v>41</v>
      </c>
      <c r="R268" t="s">
        <v>41</v>
      </c>
      <c r="S268" t="s">
        <v>41</v>
      </c>
      <c r="T268">
        <v>1.5</v>
      </c>
      <c r="U268">
        <v>1.5</v>
      </c>
      <c r="V268" t="s">
        <v>41</v>
      </c>
      <c r="W268" t="s">
        <v>41</v>
      </c>
      <c r="X268">
        <v>3</v>
      </c>
      <c r="Y268">
        <v>11</v>
      </c>
      <c r="Z268" t="s">
        <v>41</v>
      </c>
      <c r="AA268" t="s">
        <v>41</v>
      </c>
      <c r="AB268">
        <v>1</v>
      </c>
      <c r="AC268" t="s">
        <v>41</v>
      </c>
      <c r="AD268" t="s">
        <v>41</v>
      </c>
      <c r="AE268" t="s">
        <v>41</v>
      </c>
      <c r="AF268" t="s">
        <v>41</v>
      </c>
    </row>
    <row r="269" spans="1:32" x14ac:dyDescent="0.3">
      <c r="A269" t="s">
        <v>135</v>
      </c>
      <c r="B269" t="s">
        <v>53</v>
      </c>
      <c r="C269" t="s">
        <v>443</v>
      </c>
      <c r="D269" t="s">
        <v>474</v>
      </c>
      <c r="E269" t="s">
        <v>280</v>
      </c>
      <c r="F269">
        <v>1</v>
      </c>
      <c r="G269">
        <v>1</v>
      </c>
      <c r="H269">
        <v>5</v>
      </c>
      <c r="I269">
        <v>3</v>
      </c>
      <c r="J269">
        <f t="shared" si="8"/>
        <v>10</v>
      </c>
      <c r="K269" t="s">
        <v>41</v>
      </c>
      <c r="L269" t="e">
        <f t="shared" si="9"/>
        <v>#VALUE!</v>
      </c>
      <c r="M269">
        <v>2</v>
      </c>
      <c r="N269">
        <v>8</v>
      </c>
      <c r="O269" t="s">
        <v>41</v>
      </c>
      <c r="P269" t="s">
        <v>41</v>
      </c>
      <c r="Q269" t="s">
        <v>41</v>
      </c>
      <c r="R269" t="s">
        <v>41</v>
      </c>
      <c r="S269" t="s">
        <v>41</v>
      </c>
      <c r="T269">
        <v>1</v>
      </c>
      <c r="U269" t="s">
        <v>41</v>
      </c>
      <c r="V269" t="s">
        <v>41</v>
      </c>
      <c r="W269" t="s">
        <v>41</v>
      </c>
      <c r="X269">
        <v>4</v>
      </c>
      <c r="Y269" t="s">
        <v>41</v>
      </c>
      <c r="Z269" t="s">
        <v>41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  <c r="AF269" t="s">
        <v>41</v>
      </c>
    </row>
    <row r="270" spans="1:32" x14ac:dyDescent="0.3">
      <c r="A270" t="s">
        <v>135</v>
      </c>
      <c r="B270" t="s">
        <v>84</v>
      </c>
      <c r="C270" t="s">
        <v>101</v>
      </c>
      <c r="D270" t="s">
        <v>41</v>
      </c>
      <c r="E270" t="s">
        <v>41</v>
      </c>
      <c r="F270">
        <v>1</v>
      </c>
      <c r="G270" t="s">
        <v>41</v>
      </c>
      <c r="H270" t="s">
        <v>41</v>
      </c>
      <c r="I270" t="s">
        <v>41</v>
      </c>
      <c r="J270">
        <f t="shared" si="8"/>
        <v>1</v>
      </c>
      <c r="K270" t="s">
        <v>41</v>
      </c>
      <c r="L270" t="e">
        <f t="shared" si="9"/>
        <v>#VALUE!</v>
      </c>
      <c r="M270" t="s">
        <v>41</v>
      </c>
      <c r="N270" t="s">
        <v>41</v>
      </c>
      <c r="O270" t="s">
        <v>41</v>
      </c>
      <c r="P270" t="s">
        <v>41</v>
      </c>
      <c r="Q270" t="s">
        <v>41</v>
      </c>
      <c r="R270" t="s">
        <v>41</v>
      </c>
      <c r="S270" t="s">
        <v>41</v>
      </c>
      <c r="T270">
        <v>0.5</v>
      </c>
      <c r="U270" t="s">
        <v>41</v>
      </c>
      <c r="V270" t="s">
        <v>41</v>
      </c>
      <c r="W270" t="s">
        <v>41</v>
      </c>
      <c r="X270">
        <v>3</v>
      </c>
      <c r="Y270" t="s">
        <v>41</v>
      </c>
      <c r="Z270" t="s">
        <v>41</v>
      </c>
      <c r="AA270" t="s">
        <v>41</v>
      </c>
      <c r="AB270" t="s">
        <v>41</v>
      </c>
      <c r="AC270" t="s">
        <v>41</v>
      </c>
      <c r="AD270" t="s">
        <v>41</v>
      </c>
      <c r="AE270" t="s">
        <v>41</v>
      </c>
      <c r="AF270" t="s">
        <v>41</v>
      </c>
    </row>
    <row r="271" spans="1:32" x14ac:dyDescent="0.3">
      <c r="A271" t="s">
        <v>135</v>
      </c>
      <c r="B271" t="s">
        <v>267</v>
      </c>
      <c r="C271" t="s">
        <v>53</v>
      </c>
      <c r="D271" t="s">
        <v>94</v>
      </c>
      <c r="E271" t="s">
        <v>153</v>
      </c>
      <c r="F271">
        <v>1</v>
      </c>
      <c r="G271">
        <v>1</v>
      </c>
      <c r="H271" t="s">
        <v>41</v>
      </c>
      <c r="I271">
        <v>2</v>
      </c>
      <c r="J271">
        <f t="shared" si="8"/>
        <v>4</v>
      </c>
      <c r="K271" t="s">
        <v>41</v>
      </c>
      <c r="L271" t="e">
        <f t="shared" si="9"/>
        <v>#VALUE!</v>
      </c>
      <c r="M271">
        <v>2</v>
      </c>
      <c r="N271" t="s">
        <v>41</v>
      </c>
      <c r="O271" t="s">
        <v>41</v>
      </c>
      <c r="P271" t="s">
        <v>41</v>
      </c>
      <c r="Q271" t="s">
        <v>41</v>
      </c>
      <c r="R271" t="s">
        <v>41</v>
      </c>
      <c r="S271" t="s">
        <v>41</v>
      </c>
      <c r="T271" t="s">
        <v>41</v>
      </c>
      <c r="U271" t="s">
        <v>41</v>
      </c>
      <c r="V271" t="s">
        <v>41</v>
      </c>
      <c r="W271" t="s">
        <v>41</v>
      </c>
      <c r="X271" t="s">
        <v>41</v>
      </c>
      <c r="Y271" t="s">
        <v>41</v>
      </c>
      <c r="Z271" t="s">
        <v>41</v>
      </c>
      <c r="AA271" t="s">
        <v>41</v>
      </c>
      <c r="AB271" t="s">
        <v>41</v>
      </c>
      <c r="AC271" t="s">
        <v>41</v>
      </c>
      <c r="AD271">
        <v>5</v>
      </c>
      <c r="AE271" t="s">
        <v>41</v>
      </c>
      <c r="AF271">
        <v>4</v>
      </c>
    </row>
    <row r="272" spans="1:32" x14ac:dyDescent="0.3">
      <c r="A272" t="s">
        <v>135</v>
      </c>
      <c r="B272" t="s">
        <v>60</v>
      </c>
      <c r="C272" t="s">
        <v>475</v>
      </c>
      <c r="D272" t="s">
        <v>41</v>
      </c>
      <c r="E272" t="s">
        <v>41</v>
      </c>
      <c r="F272">
        <v>1</v>
      </c>
      <c r="G272" t="s">
        <v>41</v>
      </c>
      <c r="H272" t="s">
        <v>41</v>
      </c>
      <c r="I272" t="s">
        <v>41</v>
      </c>
      <c r="J272">
        <f t="shared" si="8"/>
        <v>1</v>
      </c>
      <c r="K272" t="s">
        <v>41</v>
      </c>
      <c r="L272" t="e">
        <f t="shared" si="9"/>
        <v>#VALUE!</v>
      </c>
      <c r="M272">
        <v>1</v>
      </c>
      <c r="N272">
        <v>5</v>
      </c>
      <c r="O272" t="s">
        <v>41</v>
      </c>
      <c r="P272" t="s">
        <v>41</v>
      </c>
      <c r="Q272" t="s">
        <v>41</v>
      </c>
      <c r="R272" t="s">
        <v>41</v>
      </c>
      <c r="S272" t="s">
        <v>41</v>
      </c>
      <c r="T272">
        <v>0.5</v>
      </c>
      <c r="U272" t="s">
        <v>41</v>
      </c>
      <c r="V272" t="s">
        <v>41</v>
      </c>
      <c r="W272" t="s">
        <v>41</v>
      </c>
      <c r="X272">
        <v>3</v>
      </c>
      <c r="Y272" t="s">
        <v>41</v>
      </c>
      <c r="Z272" t="s">
        <v>41</v>
      </c>
      <c r="AA272" t="s">
        <v>41</v>
      </c>
      <c r="AB272">
        <v>1</v>
      </c>
      <c r="AC272" t="s">
        <v>41</v>
      </c>
      <c r="AD272">
        <v>2</v>
      </c>
      <c r="AE272">
        <v>6</v>
      </c>
      <c r="AF272" t="s">
        <v>41</v>
      </c>
    </row>
    <row r="273" spans="1:32" x14ac:dyDescent="0.3">
      <c r="A273" t="s">
        <v>135</v>
      </c>
      <c r="B273" t="s">
        <v>243</v>
      </c>
      <c r="C273" t="s">
        <v>124</v>
      </c>
      <c r="D273" t="s">
        <v>41</v>
      </c>
      <c r="E273" t="s">
        <v>41</v>
      </c>
      <c r="F273">
        <v>1</v>
      </c>
      <c r="G273" t="s">
        <v>41</v>
      </c>
      <c r="H273" t="s">
        <v>41</v>
      </c>
      <c r="I273" t="s">
        <v>41</v>
      </c>
      <c r="J273">
        <f t="shared" si="8"/>
        <v>1</v>
      </c>
      <c r="K273">
        <v>1</v>
      </c>
      <c r="L273">
        <f t="shared" si="9"/>
        <v>60</v>
      </c>
      <c r="M273" t="s">
        <v>41</v>
      </c>
      <c r="N273" t="s">
        <v>41</v>
      </c>
      <c r="O273" t="s">
        <v>41</v>
      </c>
      <c r="P273" t="s">
        <v>41</v>
      </c>
      <c r="Q273" t="s">
        <v>41</v>
      </c>
      <c r="R273" t="s">
        <v>41</v>
      </c>
      <c r="S273" t="s">
        <v>41</v>
      </c>
      <c r="T273" t="s">
        <v>41</v>
      </c>
      <c r="U273" t="s">
        <v>41</v>
      </c>
      <c r="V273" t="s">
        <v>41</v>
      </c>
      <c r="W273" t="s">
        <v>41</v>
      </c>
      <c r="X273" t="s">
        <v>41</v>
      </c>
      <c r="Y273" t="s">
        <v>41</v>
      </c>
      <c r="Z273" t="s">
        <v>41</v>
      </c>
      <c r="AA273" t="s">
        <v>41</v>
      </c>
      <c r="AB273" t="s">
        <v>41</v>
      </c>
      <c r="AC273" t="s">
        <v>41</v>
      </c>
      <c r="AD273">
        <v>1</v>
      </c>
      <c r="AE273">
        <v>4</v>
      </c>
      <c r="AF273" t="s">
        <v>41</v>
      </c>
    </row>
    <row r="274" spans="1:32" x14ac:dyDescent="0.3">
      <c r="A274" t="s">
        <v>135</v>
      </c>
      <c r="B274" t="s">
        <v>91</v>
      </c>
      <c r="C274" t="s">
        <v>476</v>
      </c>
      <c r="D274" t="s">
        <v>30</v>
      </c>
      <c r="E274" t="s">
        <v>195</v>
      </c>
      <c r="F274">
        <v>1</v>
      </c>
      <c r="G274">
        <v>1</v>
      </c>
      <c r="H274">
        <v>2</v>
      </c>
      <c r="I274">
        <v>2</v>
      </c>
      <c r="J274">
        <f t="shared" si="8"/>
        <v>6</v>
      </c>
      <c r="K274" t="s">
        <v>41</v>
      </c>
      <c r="L274" t="e">
        <f t="shared" si="9"/>
        <v>#VALUE!</v>
      </c>
      <c r="M274">
        <v>1</v>
      </c>
      <c r="N274" t="s">
        <v>41</v>
      </c>
      <c r="O274" t="s">
        <v>41</v>
      </c>
      <c r="P274" t="s">
        <v>41</v>
      </c>
      <c r="Q274" t="s">
        <v>41</v>
      </c>
      <c r="R274" t="s">
        <v>41</v>
      </c>
      <c r="S274" t="s">
        <v>41</v>
      </c>
      <c r="T274">
        <v>0.5</v>
      </c>
      <c r="U274" t="s">
        <v>41</v>
      </c>
      <c r="V274" t="s">
        <v>41</v>
      </c>
      <c r="W274" t="s">
        <v>41</v>
      </c>
      <c r="X274">
        <v>2</v>
      </c>
      <c r="Y274" t="s">
        <v>41</v>
      </c>
      <c r="Z274" t="s">
        <v>41</v>
      </c>
      <c r="AA274" t="s">
        <v>41</v>
      </c>
      <c r="AB274" t="s">
        <v>41</v>
      </c>
      <c r="AC274" t="s">
        <v>41</v>
      </c>
      <c r="AD274" t="s">
        <v>41</v>
      </c>
      <c r="AE274" t="s">
        <v>41</v>
      </c>
      <c r="AF274" t="s">
        <v>41</v>
      </c>
    </row>
    <row r="275" spans="1:32" x14ac:dyDescent="0.3">
      <c r="A275" t="s">
        <v>135</v>
      </c>
      <c r="B275" t="s">
        <v>47</v>
      </c>
      <c r="C275" t="s">
        <v>482</v>
      </c>
      <c r="D275" t="s">
        <v>477</v>
      </c>
      <c r="E275" t="s">
        <v>226</v>
      </c>
      <c r="F275">
        <v>1</v>
      </c>
      <c r="G275">
        <v>1</v>
      </c>
      <c r="H275">
        <v>1</v>
      </c>
      <c r="I275">
        <v>2</v>
      </c>
      <c r="J275">
        <f t="shared" si="8"/>
        <v>5</v>
      </c>
      <c r="K275" t="s">
        <v>41</v>
      </c>
      <c r="L275" t="e">
        <f t="shared" si="9"/>
        <v>#VALUE!</v>
      </c>
      <c r="M275" t="s">
        <v>41</v>
      </c>
      <c r="N275" t="s">
        <v>41</v>
      </c>
      <c r="O275" t="s">
        <v>41</v>
      </c>
      <c r="P275" t="s">
        <v>41</v>
      </c>
      <c r="Q275" t="s">
        <v>41</v>
      </c>
      <c r="R275" t="s">
        <v>41</v>
      </c>
      <c r="S275" t="s">
        <v>41</v>
      </c>
      <c r="T275" t="s">
        <v>41</v>
      </c>
      <c r="U275" t="s">
        <v>41</v>
      </c>
      <c r="V275" t="s">
        <v>41</v>
      </c>
      <c r="W275" t="s">
        <v>41</v>
      </c>
      <c r="X275" t="s">
        <v>41</v>
      </c>
      <c r="Y275" t="s">
        <v>41</v>
      </c>
      <c r="Z275" t="s">
        <v>41</v>
      </c>
      <c r="AA275" t="s">
        <v>41</v>
      </c>
      <c r="AB275" t="s">
        <v>41</v>
      </c>
      <c r="AC275" t="s">
        <v>41</v>
      </c>
      <c r="AD275" t="s">
        <v>41</v>
      </c>
      <c r="AE275" t="s">
        <v>41</v>
      </c>
      <c r="AF275" t="s">
        <v>41</v>
      </c>
    </row>
    <row r="276" spans="1:32" x14ac:dyDescent="0.3">
      <c r="A276" t="s">
        <v>135</v>
      </c>
      <c r="B276" t="s">
        <v>478</v>
      </c>
      <c r="C276" t="s">
        <v>124</v>
      </c>
      <c r="D276" t="s">
        <v>187</v>
      </c>
      <c r="E276" t="s">
        <v>315</v>
      </c>
      <c r="F276">
        <v>1</v>
      </c>
      <c r="G276">
        <v>1</v>
      </c>
      <c r="H276" t="s">
        <v>41</v>
      </c>
      <c r="I276">
        <v>2</v>
      </c>
      <c r="J276">
        <f t="shared" si="8"/>
        <v>4</v>
      </c>
      <c r="K276" t="s">
        <v>41</v>
      </c>
      <c r="L276" t="e">
        <f t="shared" si="9"/>
        <v>#VALUE!</v>
      </c>
      <c r="M276" t="s">
        <v>41</v>
      </c>
      <c r="N276">
        <v>4</v>
      </c>
      <c r="O276">
        <v>12</v>
      </c>
      <c r="P276" t="s">
        <v>41</v>
      </c>
      <c r="Q276" t="s">
        <v>41</v>
      </c>
      <c r="R276" t="s">
        <v>41</v>
      </c>
      <c r="S276" t="s">
        <v>41</v>
      </c>
      <c r="T276">
        <v>0.75</v>
      </c>
      <c r="U276">
        <v>0.5</v>
      </c>
      <c r="V276" t="s">
        <v>41</v>
      </c>
      <c r="W276" t="s">
        <v>41</v>
      </c>
      <c r="X276">
        <v>5</v>
      </c>
      <c r="Y276">
        <v>11</v>
      </c>
      <c r="Z276" t="s">
        <v>41</v>
      </c>
      <c r="AA276" t="s">
        <v>41</v>
      </c>
      <c r="AB276" t="s">
        <v>41</v>
      </c>
      <c r="AC276" t="s">
        <v>41</v>
      </c>
      <c r="AD276">
        <v>6</v>
      </c>
      <c r="AE276">
        <v>2</v>
      </c>
      <c r="AF276">
        <v>4</v>
      </c>
    </row>
    <row r="277" spans="1:32" x14ac:dyDescent="0.3">
      <c r="A277" t="s">
        <v>135</v>
      </c>
      <c r="B277" t="s">
        <v>71</v>
      </c>
      <c r="C277" t="s">
        <v>479</v>
      </c>
      <c r="D277" t="s">
        <v>480</v>
      </c>
      <c r="E277" t="s">
        <v>481</v>
      </c>
      <c r="F277">
        <v>1</v>
      </c>
      <c r="G277">
        <v>1</v>
      </c>
      <c r="H277">
        <v>2</v>
      </c>
      <c r="I277" t="s">
        <v>41</v>
      </c>
      <c r="J277">
        <f t="shared" si="8"/>
        <v>4</v>
      </c>
      <c r="K277" t="s">
        <v>41</v>
      </c>
      <c r="L277" t="e">
        <f t="shared" si="9"/>
        <v>#VALUE!</v>
      </c>
      <c r="M277" t="s">
        <v>41</v>
      </c>
      <c r="N277" t="s">
        <v>41</v>
      </c>
      <c r="O277" t="s">
        <v>41</v>
      </c>
      <c r="P277" t="s">
        <v>41</v>
      </c>
      <c r="Q277" t="s">
        <v>41</v>
      </c>
      <c r="R277" t="s">
        <v>41</v>
      </c>
      <c r="S277" t="s">
        <v>41</v>
      </c>
      <c r="T277" t="s">
        <v>41</v>
      </c>
      <c r="U277" t="s">
        <v>41</v>
      </c>
      <c r="V277" t="s">
        <v>41</v>
      </c>
      <c r="W277" t="s">
        <v>41</v>
      </c>
      <c r="X277" t="s">
        <v>41</v>
      </c>
      <c r="Y277" t="s">
        <v>41</v>
      </c>
      <c r="Z277" t="s">
        <v>41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s">
        <v>41</v>
      </c>
    </row>
    <row r="278" spans="1:32" x14ac:dyDescent="0.3">
      <c r="A278" t="s">
        <v>135</v>
      </c>
      <c r="B278" t="s">
        <v>34</v>
      </c>
      <c r="C278" t="s">
        <v>476</v>
      </c>
      <c r="D278" t="s">
        <v>41</v>
      </c>
      <c r="E278" t="s">
        <v>41</v>
      </c>
      <c r="F278">
        <v>1</v>
      </c>
      <c r="G278" t="s">
        <v>41</v>
      </c>
      <c r="H278" t="s">
        <v>41</v>
      </c>
      <c r="I278" t="s">
        <v>41</v>
      </c>
      <c r="J278">
        <f t="shared" si="8"/>
        <v>1</v>
      </c>
      <c r="K278" t="s">
        <v>41</v>
      </c>
      <c r="L278" t="e">
        <f t="shared" si="9"/>
        <v>#VALUE!</v>
      </c>
      <c r="M278" t="s">
        <v>41</v>
      </c>
      <c r="N278" t="s">
        <v>41</v>
      </c>
      <c r="O278" t="s">
        <v>41</v>
      </c>
      <c r="P278" t="s">
        <v>41</v>
      </c>
      <c r="Q278" t="s">
        <v>41</v>
      </c>
      <c r="R278" t="s">
        <v>41</v>
      </c>
      <c r="S278" t="s">
        <v>41</v>
      </c>
      <c r="T278" t="s">
        <v>41</v>
      </c>
      <c r="U278" t="s">
        <v>41</v>
      </c>
      <c r="V278" t="s">
        <v>41</v>
      </c>
      <c r="W278" t="s">
        <v>41</v>
      </c>
      <c r="X278" t="s">
        <v>41</v>
      </c>
      <c r="Y278" t="s">
        <v>41</v>
      </c>
      <c r="Z278" t="s">
        <v>41</v>
      </c>
      <c r="AA278" t="s">
        <v>41</v>
      </c>
      <c r="AB278" t="s">
        <v>41</v>
      </c>
      <c r="AC278" t="s">
        <v>41</v>
      </c>
      <c r="AD278" t="s">
        <v>41</v>
      </c>
      <c r="AE278" t="s">
        <v>41</v>
      </c>
      <c r="AF278" t="s">
        <v>41</v>
      </c>
    </row>
    <row r="279" spans="1:32" x14ac:dyDescent="0.3">
      <c r="A279" t="s">
        <v>135</v>
      </c>
      <c r="B279" t="s">
        <v>345</v>
      </c>
      <c r="C279" t="s">
        <v>482</v>
      </c>
      <c r="D279" t="s">
        <v>255</v>
      </c>
      <c r="E279" t="s">
        <v>75</v>
      </c>
      <c r="F279">
        <v>1</v>
      </c>
      <c r="G279">
        <v>1</v>
      </c>
      <c r="H279">
        <v>1</v>
      </c>
      <c r="I279" t="s">
        <v>41</v>
      </c>
      <c r="J279">
        <f t="shared" si="8"/>
        <v>3</v>
      </c>
      <c r="K279" t="s">
        <v>41</v>
      </c>
      <c r="L279" t="e">
        <f t="shared" si="9"/>
        <v>#VALUE!</v>
      </c>
      <c r="M279" t="s">
        <v>41</v>
      </c>
      <c r="N279" t="s">
        <v>41</v>
      </c>
      <c r="O279" t="s">
        <v>41</v>
      </c>
      <c r="P279" t="s">
        <v>41</v>
      </c>
      <c r="Q279" t="s">
        <v>41</v>
      </c>
      <c r="R279" t="s">
        <v>41</v>
      </c>
      <c r="S279" t="s">
        <v>41</v>
      </c>
      <c r="T279">
        <v>1</v>
      </c>
      <c r="U279" t="s">
        <v>41</v>
      </c>
      <c r="V279" t="s">
        <v>41</v>
      </c>
      <c r="W279" t="s">
        <v>41</v>
      </c>
      <c r="X279">
        <v>6</v>
      </c>
      <c r="Y279" t="s">
        <v>41</v>
      </c>
      <c r="Z279" t="s">
        <v>41</v>
      </c>
      <c r="AA279" t="s">
        <v>41</v>
      </c>
      <c r="AB279" t="s">
        <v>41</v>
      </c>
      <c r="AC279" t="s">
        <v>41</v>
      </c>
      <c r="AD279" t="s">
        <v>41</v>
      </c>
      <c r="AE279" t="s">
        <v>41</v>
      </c>
      <c r="AF279" t="s">
        <v>41</v>
      </c>
    </row>
    <row r="280" spans="1:32" x14ac:dyDescent="0.3">
      <c r="A280" t="s">
        <v>135</v>
      </c>
      <c r="B280" t="s">
        <v>123</v>
      </c>
      <c r="C280" t="s">
        <v>124</v>
      </c>
      <c r="D280" t="s">
        <v>483</v>
      </c>
      <c r="E280" t="s">
        <v>109</v>
      </c>
      <c r="F280">
        <v>1</v>
      </c>
      <c r="G280">
        <v>1</v>
      </c>
      <c r="H280" t="s">
        <v>41</v>
      </c>
      <c r="I280">
        <v>2</v>
      </c>
      <c r="J280">
        <f t="shared" si="8"/>
        <v>4</v>
      </c>
      <c r="K280" t="s">
        <v>41</v>
      </c>
      <c r="L280" t="e">
        <f t="shared" si="9"/>
        <v>#VALUE!</v>
      </c>
      <c r="M280">
        <v>1</v>
      </c>
      <c r="N280" t="s">
        <v>41</v>
      </c>
      <c r="O280" t="s">
        <v>41</v>
      </c>
      <c r="P280" t="s">
        <v>41</v>
      </c>
      <c r="Q280" t="s">
        <v>41</v>
      </c>
      <c r="R280" t="s">
        <v>41</v>
      </c>
      <c r="S280" t="s">
        <v>41</v>
      </c>
      <c r="T280" t="s">
        <v>41</v>
      </c>
      <c r="U280" t="s">
        <v>41</v>
      </c>
      <c r="V280" t="s">
        <v>41</v>
      </c>
      <c r="W280" t="s">
        <v>41</v>
      </c>
      <c r="X280" t="s">
        <v>41</v>
      </c>
      <c r="Y280" t="s">
        <v>41</v>
      </c>
      <c r="Z280" t="s">
        <v>41</v>
      </c>
      <c r="AA280" t="s">
        <v>41</v>
      </c>
      <c r="AB280" t="s">
        <v>41</v>
      </c>
      <c r="AC280" t="s">
        <v>41</v>
      </c>
      <c r="AD280" t="s">
        <v>41</v>
      </c>
      <c r="AE280" t="s">
        <v>41</v>
      </c>
      <c r="AF280" t="s">
        <v>41</v>
      </c>
    </row>
    <row r="281" spans="1:32" x14ac:dyDescent="0.3">
      <c r="A281" t="s">
        <v>135</v>
      </c>
      <c r="B281" t="s">
        <v>133</v>
      </c>
      <c r="C281" t="s">
        <v>484</v>
      </c>
      <c r="D281" t="s">
        <v>41</v>
      </c>
      <c r="E281" t="s">
        <v>41</v>
      </c>
      <c r="F281">
        <v>1</v>
      </c>
      <c r="G281" t="s">
        <v>41</v>
      </c>
      <c r="H281">
        <v>1</v>
      </c>
      <c r="I281" t="s">
        <v>41</v>
      </c>
      <c r="J281">
        <f t="shared" si="8"/>
        <v>2</v>
      </c>
      <c r="K281" t="s">
        <v>41</v>
      </c>
      <c r="L281" t="e">
        <f t="shared" si="9"/>
        <v>#VALUE!</v>
      </c>
      <c r="M281" t="s">
        <v>41</v>
      </c>
      <c r="N281" t="s">
        <v>41</v>
      </c>
      <c r="O281" t="s">
        <v>41</v>
      </c>
      <c r="P281" t="s">
        <v>41</v>
      </c>
      <c r="Q281" t="s">
        <v>41</v>
      </c>
      <c r="R281" t="s">
        <v>41</v>
      </c>
      <c r="S281" t="s">
        <v>41</v>
      </c>
      <c r="T281" t="s">
        <v>41</v>
      </c>
      <c r="U281" t="s">
        <v>41</v>
      </c>
      <c r="V281" t="s">
        <v>41</v>
      </c>
      <c r="W281" t="s">
        <v>41</v>
      </c>
      <c r="X281">
        <v>2</v>
      </c>
      <c r="Y281">
        <v>4</v>
      </c>
      <c r="Z281" t="s">
        <v>41</v>
      </c>
      <c r="AA281" t="s">
        <v>41</v>
      </c>
      <c r="AB281" t="s">
        <v>41</v>
      </c>
      <c r="AC281" t="s">
        <v>41</v>
      </c>
      <c r="AD281" t="s">
        <v>41</v>
      </c>
      <c r="AE281" t="s">
        <v>41</v>
      </c>
      <c r="AF281" t="s">
        <v>41</v>
      </c>
    </row>
    <row r="282" spans="1:32" x14ac:dyDescent="0.3">
      <c r="A282" t="s">
        <v>135</v>
      </c>
      <c r="B282" t="s">
        <v>222</v>
      </c>
      <c r="C282" t="s">
        <v>484</v>
      </c>
      <c r="D282" t="s">
        <v>41</v>
      </c>
      <c r="E282" t="s">
        <v>41</v>
      </c>
      <c r="F282">
        <v>1</v>
      </c>
      <c r="G282" t="s">
        <v>41</v>
      </c>
      <c r="H282">
        <v>1</v>
      </c>
      <c r="I282" t="s">
        <v>41</v>
      </c>
      <c r="J282">
        <f t="shared" si="8"/>
        <v>2</v>
      </c>
      <c r="K282" t="s">
        <v>41</v>
      </c>
      <c r="L282" t="e">
        <f t="shared" si="9"/>
        <v>#VALUE!</v>
      </c>
      <c r="M282">
        <v>2</v>
      </c>
      <c r="N282" t="s">
        <v>41</v>
      </c>
      <c r="O282" t="s">
        <v>41</v>
      </c>
      <c r="P282" t="s">
        <v>41</v>
      </c>
      <c r="Q282" t="s">
        <v>41</v>
      </c>
      <c r="R282" t="s">
        <v>41</v>
      </c>
      <c r="S282" t="s">
        <v>41</v>
      </c>
      <c r="T282">
        <v>0.5</v>
      </c>
      <c r="U282" t="s">
        <v>41</v>
      </c>
      <c r="V282" t="s">
        <v>41</v>
      </c>
      <c r="W282" t="s">
        <v>41</v>
      </c>
      <c r="X282">
        <v>4</v>
      </c>
      <c r="Y282" t="s">
        <v>41</v>
      </c>
      <c r="Z282" t="s">
        <v>41</v>
      </c>
      <c r="AA282" t="s">
        <v>41</v>
      </c>
      <c r="AB282" t="s">
        <v>41</v>
      </c>
      <c r="AC282" t="s">
        <v>41</v>
      </c>
      <c r="AD282">
        <v>2</v>
      </c>
      <c r="AE282">
        <v>6</v>
      </c>
      <c r="AF282" t="s">
        <v>41</v>
      </c>
    </row>
    <row r="283" spans="1:32" x14ac:dyDescent="0.3">
      <c r="A283" t="s">
        <v>135</v>
      </c>
      <c r="B283" t="s">
        <v>485</v>
      </c>
      <c r="C283" t="s">
        <v>33</v>
      </c>
      <c r="D283" t="s">
        <v>486</v>
      </c>
      <c r="E283" t="s">
        <v>124</v>
      </c>
      <c r="F283">
        <v>1</v>
      </c>
      <c r="G283">
        <v>1</v>
      </c>
      <c r="H283" t="s">
        <v>41</v>
      </c>
      <c r="I283">
        <v>2</v>
      </c>
      <c r="J283">
        <f t="shared" si="8"/>
        <v>4</v>
      </c>
      <c r="K283" t="s">
        <v>41</v>
      </c>
      <c r="L283" t="e">
        <f t="shared" si="9"/>
        <v>#VALUE!</v>
      </c>
      <c r="M283" t="s">
        <v>41</v>
      </c>
      <c r="N283" t="s">
        <v>41</v>
      </c>
      <c r="O283" t="s">
        <v>41</v>
      </c>
      <c r="P283" t="s">
        <v>41</v>
      </c>
      <c r="Q283" t="s">
        <v>41</v>
      </c>
      <c r="R283" t="s">
        <v>41</v>
      </c>
      <c r="S283" t="s">
        <v>41</v>
      </c>
      <c r="T283" t="s">
        <v>41</v>
      </c>
      <c r="U283" t="s">
        <v>41</v>
      </c>
      <c r="V283" t="s">
        <v>41</v>
      </c>
      <c r="W283" t="s">
        <v>41</v>
      </c>
      <c r="X283" t="s">
        <v>41</v>
      </c>
      <c r="Y283" t="s">
        <v>41</v>
      </c>
      <c r="Z283" t="s">
        <v>41</v>
      </c>
      <c r="AA283" t="s">
        <v>41</v>
      </c>
      <c r="AB283" t="s">
        <v>41</v>
      </c>
      <c r="AC283" t="s">
        <v>41</v>
      </c>
      <c r="AD283" t="s">
        <v>41</v>
      </c>
      <c r="AE283" t="s">
        <v>41</v>
      </c>
      <c r="AF283" t="s">
        <v>41</v>
      </c>
    </row>
    <row r="284" spans="1:32" x14ac:dyDescent="0.3">
      <c r="A284" t="s">
        <v>135</v>
      </c>
      <c r="B284" t="s">
        <v>487</v>
      </c>
      <c r="C284" t="s">
        <v>51</v>
      </c>
      <c r="D284" t="s">
        <v>285</v>
      </c>
      <c r="E284" t="s">
        <v>212</v>
      </c>
      <c r="F284">
        <v>1</v>
      </c>
      <c r="G284">
        <v>1</v>
      </c>
      <c r="H284" t="s">
        <v>41</v>
      </c>
      <c r="I284" t="s">
        <v>41</v>
      </c>
      <c r="J284">
        <f t="shared" si="8"/>
        <v>2</v>
      </c>
      <c r="K284" t="s">
        <v>41</v>
      </c>
      <c r="L284" t="e">
        <f t="shared" si="9"/>
        <v>#VALUE!</v>
      </c>
      <c r="M284" t="s">
        <v>41</v>
      </c>
      <c r="N284" t="s">
        <v>41</v>
      </c>
      <c r="O284" t="s">
        <v>41</v>
      </c>
      <c r="P284" t="s">
        <v>41</v>
      </c>
      <c r="Q284" t="s">
        <v>41</v>
      </c>
      <c r="R284" t="s">
        <v>41</v>
      </c>
      <c r="S284" t="s">
        <v>41</v>
      </c>
      <c r="T284" t="s">
        <v>41</v>
      </c>
      <c r="U284" t="s">
        <v>41</v>
      </c>
      <c r="V284" t="s">
        <v>41</v>
      </c>
      <c r="W284" t="s">
        <v>41</v>
      </c>
      <c r="X284" t="s">
        <v>41</v>
      </c>
      <c r="Y284" t="s">
        <v>41</v>
      </c>
      <c r="Z284" t="s">
        <v>41</v>
      </c>
      <c r="AA284" t="s">
        <v>41</v>
      </c>
      <c r="AB284" t="s">
        <v>41</v>
      </c>
      <c r="AC284" t="s">
        <v>41</v>
      </c>
      <c r="AD284">
        <v>2</v>
      </c>
      <c r="AE284">
        <v>4</v>
      </c>
      <c r="AF284" t="s">
        <v>41</v>
      </c>
    </row>
    <row r="285" spans="1:32" x14ac:dyDescent="0.3">
      <c r="A285" t="s">
        <v>135</v>
      </c>
      <c r="B285" t="s">
        <v>350</v>
      </c>
      <c r="C285" t="s">
        <v>445</v>
      </c>
      <c r="D285" t="s">
        <v>112</v>
      </c>
      <c r="E285" t="s">
        <v>210</v>
      </c>
      <c r="F285">
        <v>1</v>
      </c>
      <c r="G285">
        <v>1</v>
      </c>
      <c r="H285" t="s">
        <v>41</v>
      </c>
      <c r="I285" t="s">
        <v>41</v>
      </c>
      <c r="J285">
        <f t="shared" si="8"/>
        <v>2</v>
      </c>
      <c r="K285" t="s">
        <v>41</v>
      </c>
      <c r="L285" t="e">
        <f t="shared" si="9"/>
        <v>#VALUE!</v>
      </c>
      <c r="M285" t="s">
        <v>41</v>
      </c>
      <c r="N285" t="s">
        <v>41</v>
      </c>
      <c r="O285" t="s">
        <v>41</v>
      </c>
      <c r="P285" t="s">
        <v>41</v>
      </c>
      <c r="Q285" t="s">
        <v>41</v>
      </c>
      <c r="R285" t="s">
        <v>41</v>
      </c>
      <c r="S285" t="s">
        <v>41</v>
      </c>
      <c r="T285" t="s">
        <v>41</v>
      </c>
      <c r="U285" t="s">
        <v>41</v>
      </c>
      <c r="V285" t="s">
        <v>41</v>
      </c>
      <c r="W285" t="s">
        <v>41</v>
      </c>
      <c r="X285" t="s">
        <v>41</v>
      </c>
      <c r="Y285" t="s">
        <v>41</v>
      </c>
      <c r="Z285" t="s">
        <v>41</v>
      </c>
      <c r="AA285" t="s">
        <v>41</v>
      </c>
      <c r="AB285" t="s">
        <v>41</v>
      </c>
      <c r="AC285" t="s">
        <v>41</v>
      </c>
      <c r="AD285" t="s">
        <v>41</v>
      </c>
      <c r="AE285" t="s">
        <v>41</v>
      </c>
      <c r="AF285" t="s">
        <v>41</v>
      </c>
    </row>
    <row r="286" spans="1:32" x14ac:dyDescent="0.3">
      <c r="A286" t="s">
        <v>135</v>
      </c>
      <c r="B286" t="s">
        <v>290</v>
      </c>
      <c r="C286" t="s">
        <v>51</v>
      </c>
      <c r="D286" t="s">
        <v>41</v>
      </c>
      <c r="E286" t="s">
        <v>41</v>
      </c>
      <c r="F286">
        <v>1</v>
      </c>
      <c r="G286" t="s">
        <v>41</v>
      </c>
      <c r="H286" t="s">
        <v>41</v>
      </c>
      <c r="I286" t="s">
        <v>41</v>
      </c>
      <c r="J286">
        <f t="shared" si="8"/>
        <v>1</v>
      </c>
      <c r="K286" t="s">
        <v>41</v>
      </c>
      <c r="L286" t="e">
        <f t="shared" si="9"/>
        <v>#VALUE!</v>
      </c>
      <c r="M286" t="s">
        <v>41</v>
      </c>
      <c r="N286" t="s">
        <v>41</v>
      </c>
      <c r="O286" t="s">
        <v>41</v>
      </c>
      <c r="P286" t="s">
        <v>41</v>
      </c>
      <c r="Q286" t="s">
        <v>41</v>
      </c>
      <c r="R286" t="s">
        <v>41</v>
      </c>
      <c r="S286" t="s">
        <v>41</v>
      </c>
      <c r="T286" t="s">
        <v>41</v>
      </c>
      <c r="U286" t="s">
        <v>41</v>
      </c>
      <c r="V286" t="s">
        <v>41</v>
      </c>
      <c r="W286" t="s">
        <v>41</v>
      </c>
      <c r="X286" t="s">
        <v>41</v>
      </c>
      <c r="Y286" t="s">
        <v>41</v>
      </c>
      <c r="Z286" t="s">
        <v>41</v>
      </c>
      <c r="AA286" t="s">
        <v>41</v>
      </c>
      <c r="AB286" t="s">
        <v>41</v>
      </c>
      <c r="AC286" t="s">
        <v>41</v>
      </c>
      <c r="AD286">
        <v>2</v>
      </c>
      <c r="AE286">
        <v>4</v>
      </c>
      <c r="AF286" t="s">
        <v>41</v>
      </c>
    </row>
    <row r="287" spans="1:32" x14ac:dyDescent="0.3">
      <c r="A287" t="s">
        <v>135</v>
      </c>
      <c r="B287" t="s">
        <v>488</v>
      </c>
      <c r="C287" t="s">
        <v>51</v>
      </c>
      <c r="D287" t="s">
        <v>41</v>
      </c>
      <c r="E287" t="s">
        <v>41</v>
      </c>
      <c r="F287">
        <v>1</v>
      </c>
      <c r="G287" t="s">
        <v>41</v>
      </c>
      <c r="H287" t="s">
        <v>41</v>
      </c>
      <c r="I287" t="s">
        <v>41</v>
      </c>
      <c r="J287">
        <f t="shared" si="8"/>
        <v>1</v>
      </c>
      <c r="K287" t="s">
        <v>41</v>
      </c>
      <c r="L287" t="e">
        <f t="shared" si="9"/>
        <v>#VALUE!</v>
      </c>
      <c r="M287" t="s">
        <v>41</v>
      </c>
      <c r="N287" t="s">
        <v>41</v>
      </c>
      <c r="O287" t="s">
        <v>41</v>
      </c>
      <c r="P287" t="s">
        <v>41</v>
      </c>
      <c r="Q287" t="s">
        <v>41</v>
      </c>
      <c r="R287" t="s">
        <v>41</v>
      </c>
      <c r="S287" t="s">
        <v>41</v>
      </c>
      <c r="T287" t="s">
        <v>41</v>
      </c>
      <c r="U287" t="s">
        <v>41</v>
      </c>
      <c r="V287" t="s">
        <v>41</v>
      </c>
      <c r="W287" t="s">
        <v>41</v>
      </c>
      <c r="X287" t="s">
        <v>41</v>
      </c>
      <c r="Y287" t="s">
        <v>41</v>
      </c>
      <c r="Z287" t="s">
        <v>41</v>
      </c>
      <c r="AA287" t="s">
        <v>41</v>
      </c>
      <c r="AB287" t="s">
        <v>41</v>
      </c>
      <c r="AC287" t="s">
        <v>41</v>
      </c>
      <c r="AD287" t="s">
        <v>41</v>
      </c>
      <c r="AE287" t="s">
        <v>41</v>
      </c>
      <c r="AF287" t="s">
        <v>41</v>
      </c>
    </row>
    <row r="288" spans="1:32" x14ac:dyDescent="0.3">
      <c r="A288" t="s">
        <v>135</v>
      </c>
      <c r="B288" t="s">
        <v>435</v>
      </c>
      <c r="C288" t="s">
        <v>51</v>
      </c>
      <c r="D288" t="s">
        <v>41</v>
      </c>
      <c r="E288" t="s">
        <v>41</v>
      </c>
      <c r="F288">
        <v>1</v>
      </c>
      <c r="G288" t="s">
        <v>41</v>
      </c>
      <c r="H288" t="s">
        <v>41</v>
      </c>
      <c r="I288" t="s">
        <v>41</v>
      </c>
      <c r="J288">
        <f t="shared" si="8"/>
        <v>1</v>
      </c>
      <c r="K288" t="s">
        <v>41</v>
      </c>
      <c r="L288" t="e">
        <f t="shared" si="9"/>
        <v>#VALUE!</v>
      </c>
      <c r="M288">
        <v>1</v>
      </c>
      <c r="N288" t="s">
        <v>41</v>
      </c>
      <c r="O288" t="s">
        <v>41</v>
      </c>
      <c r="P288" t="s">
        <v>41</v>
      </c>
      <c r="Q288" t="s">
        <v>41</v>
      </c>
      <c r="R288" t="s">
        <v>41</v>
      </c>
      <c r="S288" t="s">
        <v>41</v>
      </c>
      <c r="T288" t="s">
        <v>41</v>
      </c>
      <c r="U288" t="s">
        <v>41</v>
      </c>
      <c r="V288" t="s">
        <v>41</v>
      </c>
      <c r="W288" t="s">
        <v>41</v>
      </c>
      <c r="X288" t="s">
        <v>41</v>
      </c>
      <c r="Y288" t="s">
        <v>41</v>
      </c>
      <c r="Z288" t="s">
        <v>41</v>
      </c>
      <c r="AA288" t="s">
        <v>41</v>
      </c>
      <c r="AB288" t="s">
        <v>41</v>
      </c>
      <c r="AC288" t="s">
        <v>41</v>
      </c>
      <c r="AD288" t="s">
        <v>41</v>
      </c>
      <c r="AE288" t="s">
        <v>41</v>
      </c>
      <c r="AF288" t="s">
        <v>41</v>
      </c>
    </row>
    <row r="289" spans="1:32" x14ac:dyDescent="0.3">
      <c r="A289" t="s">
        <v>135</v>
      </c>
      <c r="B289" t="s">
        <v>186</v>
      </c>
      <c r="C289" t="s">
        <v>217</v>
      </c>
      <c r="D289" t="s">
        <v>41</v>
      </c>
      <c r="E289" t="s">
        <v>41</v>
      </c>
      <c r="F289">
        <v>1</v>
      </c>
      <c r="G289" t="s">
        <v>41</v>
      </c>
      <c r="H289" t="s">
        <v>41</v>
      </c>
      <c r="I289" t="s">
        <v>41</v>
      </c>
      <c r="J289">
        <f t="shared" si="8"/>
        <v>1</v>
      </c>
      <c r="K289" t="s">
        <v>41</v>
      </c>
      <c r="L289" t="e">
        <f t="shared" si="9"/>
        <v>#VALUE!</v>
      </c>
      <c r="M289" t="s">
        <v>41</v>
      </c>
      <c r="N289" t="s">
        <v>41</v>
      </c>
      <c r="O289" t="s">
        <v>41</v>
      </c>
      <c r="P289" t="s">
        <v>41</v>
      </c>
      <c r="Q289" t="s">
        <v>41</v>
      </c>
      <c r="R289" t="s">
        <v>41</v>
      </c>
      <c r="S289" t="s">
        <v>41</v>
      </c>
      <c r="T289" t="s">
        <v>41</v>
      </c>
      <c r="U289" t="s">
        <v>41</v>
      </c>
      <c r="V289" t="s">
        <v>41</v>
      </c>
      <c r="W289" t="s">
        <v>41</v>
      </c>
      <c r="X289" t="s">
        <v>41</v>
      </c>
      <c r="Y289" t="s">
        <v>41</v>
      </c>
      <c r="Z289" t="s">
        <v>41</v>
      </c>
      <c r="AA289" t="s">
        <v>41</v>
      </c>
      <c r="AB289" t="s">
        <v>41</v>
      </c>
      <c r="AC289" t="s">
        <v>41</v>
      </c>
      <c r="AD289" t="s">
        <v>41</v>
      </c>
      <c r="AE289" t="s">
        <v>41</v>
      </c>
      <c r="AF289" t="s">
        <v>41</v>
      </c>
    </row>
    <row r="290" spans="1:32" x14ac:dyDescent="0.3">
      <c r="A290" t="s">
        <v>135</v>
      </c>
      <c r="B290" t="s">
        <v>41</v>
      </c>
      <c r="C290" t="s">
        <v>41</v>
      </c>
      <c r="D290" t="s">
        <v>430</v>
      </c>
      <c r="E290" t="s">
        <v>489</v>
      </c>
      <c r="F290" t="s">
        <v>41</v>
      </c>
      <c r="G290">
        <v>1</v>
      </c>
      <c r="H290" t="s">
        <v>41</v>
      </c>
      <c r="I290" t="s">
        <v>41</v>
      </c>
      <c r="J290">
        <f t="shared" si="8"/>
        <v>1</v>
      </c>
      <c r="K290" t="s">
        <v>41</v>
      </c>
      <c r="L290" t="e">
        <f t="shared" si="9"/>
        <v>#VALUE!</v>
      </c>
      <c r="M290" t="s">
        <v>41</v>
      </c>
      <c r="N290" t="s">
        <v>41</v>
      </c>
      <c r="O290" t="s">
        <v>41</v>
      </c>
      <c r="P290" t="s">
        <v>41</v>
      </c>
      <c r="Q290" t="s">
        <v>41</v>
      </c>
      <c r="R290" t="s">
        <v>41</v>
      </c>
      <c r="S290" t="s">
        <v>41</v>
      </c>
      <c r="T290" t="s">
        <v>41</v>
      </c>
      <c r="U290" t="s">
        <v>41</v>
      </c>
      <c r="V290" t="s">
        <v>41</v>
      </c>
      <c r="W290" t="s">
        <v>41</v>
      </c>
      <c r="X290" t="s">
        <v>41</v>
      </c>
      <c r="Y290" t="s">
        <v>41</v>
      </c>
      <c r="Z290" t="s">
        <v>41</v>
      </c>
      <c r="AA290" t="s">
        <v>41</v>
      </c>
      <c r="AB290" t="s">
        <v>41</v>
      </c>
      <c r="AC290" t="s">
        <v>41</v>
      </c>
      <c r="AD290" t="s">
        <v>41</v>
      </c>
      <c r="AE290" t="s">
        <v>41</v>
      </c>
      <c r="AF290" t="s">
        <v>41</v>
      </c>
    </row>
    <row r="291" spans="1:32" x14ac:dyDescent="0.3">
      <c r="A291" t="s">
        <v>135</v>
      </c>
      <c r="B291" t="s">
        <v>41</v>
      </c>
      <c r="C291" t="s">
        <v>41</v>
      </c>
      <c r="D291" t="s">
        <v>490</v>
      </c>
      <c r="E291" t="s">
        <v>313</v>
      </c>
      <c r="F291" t="s">
        <v>41</v>
      </c>
      <c r="G291">
        <v>1</v>
      </c>
      <c r="H291" t="s">
        <v>41</v>
      </c>
      <c r="I291" t="s">
        <v>41</v>
      </c>
      <c r="J291">
        <f t="shared" si="8"/>
        <v>1</v>
      </c>
      <c r="K291" t="s">
        <v>41</v>
      </c>
      <c r="L291" t="e">
        <f t="shared" si="9"/>
        <v>#VALUE!</v>
      </c>
      <c r="M291" t="s">
        <v>41</v>
      </c>
      <c r="N291" t="s">
        <v>41</v>
      </c>
      <c r="O291" t="s">
        <v>41</v>
      </c>
      <c r="P291" t="s">
        <v>41</v>
      </c>
      <c r="Q291" t="s">
        <v>41</v>
      </c>
      <c r="R291" t="s">
        <v>41</v>
      </c>
      <c r="S291" t="s">
        <v>41</v>
      </c>
      <c r="T291" t="s">
        <v>41</v>
      </c>
      <c r="U291" t="s">
        <v>41</v>
      </c>
      <c r="V291" t="s">
        <v>41</v>
      </c>
      <c r="W291" t="s">
        <v>41</v>
      </c>
      <c r="X291" t="s">
        <v>41</v>
      </c>
      <c r="Y291" t="s">
        <v>41</v>
      </c>
      <c r="Z291" t="s">
        <v>41</v>
      </c>
      <c r="AA291" t="s">
        <v>41</v>
      </c>
      <c r="AB291" t="s">
        <v>41</v>
      </c>
      <c r="AC291" t="s">
        <v>41</v>
      </c>
      <c r="AD291" t="s">
        <v>41</v>
      </c>
      <c r="AE291" t="s">
        <v>41</v>
      </c>
      <c r="AF291" t="s">
        <v>41</v>
      </c>
    </row>
    <row r="292" spans="1:32" x14ac:dyDescent="0.3">
      <c r="A292" t="s">
        <v>135</v>
      </c>
      <c r="B292" t="s">
        <v>41</v>
      </c>
      <c r="C292" t="s">
        <v>41</v>
      </c>
      <c r="D292" t="s">
        <v>473</v>
      </c>
      <c r="E292" t="s">
        <v>47</v>
      </c>
      <c r="F292" t="s">
        <v>41</v>
      </c>
      <c r="G292">
        <v>1</v>
      </c>
      <c r="H292" t="s">
        <v>41</v>
      </c>
      <c r="I292">
        <v>1</v>
      </c>
      <c r="J292">
        <f t="shared" si="8"/>
        <v>2</v>
      </c>
      <c r="K292" t="s">
        <v>41</v>
      </c>
      <c r="L292" t="e">
        <f t="shared" si="9"/>
        <v>#VALUE!</v>
      </c>
      <c r="M292" t="s">
        <v>41</v>
      </c>
      <c r="N292" t="s">
        <v>41</v>
      </c>
      <c r="O292" t="s">
        <v>41</v>
      </c>
      <c r="P292" t="s">
        <v>41</v>
      </c>
      <c r="Q292" t="s">
        <v>41</v>
      </c>
      <c r="R292" t="s">
        <v>41</v>
      </c>
      <c r="S292" t="s">
        <v>41</v>
      </c>
      <c r="T292" t="s">
        <v>41</v>
      </c>
      <c r="U292" t="s">
        <v>41</v>
      </c>
      <c r="V292" t="s">
        <v>41</v>
      </c>
      <c r="W292" t="s">
        <v>41</v>
      </c>
      <c r="X292" t="s">
        <v>41</v>
      </c>
      <c r="Y292" t="s">
        <v>41</v>
      </c>
      <c r="Z292" t="s">
        <v>41</v>
      </c>
      <c r="AA292" t="s">
        <v>41</v>
      </c>
      <c r="AB292" t="s">
        <v>41</v>
      </c>
      <c r="AC292" t="s">
        <v>41</v>
      </c>
      <c r="AD292" t="s">
        <v>41</v>
      </c>
      <c r="AE292" t="s">
        <v>41</v>
      </c>
      <c r="AF292" t="s">
        <v>41</v>
      </c>
    </row>
    <row r="293" spans="1:32" x14ac:dyDescent="0.3">
      <c r="A293" t="s">
        <v>135</v>
      </c>
      <c r="B293" t="s">
        <v>41</v>
      </c>
      <c r="C293" t="s">
        <v>41</v>
      </c>
      <c r="D293" t="s">
        <v>29</v>
      </c>
      <c r="E293" t="s">
        <v>45</v>
      </c>
      <c r="F293" t="s">
        <v>41</v>
      </c>
      <c r="G293">
        <v>1</v>
      </c>
      <c r="H293" t="s">
        <v>41</v>
      </c>
      <c r="I293" t="s">
        <v>41</v>
      </c>
      <c r="J293">
        <f t="shared" si="8"/>
        <v>1</v>
      </c>
      <c r="K293" t="s">
        <v>41</v>
      </c>
      <c r="L293" t="e">
        <f t="shared" si="9"/>
        <v>#VALUE!</v>
      </c>
      <c r="M293" t="s">
        <v>41</v>
      </c>
      <c r="N293" t="s">
        <v>41</v>
      </c>
      <c r="O293" t="s">
        <v>41</v>
      </c>
      <c r="P293" t="s">
        <v>41</v>
      </c>
      <c r="Q293" t="s">
        <v>41</v>
      </c>
      <c r="R293" t="s">
        <v>41</v>
      </c>
      <c r="S293" t="s">
        <v>41</v>
      </c>
      <c r="T293" t="s">
        <v>41</v>
      </c>
      <c r="U293" t="s">
        <v>41</v>
      </c>
      <c r="V293" t="s">
        <v>41</v>
      </c>
      <c r="W293" t="s">
        <v>41</v>
      </c>
      <c r="X293" t="s">
        <v>41</v>
      </c>
      <c r="Y293" t="s">
        <v>41</v>
      </c>
      <c r="Z293" t="s">
        <v>41</v>
      </c>
      <c r="AA293" t="s">
        <v>41</v>
      </c>
      <c r="AB293" t="s">
        <v>41</v>
      </c>
      <c r="AC293" t="s">
        <v>41</v>
      </c>
      <c r="AD293" t="s">
        <v>41</v>
      </c>
      <c r="AE293" t="s">
        <v>41</v>
      </c>
      <c r="AF293" t="s">
        <v>41</v>
      </c>
    </row>
    <row r="294" spans="1:32" x14ac:dyDescent="0.3">
      <c r="A294" t="s">
        <v>135</v>
      </c>
      <c r="B294" t="s">
        <v>41</v>
      </c>
      <c r="C294" t="s">
        <v>41</v>
      </c>
      <c r="D294" t="s">
        <v>491</v>
      </c>
      <c r="E294" t="s">
        <v>313</v>
      </c>
      <c r="F294" t="s">
        <v>41</v>
      </c>
      <c r="G294">
        <v>1</v>
      </c>
      <c r="H294">
        <v>1</v>
      </c>
      <c r="I294">
        <v>5</v>
      </c>
      <c r="J294">
        <f t="shared" si="8"/>
        <v>7</v>
      </c>
      <c r="K294" t="s">
        <v>41</v>
      </c>
      <c r="L294" t="e">
        <f t="shared" si="9"/>
        <v>#VALUE!</v>
      </c>
      <c r="M294">
        <v>2</v>
      </c>
      <c r="N294" t="s">
        <v>41</v>
      </c>
      <c r="O294" t="s">
        <v>41</v>
      </c>
      <c r="P294" t="s">
        <v>41</v>
      </c>
      <c r="Q294" t="s">
        <v>41</v>
      </c>
      <c r="R294" t="s">
        <v>41</v>
      </c>
      <c r="S294" t="s">
        <v>41</v>
      </c>
      <c r="T294">
        <v>0.5</v>
      </c>
      <c r="U294" t="s">
        <v>41</v>
      </c>
      <c r="V294" t="s">
        <v>41</v>
      </c>
      <c r="W294" t="s">
        <v>41</v>
      </c>
      <c r="X294">
        <v>5</v>
      </c>
      <c r="Y294" t="s">
        <v>41</v>
      </c>
      <c r="Z294" t="s">
        <v>41</v>
      </c>
      <c r="AA294" t="s">
        <v>41</v>
      </c>
      <c r="AB294" t="s">
        <v>41</v>
      </c>
      <c r="AC294" t="s">
        <v>41</v>
      </c>
      <c r="AD294" t="s">
        <v>41</v>
      </c>
      <c r="AE294" t="s">
        <v>41</v>
      </c>
      <c r="AF294" t="s">
        <v>41</v>
      </c>
    </row>
    <row r="295" spans="1:32" x14ac:dyDescent="0.3">
      <c r="A295" t="s">
        <v>135</v>
      </c>
      <c r="B295" t="s">
        <v>41</v>
      </c>
      <c r="C295" t="s">
        <v>41</v>
      </c>
      <c r="D295" t="s">
        <v>224</v>
      </c>
      <c r="E295" t="s">
        <v>48</v>
      </c>
      <c r="F295" t="s">
        <v>41</v>
      </c>
      <c r="G295">
        <v>1</v>
      </c>
      <c r="H295" t="s">
        <v>41</v>
      </c>
      <c r="I295">
        <v>2</v>
      </c>
      <c r="J295">
        <f t="shared" si="8"/>
        <v>3</v>
      </c>
      <c r="K295" t="s">
        <v>41</v>
      </c>
      <c r="L295" t="e">
        <f t="shared" si="9"/>
        <v>#VALUE!</v>
      </c>
      <c r="M295">
        <v>1</v>
      </c>
      <c r="N295" t="s">
        <v>41</v>
      </c>
      <c r="O295" t="s">
        <v>41</v>
      </c>
      <c r="P295" t="s">
        <v>41</v>
      </c>
      <c r="Q295" t="s">
        <v>41</v>
      </c>
      <c r="R295" t="s">
        <v>41</v>
      </c>
      <c r="S295" t="s">
        <v>41</v>
      </c>
      <c r="T295" t="s">
        <v>41</v>
      </c>
      <c r="U295" t="s">
        <v>41</v>
      </c>
      <c r="V295" t="s">
        <v>41</v>
      </c>
      <c r="W295" t="s">
        <v>41</v>
      </c>
      <c r="X295" t="s">
        <v>41</v>
      </c>
      <c r="Y295" t="s">
        <v>41</v>
      </c>
      <c r="Z295" t="s">
        <v>41</v>
      </c>
      <c r="AA295" t="s">
        <v>41</v>
      </c>
      <c r="AB295" t="s">
        <v>41</v>
      </c>
      <c r="AC295" t="s">
        <v>41</v>
      </c>
      <c r="AD295" t="s">
        <v>41</v>
      </c>
      <c r="AE295" t="s">
        <v>41</v>
      </c>
      <c r="AF295" t="s">
        <v>41</v>
      </c>
    </row>
    <row r="296" spans="1:32" x14ac:dyDescent="0.3">
      <c r="A296" t="s">
        <v>135</v>
      </c>
      <c r="B296" t="s">
        <v>41</v>
      </c>
      <c r="C296" t="s">
        <v>41</v>
      </c>
      <c r="D296" t="s">
        <v>483</v>
      </c>
      <c r="E296" t="s">
        <v>492</v>
      </c>
      <c r="F296" t="s">
        <v>41</v>
      </c>
      <c r="G296">
        <v>1</v>
      </c>
      <c r="H296" t="s">
        <v>41</v>
      </c>
      <c r="I296" t="s">
        <v>41</v>
      </c>
      <c r="J296">
        <f t="shared" si="8"/>
        <v>1</v>
      </c>
      <c r="K296" t="s">
        <v>41</v>
      </c>
      <c r="L296" t="e">
        <f t="shared" si="9"/>
        <v>#VALUE!</v>
      </c>
      <c r="M296" t="s">
        <v>41</v>
      </c>
      <c r="N296" t="s">
        <v>41</v>
      </c>
      <c r="O296" t="s">
        <v>41</v>
      </c>
      <c r="P296" t="s">
        <v>41</v>
      </c>
      <c r="Q296" t="s">
        <v>41</v>
      </c>
      <c r="R296" t="s">
        <v>41</v>
      </c>
      <c r="S296" t="s">
        <v>41</v>
      </c>
      <c r="T296" t="s">
        <v>41</v>
      </c>
      <c r="U296" t="s">
        <v>41</v>
      </c>
      <c r="V296" t="s">
        <v>41</v>
      </c>
      <c r="W296" t="s">
        <v>41</v>
      </c>
      <c r="X296" t="s">
        <v>41</v>
      </c>
      <c r="Y296" t="s">
        <v>41</v>
      </c>
      <c r="Z296" t="s">
        <v>41</v>
      </c>
      <c r="AA296" t="s">
        <v>41</v>
      </c>
      <c r="AB296" t="s">
        <v>41</v>
      </c>
      <c r="AC296" t="s">
        <v>41</v>
      </c>
      <c r="AD296" t="s">
        <v>41</v>
      </c>
      <c r="AE296" t="s">
        <v>41</v>
      </c>
      <c r="AF296" t="s">
        <v>41</v>
      </c>
    </row>
    <row r="297" spans="1:32" x14ac:dyDescent="0.3">
      <c r="A297" t="s">
        <v>135</v>
      </c>
      <c r="B297" t="s">
        <v>41</v>
      </c>
      <c r="C297" t="s">
        <v>41</v>
      </c>
      <c r="D297" t="s">
        <v>483</v>
      </c>
      <c r="E297" t="s">
        <v>493</v>
      </c>
      <c r="F297" t="s">
        <v>41</v>
      </c>
      <c r="G297">
        <v>1</v>
      </c>
      <c r="H297" t="s">
        <v>41</v>
      </c>
      <c r="I297" t="s">
        <v>41</v>
      </c>
      <c r="J297">
        <f t="shared" si="8"/>
        <v>1</v>
      </c>
      <c r="K297" t="s">
        <v>41</v>
      </c>
      <c r="L297" t="e">
        <f t="shared" si="9"/>
        <v>#VALUE!</v>
      </c>
      <c r="M297" t="s">
        <v>41</v>
      </c>
      <c r="N297" t="s">
        <v>41</v>
      </c>
      <c r="O297" t="s">
        <v>41</v>
      </c>
      <c r="P297" t="s">
        <v>41</v>
      </c>
      <c r="Q297" t="s">
        <v>41</v>
      </c>
      <c r="R297" t="s">
        <v>41</v>
      </c>
      <c r="S297" t="s">
        <v>41</v>
      </c>
      <c r="T297" t="s">
        <v>41</v>
      </c>
      <c r="U297" t="s">
        <v>41</v>
      </c>
      <c r="V297" t="s">
        <v>41</v>
      </c>
      <c r="W297" t="s">
        <v>41</v>
      </c>
      <c r="X297" t="s">
        <v>41</v>
      </c>
      <c r="Y297" t="s">
        <v>41</v>
      </c>
      <c r="Z297" t="s">
        <v>41</v>
      </c>
      <c r="AA297" t="s">
        <v>41</v>
      </c>
      <c r="AB297" t="s">
        <v>41</v>
      </c>
      <c r="AC297" t="s">
        <v>41</v>
      </c>
      <c r="AD297" t="s">
        <v>41</v>
      </c>
      <c r="AE297" t="s">
        <v>41</v>
      </c>
      <c r="AF297" t="s">
        <v>41</v>
      </c>
    </row>
    <row r="298" spans="1:32" x14ac:dyDescent="0.3">
      <c r="A298" t="s">
        <v>135</v>
      </c>
      <c r="B298" t="s">
        <v>41</v>
      </c>
      <c r="C298" t="s">
        <v>41</v>
      </c>
      <c r="D298" t="s">
        <v>495</v>
      </c>
      <c r="E298" t="s">
        <v>494</v>
      </c>
      <c r="F298" t="s">
        <v>41</v>
      </c>
      <c r="G298">
        <v>1</v>
      </c>
      <c r="H298">
        <v>1</v>
      </c>
      <c r="I298">
        <v>1</v>
      </c>
      <c r="J298">
        <f t="shared" si="8"/>
        <v>3</v>
      </c>
      <c r="K298" t="s">
        <v>41</v>
      </c>
      <c r="L298" t="e">
        <f t="shared" si="9"/>
        <v>#VALUE!</v>
      </c>
      <c r="M298" t="s">
        <v>41</v>
      </c>
      <c r="N298" t="s">
        <v>41</v>
      </c>
      <c r="O298" t="s">
        <v>41</v>
      </c>
      <c r="P298" t="s">
        <v>41</v>
      </c>
      <c r="Q298" t="s">
        <v>41</v>
      </c>
      <c r="R298" t="s">
        <v>41</v>
      </c>
      <c r="S298" t="s">
        <v>41</v>
      </c>
      <c r="T298" t="s">
        <v>41</v>
      </c>
      <c r="U298" t="s">
        <v>41</v>
      </c>
      <c r="V298" t="s">
        <v>41</v>
      </c>
      <c r="W298" t="s">
        <v>41</v>
      </c>
      <c r="X298" t="s">
        <v>41</v>
      </c>
      <c r="Y298" t="s">
        <v>41</v>
      </c>
      <c r="Z298" t="s">
        <v>41</v>
      </c>
      <c r="AA298" t="s">
        <v>41</v>
      </c>
      <c r="AB298" t="s">
        <v>41</v>
      </c>
      <c r="AC298" t="s">
        <v>41</v>
      </c>
      <c r="AD298" t="s">
        <v>41</v>
      </c>
      <c r="AE298" t="s">
        <v>41</v>
      </c>
      <c r="AF298" t="s">
        <v>41</v>
      </c>
    </row>
    <row r="299" spans="1:32" x14ac:dyDescent="0.3">
      <c r="A299" t="s">
        <v>135</v>
      </c>
      <c r="B299" t="s">
        <v>41</v>
      </c>
      <c r="C299" t="s">
        <v>41</v>
      </c>
      <c r="D299" t="s">
        <v>160</v>
      </c>
      <c r="E299" t="s">
        <v>496</v>
      </c>
      <c r="F299" t="s">
        <v>41</v>
      </c>
      <c r="G299">
        <v>1</v>
      </c>
      <c r="H299" t="s">
        <v>41</v>
      </c>
      <c r="I299">
        <v>1</v>
      </c>
      <c r="J299">
        <f t="shared" si="8"/>
        <v>2</v>
      </c>
      <c r="K299" t="s">
        <v>41</v>
      </c>
      <c r="L299" t="e">
        <f t="shared" si="9"/>
        <v>#VALUE!</v>
      </c>
      <c r="M299" t="s">
        <v>41</v>
      </c>
      <c r="N299" t="s">
        <v>41</v>
      </c>
      <c r="O299" t="s">
        <v>41</v>
      </c>
      <c r="P299" t="s">
        <v>41</v>
      </c>
      <c r="Q299" t="s">
        <v>41</v>
      </c>
      <c r="R299" t="s">
        <v>41</v>
      </c>
      <c r="S299" t="s">
        <v>41</v>
      </c>
      <c r="T299" t="s">
        <v>41</v>
      </c>
      <c r="U299" t="s">
        <v>41</v>
      </c>
      <c r="V299" t="s">
        <v>41</v>
      </c>
      <c r="W299" t="s">
        <v>41</v>
      </c>
      <c r="X299" t="s">
        <v>41</v>
      </c>
      <c r="Y299" t="s">
        <v>41</v>
      </c>
      <c r="Z299" t="s">
        <v>41</v>
      </c>
      <c r="AA299" t="s">
        <v>41</v>
      </c>
      <c r="AB299" t="s">
        <v>41</v>
      </c>
      <c r="AC299" t="s">
        <v>41</v>
      </c>
      <c r="AD299" t="s">
        <v>41</v>
      </c>
      <c r="AE299" t="s">
        <v>41</v>
      </c>
      <c r="AF299" t="s">
        <v>41</v>
      </c>
    </row>
    <row r="300" spans="1:32" x14ac:dyDescent="0.3">
      <c r="A300" t="s">
        <v>135</v>
      </c>
      <c r="B300" t="s">
        <v>41</v>
      </c>
      <c r="C300" t="s">
        <v>41</v>
      </c>
      <c r="D300" t="s">
        <v>497</v>
      </c>
      <c r="E300" t="s">
        <v>228</v>
      </c>
      <c r="F300" t="s">
        <v>41</v>
      </c>
      <c r="G300">
        <v>1</v>
      </c>
      <c r="H300">
        <v>2</v>
      </c>
      <c r="I300" t="s">
        <v>41</v>
      </c>
      <c r="J300">
        <f t="shared" si="8"/>
        <v>3</v>
      </c>
      <c r="K300" t="s">
        <v>41</v>
      </c>
      <c r="L300" t="e">
        <f t="shared" si="9"/>
        <v>#VALUE!</v>
      </c>
      <c r="M300" t="s">
        <v>41</v>
      </c>
      <c r="N300" t="s">
        <v>41</v>
      </c>
      <c r="O300" t="s">
        <v>41</v>
      </c>
      <c r="P300" t="s">
        <v>41</v>
      </c>
      <c r="Q300" t="s">
        <v>41</v>
      </c>
      <c r="R300" t="s">
        <v>41</v>
      </c>
      <c r="S300" t="s">
        <v>41</v>
      </c>
      <c r="T300" t="s">
        <v>41</v>
      </c>
      <c r="U300" t="s">
        <v>41</v>
      </c>
      <c r="V300" t="s">
        <v>41</v>
      </c>
      <c r="W300" t="s">
        <v>41</v>
      </c>
      <c r="X300" t="s">
        <v>41</v>
      </c>
      <c r="Y300" t="s">
        <v>41</v>
      </c>
      <c r="Z300" t="s">
        <v>41</v>
      </c>
      <c r="AA300" t="s">
        <v>41</v>
      </c>
      <c r="AB300" t="s">
        <v>41</v>
      </c>
      <c r="AC300" t="s">
        <v>41</v>
      </c>
      <c r="AD300" t="s">
        <v>41</v>
      </c>
      <c r="AE300" t="s">
        <v>41</v>
      </c>
      <c r="AF300" t="s">
        <v>41</v>
      </c>
    </row>
    <row r="301" spans="1:32" x14ac:dyDescent="0.3">
      <c r="A301" t="s">
        <v>135</v>
      </c>
      <c r="B301" t="s">
        <v>41</v>
      </c>
      <c r="C301" t="s">
        <v>41</v>
      </c>
      <c r="D301" t="s">
        <v>242</v>
      </c>
      <c r="E301" t="s">
        <v>230</v>
      </c>
      <c r="F301" t="s">
        <v>41</v>
      </c>
      <c r="G301">
        <v>1</v>
      </c>
      <c r="H301">
        <v>1</v>
      </c>
      <c r="I301" t="s">
        <v>41</v>
      </c>
      <c r="J301">
        <f t="shared" si="8"/>
        <v>2</v>
      </c>
      <c r="K301" t="s">
        <v>41</v>
      </c>
      <c r="L301" t="e">
        <f t="shared" si="9"/>
        <v>#VALUE!</v>
      </c>
      <c r="M301" t="s">
        <v>41</v>
      </c>
      <c r="N301">
        <v>7</v>
      </c>
      <c r="O301">
        <v>6</v>
      </c>
      <c r="P301" t="s">
        <v>41</v>
      </c>
      <c r="Q301" t="s">
        <v>41</v>
      </c>
      <c r="R301" t="s">
        <v>41</v>
      </c>
      <c r="S301" t="s">
        <v>41</v>
      </c>
      <c r="T301">
        <v>0.5</v>
      </c>
      <c r="U301" t="s">
        <v>41</v>
      </c>
      <c r="V301" t="s">
        <v>41</v>
      </c>
      <c r="W301" t="s">
        <v>41</v>
      </c>
      <c r="X301">
        <v>7</v>
      </c>
      <c r="Y301" t="s">
        <v>41</v>
      </c>
      <c r="Z301" t="s">
        <v>41</v>
      </c>
      <c r="AA301" t="s">
        <v>41</v>
      </c>
      <c r="AB301" t="s">
        <v>41</v>
      </c>
      <c r="AC301" t="s">
        <v>41</v>
      </c>
      <c r="AD301" t="s">
        <v>41</v>
      </c>
      <c r="AE301" t="s">
        <v>41</v>
      </c>
      <c r="AF301" t="s">
        <v>41</v>
      </c>
    </row>
    <row r="302" spans="1:32" x14ac:dyDescent="0.3">
      <c r="A302" t="s">
        <v>135</v>
      </c>
      <c r="B302" t="s">
        <v>41</v>
      </c>
      <c r="C302" t="s">
        <v>41</v>
      </c>
      <c r="D302" t="s">
        <v>65</v>
      </c>
      <c r="E302" t="s">
        <v>100</v>
      </c>
      <c r="F302" t="s">
        <v>41</v>
      </c>
      <c r="G302">
        <v>1</v>
      </c>
      <c r="H302" t="s">
        <v>41</v>
      </c>
      <c r="I302" t="s">
        <v>41</v>
      </c>
      <c r="J302">
        <f t="shared" si="8"/>
        <v>1</v>
      </c>
      <c r="K302" t="s">
        <v>41</v>
      </c>
      <c r="L302" t="e">
        <f t="shared" si="9"/>
        <v>#VALUE!</v>
      </c>
      <c r="M302" t="s">
        <v>41</v>
      </c>
      <c r="N302" t="s">
        <v>41</v>
      </c>
      <c r="O302" t="s">
        <v>41</v>
      </c>
      <c r="P302" t="s">
        <v>41</v>
      </c>
      <c r="Q302" t="s">
        <v>41</v>
      </c>
      <c r="R302" t="s">
        <v>41</v>
      </c>
      <c r="S302" t="s">
        <v>41</v>
      </c>
      <c r="T302" t="s">
        <v>41</v>
      </c>
      <c r="U302" t="s">
        <v>41</v>
      </c>
      <c r="V302" t="s">
        <v>41</v>
      </c>
      <c r="W302" t="s">
        <v>41</v>
      </c>
      <c r="X302" t="s">
        <v>41</v>
      </c>
      <c r="Y302" t="s">
        <v>41</v>
      </c>
      <c r="Z302" t="s">
        <v>41</v>
      </c>
      <c r="AA302" t="s">
        <v>41</v>
      </c>
      <c r="AB302" t="s">
        <v>41</v>
      </c>
      <c r="AC302" t="s">
        <v>41</v>
      </c>
      <c r="AD302" t="s">
        <v>41</v>
      </c>
      <c r="AE302" t="s">
        <v>41</v>
      </c>
      <c r="AF302" t="s">
        <v>41</v>
      </c>
    </row>
    <row r="303" spans="1:32" x14ac:dyDescent="0.3">
      <c r="A303" t="s">
        <v>135</v>
      </c>
      <c r="B303" t="s">
        <v>41</v>
      </c>
      <c r="C303" t="s">
        <v>41</v>
      </c>
      <c r="D303" t="s">
        <v>498</v>
      </c>
      <c r="E303" t="s">
        <v>499</v>
      </c>
      <c r="F303" t="s">
        <v>41</v>
      </c>
      <c r="G303">
        <v>1</v>
      </c>
      <c r="H303">
        <v>1</v>
      </c>
      <c r="I303" t="s">
        <v>41</v>
      </c>
      <c r="J303">
        <f t="shared" si="8"/>
        <v>2</v>
      </c>
      <c r="K303" t="s">
        <v>41</v>
      </c>
      <c r="L303" t="e">
        <f t="shared" si="9"/>
        <v>#VALUE!</v>
      </c>
      <c r="M303" t="s">
        <v>41</v>
      </c>
      <c r="N303" t="s">
        <v>41</v>
      </c>
      <c r="O303" t="s">
        <v>41</v>
      </c>
      <c r="P303" t="s">
        <v>41</v>
      </c>
      <c r="Q303" t="s">
        <v>41</v>
      </c>
      <c r="R303" t="s">
        <v>41</v>
      </c>
      <c r="S303" t="s">
        <v>41</v>
      </c>
      <c r="T303" t="s">
        <v>41</v>
      </c>
      <c r="U303" t="s">
        <v>41</v>
      </c>
      <c r="V303" t="s">
        <v>41</v>
      </c>
      <c r="W303" t="s">
        <v>41</v>
      </c>
      <c r="X303" t="s">
        <v>41</v>
      </c>
      <c r="Y303" t="s">
        <v>41</v>
      </c>
      <c r="Z303" t="s">
        <v>41</v>
      </c>
      <c r="AA303" t="s">
        <v>41</v>
      </c>
      <c r="AB303" t="s">
        <v>41</v>
      </c>
      <c r="AC303" t="s">
        <v>41</v>
      </c>
      <c r="AD303" t="s">
        <v>41</v>
      </c>
      <c r="AE303" t="s">
        <v>41</v>
      </c>
      <c r="AF303" t="s">
        <v>41</v>
      </c>
    </row>
    <row r="304" spans="1:32" x14ac:dyDescent="0.3">
      <c r="A304" t="s">
        <v>135</v>
      </c>
      <c r="B304" t="s">
        <v>41</v>
      </c>
      <c r="C304" t="s">
        <v>41</v>
      </c>
      <c r="D304" t="s">
        <v>129</v>
      </c>
      <c r="E304" t="s">
        <v>500</v>
      </c>
      <c r="F304" t="s">
        <v>41</v>
      </c>
      <c r="G304">
        <v>1</v>
      </c>
      <c r="H304" t="s">
        <v>41</v>
      </c>
      <c r="I304" t="s">
        <v>41</v>
      </c>
      <c r="J304">
        <f t="shared" si="8"/>
        <v>1</v>
      </c>
      <c r="K304" t="s">
        <v>41</v>
      </c>
      <c r="L304" t="e">
        <f t="shared" si="9"/>
        <v>#VALUE!</v>
      </c>
      <c r="M304" t="s">
        <v>41</v>
      </c>
      <c r="N304" t="s">
        <v>41</v>
      </c>
      <c r="O304" t="s">
        <v>41</v>
      </c>
      <c r="P304" t="s">
        <v>41</v>
      </c>
      <c r="Q304" t="s">
        <v>41</v>
      </c>
      <c r="R304" t="s">
        <v>41</v>
      </c>
      <c r="S304" t="s">
        <v>41</v>
      </c>
      <c r="T304" t="s">
        <v>41</v>
      </c>
      <c r="U304" t="s">
        <v>41</v>
      </c>
      <c r="V304" t="s">
        <v>41</v>
      </c>
      <c r="W304" t="s">
        <v>41</v>
      </c>
      <c r="X304" t="s">
        <v>41</v>
      </c>
      <c r="Y304" t="s">
        <v>41</v>
      </c>
      <c r="Z304" t="s">
        <v>41</v>
      </c>
      <c r="AA304" t="s">
        <v>41</v>
      </c>
      <c r="AB304" t="s">
        <v>41</v>
      </c>
      <c r="AC304" t="s">
        <v>41</v>
      </c>
      <c r="AD304" t="s">
        <v>41</v>
      </c>
      <c r="AE304" t="s">
        <v>41</v>
      </c>
      <c r="AF304" t="s">
        <v>41</v>
      </c>
    </row>
    <row r="305" spans="1:32" x14ac:dyDescent="0.3">
      <c r="A305" t="s">
        <v>135</v>
      </c>
      <c r="B305" t="s">
        <v>41</v>
      </c>
      <c r="C305" t="s">
        <v>41</v>
      </c>
      <c r="D305" t="s">
        <v>94</v>
      </c>
      <c r="E305" t="s">
        <v>501</v>
      </c>
      <c r="F305" t="s">
        <v>41</v>
      </c>
      <c r="G305">
        <v>1</v>
      </c>
      <c r="H305" t="s">
        <v>41</v>
      </c>
      <c r="I305" t="s">
        <v>41</v>
      </c>
      <c r="J305">
        <f t="shared" si="8"/>
        <v>1</v>
      </c>
      <c r="K305" t="s">
        <v>41</v>
      </c>
      <c r="L305" t="e">
        <f t="shared" si="9"/>
        <v>#VALUE!</v>
      </c>
      <c r="M305" t="s">
        <v>41</v>
      </c>
      <c r="N305" t="s">
        <v>41</v>
      </c>
      <c r="O305" t="s">
        <v>41</v>
      </c>
      <c r="P305" t="s">
        <v>41</v>
      </c>
      <c r="Q305" t="s">
        <v>41</v>
      </c>
      <c r="R305" t="s">
        <v>41</v>
      </c>
      <c r="S305" t="s">
        <v>41</v>
      </c>
      <c r="T305" t="s">
        <v>41</v>
      </c>
      <c r="U305" t="s">
        <v>41</v>
      </c>
      <c r="V305" t="s">
        <v>41</v>
      </c>
      <c r="W305" t="s">
        <v>41</v>
      </c>
      <c r="X305" t="s">
        <v>41</v>
      </c>
      <c r="Y305" t="s">
        <v>41</v>
      </c>
      <c r="Z305" t="s">
        <v>41</v>
      </c>
      <c r="AA305" t="s">
        <v>41</v>
      </c>
      <c r="AB305" t="s">
        <v>41</v>
      </c>
      <c r="AC305" t="s">
        <v>41</v>
      </c>
      <c r="AD305" t="s">
        <v>41</v>
      </c>
      <c r="AE305" t="s">
        <v>41</v>
      </c>
      <c r="AF305" t="s">
        <v>41</v>
      </c>
    </row>
    <row r="306" spans="1:32" x14ac:dyDescent="0.3">
      <c r="A306" t="s">
        <v>135</v>
      </c>
      <c r="B306" t="s">
        <v>41</v>
      </c>
      <c r="C306" t="s">
        <v>41</v>
      </c>
      <c r="D306" t="s">
        <v>96</v>
      </c>
      <c r="E306" t="s">
        <v>502</v>
      </c>
      <c r="F306" t="s">
        <v>41</v>
      </c>
      <c r="G306">
        <v>1</v>
      </c>
      <c r="H306" t="s">
        <v>41</v>
      </c>
      <c r="I306" t="s">
        <v>41</v>
      </c>
      <c r="J306">
        <f t="shared" si="8"/>
        <v>1</v>
      </c>
      <c r="K306" t="s">
        <v>41</v>
      </c>
      <c r="L306" t="e">
        <f t="shared" si="9"/>
        <v>#VALUE!</v>
      </c>
      <c r="M306" t="s">
        <v>41</v>
      </c>
      <c r="N306" t="s">
        <v>41</v>
      </c>
      <c r="O306" t="s">
        <v>41</v>
      </c>
      <c r="P306" t="s">
        <v>41</v>
      </c>
      <c r="Q306" t="s">
        <v>41</v>
      </c>
      <c r="R306" t="s">
        <v>41</v>
      </c>
      <c r="S306" t="s">
        <v>41</v>
      </c>
      <c r="T306" t="s">
        <v>41</v>
      </c>
      <c r="U306" t="s">
        <v>41</v>
      </c>
      <c r="V306" t="s">
        <v>41</v>
      </c>
      <c r="W306" t="s">
        <v>41</v>
      </c>
      <c r="X306" t="s">
        <v>41</v>
      </c>
      <c r="Y306" t="s">
        <v>41</v>
      </c>
      <c r="Z306" t="s">
        <v>41</v>
      </c>
      <c r="AA306" t="s">
        <v>41</v>
      </c>
      <c r="AB306" t="s">
        <v>41</v>
      </c>
      <c r="AC306" t="s">
        <v>41</v>
      </c>
      <c r="AD306" t="s">
        <v>41</v>
      </c>
      <c r="AE306" t="s">
        <v>41</v>
      </c>
      <c r="AF306" t="s">
        <v>41</v>
      </c>
    </row>
    <row r="307" spans="1:32" x14ac:dyDescent="0.3">
      <c r="A307" t="s">
        <v>135</v>
      </c>
      <c r="B307" t="s">
        <v>41</v>
      </c>
      <c r="C307" t="s">
        <v>41</v>
      </c>
      <c r="D307" t="s">
        <v>167</v>
      </c>
      <c r="E307" t="s">
        <v>142</v>
      </c>
      <c r="F307" t="s">
        <v>41</v>
      </c>
      <c r="G307">
        <v>1</v>
      </c>
      <c r="H307" t="s">
        <v>41</v>
      </c>
      <c r="I307" t="s">
        <v>41</v>
      </c>
      <c r="J307">
        <f t="shared" si="8"/>
        <v>1</v>
      </c>
      <c r="K307" t="s">
        <v>41</v>
      </c>
      <c r="L307" t="e">
        <f t="shared" si="9"/>
        <v>#VALUE!</v>
      </c>
      <c r="M307" t="s">
        <v>41</v>
      </c>
      <c r="N307" t="s">
        <v>41</v>
      </c>
      <c r="O307" t="s">
        <v>41</v>
      </c>
      <c r="P307" t="s">
        <v>41</v>
      </c>
      <c r="Q307" t="s">
        <v>41</v>
      </c>
      <c r="R307" t="s">
        <v>41</v>
      </c>
      <c r="S307" t="s">
        <v>41</v>
      </c>
      <c r="T307" t="s">
        <v>41</v>
      </c>
      <c r="U307" t="s">
        <v>41</v>
      </c>
      <c r="V307" t="s">
        <v>41</v>
      </c>
      <c r="W307" t="s">
        <v>41</v>
      </c>
      <c r="X307" t="s">
        <v>41</v>
      </c>
      <c r="Y307" t="s">
        <v>41</v>
      </c>
      <c r="Z307" t="s">
        <v>41</v>
      </c>
      <c r="AA307" t="s">
        <v>41</v>
      </c>
      <c r="AB307" t="s">
        <v>41</v>
      </c>
      <c r="AC307" t="s">
        <v>41</v>
      </c>
      <c r="AD307" t="s">
        <v>41</v>
      </c>
      <c r="AE307" t="s">
        <v>41</v>
      </c>
      <c r="AF307" t="s">
        <v>41</v>
      </c>
    </row>
    <row r="308" spans="1:32" x14ac:dyDescent="0.3">
      <c r="A308" t="s">
        <v>135</v>
      </c>
      <c r="B308" t="s">
        <v>41</v>
      </c>
      <c r="C308" t="s">
        <v>41</v>
      </c>
      <c r="D308" t="s">
        <v>503</v>
      </c>
      <c r="E308" t="s">
        <v>142</v>
      </c>
      <c r="F308" t="s">
        <v>41</v>
      </c>
      <c r="G308">
        <v>1</v>
      </c>
      <c r="H308" t="s">
        <v>41</v>
      </c>
      <c r="I308" t="s">
        <v>41</v>
      </c>
      <c r="J308">
        <f t="shared" si="8"/>
        <v>1</v>
      </c>
      <c r="K308" t="s">
        <v>41</v>
      </c>
      <c r="L308" t="e">
        <f t="shared" si="9"/>
        <v>#VALUE!</v>
      </c>
      <c r="M308" t="s">
        <v>41</v>
      </c>
      <c r="N308" t="s">
        <v>41</v>
      </c>
      <c r="O308" t="s">
        <v>41</v>
      </c>
      <c r="P308" t="s">
        <v>41</v>
      </c>
      <c r="Q308" t="s">
        <v>41</v>
      </c>
      <c r="R308" t="s">
        <v>41</v>
      </c>
      <c r="S308" t="s">
        <v>41</v>
      </c>
      <c r="T308" t="s">
        <v>41</v>
      </c>
      <c r="U308" t="s">
        <v>41</v>
      </c>
      <c r="V308" t="s">
        <v>41</v>
      </c>
      <c r="W308" t="s">
        <v>41</v>
      </c>
      <c r="X308" t="s">
        <v>41</v>
      </c>
      <c r="Y308" t="s">
        <v>41</v>
      </c>
      <c r="Z308" t="s">
        <v>41</v>
      </c>
      <c r="AA308" t="s">
        <v>41</v>
      </c>
      <c r="AB308" t="s">
        <v>41</v>
      </c>
      <c r="AC308" t="s">
        <v>41</v>
      </c>
      <c r="AD308" t="s">
        <v>41</v>
      </c>
      <c r="AE308" t="s">
        <v>41</v>
      </c>
      <c r="AF308" t="s">
        <v>41</v>
      </c>
    </row>
    <row r="309" spans="1:32" x14ac:dyDescent="0.3">
      <c r="A309" t="s">
        <v>135</v>
      </c>
      <c r="B309" t="s">
        <v>41</v>
      </c>
      <c r="C309" t="s">
        <v>41</v>
      </c>
      <c r="D309" t="s">
        <v>504</v>
      </c>
      <c r="E309" t="s">
        <v>55</v>
      </c>
      <c r="F309" t="s">
        <v>41</v>
      </c>
      <c r="G309">
        <v>1</v>
      </c>
      <c r="H309" t="s">
        <v>41</v>
      </c>
      <c r="I309" t="s">
        <v>41</v>
      </c>
      <c r="J309">
        <f t="shared" si="8"/>
        <v>1</v>
      </c>
      <c r="K309" t="s">
        <v>41</v>
      </c>
      <c r="L309" t="e">
        <f t="shared" si="9"/>
        <v>#VALUE!</v>
      </c>
      <c r="M309" t="s">
        <v>41</v>
      </c>
      <c r="N309" t="s">
        <v>41</v>
      </c>
      <c r="O309" t="s">
        <v>41</v>
      </c>
      <c r="P309" t="s">
        <v>41</v>
      </c>
      <c r="Q309" t="s">
        <v>41</v>
      </c>
      <c r="R309" t="s">
        <v>41</v>
      </c>
      <c r="S309" t="s">
        <v>41</v>
      </c>
      <c r="T309" t="s">
        <v>41</v>
      </c>
      <c r="U309" t="s">
        <v>41</v>
      </c>
      <c r="V309" t="s">
        <v>41</v>
      </c>
      <c r="W309" t="s">
        <v>41</v>
      </c>
      <c r="X309" t="s">
        <v>41</v>
      </c>
      <c r="Y309" t="s">
        <v>41</v>
      </c>
      <c r="Z309" t="s">
        <v>41</v>
      </c>
      <c r="AA309" t="s">
        <v>41</v>
      </c>
      <c r="AB309" t="s">
        <v>41</v>
      </c>
      <c r="AC309" t="s">
        <v>41</v>
      </c>
      <c r="AD309" t="s">
        <v>41</v>
      </c>
      <c r="AE309" t="s">
        <v>41</v>
      </c>
      <c r="AF309" t="s">
        <v>41</v>
      </c>
    </row>
    <row r="310" spans="1:32" x14ac:dyDescent="0.3">
      <c r="A310" t="s">
        <v>135</v>
      </c>
      <c r="B310" t="s">
        <v>41</v>
      </c>
      <c r="C310" t="s">
        <v>41</v>
      </c>
      <c r="D310" t="s">
        <v>65</v>
      </c>
      <c r="E310" t="s">
        <v>506</v>
      </c>
      <c r="F310" t="s">
        <v>41</v>
      </c>
      <c r="G310">
        <v>1</v>
      </c>
      <c r="H310" t="s">
        <v>41</v>
      </c>
      <c r="I310">
        <v>1</v>
      </c>
      <c r="J310">
        <f t="shared" ref="J310:J365" si="10">SUM(F310:I310)</f>
        <v>2</v>
      </c>
      <c r="K310" t="s">
        <v>41</v>
      </c>
      <c r="L310" t="e">
        <f t="shared" ref="L310:L365" si="11">K310*60</f>
        <v>#VALUE!</v>
      </c>
      <c r="M310" t="s">
        <v>41</v>
      </c>
      <c r="N310" t="s">
        <v>41</v>
      </c>
      <c r="O310" t="s">
        <v>41</v>
      </c>
      <c r="P310" t="s">
        <v>41</v>
      </c>
      <c r="Q310" t="s">
        <v>41</v>
      </c>
      <c r="R310" t="s">
        <v>41</v>
      </c>
      <c r="S310" t="s">
        <v>41</v>
      </c>
      <c r="T310" t="s">
        <v>41</v>
      </c>
      <c r="U310" t="s">
        <v>41</v>
      </c>
      <c r="V310" t="s">
        <v>41</v>
      </c>
      <c r="W310" t="s">
        <v>41</v>
      </c>
      <c r="X310" t="s">
        <v>41</v>
      </c>
      <c r="Y310" t="s">
        <v>41</v>
      </c>
      <c r="Z310" t="s">
        <v>41</v>
      </c>
      <c r="AA310" t="s">
        <v>41</v>
      </c>
      <c r="AB310" t="s">
        <v>41</v>
      </c>
      <c r="AC310" t="s">
        <v>41</v>
      </c>
      <c r="AD310" t="s">
        <v>41</v>
      </c>
      <c r="AE310" t="s">
        <v>41</v>
      </c>
      <c r="AF310" t="s">
        <v>41</v>
      </c>
    </row>
    <row r="311" spans="1:32" x14ac:dyDescent="0.3">
      <c r="A311" t="s">
        <v>135</v>
      </c>
      <c r="B311" t="s">
        <v>41</v>
      </c>
      <c r="C311" t="s">
        <v>41</v>
      </c>
      <c r="D311" t="s">
        <v>505</v>
      </c>
      <c r="E311" t="s">
        <v>506</v>
      </c>
      <c r="F311" t="s">
        <v>41</v>
      </c>
      <c r="G311">
        <v>1</v>
      </c>
      <c r="H311" t="s">
        <v>41</v>
      </c>
      <c r="I311" t="s">
        <v>41</v>
      </c>
      <c r="J311">
        <f t="shared" si="10"/>
        <v>1</v>
      </c>
      <c r="K311" t="s">
        <v>41</v>
      </c>
      <c r="L311" t="e">
        <f t="shared" si="11"/>
        <v>#VALUE!</v>
      </c>
      <c r="M311" t="s">
        <v>41</v>
      </c>
      <c r="N311" t="s">
        <v>41</v>
      </c>
      <c r="O311" t="s">
        <v>41</v>
      </c>
      <c r="P311" t="s">
        <v>41</v>
      </c>
      <c r="Q311" t="s">
        <v>41</v>
      </c>
      <c r="R311" t="s">
        <v>41</v>
      </c>
      <c r="S311" t="s">
        <v>41</v>
      </c>
      <c r="T311" t="s">
        <v>41</v>
      </c>
      <c r="U311" t="s">
        <v>41</v>
      </c>
      <c r="V311" t="s">
        <v>41</v>
      </c>
      <c r="W311" t="s">
        <v>41</v>
      </c>
      <c r="X311" t="s">
        <v>41</v>
      </c>
      <c r="Y311" t="s">
        <v>41</v>
      </c>
      <c r="Z311" t="s">
        <v>41</v>
      </c>
      <c r="AA311" t="s">
        <v>41</v>
      </c>
      <c r="AB311" t="s">
        <v>41</v>
      </c>
      <c r="AC311" t="s">
        <v>41</v>
      </c>
      <c r="AD311" t="s">
        <v>41</v>
      </c>
      <c r="AE311" t="s">
        <v>41</v>
      </c>
      <c r="AF311" t="s">
        <v>41</v>
      </c>
    </row>
    <row r="312" spans="1:32" x14ac:dyDescent="0.3">
      <c r="A312" t="s">
        <v>135</v>
      </c>
      <c r="B312" t="s">
        <v>41</v>
      </c>
      <c r="C312" t="s">
        <v>41</v>
      </c>
      <c r="D312" t="s">
        <v>209</v>
      </c>
      <c r="E312" t="s">
        <v>507</v>
      </c>
      <c r="F312" t="s">
        <v>41</v>
      </c>
      <c r="G312">
        <v>1</v>
      </c>
      <c r="H312" t="s">
        <v>41</v>
      </c>
      <c r="I312">
        <v>1</v>
      </c>
      <c r="J312">
        <f t="shared" si="10"/>
        <v>2</v>
      </c>
      <c r="K312" t="s">
        <v>41</v>
      </c>
      <c r="L312" t="e">
        <f t="shared" si="11"/>
        <v>#VALUE!</v>
      </c>
      <c r="M312">
        <v>1</v>
      </c>
      <c r="N312" t="s">
        <v>41</v>
      </c>
      <c r="O312" t="s">
        <v>41</v>
      </c>
      <c r="P312" t="s">
        <v>41</v>
      </c>
      <c r="Q312" t="s">
        <v>41</v>
      </c>
      <c r="R312" t="s">
        <v>41</v>
      </c>
      <c r="S312" t="s">
        <v>41</v>
      </c>
      <c r="T312" t="s">
        <v>41</v>
      </c>
      <c r="U312" t="s">
        <v>41</v>
      </c>
      <c r="V312" t="s">
        <v>41</v>
      </c>
      <c r="W312" t="s">
        <v>41</v>
      </c>
      <c r="X312" t="s">
        <v>41</v>
      </c>
      <c r="Y312" t="s">
        <v>41</v>
      </c>
      <c r="Z312" t="s">
        <v>41</v>
      </c>
      <c r="AA312" t="s">
        <v>41</v>
      </c>
      <c r="AB312" t="s">
        <v>41</v>
      </c>
      <c r="AC312" t="s">
        <v>41</v>
      </c>
      <c r="AD312" t="s">
        <v>41</v>
      </c>
      <c r="AE312" t="s">
        <v>41</v>
      </c>
      <c r="AF312" t="s">
        <v>41</v>
      </c>
    </row>
    <row r="313" spans="1:32" x14ac:dyDescent="0.3">
      <c r="A313" t="s">
        <v>135</v>
      </c>
      <c r="B313" t="s">
        <v>41</v>
      </c>
      <c r="C313" t="s">
        <v>41</v>
      </c>
      <c r="D313" t="s">
        <v>58</v>
      </c>
      <c r="E313" t="s">
        <v>138</v>
      </c>
      <c r="F313" t="s">
        <v>41</v>
      </c>
      <c r="G313">
        <v>1</v>
      </c>
      <c r="H313" t="s">
        <v>41</v>
      </c>
      <c r="I313" t="s">
        <v>41</v>
      </c>
      <c r="J313">
        <f t="shared" si="10"/>
        <v>1</v>
      </c>
      <c r="K313" t="s">
        <v>41</v>
      </c>
      <c r="L313" t="e">
        <f t="shared" si="11"/>
        <v>#VALUE!</v>
      </c>
      <c r="M313" t="s">
        <v>41</v>
      </c>
      <c r="N313" t="s">
        <v>41</v>
      </c>
      <c r="O313" t="s">
        <v>41</v>
      </c>
      <c r="P313" t="s">
        <v>41</v>
      </c>
      <c r="Q313" t="s">
        <v>41</v>
      </c>
      <c r="R313" t="s">
        <v>41</v>
      </c>
      <c r="S313" t="s">
        <v>41</v>
      </c>
      <c r="T313" t="s">
        <v>41</v>
      </c>
      <c r="U313" t="s">
        <v>41</v>
      </c>
      <c r="V313" t="s">
        <v>41</v>
      </c>
      <c r="W313" t="s">
        <v>41</v>
      </c>
      <c r="X313" t="s">
        <v>41</v>
      </c>
      <c r="Y313" t="s">
        <v>41</v>
      </c>
      <c r="Z313" t="s">
        <v>41</v>
      </c>
      <c r="AA313" t="s">
        <v>41</v>
      </c>
      <c r="AB313" t="s">
        <v>41</v>
      </c>
      <c r="AC313" t="s">
        <v>41</v>
      </c>
      <c r="AD313" t="s">
        <v>41</v>
      </c>
      <c r="AE313" t="s">
        <v>41</v>
      </c>
      <c r="AF313" t="s">
        <v>41</v>
      </c>
    </row>
    <row r="314" spans="1:32" x14ac:dyDescent="0.3">
      <c r="A314" t="s">
        <v>135</v>
      </c>
      <c r="B314" t="s">
        <v>41</v>
      </c>
      <c r="C314" t="s">
        <v>41</v>
      </c>
      <c r="D314" t="s">
        <v>94</v>
      </c>
      <c r="E314" t="s">
        <v>123</v>
      </c>
      <c r="F314" t="s">
        <v>41</v>
      </c>
      <c r="G314">
        <v>1</v>
      </c>
      <c r="H314">
        <v>1</v>
      </c>
      <c r="I314" t="s">
        <v>41</v>
      </c>
      <c r="J314">
        <f t="shared" si="10"/>
        <v>2</v>
      </c>
      <c r="K314" t="s">
        <v>41</v>
      </c>
      <c r="L314" t="e">
        <f t="shared" si="11"/>
        <v>#VALUE!</v>
      </c>
      <c r="M314" t="s">
        <v>41</v>
      </c>
      <c r="N314" t="s">
        <v>41</v>
      </c>
      <c r="O314" t="s">
        <v>41</v>
      </c>
      <c r="P314" t="s">
        <v>41</v>
      </c>
      <c r="Q314" t="s">
        <v>41</v>
      </c>
      <c r="R314" t="s">
        <v>41</v>
      </c>
      <c r="S314" t="s">
        <v>41</v>
      </c>
      <c r="T314">
        <v>6</v>
      </c>
      <c r="U314" t="s">
        <v>41</v>
      </c>
      <c r="V314" t="s">
        <v>41</v>
      </c>
      <c r="W314" t="s">
        <v>41</v>
      </c>
      <c r="X314" t="s">
        <v>41</v>
      </c>
      <c r="Y314" t="s">
        <v>41</v>
      </c>
      <c r="Z314" t="s">
        <v>41</v>
      </c>
      <c r="AA314" t="s">
        <v>41</v>
      </c>
      <c r="AB314" t="s">
        <v>41</v>
      </c>
      <c r="AC314" t="s">
        <v>41</v>
      </c>
      <c r="AD314" t="s">
        <v>41</v>
      </c>
      <c r="AE314" t="s">
        <v>41</v>
      </c>
      <c r="AF314" t="s">
        <v>41</v>
      </c>
    </row>
    <row r="315" spans="1:32" x14ac:dyDescent="0.3">
      <c r="A315" t="s">
        <v>135</v>
      </c>
      <c r="B315" t="s">
        <v>41</v>
      </c>
      <c r="C315" t="s">
        <v>41</v>
      </c>
      <c r="D315" t="s">
        <v>364</v>
      </c>
      <c r="E315" t="s">
        <v>280</v>
      </c>
      <c r="F315" t="s">
        <v>41</v>
      </c>
      <c r="G315">
        <v>1</v>
      </c>
      <c r="H315" t="s">
        <v>41</v>
      </c>
      <c r="I315" t="s">
        <v>41</v>
      </c>
      <c r="J315">
        <f t="shared" si="10"/>
        <v>1</v>
      </c>
      <c r="K315" t="s">
        <v>41</v>
      </c>
      <c r="L315" t="e">
        <f t="shared" si="11"/>
        <v>#VALUE!</v>
      </c>
      <c r="M315" t="s">
        <v>41</v>
      </c>
      <c r="N315" t="s">
        <v>41</v>
      </c>
      <c r="O315" t="s">
        <v>41</v>
      </c>
      <c r="P315" t="s">
        <v>41</v>
      </c>
      <c r="Q315" t="s">
        <v>41</v>
      </c>
      <c r="R315" t="s">
        <v>41</v>
      </c>
      <c r="S315" t="s">
        <v>41</v>
      </c>
      <c r="T315">
        <v>0.25</v>
      </c>
      <c r="U315" t="s">
        <v>41</v>
      </c>
      <c r="V315" t="s">
        <v>41</v>
      </c>
      <c r="W315" t="s">
        <v>41</v>
      </c>
      <c r="X315">
        <v>1</v>
      </c>
      <c r="Y315" t="s">
        <v>41</v>
      </c>
      <c r="Z315" t="s">
        <v>41</v>
      </c>
      <c r="AA315" t="s">
        <v>41</v>
      </c>
      <c r="AB315" t="s">
        <v>41</v>
      </c>
      <c r="AC315" t="s">
        <v>41</v>
      </c>
      <c r="AD315" t="s">
        <v>41</v>
      </c>
      <c r="AE315" t="s">
        <v>41</v>
      </c>
      <c r="AF315" t="s">
        <v>41</v>
      </c>
    </row>
    <row r="316" spans="1:32" x14ac:dyDescent="0.3">
      <c r="A316" t="s">
        <v>135</v>
      </c>
      <c r="B316" t="s">
        <v>41</v>
      </c>
      <c r="C316" t="s">
        <v>41</v>
      </c>
      <c r="D316" t="s">
        <v>242</v>
      </c>
      <c r="E316" t="s">
        <v>138</v>
      </c>
      <c r="F316" t="s">
        <v>41</v>
      </c>
      <c r="G316">
        <v>1</v>
      </c>
      <c r="H316" t="s">
        <v>41</v>
      </c>
      <c r="I316" t="s">
        <v>41</v>
      </c>
      <c r="J316">
        <f t="shared" si="10"/>
        <v>1</v>
      </c>
      <c r="K316" t="s">
        <v>41</v>
      </c>
      <c r="L316" t="e">
        <f t="shared" si="11"/>
        <v>#VALUE!</v>
      </c>
      <c r="M316" t="s">
        <v>41</v>
      </c>
      <c r="N316" t="s">
        <v>41</v>
      </c>
      <c r="O316" t="s">
        <v>41</v>
      </c>
      <c r="P316" t="s">
        <v>41</v>
      </c>
      <c r="Q316" t="s">
        <v>41</v>
      </c>
      <c r="R316" t="s">
        <v>41</v>
      </c>
      <c r="S316" t="s">
        <v>41</v>
      </c>
      <c r="T316" t="s">
        <v>41</v>
      </c>
      <c r="U316" t="s">
        <v>41</v>
      </c>
      <c r="V316" t="s">
        <v>41</v>
      </c>
      <c r="W316" t="s">
        <v>41</v>
      </c>
      <c r="X316" t="s">
        <v>41</v>
      </c>
      <c r="Y316" t="s">
        <v>41</v>
      </c>
      <c r="Z316" t="s">
        <v>41</v>
      </c>
      <c r="AA316" t="s">
        <v>41</v>
      </c>
      <c r="AB316" t="s">
        <v>41</v>
      </c>
      <c r="AC316" t="s">
        <v>41</v>
      </c>
      <c r="AD316" t="s">
        <v>41</v>
      </c>
      <c r="AE316" t="s">
        <v>41</v>
      </c>
      <c r="AF316" t="s">
        <v>41</v>
      </c>
    </row>
    <row r="317" spans="1:32" x14ac:dyDescent="0.3">
      <c r="A317" t="s">
        <v>135</v>
      </c>
      <c r="B317" t="s">
        <v>41</v>
      </c>
      <c r="C317" t="s">
        <v>41</v>
      </c>
      <c r="D317" t="s">
        <v>82</v>
      </c>
      <c r="E317" t="s">
        <v>102</v>
      </c>
      <c r="F317" t="s">
        <v>41</v>
      </c>
      <c r="G317">
        <v>1</v>
      </c>
      <c r="H317">
        <v>2</v>
      </c>
      <c r="I317" t="s">
        <v>41</v>
      </c>
      <c r="J317">
        <f t="shared" si="10"/>
        <v>3</v>
      </c>
      <c r="K317" t="s">
        <v>41</v>
      </c>
      <c r="L317" t="e">
        <f t="shared" si="11"/>
        <v>#VALUE!</v>
      </c>
      <c r="M317" t="s">
        <v>41</v>
      </c>
      <c r="N317" t="s">
        <v>41</v>
      </c>
      <c r="O317" t="s">
        <v>41</v>
      </c>
      <c r="P317" t="s">
        <v>41</v>
      </c>
      <c r="Q317" t="s">
        <v>41</v>
      </c>
      <c r="R317" t="s">
        <v>41</v>
      </c>
      <c r="S317" t="s">
        <v>41</v>
      </c>
      <c r="T317" t="s">
        <v>41</v>
      </c>
      <c r="U317" t="s">
        <v>41</v>
      </c>
      <c r="V317" t="s">
        <v>41</v>
      </c>
      <c r="W317" t="s">
        <v>41</v>
      </c>
      <c r="X317" t="s">
        <v>41</v>
      </c>
      <c r="Y317" t="s">
        <v>41</v>
      </c>
      <c r="Z317" t="s">
        <v>41</v>
      </c>
      <c r="AA317" t="s">
        <v>41</v>
      </c>
      <c r="AB317" t="s">
        <v>41</v>
      </c>
      <c r="AC317" t="s">
        <v>41</v>
      </c>
      <c r="AD317" t="s">
        <v>41</v>
      </c>
      <c r="AE317" t="s">
        <v>41</v>
      </c>
      <c r="AF317" t="s">
        <v>41</v>
      </c>
    </row>
    <row r="318" spans="1:32" x14ac:dyDescent="0.3">
      <c r="A318" t="s">
        <v>135</v>
      </c>
      <c r="B318" t="s">
        <v>41</v>
      </c>
      <c r="C318" t="s">
        <v>41</v>
      </c>
      <c r="D318" t="s">
        <v>112</v>
      </c>
      <c r="E318" t="s">
        <v>102</v>
      </c>
      <c r="F318" t="s">
        <v>41</v>
      </c>
      <c r="G318">
        <v>1</v>
      </c>
      <c r="H318" t="s">
        <v>41</v>
      </c>
      <c r="I318" t="s">
        <v>41</v>
      </c>
      <c r="J318">
        <f t="shared" si="10"/>
        <v>1</v>
      </c>
      <c r="K318" t="s">
        <v>41</v>
      </c>
      <c r="L318" t="e">
        <f t="shared" si="11"/>
        <v>#VALUE!</v>
      </c>
      <c r="M318" t="s">
        <v>41</v>
      </c>
      <c r="N318" t="s">
        <v>41</v>
      </c>
      <c r="O318" t="s">
        <v>41</v>
      </c>
      <c r="P318" t="s">
        <v>41</v>
      </c>
      <c r="Q318" t="s">
        <v>41</v>
      </c>
      <c r="R318" t="s">
        <v>41</v>
      </c>
      <c r="S318" t="s">
        <v>41</v>
      </c>
      <c r="T318" t="s">
        <v>41</v>
      </c>
      <c r="U318" t="s">
        <v>41</v>
      </c>
      <c r="V318" t="s">
        <v>41</v>
      </c>
      <c r="W318" t="s">
        <v>41</v>
      </c>
      <c r="X318" t="s">
        <v>41</v>
      </c>
      <c r="Y318" t="s">
        <v>41</v>
      </c>
      <c r="Z318" t="s">
        <v>41</v>
      </c>
      <c r="AA318" t="s">
        <v>41</v>
      </c>
      <c r="AB318" t="s">
        <v>41</v>
      </c>
      <c r="AC318" t="s">
        <v>41</v>
      </c>
      <c r="AD318" t="s">
        <v>41</v>
      </c>
      <c r="AE318" t="s">
        <v>41</v>
      </c>
      <c r="AF318" t="s">
        <v>41</v>
      </c>
    </row>
    <row r="319" spans="1:32" x14ac:dyDescent="0.3">
      <c r="A319" t="s">
        <v>135</v>
      </c>
      <c r="B319" t="s">
        <v>41</v>
      </c>
      <c r="C319" t="s">
        <v>41</v>
      </c>
      <c r="D319" t="s">
        <v>508</v>
      </c>
      <c r="E319" t="s">
        <v>509</v>
      </c>
      <c r="F319" t="s">
        <v>41</v>
      </c>
      <c r="G319">
        <v>1</v>
      </c>
      <c r="H319" t="s">
        <v>41</v>
      </c>
      <c r="I319" t="s">
        <v>41</v>
      </c>
      <c r="J319">
        <f t="shared" si="10"/>
        <v>1</v>
      </c>
      <c r="K319" t="s">
        <v>41</v>
      </c>
      <c r="L319" t="e">
        <f t="shared" si="11"/>
        <v>#VALUE!</v>
      </c>
      <c r="M319" t="s">
        <v>41</v>
      </c>
      <c r="N319">
        <v>1</v>
      </c>
      <c r="O319">
        <v>6</v>
      </c>
      <c r="P319" t="s">
        <v>41</v>
      </c>
      <c r="Q319" t="s">
        <v>41</v>
      </c>
      <c r="R319" t="s">
        <v>41</v>
      </c>
      <c r="S319" t="s">
        <v>41</v>
      </c>
      <c r="T319" t="s">
        <v>41</v>
      </c>
      <c r="U319" t="s">
        <v>41</v>
      </c>
      <c r="V319" t="s">
        <v>41</v>
      </c>
      <c r="W319" t="s">
        <v>41</v>
      </c>
      <c r="X319" t="s">
        <v>41</v>
      </c>
      <c r="Y319" t="s">
        <v>41</v>
      </c>
      <c r="Z319" t="s">
        <v>41</v>
      </c>
      <c r="AA319" t="s">
        <v>41</v>
      </c>
      <c r="AB319" t="s">
        <v>41</v>
      </c>
      <c r="AC319" t="s">
        <v>41</v>
      </c>
      <c r="AD319" t="s">
        <v>41</v>
      </c>
      <c r="AE319" t="s">
        <v>41</v>
      </c>
      <c r="AF319" t="s">
        <v>41</v>
      </c>
    </row>
    <row r="320" spans="1:32" x14ac:dyDescent="0.3">
      <c r="A320" t="s">
        <v>135</v>
      </c>
      <c r="B320" t="s">
        <v>41</v>
      </c>
      <c r="C320" t="s">
        <v>41</v>
      </c>
      <c r="D320" t="s">
        <v>473</v>
      </c>
      <c r="E320" t="s">
        <v>391</v>
      </c>
      <c r="F320" t="s">
        <v>41</v>
      </c>
      <c r="G320">
        <v>1</v>
      </c>
      <c r="H320">
        <v>1</v>
      </c>
      <c r="I320">
        <v>1</v>
      </c>
      <c r="J320">
        <f t="shared" si="10"/>
        <v>3</v>
      </c>
      <c r="K320" t="s">
        <v>41</v>
      </c>
      <c r="L320" t="e">
        <f t="shared" si="11"/>
        <v>#VALUE!</v>
      </c>
      <c r="M320">
        <v>1</v>
      </c>
      <c r="N320" t="s">
        <v>41</v>
      </c>
      <c r="O320" t="s">
        <v>41</v>
      </c>
      <c r="P320" t="s">
        <v>41</v>
      </c>
      <c r="Q320" t="s">
        <v>41</v>
      </c>
      <c r="R320" t="s">
        <v>41</v>
      </c>
      <c r="S320" t="s">
        <v>41</v>
      </c>
      <c r="T320" t="s">
        <v>41</v>
      </c>
      <c r="U320" t="s">
        <v>41</v>
      </c>
      <c r="V320" t="s">
        <v>41</v>
      </c>
      <c r="W320" t="s">
        <v>41</v>
      </c>
      <c r="X320" t="s">
        <v>41</v>
      </c>
      <c r="Y320" t="s">
        <v>41</v>
      </c>
      <c r="Z320" t="s">
        <v>41</v>
      </c>
      <c r="AA320" t="s">
        <v>41</v>
      </c>
      <c r="AB320" t="s">
        <v>41</v>
      </c>
      <c r="AC320" t="s">
        <v>41</v>
      </c>
      <c r="AD320" t="s">
        <v>41</v>
      </c>
      <c r="AE320" t="s">
        <v>41</v>
      </c>
      <c r="AF320" t="s">
        <v>41</v>
      </c>
    </row>
    <row r="321" spans="1:32" x14ac:dyDescent="0.3">
      <c r="A321" t="s">
        <v>135</v>
      </c>
      <c r="B321" t="s">
        <v>41</v>
      </c>
      <c r="C321" t="s">
        <v>41</v>
      </c>
      <c r="D321" t="s">
        <v>31</v>
      </c>
      <c r="E321" t="s">
        <v>64</v>
      </c>
      <c r="F321" t="s">
        <v>41</v>
      </c>
      <c r="G321">
        <v>1</v>
      </c>
      <c r="H321">
        <v>2</v>
      </c>
      <c r="I321" t="s">
        <v>41</v>
      </c>
      <c r="J321">
        <f t="shared" si="10"/>
        <v>3</v>
      </c>
      <c r="K321" t="s">
        <v>41</v>
      </c>
      <c r="L321" t="e">
        <f t="shared" si="11"/>
        <v>#VALUE!</v>
      </c>
      <c r="M321" t="s">
        <v>41</v>
      </c>
      <c r="N321" t="s">
        <v>41</v>
      </c>
      <c r="O321" t="s">
        <v>41</v>
      </c>
      <c r="P321" t="s">
        <v>41</v>
      </c>
      <c r="Q321" t="s">
        <v>41</v>
      </c>
      <c r="R321" t="s">
        <v>41</v>
      </c>
      <c r="S321" t="s">
        <v>41</v>
      </c>
      <c r="T321" t="s">
        <v>41</v>
      </c>
      <c r="U321" t="s">
        <v>41</v>
      </c>
      <c r="V321" t="s">
        <v>41</v>
      </c>
      <c r="W321" t="s">
        <v>41</v>
      </c>
      <c r="X321" t="s">
        <v>41</v>
      </c>
      <c r="Y321" t="s">
        <v>41</v>
      </c>
      <c r="Z321" t="s">
        <v>41</v>
      </c>
      <c r="AA321" t="s">
        <v>41</v>
      </c>
      <c r="AB321" t="s">
        <v>41</v>
      </c>
      <c r="AC321" t="s">
        <v>41</v>
      </c>
      <c r="AD321" t="s">
        <v>41</v>
      </c>
      <c r="AE321" t="s">
        <v>41</v>
      </c>
      <c r="AF321" t="s">
        <v>41</v>
      </c>
    </row>
    <row r="322" spans="1:32" x14ac:dyDescent="0.3">
      <c r="A322" t="s">
        <v>135</v>
      </c>
      <c r="B322" t="s">
        <v>41</v>
      </c>
      <c r="C322" t="s">
        <v>41</v>
      </c>
      <c r="D322" t="s">
        <v>244</v>
      </c>
      <c r="E322" t="s">
        <v>510</v>
      </c>
      <c r="F322" t="s">
        <v>41</v>
      </c>
      <c r="G322">
        <v>1</v>
      </c>
      <c r="H322" t="s">
        <v>41</v>
      </c>
      <c r="I322" t="s">
        <v>41</v>
      </c>
      <c r="J322">
        <f t="shared" si="10"/>
        <v>1</v>
      </c>
      <c r="K322" t="s">
        <v>41</v>
      </c>
      <c r="L322" t="e">
        <f t="shared" si="11"/>
        <v>#VALUE!</v>
      </c>
      <c r="M322" t="s">
        <v>41</v>
      </c>
      <c r="N322" t="s">
        <v>41</v>
      </c>
      <c r="O322" t="s">
        <v>41</v>
      </c>
      <c r="P322" t="s">
        <v>41</v>
      </c>
      <c r="Q322" t="s">
        <v>41</v>
      </c>
      <c r="R322" t="s">
        <v>41</v>
      </c>
      <c r="S322" t="s">
        <v>41</v>
      </c>
      <c r="T322" t="s">
        <v>41</v>
      </c>
      <c r="U322" t="s">
        <v>41</v>
      </c>
      <c r="V322" t="s">
        <v>41</v>
      </c>
      <c r="W322" t="s">
        <v>41</v>
      </c>
      <c r="X322" t="s">
        <v>41</v>
      </c>
      <c r="Y322" t="s">
        <v>41</v>
      </c>
      <c r="Z322" t="s">
        <v>41</v>
      </c>
      <c r="AA322" t="s">
        <v>41</v>
      </c>
      <c r="AB322" t="s">
        <v>41</v>
      </c>
      <c r="AC322" t="s">
        <v>41</v>
      </c>
      <c r="AD322" t="s">
        <v>41</v>
      </c>
      <c r="AE322" t="s">
        <v>41</v>
      </c>
      <c r="AF322" t="s">
        <v>41</v>
      </c>
    </row>
    <row r="323" spans="1:32" x14ac:dyDescent="0.3">
      <c r="A323" t="s">
        <v>135</v>
      </c>
      <c r="B323" t="s">
        <v>41</v>
      </c>
      <c r="C323" t="s">
        <v>41</v>
      </c>
      <c r="D323" t="s">
        <v>285</v>
      </c>
      <c r="E323" t="s">
        <v>136</v>
      </c>
      <c r="F323" t="s">
        <v>41</v>
      </c>
      <c r="G323">
        <v>1</v>
      </c>
      <c r="H323" t="s">
        <v>41</v>
      </c>
      <c r="I323">
        <v>1</v>
      </c>
      <c r="J323">
        <f t="shared" si="10"/>
        <v>2</v>
      </c>
      <c r="K323" t="s">
        <v>41</v>
      </c>
      <c r="L323" t="e">
        <f t="shared" si="11"/>
        <v>#VALUE!</v>
      </c>
      <c r="M323" t="s">
        <v>41</v>
      </c>
      <c r="N323" t="s">
        <v>41</v>
      </c>
      <c r="O323" t="s">
        <v>41</v>
      </c>
      <c r="P323" t="s">
        <v>41</v>
      </c>
      <c r="Q323" t="s">
        <v>41</v>
      </c>
      <c r="R323" t="s">
        <v>41</v>
      </c>
      <c r="S323" t="s">
        <v>41</v>
      </c>
      <c r="T323" t="s">
        <v>41</v>
      </c>
      <c r="U323" t="s">
        <v>41</v>
      </c>
      <c r="V323" t="s">
        <v>41</v>
      </c>
      <c r="W323" t="s">
        <v>41</v>
      </c>
      <c r="X323" t="s">
        <v>41</v>
      </c>
      <c r="Y323" t="s">
        <v>41</v>
      </c>
      <c r="Z323" t="s">
        <v>41</v>
      </c>
      <c r="AA323" t="s">
        <v>41</v>
      </c>
      <c r="AB323" t="s">
        <v>41</v>
      </c>
      <c r="AC323" t="s">
        <v>41</v>
      </c>
      <c r="AD323" t="s">
        <v>41</v>
      </c>
      <c r="AE323" t="s">
        <v>41</v>
      </c>
      <c r="AF323" t="s">
        <v>41</v>
      </c>
    </row>
    <row r="324" spans="1:32" x14ac:dyDescent="0.3">
      <c r="A324" t="s">
        <v>135</v>
      </c>
      <c r="B324" t="s">
        <v>41</v>
      </c>
      <c r="C324" t="s">
        <v>41</v>
      </c>
      <c r="D324" t="s">
        <v>37</v>
      </c>
      <c r="E324" t="s">
        <v>24</v>
      </c>
      <c r="F324" t="s">
        <v>41</v>
      </c>
      <c r="G324">
        <v>1</v>
      </c>
      <c r="H324" t="s">
        <v>41</v>
      </c>
      <c r="I324" t="s">
        <v>41</v>
      </c>
      <c r="J324">
        <f t="shared" si="10"/>
        <v>1</v>
      </c>
      <c r="K324" t="s">
        <v>41</v>
      </c>
      <c r="L324" t="e">
        <f t="shared" si="11"/>
        <v>#VALUE!</v>
      </c>
      <c r="M324" t="s">
        <v>41</v>
      </c>
      <c r="N324" t="s">
        <v>41</v>
      </c>
      <c r="O324" t="s">
        <v>41</v>
      </c>
      <c r="P324" t="s">
        <v>41</v>
      </c>
      <c r="Q324" t="s">
        <v>41</v>
      </c>
      <c r="R324" t="s">
        <v>41</v>
      </c>
      <c r="S324" t="s">
        <v>41</v>
      </c>
      <c r="T324" t="s">
        <v>41</v>
      </c>
      <c r="U324" t="s">
        <v>41</v>
      </c>
      <c r="V324" t="s">
        <v>41</v>
      </c>
      <c r="W324" t="s">
        <v>41</v>
      </c>
      <c r="X324" t="s">
        <v>41</v>
      </c>
      <c r="Y324" t="s">
        <v>41</v>
      </c>
      <c r="Z324" t="s">
        <v>41</v>
      </c>
      <c r="AA324" t="s">
        <v>41</v>
      </c>
      <c r="AB324" t="s">
        <v>41</v>
      </c>
      <c r="AC324" t="s">
        <v>41</v>
      </c>
      <c r="AD324" t="s">
        <v>41</v>
      </c>
      <c r="AE324" t="s">
        <v>41</v>
      </c>
      <c r="AF324" t="s">
        <v>41</v>
      </c>
    </row>
    <row r="325" spans="1:32" x14ac:dyDescent="0.3">
      <c r="A325" t="s">
        <v>135</v>
      </c>
      <c r="B325" t="s">
        <v>41</v>
      </c>
      <c r="C325" t="s">
        <v>41</v>
      </c>
      <c r="D325" t="s">
        <v>430</v>
      </c>
      <c r="E325" t="s">
        <v>52</v>
      </c>
      <c r="F325" t="s">
        <v>41</v>
      </c>
      <c r="G325">
        <v>1</v>
      </c>
      <c r="H325" t="s">
        <v>41</v>
      </c>
      <c r="I325" t="s">
        <v>41</v>
      </c>
      <c r="J325">
        <f t="shared" si="10"/>
        <v>1</v>
      </c>
      <c r="K325" t="s">
        <v>41</v>
      </c>
      <c r="L325" t="e">
        <f t="shared" si="11"/>
        <v>#VALUE!</v>
      </c>
      <c r="M325" t="s">
        <v>41</v>
      </c>
      <c r="N325" t="s">
        <v>41</v>
      </c>
      <c r="O325" t="s">
        <v>41</v>
      </c>
      <c r="P325" t="s">
        <v>41</v>
      </c>
      <c r="Q325" t="s">
        <v>41</v>
      </c>
      <c r="R325" t="s">
        <v>41</v>
      </c>
      <c r="S325" t="s">
        <v>41</v>
      </c>
      <c r="T325" t="s">
        <v>41</v>
      </c>
      <c r="U325" t="s">
        <v>41</v>
      </c>
      <c r="V325" t="s">
        <v>41</v>
      </c>
      <c r="W325" t="s">
        <v>41</v>
      </c>
      <c r="X325" t="s">
        <v>41</v>
      </c>
      <c r="Y325" t="s">
        <v>41</v>
      </c>
      <c r="Z325" t="s">
        <v>41</v>
      </c>
      <c r="AA325" t="s">
        <v>41</v>
      </c>
      <c r="AB325" t="s">
        <v>41</v>
      </c>
      <c r="AC325" t="s">
        <v>41</v>
      </c>
      <c r="AD325" t="s">
        <v>41</v>
      </c>
      <c r="AE325" t="s">
        <v>41</v>
      </c>
      <c r="AF325" t="s">
        <v>41</v>
      </c>
    </row>
    <row r="326" spans="1:32" x14ac:dyDescent="0.3">
      <c r="A326" t="s">
        <v>135</v>
      </c>
      <c r="B326" t="s">
        <v>41</v>
      </c>
      <c r="C326" t="s">
        <v>41</v>
      </c>
      <c r="D326" t="s">
        <v>396</v>
      </c>
      <c r="E326" t="s">
        <v>52</v>
      </c>
      <c r="F326" t="s">
        <v>41</v>
      </c>
      <c r="G326">
        <v>1</v>
      </c>
      <c r="H326">
        <v>1</v>
      </c>
      <c r="I326" t="s">
        <v>41</v>
      </c>
      <c r="J326">
        <f t="shared" si="10"/>
        <v>2</v>
      </c>
      <c r="K326" t="s">
        <v>41</v>
      </c>
      <c r="L326" t="e">
        <f t="shared" si="11"/>
        <v>#VALUE!</v>
      </c>
      <c r="M326" t="s">
        <v>41</v>
      </c>
      <c r="N326" t="s">
        <v>41</v>
      </c>
      <c r="O326" t="s">
        <v>41</v>
      </c>
      <c r="P326" t="s">
        <v>41</v>
      </c>
      <c r="Q326" t="s">
        <v>41</v>
      </c>
      <c r="R326" t="s">
        <v>41</v>
      </c>
      <c r="S326" t="s">
        <v>41</v>
      </c>
      <c r="T326" t="s">
        <v>41</v>
      </c>
      <c r="U326" t="s">
        <v>41</v>
      </c>
      <c r="V326" t="s">
        <v>41</v>
      </c>
      <c r="W326" t="s">
        <v>41</v>
      </c>
      <c r="X326" t="s">
        <v>41</v>
      </c>
      <c r="Y326" t="s">
        <v>41</v>
      </c>
      <c r="Z326" t="s">
        <v>41</v>
      </c>
      <c r="AA326" t="s">
        <v>41</v>
      </c>
      <c r="AB326" t="s">
        <v>41</v>
      </c>
      <c r="AC326" t="s">
        <v>41</v>
      </c>
      <c r="AD326" t="s">
        <v>41</v>
      </c>
      <c r="AE326" t="s">
        <v>41</v>
      </c>
      <c r="AF326" t="s">
        <v>41</v>
      </c>
    </row>
    <row r="327" spans="1:32" x14ac:dyDescent="0.3">
      <c r="A327" t="s">
        <v>135</v>
      </c>
      <c r="B327" t="s">
        <v>41</v>
      </c>
      <c r="C327" t="s">
        <v>41</v>
      </c>
      <c r="D327" t="s">
        <v>486</v>
      </c>
      <c r="E327" t="s">
        <v>511</v>
      </c>
      <c r="F327" t="s">
        <v>41</v>
      </c>
      <c r="G327">
        <v>1</v>
      </c>
      <c r="H327" t="s">
        <v>41</v>
      </c>
      <c r="I327" t="s">
        <v>41</v>
      </c>
      <c r="J327">
        <f t="shared" si="10"/>
        <v>1</v>
      </c>
      <c r="K327" t="s">
        <v>41</v>
      </c>
      <c r="L327" t="e">
        <f t="shared" si="11"/>
        <v>#VALUE!</v>
      </c>
      <c r="M327" t="s">
        <v>41</v>
      </c>
      <c r="N327" t="s">
        <v>41</v>
      </c>
      <c r="O327" t="s">
        <v>41</v>
      </c>
      <c r="P327" t="s">
        <v>41</v>
      </c>
      <c r="Q327" t="s">
        <v>41</v>
      </c>
      <c r="R327" t="s">
        <v>41</v>
      </c>
      <c r="S327" t="s">
        <v>41</v>
      </c>
      <c r="T327" t="s">
        <v>41</v>
      </c>
      <c r="U327" t="s">
        <v>41</v>
      </c>
      <c r="V327" t="s">
        <v>41</v>
      </c>
      <c r="W327" t="s">
        <v>41</v>
      </c>
      <c r="X327" t="s">
        <v>41</v>
      </c>
      <c r="Y327" t="s">
        <v>41</v>
      </c>
      <c r="Z327" t="s">
        <v>41</v>
      </c>
      <c r="AA327" t="s">
        <v>41</v>
      </c>
      <c r="AB327" t="s">
        <v>41</v>
      </c>
      <c r="AC327" t="s">
        <v>41</v>
      </c>
      <c r="AD327" t="s">
        <v>41</v>
      </c>
      <c r="AE327" t="s">
        <v>41</v>
      </c>
      <c r="AF327" t="s">
        <v>41</v>
      </c>
    </row>
    <row r="328" spans="1:32" x14ac:dyDescent="0.3">
      <c r="A328" t="s">
        <v>135</v>
      </c>
      <c r="B328" t="s">
        <v>41</v>
      </c>
      <c r="C328" t="s">
        <v>41</v>
      </c>
      <c r="D328" t="s">
        <v>512</v>
      </c>
      <c r="E328" t="s">
        <v>513</v>
      </c>
      <c r="F328" t="s">
        <v>41</v>
      </c>
      <c r="G328">
        <v>1</v>
      </c>
      <c r="H328">
        <v>2</v>
      </c>
      <c r="I328">
        <v>1</v>
      </c>
      <c r="J328">
        <f t="shared" si="10"/>
        <v>4</v>
      </c>
      <c r="K328" t="s">
        <v>41</v>
      </c>
      <c r="L328" t="e">
        <f t="shared" si="11"/>
        <v>#VALUE!</v>
      </c>
      <c r="M328" t="s">
        <v>41</v>
      </c>
      <c r="N328" t="s">
        <v>41</v>
      </c>
      <c r="O328" t="s">
        <v>41</v>
      </c>
      <c r="P328" t="s">
        <v>41</v>
      </c>
      <c r="Q328" t="s">
        <v>41</v>
      </c>
      <c r="R328" t="s">
        <v>41</v>
      </c>
      <c r="S328" t="s">
        <v>41</v>
      </c>
      <c r="T328" t="s">
        <v>41</v>
      </c>
      <c r="U328" t="s">
        <v>41</v>
      </c>
      <c r="V328" t="s">
        <v>41</v>
      </c>
      <c r="W328" t="s">
        <v>41</v>
      </c>
      <c r="X328" t="s">
        <v>41</v>
      </c>
      <c r="Y328" t="s">
        <v>41</v>
      </c>
      <c r="Z328" t="s">
        <v>41</v>
      </c>
      <c r="AA328" t="s">
        <v>41</v>
      </c>
      <c r="AB328" t="s">
        <v>41</v>
      </c>
      <c r="AC328" t="s">
        <v>41</v>
      </c>
      <c r="AD328" t="s">
        <v>41</v>
      </c>
      <c r="AE328" t="s">
        <v>41</v>
      </c>
      <c r="AF328" t="s">
        <v>41</v>
      </c>
    </row>
    <row r="329" spans="1:32" x14ac:dyDescent="0.3">
      <c r="A329" t="s">
        <v>135</v>
      </c>
      <c r="B329" t="s">
        <v>41</v>
      </c>
      <c r="C329" t="s">
        <v>41</v>
      </c>
      <c r="D329" t="s">
        <v>203</v>
      </c>
      <c r="E329" t="s">
        <v>269</v>
      </c>
      <c r="F329" t="s">
        <v>41</v>
      </c>
      <c r="G329">
        <v>1</v>
      </c>
      <c r="H329" t="s">
        <v>41</v>
      </c>
      <c r="I329" t="s">
        <v>41</v>
      </c>
      <c r="J329">
        <f t="shared" si="10"/>
        <v>1</v>
      </c>
      <c r="K329" t="s">
        <v>41</v>
      </c>
      <c r="L329" t="e">
        <f t="shared" si="11"/>
        <v>#VALUE!</v>
      </c>
      <c r="M329" t="s">
        <v>41</v>
      </c>
      <c r="N329" t="s">
        <v>41</v>
      </c>
      <c r="O329" t="s">
        <v>41</v>
      </c>
      <c r="P329" t="s">
        <v>41</v>
      </c>
      <c r="Q329" t="s">
        <v>41</v>
      </c>
      <c r="R329" t="s">
        <v>41</v>
      </c>
      <c r="S329" t="s">
        <v>41</v>
      </c>
      <c r="T329" t="s">
        <v>41</v>
      </c>
      <c r="U329" t="s">
        <v>41</v>
      </c>
      <c r="V329" t="s">
        <v>41</v>
      </c>
      <c r="W329" t="s">
        <v>41</v>
      </c>
      <c r="X329" t="s">
        <v>41</v>
      </c>
      <c r="Y329" t="s">
        <v>41</v>
      </c>
      <c r="Z329" t="s">
        <v>41</v>
      </c>
      <c r="AA329" t="s">
        <v>41</v>
      </c>
      <c r="AB329" t="s">
        <v>41</v>
      </c>
      <c r="AC329" t="s">
        <v>41</v>
      </c>
      <c r="AD329" t="s">
        <v>41</v>
      </c>
      <c r="AE329" t="s">
        <v>41</v>
      </c>
      <c r="AF329" t="s">
        <v>41</v>
      </c>
    </row>
    <row r="330" spans="1:32" x14ac:dyDescent="0.3">
      <c r="A330" t="s">
        <v>135</v>
      </c>
      <c r="B330" t="s">
        <v>41</v>
      </c>
      <c r="C330" t="s">
        <v>41</v>
      </c>
      <c r="D330" t="s">
        <v>255</v>
      </c>
      <c r="E330" t="s">
        <v>24</v>
      </c>
      <c r="F330" t="s">
        <v>41</v>
      </c>
      <c r="G330">
        <v>1</v>
      </c>
      <c r="H330" t="s">
        <v>41</v>
      </c>
      <c r="I330" t="s">
        <v>41</v>
      </c>
      <c r="J330">
        <f t="shared" si="10"/>
        <v>1</v>
      </c>
      <c r="K330" t="s">
        <v>41</v>
      </c>
      <c r="L330" t="e">
        <f t="shared" si="11"/>
        <v>#VALUE!</v>
      </c>
      <c r="M330" t="s">
        <v>41</v>
      </c>
      <c r="N330" t="s">
        <v>41</v>
      </c>
      <c r="O330" t="s">
        <v>41</v>
      </c>
      <c r="P330" t="s">
        <v>41</v>
      </c>
      <c r="Q330" t="s">
        <v>41</v>
      </c>
      <c r="R330" t="s">
        <v>41</v>
      </c>
      <c r="S330" t="s">
        <v>41</v>
      </c>
      <c r="T330" t="s">
        <v>41</v>
      </c>
      <c r="U330" t="s">
        <v>41</v>
      </c>
      <c r="V330" t="s">
        <v>41</v>
      </c>
      <c r="W330" t="s">
        <v>41</v>
      </c>
      <c r="X330" t="s">
        <v>41</v>
      </c>
      <c r="Y330" t="s">
        <v>41</v>
      </c>
      <c r="Z330" t="s">
        <v>41</v>
      </c>
      <c r="AA330" t="s">
        <v>41</v>
      </c>
      <c r="AB330" t="s">
        <v>41</v>
      </c>
      <c r="AC330" t="s">
        <v>41</v>
      </c>
      <c r="AD330" t="s">
        <v>41</v>
      </c>
      <c r="AE330" t="s">
        <v>41</v>
      </c>
      <c r="AF330" t="s">
        <v>41</v>
      </c>
    </row>
    <row r="331" spans="1:32" x14ac:dyDescent="0.3">
      <c r="A331" t="s">
        <v>135</v>
      </c>
      <c r="B331" t="s">
        <v>41</v>
      </c>
      <c r="C331" t="s">
        <v>41</v>
      </c>
      <c r="D331" t="s">
        <v>514</v>
      </c>
      <c r="E331" t="s">
        <v>408</v>
      </c>
      <c r="F331" t="s">
        <v>41</v>
      </c>
      <c r="G331">
        <v>1</v>
      </c>
      <c r="H331" t="s">
        <v>41</v>
      </c>
      <c r="I331">
        <v>2</v>
      </c>
      <c r="J331">
        <f t="shared" si="10"/>
        <v>3</v>
      </c>
      <c r="K331" t="s">
        <v>41</v>
      </c>
      <c r="L331" t="e">
        <f t="shared" si="11"/>
        <v>#VALUE!</v>
      </c>
      <c r="M331" t="s">
        <v>41</v>
      </c>
      <c r="N331" t="s">
        <v>41</v>
      </c>
      <c r="O331" t="s">
        <v>41</v>
      </c>
      <c r="P331" t="s">
        <v>41</v>
      </c>
      <c r="Q331" t="s">
        <v>41</v>
      </c>
      <c r="R331" t="s">
        <v>41</v>
      </c>
      <c r="S331" t="s">
        <v>41</v>
      </c>
      <c r="T331" t="s">
        <v>41</v>
      </c>
      <c r="U331" t="s">
        <v>41</v>
      </c>
      <c r="V331" t="s">
        <v>41</v>
      </c>
      <c r="W331" t="s">
        <v>41</v>
      </c>
      <c r="X331" t="s">
        <v>41</v>
      </c>
      <c r="Y331" t="s">
        <v>41</v>
      </c>
      <c r="Z331" t="s">
        <v>41</v>
      </c>
      <c r="AA331" t="s">
        <v>41</v>
      </c>
      <c r="AB331" t="s">
        <v>41</v>
      </c>
      <c r="AC331" t="s">
        <v>41</v>
      </c>
      <c r="AD331" t="s">
        <v>41</v>
      </c>
      <c r="AE331" t="s">
        <v>41</v>
      </c>
      <c r="AF331" t="s">
        <v>41</v>
      </c>
    </row>
    <row r="332" spans="1:32" x14ac:dyDescent="0.3">
      <c r="A332" t="s">
        <v>135</v>
      </c>
      <c r="B332" t="s">
        <v>41</v>
      </c>
      <c r="C332" t="s">
        <v>41</v>
      </c>
      <c r="D332" t="s">
        <v>26</v>
      </c>
      <c r="E332" t="s">
        <v>153</v>
      </c>
      <c r="F332" t="s">
        <v>41</v>
      </c>
      <c r="G332">
        <v>1</v>
      </c>
      <c r="H332" t="s">
        <v>41</v>
      </c>
      <c r="I332" t="s">
        <v>41</v>
      </c>
      <c r="J332">
        <f t="shared" si="10"/>
        <v>1</v>
      </c>
      <c r="K332" t="s">
        <v>41</v>
      </c>
      <c r="L332" t="e">
        <f t="shared" si="11"/>
        <v>#VALUE!</v>
      </c>
      <c r="M332" t="s">
        <v>41</v>
      </c>
      <c r="N332" t="s">
        <v>41</v>
      </c>
      <c r="O332" t="s">
        <v>41</v>
      </c>
      <c r="P332" t="s">
        <v>41</v>
      </c>
      <c r="Q332" t="s">
        <v>41</v>
      </c>
      <c r="R332" t="s">
        <v>41</v>
      </c>
      <c r="S332" t="s">
        <v>41</v>
      </c>
      <c r="T332" t="s">
        <v>41</v>
      </c>
      <c r="U332" t="s">
        <v>41</v>
      </c>
      <c r="V332" t="s">
        <v>41</v>
      </c>
      <c r="W332" t="s">
        <v>41</v>
      </c>
      <c r="X332" t="s">
        <v>41</v>
      </c>
      <c r="Y332" t="s">
        <v>41</v>
      </c>
      <c r="Z332" t="s">
        <v>41</v>
      </c>
      <c r="AA332" t="s">
        <v>41</v>
      </c>
      <c r="AB332" t="s">
        <v>41</v>
      </c>
      <c r="AC332" t="s">
        <v>41</v>
      </c>
      <c r="AD332" t="s">
        <v>41</v>
      </c>
      <c r="AE332" t="s">
        <v>41</v>
      </c>
      <c r="AF332" t="s">
        <v>41</v>
      </c>
    </row>
    <row r="333" spans="1:32" x14ac:dyDescent="0.3">
      <c r="A333" t="s">
        <v>135</v>
      </c>
      <c r="B333" t="s">
        <v>41</v>
      </c>
      <c r="C333" t="s">
        <v>41</v>
      </c>
      <c r="D333" t="s">
        <v>94</v>
      </c>
      <c r="E333" t="s">
        <v>515</v>
      </c>
      <c r="F333" t="s">
        <v>41</v>
      </c>
      <c r="G333">
        <v>1</v>
      </c>
      <c r="H333" t="s">
        <v>41</v>
      </c>
      <c r="I333" t="s">
        <v>41</v>
      </c>
      <c r="J333">
        <f t="shared" si="10"/>
        <v>1</v>
      </c>
      <c r="K333" t="s">
        <v>41</v>
      </c>
      <c r="L333" t="e">
        <f t="shared" si="11"/>
        <v>#VALUE!</v>
      </c>
      <c r="M333" t="s">
        <v>41</v>
      </c>
      <c r="N333" t="s">
        <v>41</v>
      </c>
      <c r="O333" t="s">
        <v>41</v>
      </c>
      <c r="P333" t="s">
        <v>41</v>
      </c>
      <c r="Q333" t="s">
        <v>41</v>
      </c>
      <c r="R333" t="s">
        <v>41</v>
      </c>
      <c r="S333" t="s">
        <v>41</v>
      </c>
      <c r="T333" t="s">
        <v>41</v>
      </c>
      <c r="U333" t="s">
        <v>41</v>
      </c>
      <c r="V333" t="s">
        <v>41</v>
      </c>
      <c r="W333" t="s">
        <v>41</v>
      </c>
      <c r="X333" t="s">
        <v>41</v>
      </c>
      <c r="Y333" t="s">
        <v>41</v>
      </c>
      <c r="Z333" t="s">
        <v>41</v>
      </c>
      <c r="AA333" t="s">
        <v>41</v>
      </c>
      <c r="AB333" t="s">
        <v>41</v>
      </c>
      <c r="AC333" t="s">
        <v>41</v>
      </c>
      <c r="AD333" t="s">
        <v>41</v>
      </c>
      <c r="AE333" t="s">
        <v>41</v>
      </c>
      <c r="AF333" t="s">
        <v>41</v>
      </c>
    </row>
    <row r="334" spans="1:32" x14ac:dyDescent="0.3">
      <c r="A334" t="s">
        <v>135</v>
      </c>
      <c r="B334" t="s">
        <v>41</v>
      </c>
      <c r="C334" t="s">
        <v>41</v>
      </c>
      <c r="D334" t="s">
        <v>480</v>
      </c>
      <c r="E334" t="s">
        <v>422</v>
      </c>
      <c r="F334" t="s">
        <v>41</v>
      </c>
      <c r="G334">
        <v>1</v>
      </c>
      <c r="H334" t="s">
        <v>41</v>
      </c>
      <c r="I334">
        <v>2</v>
      </c>
      <c r="J334">
        <f t="shared" si="10"/>
        <v>3</v>
      </c>
      <c r="K334" t="s">
        <v>41</v>
      </c>
      <c r="L334" t="e">
        <f t="shared" si="11"/>
        <v>#VALUE!</v>
      </c>
      <c r="M334" t="s">
        <v>41</v>
      </c>
      <c r="N334" t="s">
        <v>41</v>
      </c>
      <c r="O334" t="s">
        <v>41</v>
      </c>
      <c r="P334" t="s">
        <v>41</v>
      </c>
      <c r="Q334" t="s">
        <v>41</v>
      </c>
      <c r="R334" t="s">
        <v>41</v>
      </c>
      <c r="S334" t="s">
        <v>41</v>
      </c>
      <c r="T334" t="s">
        <v>41</v>
      </c>
      <c r="U334" t="s">
        <v>41</v>
      </c>
      <c r="V334" t="s">
        <v>41</v>
      </c>
      <c r="W334" t="s">
        <v>41</v>
      </c>
      <c r="X334" t="s">
        <v>41</v>
      </c>
      <c r="Y334" t="s">
        <v>41</v>
      </c>
      <c r="Z334" t="s">
        <v>41</v>
      </c>
      <c r="AA334" t="s">
        <v>41</v>
      </c>
      <c r="AB334" t="s">
        <v>41</v>
      </c>
      <c r="AC334" t="s">
        <v>41</v>
      </c>
      <c r="AD334" t="s">
        <v>41</v>
      </c>
      <c r="AE334" t="s">
        <v>41</v>
      </c>
      <c r="AF334" t="s">
        <v>41</v>
      </c>
    </row>
    <row r="335" spans="1:32" x14ac:dyDescent="0.3">
      <c r="A335" t="s">
        <v>135</v>
      </c>
      <c r="B335" t="s">
        <v>41</v>
      </c>
      <c r="C335" t="s">
        <v>41</v>
      </c>
      <c r="D335" t="s">
        <v>516</v>
      </c>
      <c r="E335" t="s">
        <v>153</v>
      </c>
      <c r="F335" t="s">
        <v>41</v>
      </c>
      <c r="G335">
        <v>1</v>
      </c>
      <c r="H335" t="s">
        <v>41</v>
      </c>
      <c r="I335" t="s">
        <v>41</v>
      </c>
      <c r="J335">
        <f t="shared" si="10"/>
        <v>1</v>
      </c>
      <c r="K335" t="s">
        <v>41</v>
      </c>
      <c r="L335" t="e">
        <f t="shared" si="11"/>
        <v>#VALUE!</v>
      </c>
      <c r="M335" t="s">
        <v>41</v>
      </c>
      <c r="N335" t="s">
        <v>41</v>
      </c>
      <c r="O335" t="s">
        <v>41</v>
      </c>
      <c r="P335" t="s">
        <v>41</v>
      </c>
      <c r="Q335" t="s">
        <v>41</v>
      </c>
      <c r="R335" t="s">
        <v>41</v>
      </c>
      <c r="S335" t="s">
        <v>41</v>
      </c>
      <c r="T335" t="s">
        <v>41</v>
      </c>
      <c r="U335" t="s">
        <v>41</v>
      </c>
      <c r="V335" t="s">
        <v>41</v>
      </c>
      <c r="W335" t="s">
        <v>41</v>
      </c>
      <c r="X335" t="s">
        <v>41</v>
      </c>
      <c r="Y335" t="s">
        <v>41</v>
      </c>
      <c r="Z335" t="s">
        <v>41</v>
      </c>
      <c r="AA335" t="s">
        <v>41</v>
      </c>
      <c r="AB335" t="s">
        <v>41</v>
      </c>
      <c r="AC335" t="s">
        <v>41</v>
      </c>
      <c r="AD335" t="s">
        <v>41</v>
      </c>
      <c r="AE335" t="s">
        <v>41</v>
      </c>
      <c r="AF335" t="s">
        <v>41</v>
      </c>
    </row>
    <row r="336" spans="1:32" x14ac:dyDescent="0.3">
      <c r="A336" t="s">
        <v>135</v>
      </c>
      <c r="B336" t="s">
        <v>41</v>
      </c>
      <c r="C336" t="s">
        <v>41</v>
      </c>
      <c r="D336" t="s">
        <v>430</v>
      </c>
      <c r="E336" t="s">
        <v>89</v>
      </c>
      <c r="F336" t="s">
        <v>41</v>
      </c>
      <c r="G336">
        <v>1</v>
      </c>
      <c r="H336">
        <v>3</v>
      </c>
      <c r="I336">
        <v>3</v>
      </c>
      <c r="J336">
        <f t="shared" si="10"/>
        <v>7</v>
      </c>
      <c r="K336" t="s">
        <v>41</v>
      </c>
      <c r="L336" t="e">
        <f t="shared" si="11"/>
        <v>#VALUE!</v>
      </c>
      <c r="M336" t="s">
        <v>41</v>
      </c>
      <c r="N336" t="s">
        <v>41</v>
      </c>
      <c r="O336" t="s">
        <v>41</v>
      </c>
      <c r="P336" t="s">
        <v>41</v>
      </c>
      <c r="Q336" t="s">
        <v>41</v>
      </c>
      <c r="R336" t="s">
        <v>41</v>
      </c>
      <c r="S336" t="s">
        <v>41</v>
      </c>
      <c r="T336" t="s">
        <v>41</v>
      </c>
      <c r="U336" t="s">
        <v>41</v>
      </c>
      <c r="V336" t="s">
        <v>41</v>
      </c>
      <c r="W336" t="s">
        <v>41</v>
      </c>
      <c r="X336" t="s">
        <v>41</v>
      </c>
      <c r="Y336" t="s">
        <v>41</v>
      </c>
      <c r="Z336" t="s">
        <v>41</v>
      </c>
      <c r="AA336" t="s">
        <v>41</v>
      </c>
      <c r="AB336" t="s">
        <v>41</v>
      </c>
      <c r="AC336" t="s">
        <v>41</v>
      </c>
      <c r="AD336" t="s">
        <v>41</v>
      </c>
      <c r="AE336" t="s">
        <v>41</v>
      </c>
      <c r="AF336" t="s">
        <v>41</v>
      </c>
    </row>
    <row r="337" spans="1:32" x14ac:dyDescent="0.3">
      <c r="A337" t="s">
        <v>135</v>
      </c>
      <c r="B337" t="s">
        <v>41</v>
      </c>
      <c r="C337" t="s">
        <v>41</v>
      </c>
      <c r="D337" t="s">
        <v>517</v>
      </c>
      <c r="E337" t="s">
        <v>195</v>
      </c>
      <c r="F337" t="s">
        <v>41</v>
      </c>
      <c r="G337">
        <v>1</v>
      </c>
      <c r="H337" t="s">
        <v>41</v>
      </c>
      <c r="I337" t="s">
        <v>41</v>
      </c>
      <c r="J337">
        <f t="shared" si="10"/>
        <v>1</v>
      </c>
      <c r="K337" t="s">
        <v>41</v>
      </c>
      <c r="L337" t="e">
        <f t="shared" si="11"/>
        <v>#VALUE!</v>
      </c>
      <c r="M337" t="s">
        <v>41</v>
      </c>
      <c r="N337" t="s">
        <v>41</v>
      </c>
      <c r="O337" t="s">
        <v>41</v>
      </c>
      <c r="P337" t="s">
        <v>41</v>
      </c>
      <c r="Q337" t="s">
        <v>41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 t="s">
        <v>41</v>
      </c>
      <c r="X337" t="s">
        <v>41</v>
      </c>
      <c r="Y337" t="s">
        <v>41</v>
      </c>
      <c r="Z337" t="s">
        <v>41</v>
      </c>
      <c r="AA337" t="s">
        <v>41</v>
      </c>
      <c r="AB337" t="s">
        <v>41</v>
      </c>
      <c r="AC337" t="s">
        <v>41</v>
      </c>
      <c r="AD337" t="s">
        <v>41</v>
      </c>
      <c r="AE337" t="s">
        <v>41</v>
      </c>
      <c r="AF337" t="s">
        <v>41</v>
      </c>
    </row>
    <row r="338" spans="1:32" x14ac:dyDescent="0.3">
      <c r="A338" t="s">
        <v>135</v>
      </c>
      <c r="B338" t="s">
        <v>41</v>
      </c>
      <c r="C338" t="s">
        <v>41</v>
      </c>
      <c r="D338" t="s">
        <v>160</v>
      </c>
      <c r="E338" t="s">
        <v>316</v>
      </c>
      <c r="F338" t="s">
        <v>41</v>
      </c>
      <c r="G338">
        <v>1</v>
      </c>
      <c r="H338">
        <v>2</v>
      </c>
      <c r="I338">
        <v>2</v>
      </c>
      <c r="J338">
        <f t="shared" si="10"/>
        <v>5</v>
      </c>
      <c r="K338" t="s">
        <v>41</v>
      </c>
      <c r="L338" t="e">
        <f t="shared" si="11"/>
        <v>#VALUE!</v>
      </c>
      <c r="M338" t="s">
        <v>41</v>
      </c>
      <c r="N338" t="s">
        <v>41</v>
      </c>
      <c r="O338" t="s">
        <v>41</v>
      </c>
      <c r="P338" t="s">
        <v>41</v>
      </c>
      <c r="Q338" t="s">
        <v>41</v>
      </c>
      <c r="R338" t="s">
        <v>41</v>
      </c>
      <c r="S338" t="s">
        <v>41</v>
      </c>
      <c r="T338" t="s">
        <v>41</v>
      </c>
      <c r="U338" t="s">
        <v>41</v>
      </c>
      <c r="V338" t="s">
        <v>41</v>
      </c>
      <c r="W338" t="s">
        <v>41</v>
      </c>
      <c r="X338" t="s">
        <v>41</v>
      </c>
      <c r="Y338" t="s">
        <v>41</v>
      </c>
      <c r="Z338" t="s">
        <v>41</v>
      </c>
      <c r="AA338" t="s">
        <v>41</v>
      </c>
      <c r="AB338" t="s">
        <v>41</v>
      </c>
      <c r="AC338" t="s">
        <v>41</v>
      </c>
      <c r="AD338" t="s">
        <v>41</v>
      </c>
      <c r="AE338" t="s">
        <v>41</v>
      </c>
      <c r="AF338" t="s">
        <v>41</v>
      </c>
    </row>
    <row r="339" spans="1:32" x14ac:dyDescent="0.3">
      <c r="A339" t="s">
        <v>135</v>
      </c>
      <c r="B339" t="s">
        <v>41</v>
      </c>
      <c r="C339" t="s">
        <v>41</v>
      </c>
      <c r="D339" t="s">
        <v>519</v>
      </c>
      <c r="E339" t="s">
        <v>518</v>
      </c>
      <c r="F339" t="s">
        <v>41</v>
      </c>
      <c r="G339">
        <v>1</v>
      </c>
      <c r="H339" t="s">
        <v>41</v>
      </c>
      <c r="I339" t="s">
        <v>41</v>
      </c>
      <c r="J339">
        <f t="shared" si="10"/>
        <v>1</v>
      </c>
      <c r="K339" t="s">
        <v>41</v>
      </c>
      <c r="L339" t="e">
        <f t="shared" si="11"/>
        <v>#VALUE!</v>
      </c>
      <c r="M339" t="s">
        <v>41</v>
      </c>
      <c r="N339" t="s">
        <v>41</v>
      </c>
      <c r="O339" t="s">
        <v>41</v>
      </c>
      <c r="P339" t="s">
        <v>41</v>
      </c>
      <c r="Q339" t="s">
        <v>41</v>
      </c>
      <c r="R339" t="s">
        <v>41</v>
      </c>
      <c r="S339" t="s">
        <v>41</v>
      </c>
      <c r="T339" t="s">
        <v>41</v>
      </c>
      <c r="U339" t="s">
        <v>41</v>
      </c>
      <c r="V339" t="s">
        <v>41</v>
      </c>
      <c r="W339" t="s">
        <v>41</v>
      </c>
      <c r="X339" t="s">
        <v>41</v>
      </c>
      <c r="Y339" t="s">
        <v>41</v>
      </c>
      <c r="Z339" t="s">
        <v>41</v>
      </c>
      <c r="AA339" t="s">
        <v>41</v>
      </c>
      <c r="AB339" t="s">
        <v>41</v>
      </c>
      <c r="AC339" t="s">
        <v>41</v>
      </c>
      <c r="AD339" t="s">
        <v>41</v>
      </c>
      <c r="AE339" t="s">
        <v>41</v>
      </c>
      <c r="AF339" t="s">
        <v>41</v>
      </c>
    </row>
    <row r="340" spans="1:32" x14ac:dyDescent="0.3">
      <c r="A340" t="s">
        <v>135</v>
      </c>
      <c r="B340" t="s">
        <v>41</v>
      </c>
      <c r="C340" t="s">
        <v>41</v>
      </c>
      <c r="D340" t="s">
        <v>388</v>
      </c>
      <c r="E340" t="s">
        <v>226</v>
      </c>
      <c r="F340" t="s">
        <v>41</v>
      </c>
      <c r="G340">
        <v>1</v>
      </c>
      <c r="H340">
        <v>1</v>
      </c>
      <c r="I340" t="s">
        <v>41</v>
      </c>
      <c r="J340">
        <f t="shared" si="10"/>
        <v>2</v>
      </c>
      <c r="K340" t="s">
        <v>41</v>
      </c>
      <c r="L340" t="e">
        <f t="shared" si="11"/>
        <v>#VALUE!</v>
      </c>
      <c r="M340" t="s">
        <v>41</v>
      </c>
      <c r="N340" t="s">
        <v>41</v>
      </c>
      <c r="O340" t="s">
        <v>41</v>
      </c>
      <c r="P340" t="s">
        <v>41</v>
      </c>
      <c r="Q340" t="s">
        <v>41</v>
      </c>
      <c r="R340" t="s">
        <v>41</v>
      </c>
      <c r="S340" t="s">
        <v>41</v>
      </c>
      <c r="T340" t="s">
        <v>41</v>
      </c>
      <c r="U340" t="s">
        <v>41</v>
      </c>
      <c r="V340" t="s">
        <v>41</v>
      </c>
      <c r="W340" t="s">
        <v>41</v>
      </c>
      <c r="X340" t="s">
        <v>41</v>
      </c>
      <c r="Y340" t="s">
        <v>41</v>
      </c>
      <c r="Z340" t="s">
        <v>41</v>
      </c>
      <c r="AA340" t="s">
        <v>41</v>
      </c>
      <c r="AB340" t="s">
        <v>41</v>
      </c>
      <c r="AC340" t="s">
        <v>41</v>
      </c>
      <c r="AD340" t="s">
        <v>41</v>
      </c>
      <c r="AE340" t="s">
        <v>41</v>
      </c>
      <c r="AF340" t="s">
        <v>41</v>
      </c>
    </row>
    <row r="341" spans="1:32" x14ac:dyDescent="0.3">
      <c r="A341" t="s">
        <v>135</v>
      </c>
      <c r="B341" t="s">
        <v>41</v>
      </c>
      <c r="C341" t="s">
        <v>41</v>
      </c>
      <c r="D341" t="s">
        <v>520</v>
      </c>
      <c r="E341" t="s">
        <v>521</v>
      </c>
      <c r="F341" t="s">
        <v>41</v>
      </c>
      <c r="G341">
        <v>1</v>
      </c>
      <c r="H341" t="s">
        <v>41</v>
      </c>
      <c r="I341" t="s">
        <v>41</v>
      </c>
      <c r="J341">
        <f t="shared" si="10"/>
        <v>1</v>
      </c>
      <c r="K341" t="s">
        <v>41</v>
      </c>
      <c r="L341" t="e">
        <f t="shared" si="11"/>
        <v>#VALUE!</v>
      </c>
      <c r="M341" t="s">
        <v>41</v>
      </c>
      <c r="N341" t="s">
        <v>41</v>
      </c>
      <c r="O341" t="s">
        <v>41</v>
      </c>
      <c r="P341" t="s">
        <v>41</v>
      </c>
      <c r="Q341" t="s">
        <v>41</v>
      </c>
      <c r="R341" t="s">
        <v>41</v>
      </c>
      <c r="S341" t="s">
        <v>41</v>
      </c>
      <c r="T341" t="s">
        <v>41</v>
      </c>
      <c r="U341" t="s">
        <v>41</v>
      </c>
      <c r="V341" t="s">
        <v>41</v>
      </c>
      <c r="W341" t="s">
        <v>41</v>
      </c>
      <c r="X341" t="s">
        <v>41</v>
      </c>
      <c r="Y341" t="s">
        <v>41</v>
      </c>
      <c r="Z341" t="s">
        <v>41</v>
      </c>
      <c r="AA341" t="s">
        <v>41</v>
      </c>
      <c r="AB341" t="s">
        <v>41</v>
      </c>
      <c r="AC341" t="s">
        <v>41</v>
      </c>
      <c r="AD341" t="s">
        <v>41</v>
      </c>
      <c r="AE341" t="s">
        <v>41</v>
      </c>
      <c r="AF341" t="s">
        <v>41</v>
      </c>
    </row>
    <row r="342" spans="1:32" x14ac:dyDescent="0.3">
      <c r="A342" t="s">
        <v>135</v>
      </c>
      <c r="B342" t="s">
        <v>41</v>
      </c>
      <c r="C342" t="s">
        <v>41</v>
      </c>
      <c r="D342" t="s">
        <v>328</v>
      </c>
      <c r="E342" t="s">
        <v>200</v>
      </c>
      <c r="F342" t="s">
        <v>41</v>
      </c>
      <c r="G342">
        <v>1</v>
      </c>
      <c r="H342" t="s">
        <v>41</v>
      </c>
      <c r="I342" t="s">
        <v>41</v>
      </c>
      <c r="J342">
        <f t="shared" si="10"/>
        <v>1</v>
      </c>
      <c r="K342" t="s">
        <v>41</v>
      </c>
      <c r="L342" t="e">
        <f t="shared" si="11"/>
        <v>#VALUE!</v>
      </c>
      <c r="M342" t="s">
        <v>41</v>
      </c>
      <c r="N342" t="s">
        <v>41</v>
      </c>
      <c r="O342" t="s">
        <v>41</v>
      </c>
      <c r="P342" t="s">
        <v>41</v>
      </c>
      <c r="Q342" t="s">
        <v>41</v>
      </c>
      <c r="R342" t="s">
        <v>41</v>
      </c>
      <c r="S342" t="s">
        <v>41</v>
      </c>
      <c r="T342" t="s">
        <v>41</v>
      </c>
      <c r="U342" t="s">
        <v>41</v>
      </c>
      <c r="V342" t="s">
        <v>41</v>
      </c>
      <c r="W342" t="s">
        <v>41</v>
      </c>
      <c r="X342" t="s">
        <v>41</v>
      </c>
      <c r="Y342" t="s">
        <v>41</v>
      </c>
      <c r="Z342" t="s">
        <v>41</v>
      </c>
      <c r="AA342" t="s">
        <v>41</v>
      </c>
      <c r="AB342" t="s">
        <v>41</v>
      </c>
      <c r="AC342" t="s">
        <v>41</v>
      </c>
      <c r="AD342" t="s">
        <v>41</v>
      </c>
      <c r="AE342" t="s">
        <v>41</v>
      </c>
      <c r="AF342" t="s">
        <v>41</v>
      </c>
    </row>
    <row r="343" spans="1:32" x14ac:dyDescent="0.3">
      <c r="A343" t="s">
        <v>135</v>
      </c>
      <c r="B343" t="s">
        <v>41</v>
      </c>
      <c r="C343" t="s">
        <v>41</v>
      </c>
      <c r="D343" t="s">
        <v>522</v>
      </c>
      <c r="E343" t="s">
        <v>212</v>
      </c>
      <c r="F343" t="s">
        <v>41</v>
      </c>
      <c r="G343">
        <v>1</v>
      </c>
      <c r="H343" t="s">
        <v>41</v>
      </c>
      <c r="I343" t="s">
        <v>41</v>
      </c>
      <c r="J343">
        <f t="shared" si="10"/>
        <v>1</v>
      </c>
      <c r="K343" t="s">
        <v>41</v>
      </c>
      <c r="L343" t="e">
        <f t="shared" si="11"/>
        <v>#VALUE!</v>
      </c>
      <c r="M343" t="s">
        <v>41</v>
      </c>
      <c r="N343" t="s">
        <v>41</v>
      </c>
      <c r="O343" t="s">
        <v>41</v>
      </c>
      <c r="P343" t="s">
        <v>41</v>
      </c>
      <c r="Q343" t="s">
        <v>41</v>
      </c>
      <c r="R343" t="s">
        <v>41</v>
      </c>
      <c r="S343" t="s">
        <v>41</v>
      </c>
      <c r="T343">
        <v>0.5</v>
      </c>
      <c r="U343" t="s">
        <v>41</v>
      </c>
      <c r="V343" t="s">
        <v>41</v>
      </c>
      <c r="W343" t="s">
        <v>41</v>
      </c>
      <c r="X343" t="s">
        <v>41</v>
      </c>
      <c r="Y343" t="s">
        <v>41</v>
      </c>
      <c r="Z343" t="s">
        <v>41</v>
      </c>
      <c r="AA343" t="s">
        <v>41</v>
      </c>
      <c r="AB343" t="s">
        <v>41</v>
      </c>
      <c r="AC343" t="s">
        <v>41</v>
      </c>
      <c r="AD343" t="s">
        <v>41</v>
      </c>
      <c r="AE343" t="s">
        <v>41</v>
      </c>
      <c r="AF343" t="s">
        <v>41</v>
      </c>
    </row>
    <row r="344" spans="1:32" x14ac:dyDescent="0.3">
      <c r="A344" t="s">
        <v>135</v>
      </c>
      <c r="B344" t="s">
        <v>41</v>
      </c>
      <c r="C344" t="s">
        <v>41</v>
      </c>
      <c r="D344" t="s">
        <v>255</v>
      </c>
      <c r="E344" t="s">
        <v>253</v>
      </c>
      <c r="F344" t="s">
        <v>41</v>
      </c>
      <c r="G344">
        <v>1</v>
      </c>
      <c r="H344" t="s">
        <v>41</v>
      </c>
      <c r="I344" t="s">
        <v>41</v>
      </c>
      <c r="J344">
        <f t="shared" si="10"/>
        <v>1</v>
      </c>
      <c r="K344" t="s">
        <v>41</v>
      </c>
      <c r="L344" t="e">
        <f t="shared" si="11"/>
        <v>#VALUE!</v>
      </c>
      <c r="M344" t="s">
        <v>41</v>
      </c>
      <c r="N344" t="s">
        <v>41</v>
      </c>
      <c r="O344" t="s">
        <v>41</v>
      </c>
      <c r="P344" t="s">
        <v>41</v>
      </c>
      <c r="Q344" t="s">
        <v>41</v>
      </c>
      <c r="R344" t="s">
        <v>41</v>
      </c>
      <c r="S344" t="s">
        <v>41</v>
      </c>
      <c r="T344" t="s">
        <v>41</v>
      </c>
      <c r="U344" t="s">
        <v>41</v>
      </c>
      <c r="V344" t="s">
        <v>41</v>
      </c>
      <c r="W344" t="s">
        <v>41</v>
      </c>
      <c r="X344" t="s">
        <v>41</v>
      </c>
      <c r="Y344" t="s">
        <v>41</v>
      </c>
      <c r="Z344" t="s">
        <v>41</v>
      </c>
      <c r="AA344" t="s">
        <v>41</v>
      </c>
      <c r="AB344" t="s">
        <v>41</v>
      </c>
      <c r="AC344" t="s">
        <v>41</v>
      </c>
      <c r="AD344" t="s">
        <v>41</v>
      </c>
      <c r="AE344" t="s">
        <v>41</v>
      </c>
      <c r="AF344" t="s">
        <v>41</v>
      </c>
    </row>
    <row r="345" spans="1:32" x14ac:dyDescent="0.3">
      <c r="A345" t="s">
        <v>135</v>
      </c>
      <c r="B345" t="s">
        <v>41</v>
      </c>
      <c r="C345" t="s">
        <v>41</v>
      </c>
      <c r="D345" t="s">
        <v>252</v>
      </c>
      <c r="E345" t="s">
        <v>436</v>
      </c>
      <c r="F345" t="s">
        <v>41</v>
      </c>
      <c r="G345">
        <v>1</v>
      </c>
      <c r="H345" t="s">
        <v>41</v>
      </c>
      <c r="I345">
        <v>1</v>
      </c>
      <c r="J345">
        <f t="shared" si="10"/>
        <v>2</v>
      </c>
      <c r="K345" t="s">
        <v>41</v>
      </c>
      <c r="L345" t="e">
        <f t="shared" si="11"/>
        <v>#VALUE!</v>
      </c>
      <c r="M345" t="s">
        <v>41</v>
      </c>
      <c r="N345" t="s">
        <v>41</v>
      </c>
      <c r="O345" t="s">
        <v>41</v>
      </c>
      <c r="P345" t="s">
        <v>41</v>
      </c>
      <c r="Q345" t="s">
        <v>41</v>
      </c>
      <c r="R345" t="s">
        <v>41</v>
      </c>
      <c r="S345" t="s">
        <v>41</v>
      </c>
      <c r="T345" t="s">
        <v>41</v>
      </c>
      <c r="U345" t="s">
        <v>41</v>
      </c>
      <c r="V345" t="s">
        <v>41</v>
      </c>
      <c r="W345" t="s">
        <v>41</v>
      </c>
      <c r="X345" t="s">
        <v>41</v>
      </c>
      <c r="Y345" t="s">
        <v>41</v>
      </c>
      <c r="Z345" t="s">
        <v>41</v>
      </c>
      <c r="AA345" t="s">
        <v>41</v>
      </c>
      <c r="AB345" t="s">
        <v>41</v>
      </c>
      <c r="AC345" t="s">
        <v>41</v>
      </c>
      <c r="AD345" t="s">
        <v>41</v>
      </c>
      <c r="AE345" t="s">
        <v>41</v>
      </c>
      <c r="AF345" t="s">
        <v>41</v>
      </c>
    </row>
    <row r="346" spans="1:32" x14ac:dyDescent="0.3">
      <c r="A346" t="s">
        <v>135</v>
      </c>
      <c r="B346" t="s">
        <v>41</v>
      </c>
      <c r="C346" t="s">
        <v>41</v>
      </c>
      <c r="D346" t="s">
        <v>523</v>
      </c>
      <c r="E346" t="s">
        <v>117</v>
      </c>
      <c r="F346" t="s">
        <v>41</v>
      </c>
      <c r="G346">
        <v>1</v>
      </c>
      <c r="H346">
        <v>1</v>
      </c>
      <c r="I346" t="s">
        <v>41</v>
      </c>
      <c r="J346">
        <f t="shared" si="10"/>
        <v>2</v>
      </c>
      <c r="K346" t="s">
        <v>41</v>
      </c>
      <c r="L346" t="e">
        <f t="shared" si="11"/>
        <v>#VALUE!</v>
      </c>
      <c r="M346" t="s">
        <v>41</v>
      </c>
      <c r="N346" t="s">
        <v>41</v>
      </c>
      <c r="O346" t="s">
        <v>41</v>
      </c>
      <c r="P346" t="s">
        <v>41</v>
      </c>
      <c r="Q346" t="s">
        <v>41</v>
      </c>
      <c r="R346" t="s">
        <v>41</v>
      </c>
      <c r="S346" t="s">
        <v>41</v>
      </c>
      <c r="T346" t="s">
        <v>41</v>
      </c>
      <c r="U346" t="s">
        <v>41</v>
      </c>
      <c r="V346" t="s">
        <v>41</v>
      </c>
      <c r="W346" t="s">
        <v>41</v>
      </c>
      <c r="X346" t="s">
        <v>41</v>
      </c>
      <c r="Y346" t="s">
        <v>41</v>
      </c>
      <c r="Z346" t="s">
        <v>41</v>
      </c>
      <c r="AA346" t="s">
        <v>41</v>
      </c>
      <c r="AB346" t="s">
        <v>41</v>
      </c>
      <c r="AC346" t="s">
        <v>41</v>
      </c>
      <c r="AD346" t="s">
        <v>41</v>
      </c>
      <c r="AE346" t="s">
        <v>41</v>
      </c>
      <c r="AF346" t="s">
        <v>41</v>
      </c>
    </row>
    <row r="347" spans="1:32" x14ac:dyDescent="0.3">
      <c r="A347" t="s">
        <v>135</v>
      </c>
      <c r="B347" t="s">
        <v>41</v>
      </c>
      <c r="C347" t="s">
        <v>41</v>
      </c>
      <c r="D347" t="s">
        <v>244</v>
      </c>
      <c r="E347" t="s">
        <v>212</v>
      </c>
      <c r="F347" t="s">
        <v>41</v>
      </c>
      <c r="G347">
        <v>1</v>
      </c>
      <c r="H347">
        <v>2</v>
      </c>
      <c r="I347">
        <v>1</v>
      </c>
      <c r="J347">
        <f t="shared" si="10"/>
        <v>4</v>
      </c>
      <c r="K347" t="s">
        <v>41</v>
      </c>
      <c r="L347" t="e">
        <f t="shared" si="11"/>
        <v>#VALUE!</v>
      </c>
      <c r="M347" t="s">
        <v>41</v>
      </c>
      <c r="N347" t="s">
        <v>41</v>
      </c>
      <c r="O347" t="s">
        <v>41</v>
      </c>
      <c r="P347" t="s">
        <v>41</v>
      </c>
      <c r="Q347" t="s">
        <v>41</v>
      </c>
      <c r="R347" t="s">
        <v>41</v>
      </c>
      <c r="S347" t="s">
        <v>41</v>
      </c>
      <c r="T347" t="s">
        <v>41</v>
      </c>
      <c r="U347" t="s">
        <v>41</v>
      </c>
      <c r="V347" t="s">
        <v>41</v>
      </c>
      <c r="W347" t="s">
        <v>41</v>
      </c>
      <c r="X347" t="s">
        <v>41</v>
      </c>
      <c r="Y347" t="s">
        <v>41</v>
      </c>
      <c r="Z347" t="s">
        <v>41</v>
      </c>
      <c r="AA347" t="s">
        <v>41</v>
      </c>
      <c r="AB347" t="s">
        <v>41</v>
      </c>
      <c r="AC347" t="s">
        <v>41</v>
      </c>
      <c r="AD347" t="s">
        <v>41</v>
      </c>
      <c r="AE347" t="s">
        <v>41</v>
      </c>
      <c r="AF347" t="s">
        <v>41</v>
      </c>
    </row>
    <row r="348" spans="1:32" x14ac:dyDescent="0.3">
      <c r="A348" t="s">
        <v>135</v>
      </c>
      <c r="B348" t="s">
        <v>41</v>
      </c>
      <c r="C348" t="s">
        <v>41</v>
      </c>
      <c r="D348" t="s">
        <v>524</v>
      </c>
      <c r="E348" t="s">
        <v>253</v>
      </c>
      <c r="F348" t="s">
        <v>41</v>
      </c>
      <c r="G348">
        <v>1</v>
      </c>
      <c r="H348" t="s">
        <v>41</v>
      </c>
      <c r="I348" t="s">
        <v>41</v>
      </c>
      <c r="J348">
        <f t="shared" si="10"/>
        <v>1</v>
      </c>
      <c r="K348" t="s">
        <v>41</v>
      </c>
      <c r="L348" t="e">
        <f t="shared" si="11"/>
        <v>#VALUE!</v>
      </c>
      <c r="M348" t="s">
        <v>41</v>
      </c>
      <c r="N348" t="s">
        <v>41</v>
      </c>
      <c r="O348" t="s">
        <v>41</v>
      </c>
      <c r="P348" t="s">
        <v>41</v>
      </c>
      <c r="Q348" t="s">
        <v>41</v>
      </c>
      <c r="R348" t="s">
        <v>41</v>
      </c>
      <c r="S348" t="s">
        <v>41</v>
      </c>
      <c r="T348" t="s">
        <v>41</v>
      </c>
      <c r="U348" t="s">
        <v>41</v>
      </c>
      <c r="V348" t="s">
        <v>41</v>
      </c>
      <c r="W348" t="s">
        <v>41</v>
      </c>
      <c r="X348" t="s">
        <v>41</v>
      </c>
      <c r="Y348" t="s">
        <v>41</v>
      </c>
      <c r="Z348" t="s">
        <v>41</v>
      </c>
      <c r="AA348" t="s">
        <v>41</v>
      </c>
      <c r="AB348" t="s">
        <v>41</v>
      </c>
      <c r="AC348" t="s">
        <v>41</v>
      </c>
      <c r="AD348" t="s">
        <v>41</v>
      </c>
      <c r="AE348" t="s">
        <v>41</v>
      </c>
      <c r="AF348" t="s">
        <v>41</v>
      </c>
    </row>
    <row r="349" spans="1:32" x14ac:dyDescent="0.3">
      <c r="A349" t="s">
        <v>135</v>
      </c>
      <c r="B349" t="s">
        <v>41</v>
      </c>
      <c r="C349" t="s">
        <v>41</v>
      </c>
      <c r="D349" t="s">
        <v>50</v>
      </c>
      <c r="E349" t="s">
        <v>88</v>
      </c>
      <c r="F349" t="s">
        <v>41</v>
      </c>
      <c r="G349">
        <v>1</v>
      </c>
      <c r="H349" t="s">
        <v>41</v>
      </c>
      <c r="I349" t="s">
        <v>41</v>
      </c>
      <c r="J349">
        <f t="shared" si="10"/>
        <v>1</v>
      </c>
      <c r="K349" t="s">
        <v>41</v>
      </c>
      <c r="L349" t="e">
        <f t="shared" si="11"/>
        <v>#VALUE!</v>
      </c>
      <c r="M349" t="s">
        <v>41</v>
      </c>
      <c r="N349" t="s">
        <v>41</v>
      </c>
      <c r="O349" t="s">
        <v>41</v>
      </c>
      <c r="P349" t="s">
        <v>41</v>
      </c>
      <c r="Q349" t="s">
        <v>41</v>
      </c>
      <c r="R349" t="s">
        <v>41</v>
      </c>
      <c r="S349" t="s">
        <v>41</v>
      </c>
      <c r="T349" t="s">
        <v>41</v>
      </c>
      <c r="U349" t="s">
        <v>41</v>
      </c>
      <c r="V349" t="s">
        <v>41</v>
      </c>
      <c r="W349" t="s">
        <v>41</v>
      </c>
      <c r="X349" t="s">
        <v>41</v>
      </c>
      <c r="Y349" t="s">
        <v>41</v>
      </c>
      <c r="Z349" t="s">
        <v>41</v>
      </c>
      <c r="AA349" t="s">
        <v>41</v>
      </c>
      <c r="AB349" t="s">
        <v>41</v>
      </c>
      <c r="AC349" t="s">
        <v>41</v>
      </c>
      <c r="AD349" t="s">
        <v>41</v>
      </c>
      <c r="AE349" t="s">
        <v>41</v>
      </c>
      <c r="AF349" t="s">
        <v>41</v>
      </c>
    </row>
    <row r="350" spans="1:32" x14ac:dyDescent="0.3">
      <c r="A350" t="s">
        <v>135</v>
      </c>
      <c r="B350" t="s">
        <v>41</v>
      </c>
      <c r="C350" t="s">
        <v>41</v>
      </c>
      <c r="D350" t="s">
        <v>160</v>
      </c>
      <c r="E350" t="s">
        <v>90</v>
      </c>
      <c r="F350" t="s">
        <v>41</v>
      </c>
      <c r="G350">
        <v>1</v>
      </c>
      <c r="H350" t="s">
        <v>41</v>
      </c>
      <c r="I350">
        <v>1</v>
      </c>
      <c r="J350">
        <f t="shared" si="10"/>
        <v>2</v>
      </c>
      <c r="K350" t="s">
        <v>41</v>
      </c>
      <c r="L350" t="e">
        <f t="shared" si="11"/>
        <v>#VALUE!</v>
      </c>
      <c r="M350" t="s">
        <v>41</v>
      </c>
      <c r="N350" t="s">
        <v>41</v>
      </c>
      <c r="O350" t="s">
        <v>41</v>
      </c>
      <c r="P350" t="s">
        <v>41</v>
      </c>
      <c r="Q350" t="s">
        <v>41</v>
      </c>
      <c r="R350" t="s">
        <v>41</v>
      </c>
      <c r="S350" t="s">
        <v>41</v>
      </c>
      <c r="T350" t="s">
        <v>41</v>
      </c>
      <c r="U350" t="s">
        <v>41</v>
      </c>
      <c r="V350" t="s">
        <v>41</v>
      </c>
      <c r="W350" t="s">
        <v>41</v>
      </c>
      <c r="X350" t="s">
        <v>41</v>
      </c>
      <c r="Y350" t="s">
        <v>41</v>
      </c>
      <c r="Z350" t="s">
        <v>41</v>
      </c>
      <c r="AA350" t="s">
        <v>41</v>
      </c>
      <c r="AB350" t="s">
        <v>41</v>
      </c>
      <c r="AC350" t="s">
        <v>41</v>
      </c>
      <c r="AD350" t="s">
        <v>41</v>
      </c>
      <c r="AE350" t="s">
        <v>41</v>
      </c>
      <c r="AF350" t="s">
        <v>41</v>
      </c>
    </row>
    <row r="351" spans="1:32" x14ac:dyDescent="0.3">
      <c r="A351" t="s">
        <v>135</v>
      </c>
      <c r="B351" t="s">
        <v>41</v>
      </c>
      <c r="C351" t="s">
        <v>41</v>
      </c>
      <c r="D351" t="s">
        <v>320</v>
      </c>
      <c r="E351" t="s">
        <v>99</v>
      </c>
      <c r="F351" t="s">
        <v>41</v>
      </c>
      <c r="G351">
        <v>1</v>
      </c>
      <c r="H351" t="s">
        <v>41</v>
      </c>
      <c r="I351" t="s">
        <v>41</v>
      </c>
      <c r="J351">
        <f t="shared" si="10"/>
        <v>1</v>
      </c>
      <c r="K351" t="s">
        <v>41</v>
      </c>
      <c r="L351" t="e">
        <f t="shared" si="11"/>
        <v>#VALUE!</v>
      </c>
      <c r="M351" t="s">
        <v>41</v>
      </c>
      <c r="N351" t="s">
        <v>41</v>
      </c>
      <c r="O351" t="s">
        <v>41</v>
      </c>
      <c r="P351" t="s">
        <v>41</v>
      </c>
      <c r="Q351" t="s">
        <v>41</v>
      </c>
      <c r="R351" t="s">
        <v>41</v>
      </c>
      <c r="S351" t="s">
        <v>41</v>
      </c>
      <c r="T351" t="s">
        <v>41</v>
      </c>
      <c r="U351" t="s">
        <v>41</v>
      </c>
      <c r="V351" t="s">
        <v>41</v>
      </c>
      <c r="W351" t="s">
        <v>41</v>
      </c>
      <c r="X351" t="s">
        <v>41</v>
      </c>
      <c r="Y351" t="s">
        <v>41</v>
      </c>
      <c r="Z351" t="s">
        <v>41</v>
      </c>
      <c r="AA351" t="s">
        <v>41</v>
      </c>
      <c r="AB351" t="s">
        <v>41</v>
      </c>
      <c r="AC351" t="s">
        <v>41</v>
      </c>
      <c r="AD351" t="s">
        <v>41</v>
      </c>
      <c r="AE351" t="s">
        <v>41</v>
      </c>
      <c r="AF351" t="s">
        <v>41</v>
      </c>
    </row>
    <row r="352" spans="1:32" x14ac:dyDescent="0.3">
      <c r="A352" t="s">
        <v>135</v>
      </c>
      <c r="B352" t="s">
        <v>41</v>
      </c>
      <c r="C352" t="s">
        <v>41</v>
      </c>
      <c r="D352" t="s">
        <v>525</v>
      </c>
      <c r="E352" t="s">
        <v>259</v>
      </c>
      <c r="F352" t="s">
        <v>41</v>
      </c>
      <c r="G352">
        <v>1</v>
      </c>
      <c r="H352" t="s">
        <v>41</v>
      </c>
      <c r="I352">
        <v>2</v>
      </c>
      <c r="J352">
        <f t="shared" si="10"/>
        <v>3</v>
      </c>
      <c r="K352" t="s">
        <v>41</v>
      </c>
      <c r="L352" t="e">
        <f t="shared" si="11"/>
        <v>#VALUE!</v>
      </c>
      <c r="M352" t="s">
        <v>41</v>
      </c>
      <c r="N352" t="s">
        <v>41</v>
      </c>
      <c r="O352" t="s">
        <v>41</v>
      </c>
      <c r="P352" t="s">
        <v>41</v>
      </c>
      <c r="Q352" t="s">
        <v>41</v>
      </c>
      <c r="R352" t="s">
        <v>41</v>
      </c>
      <c r="S352" t="s">
        <v>41</v>
      </c>
      <c r="T352" t="s">
        <v>41</v>
      </c>
      <c r="U352" t="s">
        <v>41</v>
      </c>
      <c r="V352" t="s">
        <v>41</v>
      </c>
      <c r="W352" t="s">
        <v>41</v>
      </c>
      <c r="X352" t="s">
        <v>41</v>
      </c>
      <c r="Y352" t="s">
        <v>41</v>
      </c>
      <c r="Z352" t="s">
        <v>41</v>
      </c>
      <c r="AA352" t="s">
        <v>41</v>
      </c>
      <c r="AB352" t="s">
        <v>41</v>
      </c>
      <c r="AC352" t="s">
        <v>41</v>
      </c>
      <c r="AD352" t="s">
        <v>41</v>
      </c>
      <c r="AE352" t="s">
        <v>41</v>
      </c>
      <c r="AF352" t="s">
        <v>41</v>
      </c>
    </row>
    <row r="353" spans="1:32" x14ac:dyDescent="0.3">
      <c r="A353" t="s">
        <v>135</v>
      </c>
      <c r="B353" t="s">
        <v>41</v>
      </c>
      <c r="C353" t="s">
        <v>41</v>
      </c>
      <c r="D353" t="s">
        <v>61</v>
      </c>
      <c r="E353" t="s">
        <v>526</v>
      </c>
      <c r="F353" t="s">
        <v>41</v>
      </c>
      <c r="G353">
        <v>1</v>
      </c>
      <c r="H353" t="s">
        <v>41</v>
      </c>
      <c r="I353" t="s">
        <v>41</v>
      </c>
      <c r="J353">
        <f t="shared" si="10"/>
        <v>1</v>
      </c>
      <c r="K353" t="s">
        <v>41</v>
      </c>
      <c r="L353" t="e">
        <f t="shared" si="11"/>
        <v>#VALUE!</v>
      </c>
      <c r="M353" t="s">
        <v>41</v>
      </c>
      <c r="N353" t="s">
        <v>41</v>
      </c>
      <c r="O353" t="s">
        <v>41</v>
      </c>
      <c r="P353" t="s">
        <v>41</v>
      </c>
      <c r="Q353" t="s">
        <v>41</v>
      </c>
      <c r="R353" t="s">
        <v>41</v>
      </c>
      <c r="S353" t="s">
        <v>41</v>
      </c>
      <c r="T353" t="s">
        <v>41</v>
      </c>
      <c r="U353" t="s">
        <v>41</v>
      </c>
      <c r="V353" t="s">
        <v>41</v>
      </c>
      <c r="W353" t="s">
        <v>41</v>
      </c>
      <c r="X353" t="s">
        <v>41</v>
      </c>
      <c r="Y353" t="s">
        <v>41</v>
      </c>
      <c r="Z353" t="s">
        <v>41</v>
      </c>
      <c r="AA353" t="s">
        <v>41</v>
      </c>
      <c r="AB353" t="s">
        <v>41</v>
      </c>
      <c r="AC353" t="s">
        <v>41</v>
      </c>
      <c r="AD353" t="s">
        <v>41</v>
      </c>
      <c r="AE353" t="s">
        <v>41</v>
      </c>
      <c r="AF353" t="s">
        <v>41</v>
      </c>
    </row>
    <row r="354" spans="1:32" x14ac:dyDescent="0.3">
      <c r="A354" t="s">
        <v>135</v>
      </c>
      <c r="B354" t="s">
        <v>41</v>
      </c>
      <c r="C354" t="s">
        <v>41</v>
      </c>
      <c r="D354" t="s">
        <v>527</v>
      </c>
      <c r="E354" t="s">
        <v>109</v>
      </c>
      <c r="F354" t="s">
        <v>41</v>
      </c>
      <c r="G354">
        <v>1</v>
      </c>
      <c r="H354">
        <v>1</v>
      </c>
      <c r="I354">
        <v>2</v>
      </c>
      <c r="J354">
        <f t="shared" si="10"/>
        <v>4</v>
      </c>
      <c r="K354" t="s">
        <v>41</v>
      </c>
      <c r="L354" t="e">
        <f t="shared" si="11"/>
        <v>#VALUE!</v>
      </c>
      <c r="M354" t="s">
        <v>41</v>
      </c>
      <c r="N354" t="s">
        <v>41</v>
      </c>
      <c r="O354" t="s">
        <v>41</v>
      </c>
      <c r="P354" t="s">
        <v>41</v>
      </c>
      <c r="Q354" t="s">
        <v>41</v>
      </c>
      <c r="R354" t="s">
        <v>41</v>
      </c>
      <c r="S354" t="s">
        <v>41</v>
      </c>
      <c r="T354" t="s">
        <v>41</v>
      </c>
      <c r="U354" t="s">
        <v>41</v>
      </c>
      <c r="V354" t="s">
        <v>41</v>
      </c>
      <c r="W354" t="s">
        <v>41</v>
      </c>
      <c r="X354" t="s">
        <v>41</v>
      </c>
      <c r="Y354" t="s">
        <v>41</v>
      </c>
      <c r="Z354" t="s">
        <v>41</v>
      </c>
      <c r="AA354" t="s">
        <v>41</v>
      </c>
      <c r="AB354" t="s">
        <v>41</v>
      </c>
      <c r="AC354" t="s">
        <v>41</v>
      </c>
      <c r="AD354" t="s">
        <v>41</v>
      </c>
      <c r="AE354" t="s">
        <v>41</v>
      </c>
      <c r="AF354" t="s">
        <v>41</v>
      </c>
    </row>
    <row r="355" spans="1:32" x14ac:dyDescent="0.3">
      <c r="A355" t="s">
        <v>135</v>
      </c>
      <c r="B355" t="s">
        <v>41</v>
      </c>
      <c r="C355" t="s">
        <v>41</v>
      </c>
      <c r="D355" t="s">
        <v>528</v>
      </c>
      <c r="E355" t="s">
        <v>529</v>
      </c>
      <c r="F355" t="s">
        <v>41</v>
      </c>
      <c r="G355">
        <v>1</v>
      </c>
      <c r="H355" t="s">
        <v>41</v>
      </c>
      <c r="I355">
        <v>1</v>
      </c>
      <c r="J355">
        <f t="shared" si="10"/>
        <v>2</v>
      </c>
      <c r="K355" t="s">
        <v>41</v>
      </c>
      <c r="L355" t="e">
        <f t="shared" si="11"/>
        <v>#VALUE!</v>
      </c>
      <c r="M355" t="s">
        <v>41</v>
      </c>
      <c r="N355" t="s">
        <v>41</v>
      </c>
      <c r="O355" t="s">
        <v>41</v>
      </c>
      <c r="P355" t="s">
        <v>41</v>
      </c>
      <c r="Q355" t="s">
        <v>41</v>
      </c>
      <c r="R355" t="s">
        <v>41</v>
      </c>
      <c r="S355" t="s">
        <v>41</v>
      </c>
      <c r="T355" t="s">
        <v>41</v>
      </c>
      <c r="U355" t="s">
        <v>41</v>
      </c>
      <c r="V355" t="s">
        <v>41</v>
      </c>
      <c r="W355" t="s">
        <v>41</v>
      </c>
      <c r="X355" t="s">
        <v>41</v>
      </c>
      <c r="Y355" t="s">
        <v>41</v>
      </c>
      <c r="Z355" t="s">
        <v>41</v>
      </c>
      <c r="AA355" t="s">
        <v>41</v>
      </c>
      <c r="AB355" t="s">
        <v>41</v>
      </c>
      <c r="AC355" t="s">
        <v>41</v>
      </c>
      <c r="AD355" t="s">
        <v>41</v>
      </c>
      <c r="AE355" t="s">
        <v>41</v>
      </c>
      <c r="AF355" t="s">
        <v>41</v>
      </c>
    </row>
    <row r="356" spans="1:32" x14ac:dyDescent="0.3">
      <c r="A356" t="s">
        <v>135</v>
      </c>
      <c r="B356" t="s">
        <v>41</v>
      </c>
      <c r="C356" t="s">
        <v>41</v>
      </c>
      <c r="D356" t="s">
        <v>94</v>
      </c>
      <c r="E356" t="s">
        <v>468</v>
      </c>
      <c r="F356" t="s">
        <v>41</v>
      </c>
      <c r="G356">
        <v>1</v>
      </c>
      <c r="H356">
        <v>1</v>
      </c>
      <c r="I356">
        <v>3</v>
      </c>
      <c r="J356">
        <f t="shared" si="10"/>
        <v>5</v>
      </c>
      <c r="K356" t="s">
        <v>41</v>
      </c>
      <c r="L356" t="e">
        <f t="shared" si="11"/>
        <v>#VALUE!</v>
      </c>
      <c r="M356">
        <v>2</v>
      </c>
      <c r="N356">
        <v>8</v>
      </c>
      <c r="O356">
        <v>18</v>
      </c>
      <c r="P356" t="s">
        <v>41</v>
      </c>
      <c r="Q356" t="s">
        <v>41</v>
      </c>
      <c r="R356" t="s">
        <v>41</v>
      </c>
      <c r="S356" t="s">
        <v>41</v>
      </c>
      <c r="T356">
        <v>1</v>
      </c>
      <c r="U356">
        <v>0.5</v>
      </c>
      <c r="V356" t="s">
        <v>41</v>
      </c>
      <c r="W356" t="s">
        <v>41</v>
      </c>
      <c r="X356">
        <v>7</v>
      </c>
      <c r="Y356">
        <v>7</v>
      </c>
      <c r="Z356" t="s">
        <v>41</v>
      </c>
      <c r="AA356" t="s">
        <v>41</v>
      </c>
      <c r="AB356">
        <v>1</v>
      </c>
      <c r="AC356" t="s">
        <v>41</v>
      </c>
      <c r="AD356" t="s">
        <v>41</v>
      </c>
      <c r="AE356" t="s">
        <v>41</v>
      </c>
      <c r="AF356" t="s">
        <v>41</v>
      </c>
    </row>
    <row r="357" spans="1:32" x14ac:dyDescent="0.3">
      <c r="A357" t="s">
        <v>135</v>
      </c>
      <c r="B357" t="s">
        <v>41</v>
      </c>
      <c r="C357" t="s">
        <v>41</v>
      </c>
      <c r="D357" t="s">
        <v>193</v>
      </c>
      <c r="E357" t="s">
        <v>259</v>
      </c>
      <c r="F357" t="s">
        <v>41</v>
      </c>
      <c r="G357">
        <v>1</v>
      </c>
      <c r="H357">
        <v>3</v>
      </c>
      <c r="I357" t="s">
        <v>41</v>
      </c>
      <c r="J357">
        <f t="shared" si="10"/>
        <v>4</v>
      </c>
      <c r="K357" t="s">
        <v>41</v>
      </c>
      <c r="L357" t="e">
        <f t="shared" si="11"/>
        <v>#VALUE!</v>
      </c>
      <c r="M357">
        <v>1</v>
      </c>
      <c r="N357">
        <v>0</v>
      </c>
      <c r="O357">
        <v>3</v>
      </c>
      <c r="P357" t="s">
        <v>41</v>
      </c>
      <c r="Q357" t="s">
        <v>41</v>
      </c>
      <c r="R357" t="s">
        <v>41</v>
      </c>
      <c r="S357" t="s">
        <v>41</v>
      </c>
      <c r="T357">
        <v>0.5</v>
      </c>
      <c r="U357" t="s">
        <v>41</v>
      </c>
      <c r="V357" t="s">
        <v>41</v>
      </c>
      <c r="W357" t="s">
        <v>41</v>
      </c>
      <c r="X357">
        <v>4</v>
      </c>
      <c r="Y357" t="s">
        <v>41</v>
      </c>
      <c r="Z357" t="s">
        <v>41</v>
      </c>
      <c r="AA357" t="s">
        <v>41</v>
      </c>
      <c r="AB357" t="s">
        <v>41</v>
      </c>
      <c r="AC357" t="s">
        <v>41</v>
      </c>
      <c r="AD357" t="s">
        <v>41</v>
      </c>
      <c r="AE357" t="s">
        <v>41</v>
      </c>
      <c r="AF357" t="s">
        <v>41</v>
      </c>
    </row>
    <row r="358" spans="1:32" x14ac:dyDescent="0.3">
      <c r="A358" t="s">
        <v>135</v>
      </c>
      <c r="B358" t="s">
        <v>41</v>
      </c>
      <c r="C358" t="s">
        <v>41</v>
      </c>
      <c r="D358" t="s">
        <v>308</v>
      </c>
      <c r="E358" t="s">
        <v>443</v>
      </c>
      <c r="F358" t="s">
        <v>41</v>
      </c>
      <c r="G358">
        <v>1</v>
      </c>
      <c r="H358" t="s">
        <v>41</v>
      </c>
      <c r="I358" t="s">
        <v>41</v>
      </c>
      <c r="J358">
        <f t="shared" si="10"/>
        <v>1</v>
      </c>
      <c r="K358" t="s">
        <v>41</v>
      </c>
      <c r="L358" t="e">
        <f t="shared" si="11"/>
        <v>#VALUE!</v>
      </c>
      <c r="M358" t="s">
        <v>41</v>
      </c>
      <c r="N358" t="s">
        <v>41</v>
      </c>
      <c r="O358" t="s">
        <v>41</v>
      </c>
      <c r="P358" t="s">
        <v>41</v>
      </c>
      <c r="Q358" t="s">
        <v>41</v>
      </c>
      <c r="R358" t="s">
        <v>41</v>
      </c>
      <c r="S358" t="s">
        <v>41</v>
      </c>
      <c r="T358" t="s">
        <v>41</v>
      </c>
      <c r="U358" t="s">
        <v>41</v>
      </c>
      <c r="V358" t="s">
        <v>41</v>
      </c>
      <c r="W358" t="s">
        <v>41</v>
      </c>
      <c r="X358" t="s">
        <v>41</v>
      </c>
      <c r="Y358" t="s">
        <v>41</v>
      </c>
      <c r="Z358" t="s">
        <v>41</v>
      </c>
      <c r="AA358" t="s">
        <v>41</v>
      </c>
      <c r="AB358" t="s">
        <v>41</v>
      </c>
      <c r="AC358" t="s">
        <v>41</v>
      </c>
      <c r="AD358" t="s">
        <v>41</v>
      </c>
      <c r="AE358" t="s">
        <v>41</v>
      </c>
      <c r="AF358" t="s">
        <v>41</v>
      </c>
    </row>
    <row r="359" spans="1:32" x14ac:dyDescent="0.3">
      <c r="A359" t="s">
        <v>135</v>
      </c>
      <c r="B359" t="s">
        <v>41</v>
      </c>
      <c r="C359" t="s">
        <v>41</v>
      </c>
      <c r="D359" t="s">
        <v>82</v>
      </c>
      <c r="E359" t="s">
        <v>72</v>
      </c>
      <c r="F359" t="s">
        <v>41</v>
      </c>
      <c r="G359">
        <v>1</v>
      </c>
      <c r="H359" t="s">
        <v>41</v>
      </c>
      <c r="I359" t="s">
        <v>41</v>
      </c>
      <c r="J359">
        <f t="shared" si="10"/>
        <v>1</v>
      </c>
      <c r="K359" t="s">
        <v>41</v>
      </c>
      <c r="L359" t="e">
        <f t="shared" si="11"/>
        <v>#VALUE!</v>
      </c>
      <c r="M359" t="s">
        <v>41</v>
      </c>
      <c r="N359" t="s">
        <v>41</v>
      </c>
      <c r="O359" t="s">
        <v>41</v>
      </c>
      <c r="P359" t="s">
        <v>41</v>
      </c>
      <c r="Q359" t="s">
        <v>41</v>
      </c>
      <c r="R359" t="s">
        <v>41</v>
      </c>
      <c r="S359" t="s">
        <v>41</v>
      </c>
      <c r="T359" t="s">
        <v>41</v>
      </c>
      <c r="U359" t="s">
        <v>41</v>
      </c>
      <c r="V359" t="s">
        <v>41</v>
      </c>
      <c r="W359" t="s">
        <v>41</v>
      </c>
      <c r="X359" t="s">
        <v>41</v>
      </c>
      <c r="Y359" t="s">
        <v>41</v>
      </c>
      <c r="Z359" t="s">
        <v>41</v>
      </c>
      <c r="AA359" t="s">
        <v>41</v>
      </c>
      <c r="AB359" t="s">
        <v>41</v>
      </c>
      <c r="AC359" t="s">
        <v>41</v>
      </c>
      <c r="AD359" t="s">
        <v>41</v>
      </c>
      <c r="AE359" t="s">
        <v>41</v>
      </c>
      <c r="AF359" t="s">
        <v>41</v>
      </c>
    </row>
    <row r="360" spans="1:32" x14ac:dyDescent="0.3">
      <c r="A360" t="s">
        <v>135</v>
      </c>
      <c r="B360" t="s">
        <v>41</v>
      </c>
      <c r="C360" t="s">
        <v>41</v>
      </c>
      <c r="D360" t="s">
        <v>65</v>
      </c>
      <c r="E360" t="s">
        <v>124</v>
      </c>
      <c r="F360" t="s">
        <v>41</v>
      </c>
      <c r="G360">
        <v>1</v>
      </c>
      <c r="H360" t="s">
        <v>41</v>
      </c>
      <c r="I360">
        <v>1</v>
      </c>
      <c r="J360">
        <f t="shared" si="10"/>
        <v>2</v>
      </c>
      <c r="K360" t="s">
        <v>41</v>
      </c>
      <c r="L360" t="e">
        <f t="shared" si="11"/>
        <v>#VALUE!</v>
      </c>
      <c r="M360" t="s">
        <v>41</v>
      </c>
      <c r="N360" t="s">
        <v>41</v>
      </c>
      <c r="O360" t="s">
        <v>41</v>
      </c>
      <c r="P360" t="s">
        <v>41</v>
      </c>
      <c r="Q360" t="s">
        <v>41</v>
      </c>
      <c r="R360" t="s">
        <v>41</v>
      </c>
      <c r="S360" t="s">
        <v>41</v>
      </c>
      <c r="T360" t="s">
        <v>41</v>
      </c>
      <c r="U360" t="s">
        <v>41</v>
      </c>
      <c r="V360" t="s">
        <v>41</v>
      </c>
      <c r="W360" t="s">
        <v>41</v>
      </c>
      <c r="X360" t="s">
        <v>41</v>
      </c>
      <c r="Y360" t="s">
        <v>41</v>
      </c>
      <c r="Z360" t="s">
        <v>41</v>
      </c>
      <c r="AA360" t="s">
        <v>41</v>
      </c>
      <c r="AB360" t="s">
        <v>41</v>
      </c>
      <c r="AC360" t="s">
        <v>41</v>
      </c>
      <c r="AD360" t="s">
        <v>41</v>
      </c>
      <c r="AE360" t="s">
        <v>41</v>
      </c>
      <c r="AF360" t="s">
        <v>41</v>
      </c>
    </row>
    <row r="361" spans="1:32" x14ac:dyDescent="0.3">
      <c r="A361" t="s">
        <v>135</v>
      </c>
      <c r="B361" t="s">
        <v>41</v>
      </c>
      <c r="C361" t="s">
        <v>41</v>
      </c>
      <c r="D361" t="s">
        <v>94</v>
      </c>
      <c r="E361" t="s">
        <v>530</v>
      </c>
      <c r="F361" t="s">
        <v>41</v>
      </c>
      <c r="G361">
        <v>1</v>
      </c>
      <c r="H361" t="s">
        <v>41</v>
      </c>
      <c r="I361" t="s">
        <v>41</v>
      </c>
      <c r="J361">
        <f t="shared" si="10"/>
        <v>1</v>
      </c>
      <c r="K361" t="s">
        <v>41</v>
      </c>
      <c r="L361" t="e">
        <f t="shared" si="11"/>
        <v>#VALUE!</v>
      </c>
      <c r="M361" t="s">
        <v>41</v>
      </c>
      <c r="N361" t="s">
        <v>41</v>
      </c>
      <c r="O361" t="s">
        <v>41</v>
      </c>
      <c r="P361" t="s">
        <v>41</v>
      </c>
      <c r="Q361" t="s">
        <v>41</v>
      </c>
      <c r="R361" t="s">
        <v>41</v>
      </c>
      <c r="S361" t="s">
        <v>41</v>
      </c>
      <c r="T361" t="s">
        <v>41</v>
      </c>
      <c r="U361" t="s">
        <v>41</v>
      </c>
      <c r="V361" t="s">
        <v>41</v>
      </c>
      <c r="W361" t="s">
        <v>41</v>
      </c>
      <c r="X361" t="s">
        <v>41</v>
      </c>
      <c r="Y361" t="s">
        <v>41</v>
      </c>
      <c r="Z361" t="s">
        <v>41</v>
      </c>
      <c r="AA361" t="s">
        <v>41</v>
      </c>
      <c r="AB361" t="s">
        <v>41</v>
      </c>
      <c r="AC361" t="s">
        <v>41</v>
      </c>
      <c r="AD361" t="s">
        <v>41</v>
      </c>
      <c r="AE361" t="s">
        <v>41</v>
      </c>
      <c r="AF361" t="s">
        <v>41</v>
      </c>
    </row>
    <row r="362" spans="1:32" x14ac:dyDescent="0.3">
      <c r="A362" t="s">
        <v>135</v>
      </c>
      <c r="B362" t="s">
        <v>41</v>
      </c>
      <c r="C362" t="s">
        <v>41</v>
      </c>
      <c r="D362" t="s">
        <v>244</v>
      </c>
      <c r="E362" t="s">
        <v>111</v>
      </c>
      <c r="F362" t="s">
        <v>41</v>
      </c>
      <c r="G362">
        <v>1</v>
      </c>
      <c r="H362">
        <v>1</v>
      </c>
      <c r="I362">
        <v>1</v>
      </c>
      <c r="J362">
        <f t="shared" si="10"/>
        <v>3</v>
      </c>
      <c r="K362" t="s">
        <v>41</v>
      </c>
      <c r="L362" t="e">
        <f t="shared" si="11"/>
        <v>#VALUE!</v>
      </c>
      <c r="M362" t="s">
        <v>41</v>
      </c>
      <c r="N362" t="s">
        <v>41</v>
      </c>
      <c r="O362" t="s">
        <v>41</v>
      </c>
      <c r="P362" t="s">
        <v>41</v>
      </c>
      <c r="Q362" t="s">
        <v>41</v>
      </c>
      <c r="R362" t="s">
        <v>41</v>
      </c>
      <c r="S362" t="s">
        <v>41</v>
      </c>
      <c r="T362" t="s">
        <v>41</v>
      </c>
      <c r="U362" t="s">
        <v>41</v>
      </c>
      <c r="V362" t="s">
        <v>41</v>
      </c>
      <c r="W362" t="s">
        <v>41</v>
      </c>
      <c r="X362" t="s">
        <v>41</v>
      </c>
      <c r="Y362" t="s">
        <v>41</v>
      </c>
      <c r="Z362" t="s">
        <v>41</v>
      </c>
      <c r="AA362" t="s">
        <v>41</v>
      </c>
      <c r="AB362" t="s">
        <v>41</v>
      </c>
      <c r="AC362" t="s">
        <v>41</v>
      </c>
      <c r="AD362" t="s">
        <v>41</v>
      </c>
      <c r="AE362" t="s">
        <v>41</v>
      </c>
      <c r="AF362" t="s">
        <v>41</v>
      </c>
    </row>
    <row r="363" spans="1:32" x14ac:dyDescent="0.3">
      <c r="A363" t="s">
        <v>135</v>
      </c>
      <c r="B363" t="s">
        <v>41</v>
      </c>
      <c r="C363" t="s">
        <v>41</v>
      </c>
      <c r="D363" t="s">
        <v>224</v>
      </c>
      <c r="E363" t="s">
        <v>111</v>
      </c>
      <c r="F363" t="s">
        <v>41</v>
      </c>
      <c r="G363">
        <v>1</v>
      </c>
      <c r="H363" t="s">
        <v>41</v>
      </c>
      <c r="I363" t="s">
        <v>41</v>
      </c>
      <c r="J363">
        <f t="shared" si="10"/>
        <v>1</v>
      </c>
      <c r="K363" t="s">
        <v>41</v>
      </c>
      <c r="L363" t="e">
        <f t="shared" si="11"/>
        <v>#VALUE!</v>
      </c>
      <c r="M363" t="s">
        <v>41</v>
      </c>
      <c r="N363" t="s">
        <v>41</v>
      </c>
      <c r="O363" t="s">
        <v>41</v>
      </c>
      <c r="P363" t="s">
        <v>41</v>
      </c>
      <c r="Q363" t="s">
        <v>41</v>
      </c>
      <c r="R363" t="s">
        <v>41</v>
      </c>
      <c r="S363" t="s">
        <v>41</v>
      </c>
      <c r="T363" t="s">
        <v>41</v>
      </c>
      <c r="U363" t="s">
        <v>41</v>
      </c>
      <c r="V363" t="s">
        <v>41</v>
      </c>
      <c r="W363" t="s">
        <v>41</v>
      </c>
      <c r="X363" t="s">
        <v>41</v>
      </c>
      <c r="Y363" t="s">
        <v>41</v>
      </c>
      <c r="Z363" t="s">
        <v>41</v>
      </c>
      <c r="AA363" t="s">
        <v>41</v>
      </c>
      <c r="AB363" t="s">
        <v>41</v>
      </c>
      <c r="AC363" t="s">
        <v>41</v>
      </c>
      <c r="AD363" t="s">
        <v>41</v>
      </c>
      <c r="AE363" t="s">
        <v>41</v>
      </c>
      <c r="AF363" t="s">
        <v>41</v>
      </c>
    </row>
    <row r="364" spans="1:32" x14ac:dyDescent="0.3">
      <c r="A364" t="s">
        <v>135</v>
      </c>
      <c r="B364" t="s">
        <v>41</v>
      </c>
      <c r="C364" t="s">
        <v>41</v>
      </c>
      <c r="D364" t="s">
        <v>483</v>
      </c>
      <c r="E364" t="s">
        <v>217</v>
      </c>
      <c r="F364" t="s">
        <v>41</v>
      </c>
      <c r="G364">
        <v>1</v>
      </c>
      <c r="H364">
        <v>1</v>
      </c>
      <c r="I364">
        <v>1</v>
      </c>
      <c r="J364">
        <f t="shared" si="10"/>
        <v>3</v>
      </c>
      <c r="K364" t="s">
        <v>41</v>
      </c>
      <c r="L364" t="e">
        <f t="shared" si="11"/>
        <v>#VALUE!</v>
      </c>
      <c r="M364" t="s">
        <v>41</v>
      </c>
      <c r="N364" t="s">
        <v>41</v>
      </c>
      <c r="O364" t="s">
        <v>41</v>
      </c>
      <c r="P364" t="s">
        <v>41</v>
      </c>
      <c r="Q364" t="s">
        <v>41</v>
      </c>
      <c r="R364" t="s">
        <v>41</v>
      </c>
      <c r="S364" t="s">
        <v>41</v>
      </c>
      <c r="T364">
        <v>0.5</v>
      </c>
      <c r="U364" t="s">
        <v>41</v>
      </c>
      <c r="V364" t="s">
        <v>41</v>
      </c>
      <c r="W364" t="s">
        <v>41</v>
      </c>
      <c r="X364">
        <v>2</v>
      </c>
      <c r="Y364" t="s">
        <v>41</v>
      </c>
      <c r="Z364" t="s">
        <v>41</v>
      </c>
      <c r="AA364" t="s">
        <v>41</v>
      </c>
      <c r="AB364" t="s">
        <v>41</v>
      </c>
      <c r="AC364" t="s">
        <v>41</v>
      </c>
      <c r="AD364" t="s">
        <v>41</v>
      </c>
      <c r="AE364" t="s">
        <v>41</v>
      </c>
      <c r="AF364" t="s">
        <v>41</v>
      </c>
    </row>
    <row r="365" spans="1:32" x14ac:dyDescent="0.3">
      <c r="A365" t="s">
        <v>135</v>
      </c>
      <c r="B365" t="s">
        <v>41</v>
      </c>
      <c r="C365" t="s">
        <v>41</v>
      </c>
      <c r="D365" t="s">
        <v>273</v>
      </c>
      <c r="E365" t="s">
        <v>64</v>
      </c>
      <c r="F365" t="s">
        <v>41</v>
      </c>
      <c r="G365">
        <v>1</v>
      </c>
      <c r="H365">
        <v>2</v>
      </c>
      <c r="I365">
        <v>1</v>
      </c>
      <c r="J365">
        <f t="shared" si="10"/>
        <v>4</v>
      </c>
      <c r="K365">
        <v>1</v>
      </c>
      <c r="L365">
        <f t="shared" si="11"/>
        <v>60</v>
      </c>
      <c r="M365" t="s">
        <v>41</v>
      </c>
      <c r="N365" t="s">
        <v>41</v>
      </c>
      <c r="O365" t="s">
        <v>41</v>
      </c>
      <c r="P365" t="s">
        <v>41</v>
      </c>
      <c r="Q365" t="s">
        <v>41</v>
      </c>
      <c r="R365" t="s">
        <v>41</v>
      </c>
      <c r="S365" t="s">
        <v>41</v>
      </c>
      <c r="T365" t="s">
        <v>41</v>
      </c>
      <c r="U365" t="s">
        <v>41</v>
      </c>
      <c r="V365" t="s">
        <v>41</v>
      </c>
      <c r="W365" t="s">
        <v>41</v>
      </c>
      <c r="X365" t="s">
        <v>41</v>
      </c>
      <c r="Y365" t="s">
        <v>41</v>
      </c>
      <c r="Z365" t="s">
        <v>41</v>
      </c>
      <c r="AA365" t="s">
        <v>41</v>
      </c>
      <c r="AB365" t="s">
        <v>41</v>
      </c>
      <c r="AC365" t="s">
        <v>41</v>
      </c>
      <c r="AD365" t="s">
        <v>41</v>
      </c>
      <c r="AE365" t="s">
        <v>41</v>
      </c>
      <c r="AF36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>
      <selection activeCell="B15" sqref="B15"/>
    </sheetView>
  </sheetViews>
  <sheetFormatPr defaultRowHeight="14.4" x14ac:dyDescent="0.3"/>
  <cols>
    <col min="1" max="1" width="22.33203125" bestFit="1" customWidth="1"/>
    <col min="2" max="2" width="54.88671875" bestFit="1" customWidth="1"/>
  </cols>
  <sheetData>
    <row r="1" spans="1:2" x14ac:dyDescent="0.3">
      <c r="A1" t="s">
        <v>531</v>
      </c>
      <c r="B1" t="s">
        <v>533</v>
      </c>
    </row>
    <row r="2" spans="1:2" x14ac:dyDescent="0.3">
      <c r="A2" t="s">
        <v>0</v>
      </c>
      <c r="B2" t="s">
        <v>534</v>
      </c>
    </row>
    <row r="3" spans="1:2" x14ac:dyDescent="0.3">
      <c r="A3" t="s">
        <v>2</v>
      </c>
    </row>
    <row r="4" spans="1:2" x14ac:dyDescent="0.3">
      <c r="A4" t="s">
        <v>1</v>
      </c>
      <c r="B4" t="s">
        <v>535</v>
      </c>
    </row>
    <row r="5" spans="1:2" x14ac:dyDescent="0.3">
      <c r="A5" t="s">
        <v>4</v>
      </c>
    </row>
    <row r="6" spans="1:2" x14ac:dyDescent="0.3">
      <c r="A6" t="s">
        <v>5</v>
      </c>
      <c r="B6" t="s">
        <v>536</v>
      </c>
    </row>
    <row r="7" spans="1:2" x14ac:dyDescent="0.3">
      <c r="A7" t="s">
        <v>6</v>
      </c>
      <c r="B7" t="s">
        <v>537</v>
      </c>
    </row>
    <row r="8" spans="1:2" x14ac:dyDescent="0.3">
      <c r="A8" t="s">
        <v>7</v>
      </c>
      <c r="B8" t="s">
        <v>538</v>
      </c>
    </row>
    <row r="9" spans="1:2" x14ac:dyDescent="0.3">
      <c r="A9" t="s">
        <v>8</v>
      </c>
      <c r="B9" t="s">
        <v>539</v>
      </c>
    </row>
    <row r="10" spans="1:2" x14ac:dyDescent="0.3">
      <c r="A10" t="s">
        <v>532</v>
      </c>
      <c r="B10" t="s">
        <v>540</v>
      </c>
    </row>
    <row r="11" spans="1:2" x14ac:dyDescent="0.3">
      <c r="A11" t="s">
        <v>9</v>
      </c>
      <c r="B11" t="s">
        <v>541</v>
      </c>
    </row>
    <row r="13" spans="1:2" x14ac:dyDescent="0.3">
      <c r="A13" t="s">
        <v>10</v>
      </c>
      <c r="B13" t="s">
        <v>542</v>
      </c>
    </row>
    <row r="14" spans="1:2" x14ac:dyDescent="0.3">
      <c r="A14" t="s">
        <v>11</v>
      </c>
      <c r="B14" t="s">
        <v>545</v>
      </c>
    </row>
    <row r="15" spans="1:2" x14ac:dyDescent="0.3">
      <c r="A15" t="s">
        <v>12</v>
      </c>
      <c r="B15" t="s">
        <v>543</v>
      </c>
    </row>
    <row r="16" spans="1:2" x14ac:dyDescent="0.3">
      <c r="A16" t="s">
        <v>131</v>
      </c>
      <c r="B16" t="s">
        <v>546</v>
      </c>
    </row>
    <row r="17" spans="1:2" x14ac:dyDescent="0.3">
      <c r="A17" t="s">
        <v>13</v>
      </c>
      <c r="B17" t="s">
        <v>544</v>
      </c>
    </row>
    <row r="18" spans="1:2" x14ac:dyDescent="0.3">
      <c r="A18" t="s">
        <v>14</v>
      </c>
      <c r="B18" t="s">
        <v>547</v>
      </c>
    </row>
    <row r="19" spans="1:2" x14ac:dyDescent="0.3">
      <c r="A19" t="s">
        <v>15</v>
      </c>
      <c r="B19" t="s">
        <v>548</v>
      </c>
    </row>
    <row r="20" spans="1:2" x14ac:dyDescent="0.3">
      <c r="A20" t="s">
        <v>17</v>
      </c>
      <c r="B20" t="s">
        <v>552</v>
      </c>
    </row>
    <row r="21" spans="1:2" x14ac:dyDescent="0.3">
      <c r="A21" t="s">
        <v>18</v>
      </c>
      <c r="B21" t="s">
        <v>553</v>
      </c>
    </row>
    <row r="22" spans="1:2" x14ac:dyDescent="0.3">
      <c r="A22" t="s">
        <v>19</v>
      </c>
      <c r="B22" t="s">
        <v>554</v>
      </c>
    </row>
    <row r="23" spans="1:2" x14ac:dyDescent="0.3">
      <c r="A23" t="s">
        <v>20</v>
      </c>
      <c r="B23" t="s">
        <v>555</v>
      </c>
    </row>
    <row r="24" spans="1:2" x14ac:dyDescent="0.3">
      <c r="A24" t="s">
        <v>21</v>
      </c>
      <c r="B24" t="s">
        <v>556</v>
      </c>
    </row>
    <row r="25" spans="1:2" x14ac:dyDescent="0.3">
      <c r="A25" t="s">
        <v>22</v>
      </c>
      <c r="B25" t="s">
        <v>557</v>
      </c>
    </row>
    <row r="26" spans="1:2" x14ac:dyDescent="0.3">
      <c r="A26" t="s">
        <v>23</v>
      </c>
      <c r="B26" t="s">
        <v>558</v>
      </c>
    </row>
    <row r="27" spans="1:2" x14ac:dyDescent="0.3">
      <c r="A27" t="s">
        <v>16</v>
      </c>
      <c r="B27" t="s">
        <v>559</v>
      </c>
    </row>
    <row r="28" spans="1:2" x14ac:dyDescent="0.3">
      <c r="A28" t="s">
        <v>95</v>
      </c>
      <c r="B28" t="s">
        <v>549</v>
      </c>
    </row>
    <row r="29" spans="1:2" x14ac:dyDescent="0.3">
      <c r="A29" t="s">
        <v>151</v>
      </c>
      <c r="B29" t="s">
        <v>550</v>
      </c>
    </row>
    <row r="30" spans="1:2" x14ac:dyDescent="0.3">
      <c r="A30" t="s">
        <v>43</v>
      </c>
      <c r="B30" t="s">
        <v>551</v>
      </c>
    </row>
    <row r="31" spans="1:2" x14ac:dyDescent="0.3">
      <c r="A31" t="s">
        <v>41</v>
      </c>
    </row>
    <row r="32" spans="1:2" x14ac:dyDescent="0.3">
      <c r="A3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Links, Calumet, Mr &lt;calumetlinks@sun.ac.za&gt;</dc:creator>
  <cp:lastModifiedBy>Fourie, J, Prof [johanf@sun.ac.za]</cp:lastModifiedBy>
  <dcterms:created xsi:type="dcterms:W3CDTF">2018-05-21T09:20:43Z</dcterms:created>
  <dcterms:modified xsi:type="dcterms:W3CDTF">2024-10-23T12:40:51Z</dcterms:modified>
</cp:coreProperties>
</file>