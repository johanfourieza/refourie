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activeTab="1"/>
  </bookViews>
  <sheets>
    <sheet name="Sheet1" sheetId="1" r:id="rId1"/>
    <sheet name="Sheet2" sheetId="2" r:id="rId2"/>
    <sheet name="Travellers by Rail" sheetId="3" r:id="rId3"/>
  </sheets>
  <calcPr calcId="145621"/>
</workbook>
</file>

<file path=xl/calcChain.xml><?xml version="1.0" encoding="utf-8"?>
<calcChain xmlns="http://schemas.openxmlformats.org/spreadsheetml/2006/main">
  <c r="K3" i="2" l="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2" i="2"/>
  <c r="P118" i="2" l="1"/>
  <c r="O118" i="2"/>
  <c r="G118" i="2"/>
  <c r="F118" i="2"/>
  <c r="N118" i="2"/>
  <c r="M118" i="2"/>
  <c r="M3" i="2"/>
  <c r="N3" i="2"/>
  <c r="M4" i="2"/>
  <c r="N4" i="2"/>
  <c r="M5" i="2"/>
  <c r="N5" i="2"/>
  <c r="M6" i="2"/>
  <c r="N6" i="2"/>
  <c r="M7" i="2"/>
  <c r="N7" i="2"/>
  <c r="M8" i="2"/>
  <c r="N8" i="2"/>
  <c r="M9" i="2"/>
  <c r="N9" i="2"/>
  <c r="M10" i="2"/>
  <c r="N10" i="2"/>
  <c r="M11" i="2"/>
  <c r="N11" i="2"/>
  <c r="M12" i="2"/>
  <c r="N12" i="2"/>
  <c r="M13" i="2"/>
  <c r="N13" i="2"/>
  <c r="M14" i="2"/>
  <c r="N14" i="2"/>
  <c r="M15" i="2"/>
  <c r="N15" i="2"/>
  <c r="M16" i="2"/>
  <c r="N16" i="2"/>
  <c r="M17" i="2"/>
  <c r="N17" i="2"/>
  <c r="M18" i="2"/>
  <c r="N18" i="2"/>
  <c r="M19" i="2"/>
  <c r="N19" i="2"/>
  <c r="M20" i="2"/>
  <c r="N20" i="2"/>
  <c r="M21" i="2"/>
  <c r="N21" i="2"/>
  <c r="M22" i="2"/>
  <c r="N22" i="2"/>
  <c r="M23" i="2"/>
  <c r="N23" i="2"/>
  <c r="M24" i="2"/>
  <c r="N24" i="2"/>
  <c r="M25" i="2"/>
  <c r="N25" i="2"/>
  <c r="M26" i="2"/>
  <c r="N26" i="2"/>
  <c r="M27" i="2"/>
  <c r="N27" i="2"/>
  <c r="M28" i="2"/>
  <c r="N28" i="2"/>
  <c r="M29" i="2"/>
  <c r="N29" i="2"/>
  <c r="M30" i="2"/>
  <c r="N30" i="2"/>
  <c r="M31" i="2"/>
  <c r="N31" i="2"/>
  <c r="M32" i="2"/>
  <c r="N32" i="2"/>
  <c r="M33" i="2"/>
  <c r="N33" i="2"/>
  <c r="M34" i="2"/>
  <c r="N34" i="2"/>
  <c r="M35" i="2"/>
  <c r="N35" i="2"/>
  <c r="M36" i="2"/>
  <c r="N36" i="2"/>
  <c r="M37" i="2"/>
  <c r="N37" i="2"/>
  <c r="M38" i="2"/>
  <c r="N38" i="2"/>
  <c r="M39" i="2"/>
  <c r="N39" i="2"/>
  <c r="M40" i="2"/>
  <c r="N40" i="2"/>
  <c r="M41" i="2"/>
  <c r="N41" i="2"/>
  <c r="M42" i="2"/>
  <c r="N42" i="2"/>
  <c r="M43" i="2"/>
  <c r="N43" i="2"/>
  <c r="M44" i="2"/>
  <c r="N44" i="2"/>
  <c r="M45" i="2"/>
  <c r="N45" i="2"/>
  <c r="M46" i="2"/>
  <c r="N46" i="2"/>
  <c r="M47" i="2"/>
  <c r="N47" i="2"/>
  <c r="M48" i="2"/>
  <c r="N48" i="2"/>
  <c r="M49" i="2"/>
  <c r="N49" i="2"/>
  <c r="M50" i="2"/>
  <c r="N50" i="2"/>
  <c r="M51" i="2"/>
  <c r="N51" i="2"/>
  <c r="M52" i="2"/>
  <c r="N52" i="2"/>
  <c r="M53" i="2"/>
  <c r="N53" i="2"/>
  <c r="M54" i="2"/>
  <c r="N54" i="2"/>
  <c r="M55" i="2"/>
  <c r="N55" i="2"/>
  <c r="M56" i="2"/>
  <c r="N56" i="2"/>
  <c r="M57" i="2"/>
  <c r="N57" i="2"/>
  <c r="M58" i="2"/>
  <c r="N58" i="2"/>
  <c r="M59" i="2"/>
  <c r="N59" i="2"/>
  <c r="M60" i="2"/>
  <c r="N60" i="2"/>
  <c r="M61" i="2"/>
  <c r="N61" i="2"/>
  <c r="M62" i="2"/>
  <c r="N62" i="2"/>
  <c r="M63" i="2"/>
  <c r="N63" i="2"/>
  <c r="M64" i="2"/>
  <c r="N64" i="2"/>
  <c r="M65" i="2"/>
  <c r="N65" i="2"/>
  <c r="M66" i="2"/>
  <c r="N66" i="2"/>
  <c r="M67" i="2"/>
  <c r="N67" i="2"/>
  <c r="M68" i="2"/>
  <c r="N68" i="2"/>
  <c r="M69" i="2"/>
  <c r="N69" i="2"/>
  <c r="M70" i="2"/>
  <c r="N70" i="2"/>
  <c r="M71" i="2"/>
  <c r="N71" i="2"/>
  <c r="M72" i="2"/>
  <c r="N72" i="2"/>
  <c r="M73" i="2"/>
  <c r="N73" i="2"/>
  <c r="M74" i="2"/>
  <c r="N74" i="2"/>
  <c r="M75" i="2"/>
  <c r="N75" i="2"/>
  <c r="M76" i="2"/>
  <c r="N76" i="2"/>
  <c r="M77" i="2"/>
  <c r="N77" i="2"/>
  <c r="M78" i="2"/>
  <c r="N78" i="2"/>
  <c r="M79" i="2"/>
  <c r="N79" i="2"/>
  <c r="M80" i="2"/>
  <c r="N80" i="2"/>
  <c r="M81" i="2"/>
  <c r="N81" i="2"/>
  <c r="M82" i="2"/>
  <c r="N82" i="2"/>
  <c r="M83" i="2"/>
  <c r="N83" i="2"/>
  <c r="M84" i="2"/>
  <c r="N84" i="2"/>
  <c r="M85" i="2"/>
  <c r="N85" i="2"/>
  <c r="M86" i="2"/>
  <c r="N86" i="2"/>
  <c r="M87" i="2"/>
  <c r="N87" i="2"/>
  <c r="M88" i="2"/>
  <c r="N88" i="2"/>
  <c r="M89" i="2"/>
  <c r="N89" i="2"/>
  <c r="M90" i="2"/>
  <c r="N90" i="2"/>
  <c r="M91" i="2"/>
  <c r="N91" i="2"/>
  <c r="M92" i="2"/>
  <c r="N92" i="2"/>
  <c r="M93" i="2"/>
  <c r="N93" i="2"/>
  <c r="M94" i="2"/>
  <c r="N94" i="2"/>
  <c r="M95" i="2"/>
  <c r="N95" i="2"/>
  <c r="M96" i="2"/>
  <c r="N96" i="2"/>
  <c r="M97" i="2"/>
  <c r="N97" i="2"/>
  <c r="M98" i="2"/>
  <c r="N98" i="2"/>
  <c r="M99" i="2"/>
  <c r="N99" i="2"/>
  <c r="M100" i="2"/>
  <c r="N100" i="2"/>
  <c r="M101" i="2"/>
  <c r="N101" i="2"/>
  <c r="M102" i="2"/>
  <c r="N102" i="2"/>
  <c r="M103" i="2"/>
  <c r="N103" i="2"/>
  <c r="M104" i="2"/>
  <c r="N104" i="2"/>
  <c r="M105" i="2"/>
  <c r="N105" i="2"/>
  <c r="M106" i="2"/>
  <c r="N106" i="2"/>
  <c r="M107" i="2"/>
  <c r="N107" i="2"/>
  <c r="M108" i="2"/>
  <c r="N108" i="2"/>
  <c r="M109" i="2"/>
  <c r="N109" i="2"/>
  <c r="M110" i="2"/>
  <c r="N110" i="2"/>
  <c r="M111" i="2"/>
  <c r="N111" i="2"/>
  <c r="M112" i="2"/>
  <c r="N112" i="2"/>
  <c r="M113" i="2"/>
  <c r="N113" i="2"/>
  <c r="M114" i="2"/>
  <c r="N114" i="2"/>
  <c r="M115" i="2"/>
  <c r="N115" i="2"/>
  <c r="M116" i="2"/>
  <c r="N116" i="2"/>
  <c r="M117" i="2"/>
  <c r="N117" i="2"/>
  <c r="N2" i="2"/>
  <c r="M2" i="2"/>
  <c r="B13" i="3" l="1"/>
  <c r="B12" i="3"/>
  <c r="D10" i="3"/>
  <c r="C10" i="3"/>
  <c r="B10" i="3"/>
  <c r="B8" i="3"/>
  <c r="H6" i="3"/>
  <c r="E6" i="3"/>
  <c r="B6" i="3"/>
  <c r="H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2" i="2"/>
  <c r="H99" i="2"/>
  <c r="F99" i="2"/>
  <c r="H81" i="2"/>
  <c r="F81" i="2"/>
  <c r="H72" i="2"/>
  <c r="F72" i="2"/>
  <c r="H56" i="2"/>
  <c r="F56" i="2"/>
  <c r="H55" i="2"/>
  <c r="F55" i="2"/>
  <c r="H31" i="2"/>
  <c r="F31" i="2"/>
  <c r="H13" i="2"/>
  <c r="F13" i="2"/>
  <c r="H114" i="2"/>
  <c r="F114" i="2"/>
  <c r="H103" i="2"/>
  <c r="F103" i="2"/>
  <c r="I103" i="2" s="1"/>
  <c r="H73" i="2"/>
  <c r="F73" i="2"/>
  <c r="H47" i="2"/>
  <c r="F47" i="2"/>
  <c r="H44" i="2"/>
  <c r="F44" i="2"/>
  <c r="H16" i="2"/>
  <c r="F16" i="2"/>
  <c r="H117" i="2"/>
  <c r="F117" i="2"/>
  <c r="H106" i="2"/>
  <c r="F106" i="2"/>
  <c r="H91" i="2"/>
  <c r="F91" i="2"/>
  <c r="H69" i="2"/>
  <c r="F69" i="2"/>
  <c r="H30" i="2"/>
  <c r="F30" i="2"/>
  <c r="H29" i="2"/>
  <c r="F29" i="2"/>
  <c r="H28" i="2"/>
  <c r="F28" i="2"/>
  <c r="H107" i="2"/>
  <c r="F107" i="2"/>
  <c r="I107" i="2" s="1"/>
  <c r="H102" i="2"/>
  <c r="F102" i="2"/>
  <c r="H85" i="2"/>
  <c r="F85" i="2"/>
  <c r="H68" i="2"/>
  <c r="F68" i="2"/>
  <c r="H67" i="2"/>
  <c r="F67" i="2"/>
  <c r="H66" i="2"/>
  <c r="F66" i="2"/>
  <c r="H65" i="2"/>
  <c r="F65" i="2"/>
  <c r="H60" i="2"/>
  <c r="F60" i="2"/>
  <c r="H57" i="2"/>
  <c r="F57" i="2"/>
  <c r="H112" i="2"/>
  <c r="F112" i="2"/>
  <c r="H101" i="2"/>
  <c r="F101" i="2"/>
  <c r="H58" i="2"/>
  <c r="F58" i="2"/>
  <c r="H52" i="2"/>
  <c r="F52" i="2"/>
  <c r="H36" i="2"/>
  <c r="F36" i="2"/>
  <c r="H116" i="2"/>
  <c r="F116" i="2"/>
  <c r="H115" i="2"/>
  <c r="F115" i="2"/>
  <c r="H113" i="2"/>
  <c r="F113" i="2"/>
  <c r="I113" i="2" s="1"/>
  <c r="H111" i="2"/>
  <c r="F111" i="2"/>
  <c r="H110" i="2"/>
  <c r="F110" i="2"/>
  <c r="H109" i="2"/>
  <c r="F109" i="2"/>
  <c r="H108" i="2"/>
  <c r="F108" i="2"/>
  <c r="I108" i="2" s="1"/>
  <c r="H105" i="2"/>
  <c r="F105" i="2"/>
  <c r="H104" i="2"/>
  <c r="F104" i="2"/>
  <c r="H100" i="2"/>
  <c r="F100" i="2"/>
  <c r="H98" i="2"/>
  <c r="F98" i="2"/>
  <c r="H97" i="2"/>
  <c r="F97" i="2"/>
  <c r="H96" i="2"/>
  <c r="F96" i="2"/>
  <c r="H95" i="2"/>
  <c r="F95" i="2"/>
  <c r="H94" i="2"/>
  <c r="F94" i="2"/>
  <c r="H93" i="2"/>
  <c r="F93" i="2"/>
  <c r="H92" i="2"/>
  <c r="F92" i="2"/>
  <c r="H90" i="2"/>
  <c r="F90" i="2"/>
  <c r="H89" i="2"/>
  <c r="F89" i="2"/>
  <c r="H88" i="2"/>
  <c r="F88" i="2"/>
  <c r="H87" i="2"/>
  <c r="F87" i="2"/>
  <c r="H86" i="2"/>
  <c r="F86" i="2"/>
  <c r="H84" i="2"/>
  <c r="F84" i="2"/>
  <c r="H83" i="2"/>
  <c r="F83" i="2"/>
  <c r="H82" i="2"/>
  <c r="F82" i="2"/>
  <c r="H80" i="2"/>
  <c r="F80" i="2"/>
  <c r="H79" i="2"/>
  <c r="F79" i="2"/>
  <c r="H78" i="2"/>
  <c r="F78" i="2"/>
  <c r="H77" i="2"/>
  <c r="F77" i="2"/>
  <c r="H76" i="2"/>
  <c r="F76" i="2"/>
  <c r="H75" i="2"/>
  <c r="F75" i="2"/>
  <c r="H74" i="2"/>
  <c r="F74" i="2"/>
  <c r="H71" i="2"/>
  <c r="F71" i="2"/>
  <c r="H70" i="2"/>
  <c r="F70" i="2"/>
  <c r="H64" i="2"/>
  <c r="F64" i="2"/>
  <c r="H63" i="2"/>
  <c r="F63" i="2"/>
  <c r="H62" i="2"/>
  <c r="F62" i="2"/>
  <c r="H61" i="2"/>
  <c r="F61" i="2"/>
  <c r="H59" i="2"/>
  <c r="F59" i="2"/>
  <c r="H54" i="2"/>
  <c r="F54" i="2"/>
  <c r="H53" i="2"/>
  <c r="F53" i="2"/>
  <c r="H51" i="2"/>
  <c r="F51" i="2"/>
  <c r="H50" i="2"/>
  <c r="F50" i="2"/>
  <c r="H49" i="2"/>
  <c r="F49" i="2"/>
  <c r="H48" i="2"/>
  <c r="F48" i="2"/>
  <c r="H46" i="2"/>
  <c r="F46" i="2"/>
  <c r="H45" i="2"/>
  <c r="F45" i="2"/>
  <c r="H43" i="2"/>
  <c r="F43" i="2"/>
  <c r="H42" i="2"/>
  <c r="F42" i="2"/>
  <c r="H41" i="2"/>
  <c r="F41" i="2"/>
  <c r="H40" i="2"/>
  <c r="F40" i="2"/>
  <c r="H39" i="2"/>
  <c r="F39" i="2"/>
  <c r="H38" i="2"/>
  <c r="F38" i="2"/>
  <c r="H37" i="2"/>
  <c r="F37" i="2"/>
  <c r="H35" i="2"/>
  <c r="F35" i="2"/>
  <c r="H34" i="2"/>
  <c r="F34" i="2"/>
  <c r="H33" i="2"/>
  <c r="F33" i="2"/>
  <c r="H32" i="2"/>
  <c r="F32" i="2"/>
  <c r="H27" i="2"/>
  <c r="F27" i="2"/>
  <c r="H26" i="2"/>
  <c r="F26" i="2"/>
  <c r="H25" i="2"/>
  <c r="F25" i="2"/>
  <c r="H24" i="2"/>
  <c r="F24" i="2"/>
  <c r="H23" i="2"/>
  <c r="F23" i="2"/>
  <c r="H22" i="2"/>
  <c r="F22" i="2"/>
  <c r="H21" i="2"/>
  <c r="F21" i="2"/>
  <c r="H20" i="2"/>
  <c r="F20" i="2"/>
  <c r="H19" i="2"/>
  <c r="F19" i="2"/>
  <c r="H18" i="2"/>
  <c r="F18" i="2"/>
  <c r="H17" i="2"/>
  <c r="F17" i="2"/>
  <c r="H15" i="2"/>
  <c r="F15" i="2"/>
  <c r="H14" i="2"/>
  <c r="F14" i="2"/>
  <c r="H12" i="2"/>
  <c r="F12" i="2"/>
  <c r="H11" i="2"/>
  <c r="F11" i="2"/>
  <c r="H10" i="2"/>
  <c r="F10" i="2"/>
  <c r="H9" i="2"/>
  <c r="F9" i="2"/>
  <c r="H8" i="2"/>
  <c r="F8" i="2"/>
  <c r="H7" i="2"/>
  <c r="F7" i="2"/>
  <c r="H6" i="2"/>
  <c r="F6" i="2"/>
  <c r="H5" i="2"/>
  <c r="F5" i="2"/>
  <c r="H4" i="2"/>
  <c r="F4" i="2"/>
  <c r="H3" i="2"/>
  <c r="F3" i="2"/>
  <c r="F2" i="2"/>
  <c r="BU20" i="1"/>
  <c r="BU21" i="1"/>
  <c r="BU22" i="1"/>
  <c r="BU23" i="1"/>
  <c r="BU24" i="1"/>
  <c r="BU25" i="1"/>
  <c r="BU26" i="1"/>
  <c r="BU27" i="1"/>
  <c r="BU28" i="1"/>
  <c r="BU29" i="1"/>
  <c r="BU30" i="1"/>
  <c r="BU31" i="1"/>
  <c r="BU32" i="1"/>
  <c r="BU33" i="1"/>
  <c r="BU34" i="1"/>
  <c r="BU35" i="1"/>
  <c r="BU36" i="1"/>
  <c r="BU37" i="1"/>
  <c r="BU38" i="1"/>
  <c r="BU39" i="1"/>
  <c r="BU40" i="1"/>
  <c r="BU41" i="1"/>
  <c r="BU42" i="1"/>
  <c r="BU43" i="1"/>
  <c r="BU44" i="1"/>
  <c r="BU45" i="1"/>
  <c r="BU46" i="1"/>
  <c r="BU47" i="1"/>
  <c r="BU48" i="1"/>
  <c r="BU49" i="1"/>
  <c r="BU50" i="1"/>
  <c r="BU51" i="1"/>
  <c r="BU52" i="1"/>
  <c r="BU53" i="1"/>
  <c r="BU54" i="1"/>
  <c r="BU55" i="1"/>
  <c r="BU56" i="1"/>
  <c r="BU57" i="1"/>
  <c r="BU58" i="1"/>
  <c r="BU59" i="1"/>
  <c r="BU60" i="1"/>
  <c r="BU61" i="1"/>
  <c r="BU62" i="1"/>
  <c r="BU63" i="1"/>
  <c r="BU64" i="1"/>
  <c r="BU65" i="1"/>
  <c r="BU66" i="1"/>
  <c r="BU67" i="1"/>
  <c r="BU68" i="1"/>
  <c r="BU69" i="1"/>
  <c r="BU70" i="1"/>
  <c r="BU71" i="1"/>
  <c r="BU72" i="1"/>
  <c r="BU73" i="1"/>
  <c r="BU74" i="1"/>
  <c r="BU75" i="1"/>
  <c r="BU76" i="1"/>
  <c r="BU77" i="1"/>
  <c r="BU78" i="1"/>
  <c r="BU79" i="1"/>
  <c r="BU80" i="1"/>
  <c r="BU81" i="1"/>
  <c r="BU82" i="1"/>
  <c r="BU83" i="1"/>
  <c r="BU84" i="1"/>
  <c r="BU85" i="1"/>
  <c r="BU86" i="1"/>
  <c r="BU87" i="1"/>
  <c r="BU88" i="1"/>
  <c r="BU89" i="1"/>
  <c r="BU90" i="1"/>
  <c r="BU91" i="1"/>
  <c r="BU92" i="1"/>
  <c r="BU93" i="1"/>
  <c r="BU94" i="1"/>
  <c r="BU95" i="1"/>
  <c r="BU96" i="1"/>
  <c r="BU97" i="1"/>
  <c r="BU98" i="1"/>
  <c r="BU99" i="1"/>
  <c r="BU100" i="1"/>
  <c r="BU101" i="1"/>
  <c r="BU102" i="1"/>
  <c r="BU103" i="1"/>
  <c r="BU104" i="1"/>
  <c r="BU105" i="1"/>
  <c r="BU106" i="1"/>
  <c r="BU107" i="1"/>
  <c r="BU108" i="1"/>
  <c r="BU109" i="1"/>
  <c r="BU110" i="1"/>
  <c r="BU111" i="1"/>
  <c r="BU112" i="1"/>
  <c r="BU113" i="1"/>
  <c r="BU114" i="1"/>
  <c r="BU115" i="1"/>
  <c r="BU116" i="1"/>
  <c r="BU117" i="1"/>
  <c r="BU118" i="1"/>
  <c r="BU119" i="1"/>
  <c r="BU120" i="1"/>
  <c r="BU121" i="1"/>
  <c r="BU122" i="1"/>
  <c r="BU123" i="1"/>
  <c r="BU124" i="1"/>
  <c r="BU125" i="1"/>
  <c r="BU126" i="1"/>
  <c r="BU127" i="1"/>
  <c r="BU128" i="1"/>
  <c r="BU129" i="1"/>
  <c r="BU130" i="1"/>
  <c r="BU131" i="1"/>
  <c r="BU132" i="1"/>
  <c r="BU133" i="1"/>
  <c r="BU134" i="1"/>
  <c r="BU135" i="1"/>
  <c r="BU19" i="1"/>
  <c r="BT20" i="1"/>
  <c r="BW20" i="1" s="1"/>
  <c r="BT21" i="1"/>
  <c r="BW21" i="1" s="1"/>
  <c r="BT22" i="1"/>
  <c r="BW22" i="1" s="1"/>
  <c r="BT23" i="1"/>
  <c r="BW23" i="1" s="1"/>
  <c r="BT24" i="1"/>
  <c r="BW24" i="1" s="1"/>
  <c r="BT25" i="1"/>
  <c r="BW25" i="1" s="1"/>
  <c r="BT26" i="1"/>
  <c r="BW26" i="1" s="1"/>
  <c r="BT27" i="1"/>
  <c r="BW27" i="1" s="1"/>
  <c r="BT28" i="1"/>
  <c r="BW28" i="1" s="1"/>
  <c r="BT29" i="1"/>
  <c r="BW29" i="1" s="1"/>
  <c r="BT30" i="1"/>
  <c r="BW30" i="1" s="1"/>
  <c r="BT31" i="1"/>
  <c r="BW31" i="1" s="1"/>
  <c r="BT32" i="1"/>
  <c r="BW32" i="1" s="1"/>
  <c r="BT33" i="1"/>
  <c r="BW33" i="1" s="1"/>
  <c r="BT34" i="1"/>
  <c r="BW34" i="1" s="1"/>
  <c r="BT35" i="1"/>
  <c r="BW35" i="1" s="1"/>
  <c r="BT36" i="1"/>
  <c r="BW36" i="1" s="1"/>
  <c r="BT37" i="1"/>
  <c r="BW37" i="1" s="1"/>
  <c r="BT38" i="1"/>
  <c r="BW38" i="1" s="1"/>
  <c r="BT39" i="1"/>
  <c r="BW39" i="1" s="1"/>
  <c r="BT40" i="1"/>
  <c r="BW40" i="1" s="1"/>
  <c r="BT41" i="1"/>
  <c r="BW41" i="1" s="1"/>
  <c r="BT42" i="1"/>
  <c r="BW42" i="1" s="1"/>
  <c r="BT43" i="1"/>
  <c r="BW43" i="1" s="1"/>
  <c r="BT44" i="1"/>
  <c r="BW44" i="1" s="1"/>
  <c r="BT45" i="1"/>
  <c r="BW45" i="1" s="1"/>
  <c r="BT46" i="1"/>
  <c r="BW46" i="1" s="1"/>
  <c r="BT47" i="1"/>
  <c r="BW47" i="1" s="1"/>
  <c r="BT48" i="1"/>
  <c r="BW48" i="1" s="1"/>
  <c r="BT49" i="1"/>
  <c r="BW49" i="1" s="1"/>
  <c r="BT50" i="1"/>
  <c r="BW50" i="1" s="1"/>
  <c r="BT51" i="1"/>
  <c r="BW51" i="1" s="1"/>
  <c r="BT52" i="1"/>
  <c r="BW52" i="1" s="1"/>
  <c r="BT53" i="1"/>
  <c r="BW53" i="1" s="1"/>
  <c r="BT54" i="1"/>
  <c r="BW54" i="1" s="1"/>
  <c r="BT55" i="1"/>
  <c r="BW55" i="1" s="1"/>
  <c r="BT56" i="1"/>
  <c r="BW56" i="1" s="1"/>
  <c r="BT57" i="1"/>
  <c r="BW57" i="1" s="1"/>
  <c r="BT58" i="1"/>
  <c r="BW58" i="1" s="1"/>
  <c r="BT59" i="1"/>
  <c r="BW59" i="1" s="1"/>
  <c r="BT60" i="1"/>
  <c r="BW60" i="1" s="1"/>
  <c r="BT61" i="1"/>
  <c r="BW61" i="1" s="1"/>
  <c r="BT62" i="1"/>
  <c r="BW62" i="1" s="1"/>
  <c r="BT63" i="1"/>
  <c r="BW63" i="1" s="1"/>
  <c r="BT64" i="1"/>
  <c r="BW64" i="1" s="1"/>
  <c r="BT65" i="1"/>
  <c r="BW65" i="1" s="1"/>
  <c r="BT66" i="1"/>
  <c r="BW66" i="1" s="1"/>
  <c r="BT67" i="1"/>
  <c r="BW67" i="1" s="1"/>
  <c r="BT68" i="1"/>
  <c r="BW68" i="1" s="1"/>
  <c r="BT69" i="1"/>
  <c r="BW69" i="1" s="1"/>
  <c r="BT70" i="1"/>
  <c r="BW70" i="1" s="1"/>
  <c r="BT71" i="1"/>
  <c r="BW71" i="1" s="1"/>
  <c r="BT72" i="1"/>
  <c r="BW72" i="1" s="1"/>
  <c r="BT73" i="1"/>
  <c r="BW73" i="1" s="1"/>
  <c r="BT74" i="1"/>
  <c r="BW74" i="1" s="1"/>
  <c r="BT75" i="1"/>
  <c r="BW75" i="1" s="1"/>
  <c r="BT76" i="1"/>
  <c r="BW76" i="1" s="1"/>
  <c r="BT77" i="1"/>
  <c r="BW77" i="1" s="1"/>
  <c r="BT78" i="1"/>
  <c r="BW78" i="1" s="1"/>
  <c r="BT79" i="1"/>
  <c r="BW79" i="1" s="1"/>
  <c r="BT80" i="1"/>
  <c r="BW80" i="1" s="1"/>
  <c r="BT81" i="1"/>
  <c r="BW81" i="1" s="1"/>
  <c r="BT82" i="1"/>
  <c r="BW82" i="1" s="1"/>
  <c r="BT83" i="1"/>
  <c r="BW83" i="1" s="1"/>
  <c r="BT84" i="1"/>
  <c r="BW84" i="1" s="1"/>
  <c r="BT85" i="1"/>
  <c r="BW85" i="1" s="1"/>
  <c r="BT86" i="1"/>
  <c r="BW86" i="1" s="1"/>
  <c r="BT87" i="1"/>
  <c r="BW87" i="1" s="1"/>
  <c r="BT88" i="1"/>
  <c r="BW88" i="1" s="1"/>
  <c r="BT89" i="1"/>
  <c r="BW89" i="1" s="1"/>
  <c r="BT90" i="1"/>
  <c r="BW90" i="1" s="1"/>
  <c r="BT91" i="1"/>
  <c r="BW91" i="1" s="1"/>
  <c r="BT92" i="1"/>
  <c r="BW92" i="1" s="1"/>
  <c r="BT93" i="1"/>
  <c r="BW93" i="1" s="1"/>
  <c r="BT94" i="1"/>
  <c r="BW94" i="1" s="1"/>
  <c r="BT95" i="1"/>
  <c r="BW95" i="1" s="1"/>
  <c r="BT96" i="1"/>
  <c r="BW96" i="1" s="1"/>
  <c r="BT97" i="1"/>
  <c r="BW97" i="1" s="1"/>
  <c r="BT98" i="1"/>
  <c r="BW98" i="1" s="1"/>
  <c r="BT99" i="1"/>
  <c r="BW99" i="1" s="1"/>
  <c r="BT100" i="1"/>
  <c r="BW100" i="1" s="1"/>
  <c r="BT101" i="1"/>
  <c r="BW101" i="1" s="1"/>
  <c r="BT102" i="1"/>
  <c r="BW102" i="1" s="1"/>
  <c r="BT103" i="1"/>
  <c r="BW103" i="1" s="1"/>
  <c r="BT104" i="1"/>
  <c r="BW104" i="1" s="1"/>
  <c r="BT105" i="1"/>
  <c r="BW105" i="1" s="1"/>
  <c r="BT106" i="1"/>
  <c r="BW106" i="1" s="1"/>
  <c r="BT107" i="1"/>
  <c r="BW107" i="1" s="1"/>
  <c r="BT108" i="1"/>
  <c r="BW108" i="1" s="1"/>
  <c r="BT109" i="1"/>
  <c r="BW109" i="1" s="1"/>
  <c r="BT110" i="1"/>
  <c r="BW110" i="1" s="1"/>
  <c r="BT111" i="1"/>
  <c r="BW111" i="1" s="1"/>
  <c r="BT112" i="1"/>
  <c r="BW112" i="1" s="1"/>
  <c r="BT113" i="1"/>
  <c r="BW113" i="1" s="1"/>
  <c r="BT114" i="1"/>
  <c r="BW114" i="1" s="1"/>
  <c r="BT115" i="1"/>
  <c r="BW115" i="1" s="1"/>
  <c r="BT116" i="1"/>
  <c r="BW116" i="1" s="1"/>
  <c r="BT117" i="1"/>
  <c r="BW117" i="1" s="1"/>
  <c r="BT118" i="1"/>
  <c r="BW118" i="1" s="1"/>
  <c r="BT119" i="1"/>
  <c r="BW119" i="1" s="1"/>
  <c r="BT120" i="1"/>
  <c r="BW120" i="1" s="1"/>
  <c r="BT121" i="1"/>
  <c r="BW121" i="1" s="1"/>
  <c r="BT122" i="1"/>
  <c r="BW122" i="1" s="1"/>
  <c r="BT123" i="1"/>
  <c r="BW123" i="1" s="1"/>
  <c r="BT124" i="1"/>
  <c r="BW124" i="1" s="1"/>
  <c r="BT125" i="1"/>
  <c r="BW125" i="1" s="1"/>
  <c r="BT126" i="1"/>
  <c r="BW126" i="1" s="1"/>
  <c r="BT127" i="1"/>
  <c r="BW127" i="1" s="1"/>
  <c r="BT128" i="1"/>
  <c r="BW128" i="1" s="1"/>
  <c r="BT129" i="1"/>
  <c r="BW129" i="1" s="1"/>
  <c r="BT130" i="1"/>
  <c r="BW130" i="1" s="1"/>
  <c r="BT131" i="1"/>
  <c r="BW131" i="1" s="1"/>
  <c r="BT132" i="1"/>
  <c r="BW132" i="1" s="1"/>
  <c r="BT133" i="1"/>
  <c r="BW133" i="1" s="1"/>
  <c r="BT134" i="1"/>
  <c r="BW134" i="1" s="1"/>
  <c r="BT135" i="1"/>
  <c r="BW135" i="1" s="1"/>
  <c r="BT19" i="1"/>
  <c r="BW19" i="1" s="1"/>
  <c r="BV20" i="1"/>
  <c r="BV21" i="1"/>
  <c r="BV22" i="1"/>
  <c r="BV23" i="1"/>
  <c r="BV24" i="1"/>
  <c r="BV25" i="1"/>
  <c r="BV26" i="1"/>
  <c r="BV27" i="1"/>
  <c r="BV28" i="1"/>
  <c r="BV29" i="1"/>
  <c r="BV30" i="1"/>
  <c r="BV31" i="1"/>
  <c r="BV32" i="1"/>
  <c r="BV33" i="1"/>
  <c r="BV34" i="1"/>
  <c r="BV35" i="1"/>
  <c r="BV36" i="1"/>
  <c r="BV37" i="1"/>
  <c r="BV38" i="1"/>
  <c r="BV39" i="1"/>
  <c r="BV40" i="1"/>
  <c r="BV41" i="1"/>
  <c r="BV42" i="1"/>
  <c r="BV43" i="1"/>
  <c r="BV44" i="1"/>
  <c r="BV45" i="1"/>
  <c r="BV46" i="1"/>
  <c r="BV47" i="1"/>
  <c r="BV48" i="1"/>
  <c r="BV49" i="1"/>
  <c r="BV50" i="1"/>
  <c r="BV51" i="1"/>
  <c r="BV52" i="1"/>
  <c r="BV53" i="1"/>
  <c r="BV54" i="1"/>
  <c r="BV55" i="1"/>
  <c r="BV56" i="1"/>
  <c r="BV57" i="1"/>
  <c r="BV58" i="1"/>
  <c r="BV59" i="1"/>
  <c r="BV60" i="1"/>
  <c r="BV61" i="1"/>
  <c r="BV62" i="1"/>
  <c r="BV63" i="1"/>
  <c r="BV64" i="1"/>
  <c r="BV65" i="1"/>
  <c r="BV66" i="1"/>
  <c r="BV67" i="1"/>
  <c r="BV68" i="1"/>
  <c r="BV69" i="1"/>
  <c r="BV70" i="1"/>
  <c r="BV71" i="1"/>
  <c r="BV72" i="1"/>
  <c r="BV73" i="1"/>
  <c r="BV74" i="1"/>
  <c r="BV75" i="1"/>
  <c r="BV76" i="1"/>
  <c r="BV77" i="1"/>
  <c r="BV78" i="1"/>
  <c r="BV79" i="1"/>
  <c r="BV80" i="1"/>
  <c r="BV81" i="1"/>
  <c r="BV82" i="1"/>
  <c r="BV83" i="1"/>
  <c r="BV84" i="1"/>
  <c r="BV85" i="1"/>
  <c r="BV86" i="1"/>
  <c r="BV87" i="1"/>
  <c r="BV88" i="1"/>
  <c r="BV89" i="1"/>
  <c r="BV90" i="1"/>
  <c r="BV91" i="1"/>
  <c r="BV92" i="1"/>
  <c r="BV93" i="1"/>
  <c r="BV94" i="1"/>
  <c r="BV95" i="1"/>
  <c r="BV96" i="1"/>
  <c r="BV97" i="1"/>
  <c r="BV98" i="1"/>
  <c r="BV99" i="1"/>
  <c r="BV100" i="1"/>
  <c r="BV101" i="1"/>
  <c r="BV102" i="1"/>
  <c r="BV103" i="1"/>
  <c r="BV104" i="1"/>
  <c r="BV105" i="1"/>
  <c r="BV106" i="1"/>
  <c r="BV107" i="1"/>
  <c r="BV108" i="1"/>
  <c r="BV109" i="1"/>
  <c r="BV110" i="1"/>
  <c r="BV111" i="1"/>
  <c r="BV112" i="1"/>
  <c r="BV113" i="1"/>
  <c r="BV114" i="1"/>
  <c r="BV115" i="1"/>
  <c r="BV116" i="1"/>
  <c r="BV117" i="1"/>
  <c r="BV118" i="1"/>
  <c r="BV119" i="1"/>
  <c r="BV120" i="1"/>
  <c r="BV121" i="1"/>
  <c r="BV122" i="1"/>
  <c r="BV123" i="1"/>
  <c r="BV124" i="1"/>
  <c r="BV125" i="1"/>
  <c r="BV126" i="1"/>
  <c r="BV127" i="1"/>
  <c r="BV128" i="1"/>
  <c r="BV129" i="1"/>
  <c r="BV130" i="1"/>
  <c r="BV131" i="1"/>
  <c r="BV132" i="1"/>
  <c r="BV133" i="1"/>
  <c r="BV134" i="1"/>
  <c r="BV135" i="1"/>
  <c r="BV19" i="1"/>
  <c r="BJ101" i="1"/>
  <c r="BK101" i="1"/>
  <c r="BL101" i="1"/>
  <c r="BM101" i="1"/>
  <c r="BJ103" i="1"/>
  <c r="BK103" i="1"/>
  <c r="BL103" i="1"/>
  <c r="BM103" i="1"/>
  <c r="BJ104" i="1"/>
  <c r="BK104" i="1"/>
  <c r="BL104" i="1"/>
  <c r="BM104" i="1"/>
  <c r="BJ105" i="1"/>
  <c r="BK105" i="1"/>
  <c r="BL105" i="1"/>
  <c r="BM105" i="1"/>
  <c r="BJ106" i="1"/>
  <c r="BK106" i="1"/>
  <c r="BL106" i="1"/>
  <c r="BM106" i="1"/>
  <c r="BJ107" i="1"/>
  <c r="BK107" i="1"/>
  <c r="BL107" i="1"/>
  <c r="BM107" i="1"/>
  <c r="BJ108" i="1"/>
  <c r="BK108" i="1"/>
  <c r="BL108" i="1"/>
  <c r="BM108" i="1"/>
  <c r="BJ109" i="1"/>
  <c r="BK109" i="1"/>
  <c r="BL109" i="1"/>
  <c r="BM109" i="1"/>
  <c r="BJ110" i="1"/>
  <c r="BK110" i="1"/>
  <c r="BL110" i="1"/>
  <c r="BM110" i="1"/>
  <c r="BJ111" i="1"/>
  <c r="BK111" i="1"/>
  <c r="BL111" i="1"/>
  <c r="BM111" i="1"/>
  <c r="BJ113" i="1"/>
  <c r="BK113" i="1"/>
  <c r="BL113" i="1"/>
  <c r="BM113" i="1"/>
  <c r="BJ114" i="1"/>
  <c r="BK114" i="1"/>
  <c r="BL114" i="1"/>
  <c r="BM114" i="1"/>
  <c r="BJ115" i="1"/>
  <c r="BK115" i="1"/>
  <c r="BL115" i="1"/>
  <c r="BM115" i="1"/>
  <c r="BJ116" i="1"/>
  <c r="BK116" i="1"/>
  <c r="BL116" i="1"/>
  <c r="BM116" i="1"/>
  <c r="BJ117" i="1"/>
  <c r="BK117" i="1"/>
  <c r="BL117" i="1"/>
  <c r="BM117" i="1"/>
  <c r="BJ118" i="1"/>
  <c r="BK118" i="1"/>
  <c r="BL118" i="1"/>
  <c r="BM118" i="1"/>
  <c r="BJ119" i="1"/>
  <c r="BK119" i="1"/>
  <c r="BL119" i="1"/>
  <c r="BM119" i="1"/>
  <c r="BJ120" i="1"/>
  <c r="BK120" i="1"/>
  <c r="BL120" i="1"/>
  <c r="BM120" i="1"/>
  <c r="BJ121" i="1"/>
  <c r="BK121" i="1"/>
  <c r="BL121" i="1"/>
  <c r="BM121" i="1"/>
  <c r="BJ122" i="1"/>
  <c r="BK122" i="1"/>
  <c r="BL122" i="1"/>
  <c r="BM122" i="1"/>
  <c r="BJ123" i="1"/>
  <c r="BK123" i="1"/>
  <c r="BL123" i="1"/>
  <c r="BM123" i="1"/>
  <c r="BJ124" i="1"/>
  <c r="BK124" i="1"/>
  <c r="BL124" i="1"/>
  <c r="BM124" i="1"/>
  <c r="BJ125" i="1"/>
  <c r="BK125" i="1"/>
  <c r="BL125" i="1"/>
  <c r="BM125" i="1"/>
  <c r="BJ126" i="1"/>
  <c r="BK126" i="1"/>
  <c r="BL126" i="1"/>
  <c r="BM126" i="1"/>
  <c r="BJ127" i="1"/>
  <c r="BK127" i="1"/>
  <c r="BL127" i="1"/>
  <c r="BM127" i="1"/>
  <c r="BJ128" i="1"/>
  <c r="BK128" i="1"/>
  <c r="BL128" i="1"/>
  <c r="BM128" i="1"/>
  <c r="BJ129" i="1"/>
  <c r="BK129" i="1"/>
  <c r="BL129" i="1"/>
  <c r="BM129" i="1"/>
  <c r="BJ130" i="1"/>
  <c r="BK130" i="1"/>
  <c r="BL130" i="1"/>
  <c r="BM130" i="1"/>
  <c r="BJ131" i="1"/>
  <c r="BK131" i="1"/>
  <c r="BL131" i="1"/>
  <c r="BM131" i="1"/>
  <c r="BJ132" i="1"/>
  <c r="BK132" i="1"/>
  <c r="BL132" i="1"/>
  <c r="BM132" i="1"/>
  <c r="BJ133" i="1"/>
  <c r="BK133" i="1"/>
  <c r="BL133" i="1"/>
  <c r="BM133" i="1"/>
  <c r="BJ134" i="1"/>
  <c r="BK134" i="1"/>
  <c r="BL134" i="1"/>
  <c r="BM134" i="1"/>
  <c r="BJ135" i="1"/>
  <c r="BK135" i="1"/>
  <c r="BL135" i="1"/>
  <c r="BM135" i="1"/>
  <c r="BJ136" i="1"/>
  <c r="BK136" i="1"/>
  <c r="BL136" i="1"/>
  <c r="BM136" i="1"/>
  <c r="BJ137" i="1"/>
  <c r="BK137" i="1"/>
  <c r="BL137" i="1"/>
  <c r="BM137" i="1"/>
  <c r="BJ138" i="1"/>
  <c r="BK138" i="1"/>
  <c r="BL138" i="1"/>
  <c r="BM138" i="1"/>
  <c r="BJ139" i="1"/>
  <c r="BK139" i="1"/>
  <c r="BL139" i="1"/>
  <c r="BM139" i="1"/>
  <c r="BJ140" i="1"/>
  <c r="BK140" i="1"/>
  <c r="BL140" i="1"/>
  <c r="BM140" i="1"/>
  <c r="BJ141" i="1"/>
  <c r="BK141" i="1"/>
  <c r="BL141" i="1"/>
  <c r="BM141" i="1"/>
  <c r="BJ142" i="1"/>
  <c r="BK142" i="1"/>
  <c r="BL142" i="1"/>
  <c r="BM142" i="1"/>
  <c r="BJ143" i="1"/>
  <c r="BK143" i="1"/>
  <c r="BL143" i="1"/>
  <c r="BM143" i="1"/>
  <c r="BJ144" i="1"/>
  <c r="BK144" i="1"/>
  <c r="BL144" i="1"/>
  <c r="BM144" i="1"/>
  <c r="BJ145" i="1"/>
  <c r="BK145" i="1"/>
  <c r="BL145" i="1"/>
  <c r="BM145" i="1"/>
  <c r="BJ146" i="1"/>
  <c r="BK146" i="1"/>
  <c r="BL146" i="1"/>
  <c r="BM146" i="1"/>
  <c r="BJ147" i="1"/>
  <c r="BK147" i="1"/>
  <c r="BL147" i="1"/>
  <c r="BM147" i="1"/>
  <c r="BJ148" i="1"/>
  <c r="BK148" i="1"/>
  <c r="BL148" i="1"/>
  <c r="BM148" i="1"/>
  <c r="BJ150" i="1"/>
  <c r="BK150" i="1"/>
  <c r="BL150" i="1"/>
  <c r="BM150" i="1"/>
  <c r="BJ151" i="1"/>
  <c r="BK151" i="1"/>
  <c r="BL151" i="1"/>
  <c r="BM151" i="1"/>
  <c r="BJ152" i="1"/>
  <c r="BK152" i="1"/>
  <c r="BL152" i="1"/>
  <c r="BM152" i="1"/>
  <c r="BJ153" i="1"/>
  <c r="BK153" i="1"/>
  <c r="BL153" i="1"/>
  <c r="BM153" i="1"/>
  <c r="BJ154" i="1"/>
  <c r="BK154" i="1"/>
  <c r="BL154" i="1"/>
  <c r="BM154" i="1"/>
  <c r="BJ155" i="1"/>
  <c r="BK155" i="1"/>
  <c r="BL155" i="1"/>
  <c r="BM155" i="1"/>
  <c r="BK20" i="1"/>
  <c r="BL20" i="1"/>
  <c r="BM20" i="1"/>
  <c r="BK21" i="1"/>
  <c r="BL21" i="1"/>
  <c r="BM21" i="1"/>
  <c r="BK22" i="1"/>
  <c r="BL22" i="1"/>
  <c r="BM22" i="1"/>
  <c r="BK23" i="1"/>
  <c r="BL23" i="1"/>
  <c r="BM23" i="1"/>
  <c r="BK24" i="1"/>
  <c r="BL24" i="1"/>
  <c r="BM24" i="1"/>
  <c r="BK25" i="1"/>
  <c r="BL25" i="1"/>
  <c r="BM25" i="1"/>
  <c r="BK26" i="1"/>
  <c r="BL26" i="1"/>
  <c r="BM26" i="1"/>
  <c r="BK27" i="1"/>
  <c r="BL27" i="1"/>
  <c r="BM27" i="1"/>
  <c r="BK28" i="1"/>
  <c r="BL28" i="1"/>
  <c r="BM28" i="1"/>
  <c r="BK29" i="1"/>
  <c r="BL29" i="1"/>
  <c r="BM29" i="1"/>
  <c r="BK30" i="1"/>
  <c r="BL30" i="1"/>
  <c r="BM30" i="1"/>
  <c r="BK31" i="1"/>
  <c r="BL31" i="1"/>
  <c r="BM31" i="1"/>
  <c r="BK32" i="1"/>
  <c r="BL32" i="1"/>
  <c r="BM32" i="1"/>
  <c r="BK33" i="1"/>
  <c r="BL33" i="1"/>
  <c r="BM33" i="1"/>
  <c r="BK34" i="1"/>
  <c r="BL34" i="1"/>
  <c r="BM34" i="1"/>
  <c r="BK35" i="1"/>
  <c r="BL35" i="1"/>
  <c r="BM35" i="1"/>
  <c r="BK36" i="1"/>
  <c r="BL36" i="1"/>
  <c r="BM36" i="1"/>
  <c r="BK37" i="1"/>
  <c r="BL37" i="1"/>
  <c r="BM37" i="1"/>
  <c r="BK38" i="1"/>
  <c r="BL38" i="1"/>
  <c r="BM38" i="1"/>
  <c r="BK39" i="1"/>
  <c r="BL39" i="1"/>
  <c r="BM39" i="1"/>
  <c r="BK40" i="1"/>
  <c r="BL40" i="1"/>
  <c r="BM40" i="1"/>
  <c r="BK41" i="1"/>
  <c r="BL41" i="1"/>
  <c r="BM41" i="1"/>
  <c r="BK42" i="1"/>
  <c r="BL42" i="1"/>
  <c r="BM42" i="1"/>
  <c r="BK43" i="1"/>
  <c r="BL43" i="1"/>
  <c r="BM43" i="1"/>
  <c r="BK44" i="1"/>
  <c r="BL44" i="1"/>
  <c r="BM44" i="1"/>
  <c r="BK45" i="1"/>
  <c r="BL45" i="1"/>
  <c r="BM45" i="1"/>
  <c r="BK46" i="1"/>
  <c r="BL46" i="1"/>
  <c r="BM46" i="1"/>
  <c r="BK47" i="1"/>
  <c r="BL47" i="1"/>
  <c r="BM47" i="1"/>
  <c r="BK48" i="1"/>
  <c r="BL48" i="1"/>
  <c r="BM48" i="1"/>
  <c r="BK49" i="1"/>
  <c r="BL49" i="1"/>
  <c r="BM49" i="1"/>
  <c r="BK50" i="1"/>
  <c r="BL50" i="1"/>
  <c r="BM50" i="1"/>
  <c r="BK51" i="1"/>
  <c r="BL51" i="1"/>
  <c r="BM51" i="1"/>
  <c r="BK52" i="1"/>
  <c r="BL52" i="1"/>
  <c r="BM52" i="1"/>
  <c r="BK53" i="1"/>
  <c r="BL53" i="1"/>
  <c r="BM53" i="1"/>
  <c r="BK54" i="1"/>
  <c r="BL54" i="1"/>
  <c r="BM54" i="1"/>
  <c r="BK55" i="1"/>
  <c r="BL55" i="1"/>
  <c r="BM55" i="1"/>
  <c r="BK56" i="1"/>
  <c r="BL56" i="1"/>
  <c r="BM56" i="1"/>
  <c r="BK57" i="1"/>
  <c r="BL57" i="1"/>
  <c r="BM57" i="1"/>
  <c r="BK58" i="1"/>
  <c r="BL58" i="1"/>
  <c r="BM58" i="1"/>
  <c r="BK59" i="1"/>
  <c r="BL59" i="1"/>
  <c r="BM59" i="1"/>
  <c r="BK60" i="1"/>
  <c r="BL60" i="1"/>
  <c r="BM60" i="1"/>
  <c r="BK61" i="1"/>
  <c r="BL61" i="1"/>
  <c r="BM61" i="1"/>
  <c r="BK62" i="1"/>
  <c r="BL62" i="1"/>
  <c r="BM62" i="1"/>
  <c r="BK63" i="1"/>
  <c r="BL63" i="1"/>
  <c r="BM63" i="1"/>
  <c r="BK64" i="1"/>
  <c r="BL64" i="1"/>
  <c r="BM64" i="1"/>
  <c r="BK65" i="1"/>
  <c r="BL65" i="1"/>
  <c r="BM65" i="1"/>
  <c r="BK66" i="1"/>
  <c r="BL66" i="1"/>
  <c r="BM66" i="1"/>
  <c r="BK67" i="1"/>
  <c r="BL67" i="1"/>
  <c r="BM67" i="1"/>
  <c r="BK68" i="1"/>
  <c r="BL68" i="1"/>
  <c r="BM68" i="1"/>
  <c r="BK69" i="1"/>
  <c r="BL69" i="1"/>
  <c r="BM69" i="1"/>
  <c r="BK70" i="1"/>
  <c r="BL70" i="1"/>
  <c r="BM70" i="1"/>
  <c r="BK71" i="1"/>
  <c r="BL71" i="1"/>
  <c r="BM71" i="1"/>
  <c r="BK72" i="1"/>
  <c r="BL72" i="1"/>
  <c r="BM72" i="1"/>
  <c r="BK73" i="1"/>
  <c r="BL73" i="1"/>
  <c r="BM73" i="1"/>
  <c r="BK74" i="1"/>
  <c r="BL74" i="1"/>
  <c r="BM74" i="1"/>
  <c r="BK75" i="1"/>
  <c r="BL75" i="1"/>
  <c r="BM75" i="1"/>
  <c r="BK76" i="1"/>
  <c r="BL76" i="1"/>
  <c r="BM76" i="1"/>
  <c r="BK77" i="1"/>
  <c r="BL77" i="1"/>
  <c r="BM77" i="1"/>
  <c r="BK78" i="1"/>
  <c r="BL78" i="1"/>
  <c r="BM78" i="1"/>
  <c r="BK79" i="1"/>
  <c r="BL79" i="1"/>
  <c r="BM79" i="1"/>
  <c r="BK80" i="1"/>
  <c r="BL80" i="1"/>
  <c r="BM80" i="1"/>
  <c r="BK81" i="1"/>
  <c r="BL81" i="1"/>
  <c r="BM81" i="1"/>
  <c r="BK82" i="1"/>
  <c r="BL82" i="1"/>
  <c r="BM82" i="1"/>
  <c r="BK83" i="1"/>
  <c r="BL83" i="1"/>
  <c r="BM83" i="1"/>
  <c r="BK84" i="1"/>
  <c r="BL84" i="1"/>
  <c r="BM84" i="1"/>
  <c r="BK85" i="1"/>
  <c r="BL85" i="1"/>
  <c r="BM85" i="1"/>
  <c r="BK86" i="1"/>
  <c r="BL86" i="1"/>
  <c r="BM86" i="1"/>
  <c r="BK87" i="1"/>
  <c r="BL87" i="1"/>
  <c r="BM87" i="1"/>
  <c r="BK88" i="1"/>
  <c r="BL88" i="1"/>
  <c r="BM88" i="1"/>
  <c r="BK89" i="1"/>
  <c r="BL89" i="1"/>
  <c r="BM89" i="1"/>
  <c r="BK90" i="1"/>
  <c r="BL90" i="1"/>
  <c r="BM90" i="1"/>
  <c r="BK91" i="1"/>
  <c r="BL91" i="1"/>
  <c r="BM91" i="1"/>
  <c r="BK92" i="1"/>
  <c r="BL92" i="1"/>
  <c r="BM92" i="1"/>
  <c r="BK93" i="1"/>
  <c r="BL93" i="1"/>
  <c r="BM93" i="1"/>
  <c r="BK94" i="1"/>
  <c r="BL94" i="1"/>
  <c r="BM94" i="1"/>
  <c r="BK95" i="1"/>
  <c r="BL95" i="1"/>
  <c r="BM95" i="1"/>
  <c r="BK96" i="1"/>
  <c r="BL96" i="1"/>
  <c r="BM96" i="1"/>
  <c r="BK97" i="1"/>
  <c r="BL97" i="1"/>
  <c r="BM97" i="1"/>
  <c r="BK98" i="1"/>
  <c r="BL98" i="1"/>
  <c r="BM98" i="1"/>
  <c r="BK99" i="1"/>
  <c r="BL99" i="1"/>
  <c r="BM99" i="1"/>
  <c r="BK100" i="1"/>
  <c r="BL100" i="1"/>
  <c r="BM100" i="1"/>
  <c r="BK19" i="1"/>
  <c r="BL19" i="1"/>
  <c r="BM19" i="1"/>
  <c r="BJ20" i="1"/>
  <c r="BJ21" i="1"/>
  <c r="BJ22" i="1"/>
  <c r="BJ23" i="1"/>
  <c r="BJ24" i="1"/>
  <c r="BJ25" i="1"/>
  <c r="BJ26" i="1"/>
  <c r="BJ27" i="1"/>
  <c r="BJ28" i="1"/>
  <c r="BJ29" i="1"/>
  <c r="BJ30" i="1"/>
  <c r="BJ31" i="1"/>
  <c r="BJ32" i="1"/>
  <c r="BJ33" i="1"/>
  <c r="BJ34" i="1"/>
  <c r="BJ35" i="1"/>
  <c r="BJ36" i="1"/>
  <c r="BJ37" i="1"/>
  <c r="BJ38" i="1"/>
  <c r="BJ39" i="1"/>
  <c r="BJ40" i="1"/>
  <c r="BJ41" i="1"/>
  <c r="BJ42" i="1"/>
  <c r="BJ43" i="1"/>
  <c r="BJ44" i="1"/>
  <c r="BJ45" i="1"/>
  <c r="BJ46" i="1"/>
  <c r="BJ47" i="1"/>
  <c r="BJ48" i="1"/>
  <c r="BJ49" i="1"/>
  <c r="BJ50" i="1"/>
  <c r="BJ51" i="1"/>
  <c r="BJ52" i="1"/>
  <c r="BJ53" i="1"/>
  <c r="BJ54" i="1"/>
  <c r="BJ55" i="1"/>
  <c r="BJ56" i="1"/>
  <c r="BJ57" i="1"/>
  <c r="BJ58" i="1"/>
  <c r="BJ59" i="1"/>
  <c r="BJ60" i="1"/>
  <c r="BJ61" i="1"/>
  <c r="BJ62" i="1"/>
  <c r="BJ63" i="1"/>
  <c r="BJ64" i="1"/>
  <c r="BJ65" i="1"/>
  <c r="BJ66" i="1"/>
  <c r="BJ67" i="1"/>
  <c r="BJ68" i="1"/>
  <c r="BJ69" i="1"/>
  <c r="BJ70" i="1"/>
  <c r="BJ71" i="1"/>
  <c r="BJ72" i="1"/>
  <c r="BJ73" i="1"/>
  <c r="BJ74" i="1"/>
  <c r="BJ75" i="1"/>
  <c r="BJ76" i="1"/>
  <c r="BJ77" i="1"/>
  <c r="BJ78" i="1"/>
  <c r="BJ79" i="1"/>
  <c r="BJ80" i="1"/>
  <c r="BJ81" i="1"/>
  <c r="BJ82" i="1"/>
  <c r="BJ83" i="1"/>
  <c r="BJ84" i="1"/>
  <c r="BJ85" i="1"/>
  <c r="BJ86" i="1"/>
  <c r="BJ87" i="1"/>
  <c r="BJ88" i="1"/>
  <c r="BJ89" i="1"/>
  <c r="BJ90" i="1"/>
  <c r="BJ91" i="1"/>
  <c r="BJ92" i="1"/>
  <c r="BJ93" i="1"/>
  <c r="BJ94" i="1"/>
  <c r="BJ95" i="1"/>
  <c r="BJ96" i="1"/>
  <c r="BJ97" i="1"/>
  <c r="BJ98" i="1"/>
  <c r="BJ99" i="1"/>
  <c r="BJ100" i="1"/>
  <c r="BJ19" i="1"/>
  <c r="BG149" i="1"/>
  <c r="BF149" i="1"/>
  <c r="BE149" i="1"/>
  <c r="BD149" i="1"/>
  <c r="BC149" i="1"/>
  <c r="BB149" i="1"/>
  <c r="BA149" i="1"/>
  <c r="BK149" i="1" s="1"/>
  <c r="AZ149" i="1"/>
  <c r="AY149" i="1"/>
  <c r="AX149" i="1"/>
  <c r="AW149" i="1"/>
  <c r="AV149" i="1"/>
  <c r="AU149" i="1"/>
  <c r="AT149" i="1"/>
  <c r="AS149" i="1"/>
  <c r="AR149" i="1"/>
  <c r="AQ149" i="1"/>
  <c r="AP149" i="1"/>
  <c r="AO149" i="1"/>
  <c r="AN149" i="1"/>
  <c r="AM149" i="1"/>
  <c r="AL149" i="1"/>
  <c r="AK149" i="1"/>
  <c r="AJ149" i="1"/>
  <c r="AI149" i="1"/>
  <c r="BM149" i="1" s="1"/>
  <c r="AH149" i="1"/>
  <c r="AG149" i="1"/>
  <c r="AF149" i="1"/>
  <c r="AE149" i="1"/>
  <c r="AD149" i="1"/>
  <c r="AC149" i="1"/>
  <c r="AB149" i="1"/>
  <c r="AA149" i="1"/>
  <c r="Z149" i="1"/>
  <c r="Y149" i="1"/>
  <c r="X149" i="1"/>
  <c r="W149" i="1"/>
  <c r="V149" i="1"/>
  <c r="U149" i="1"/>
  <c r="T149" i="1"/>
  <c r="S149" i="1"/>
  <c r="R149" i="1"/>
  <c r="Q149" i="1"/>
  <c r="P149" i="1"/>
  <c r="O149" i="1"/>
  <c r="N149" i="1"/>
  <c r="M149" i="1"/>
  <c r="L149" i="1"/>
  <c r="K149" i="1"/>
  <c r="J149" i="1"/>
  <c r="I149" i="1"/>
  <c r="H149" i="1"/>
  <c r="G149" i="1"/>
  <c r="F149" i="1"/>
  <c r="E149" i="1"/>
  <c r="D149" i="1"/>
  <c r="BG112" i="1"/>
  <c r="BF112" i="1"/>
  <c r="BE112" i="1"/>
  <c r="BD112" i="1"/>
  <c r="BC112" i="1"/>
  <c r="BB112" i="1"/>
  <c r="BA112" i="1"/>
  <c r="AZ112" i="1"/>
  <c r="AY112" i="1"/>
  <c r="AX112" i="1"/>
  <c r="AW112" i="1"/>
  <c r="AV112" i="1"/>
  <c r="AU112" i="1"/>
  <c r="AT112" i="1"/>
  <c r="AS112" i="1"/>
  <c r="AR112" i="1"/>
  <c r="AQ112" i="1"/>
  <c r="AP112" i="1"/>
  <c r="AO112" i="1"/>
  <c r="AN112" i="1"/>
  <c r="AM112" i="1"/>
  <c r="AL112" i="1"/>
  <c r="AK112" i="1"/>
  <c r="AJ112" i="1"/>
  <c r="AI112" i="1"/>
  <c r="AH112" i="1"/>
  <c r="AG112" i="1"/>
  <c r="AF112" i="1"/>
  <c r="AE112" i="1"/>
  <c r="AD112" i="1"/>
  <c r="AC112" i="1"/>
  <c r="AB112" i="1"/>
  <c r="AA112" i="1"/>
  <c r="Z112" i="1"/>
  <c r="Y112" i="1"/>
  <c r="X112" i="1"/>
  <c r="W112" i="1"/>
  <c r="V112" i="1"/>
  <c r="U112" i="1"/>
  <c r="T112" i="1"/>
  <c r="S112" i="1"/>
  <c r="R112" i="1"/>
  <c r="Q112" i="1"/>
  <c r="P112" i="1"/>
  <c r="O112" i="1"/>
  <c r="N112" i="1"/>
  <c r="M112" i="1"/>
  <c r="L112" i="1"/>
  <c r="K112" i="1"/>
  <c r="J112" i="1"/>
  <c r="I112" i="1"/>
  <c r="H112" i="1"/>
  <c r="G112" i="1"/>
  <c r="F112" i="1"/>
  <c r="E112" i="1"/>
  <c r="D112" i="1"/>
  <c r="BG102" i="1"/>
  <c r="BF102" i="1"/>
  <c r="BE102" i="1"/>
  <c r="BD102" i="1"/>
  <c r="BC102" i="1"/>
  <c r="BB102" i="1"/>
  <c r="BA102" i="1"/>
  <c r="AZ102" i="1"/>
  <c r="AY102" i="1"/>
  <c r="AX102" i="1"/>
  <c r="AW102" i="1"/>
  <c r="AV102" i="1"/>
  <c r="AU102" i="1"/>
  <c r="AT102" i="1"/>
  <c r="AS102" i="1"/>
  <c r="AR102" i="1"/>
  <c r="AQ102" i="1"/>
  <c r="AP102" i="1"/>
  <c r="AO102" i="1"/>
  <c r="AN102" i="1"/>
  <c r="AM102" i="1"/>
  <c r="AL102" i="1"/>
  <c r="AK102" i="1"/>
  <c r="AJ102" i="1"/>
  <c r="AI102" i="1"/>
  <c r="AH102" i="1"/>
  <c r="AG102" i="1"/>
  <c r="AF102" i="1"/>
  <c r="AE102" i="1"/>
  <c r="AD102" i="1"/>
  <c r="AC102" i="1"/>
  <c r="AB102" i="1"/>
  <c r="AA102" i="1"/>
  <c r="Z102" i="1"/>
  <c r="Y102" i="1"/>
  <c r="X102" i="1"/>
  <c r="W102" i="1"/>
  <c r="V102" i="1"/>
  <c r="U102" i="1"/>
  <c r="T102" i="1"/>
  <c r="S102" i="1"/>
  <c r="R102" i="1"/>
  <c r="Q102" i="1"/>
  <c r="P102" i="1"/>
  <c r="O102" i="1"/>
  <c r="N102" i="1"/>
  <c r="M102" i="1"/>
  <c r="L102" i="1"/>
  <c r="K102" i="1"/>
  <c r="J102" i="1"/>
  <c r="I102" i="1"/>
  <c r="H102" i="1"/>
  <c r="G102" i="1"/>
  <c r="F102" i="1"/>
  <c r="E102" i="1"/>
  <c r="D102" i="1"/>
  <c r="BG10" i="1"/>
  <c r="BF10" i="1"/>
  <c r="BE10" i="1"/>
  <c r="BD10" i="1"/>
  <c r="BC10" i="1"/>
  <c r="BB10" i="1"/>
  <c r="BA10" i="1"/>
  <c r="AZ10" i="1"/>
  <c r="AY10" i="1"/>
  <c r="AX10" i="1"/>
  <c r="AW10" i="1"/>
  <c r="AV10" i="1"/>
  <c r="AU10" i="1"/>
  <c r="AT10" i="1"/>
  <c r="AS10" i="1"/>
  <c r="AR10" i="1"/>
  <c r="AQ10" i="1"/>
  <c r="AP10" i="1"/>
  <c r="AO10" i="1"/>
  <c r="AN10" i="1"/>
  <c r="AM10" i="1"/>
  <c r="AL10" i="1"/>
  <c r="AK10" i="1"/>
  <c r="AJ10" i="1"/>
  <c r="AI10" i="1"/>
  <c r="AH10" i="1"/>
  <c r="AG10" i="1"/>
  <c r="AF10" i="1"/>
  <c r="AE10" i="1"/>
  <c r="AD10" i="1"/>
  <c r="AC10" i="1"/>
  <c r="AB10" i="1"/>
  <c r="AA10" i="1"/>
  <c r="Z10" i="1"/>
  <c r="Y10" i="1"/>
  <c r="X10" i="1"/>
  <c r="W10" i="1"/>
  <c r="V10" i="1"/>
  <c r="U10" i="1"/>
  <c r="T10" i="1"/>
  <c r="S10" i="1"/>
  <c r="R10" i="1"/>
  <c r="Q10" i="1"/>
  <c r="P10" i="1"/>
  <c r="O10" i="1"/>
  <c r="N10" i="1"/>
  <c r="M10" i="1"/>
  <c r="L10" i="1"/>
  <c r="K10" i="1"/>
  <c r="J10" i="1"/>
  <c r="I10" i="1"/>
  <c r="H10" i="1"/>
  <c r="G10" i="1"/>
  <c r="F10" i="1"/>
  <c r="E10" i="1"/>
  <c r="D10" i="1"/>
  <c r="I4" i="2" l="1"/>
  <c r="I8" i="2"/>
  <c r="I12" i="2"/>
  <c r="I18" i="2"/>
  <c r="I22" i="2"/>
  <c r="I26" i="2"/>
  <c r="I34" i="2"/>
  <c r="I39" i="2"/>
  <c r="I43" i="2"/>
  <c r="I49" i="2"/>
  <c r="I54" i="2"/>
  <c r="I63" i="2"/>
  <c r="I74" i="2"/>
  <c r="I78" i="2"/>
  <c r="I83" i="2"/>
  <c r="I88" i="2"/>
  <c r="I93" i="2"/>
  <c r="I97" i="2"/>
  <c r="I105" i="2"/>
  <c r="I111" i="2"/>
  <c r="I36" i="2"/>
  <c r="I112" i="2"/>
  <c r="I66" i="2"/>
  <c r="I102" i="2"/>
  <c r="I30" i="2"/>
  <c r="I117" i="2"/>
  <c r="I73" i="2"/>
  <c r="I31" i="2"/>
  <c r="I81" i="2"/>
  <c r="I5" i="2"/>
  <c r="I9" i="2"/>
  <c r="I14" i="2"/>
  <c r="I19" i="2"/>
  <c r="I23" i="2"/>
  <c r="I27" i="2"/>
  <c r="I35" i="2"/>
  <c r="I40" i="2"/>
  <c r="I45" i="2"/>
  <c r="I50" i="2"/>
  <c r="I59" i="2"/>
  <c r="I64" i="2"/>
  <c r="I75" i="2"/>
  <c r="I79" i="2"/>
  <c r="I84" i="2"/>
  <c r="I89" i="2"/>
  <c r="I94" i="2"/>
  <c r="I98" i="2"/>
  <c r="I52" i="2"/>
  <c r="I57" i="2"/>
  <c r="I67" i="2"/>
  <c r="I69" i="2"/>
  <c r="I16" i="2"/>
  <c r="I55" i="2"/>
  <c r="I99" i="2"/>
  <c r="I3" i="2"/>
  <c r="I7" i="2"/>
  <c r="I11" i="2"/>
  <c r="I17" i="2"/>
  <c r="I21" i="2"/>
  <c r="I25" i="2"/>
  <c r="I33" i="2"/>
  <c r="I38" i="2"/>
  <c r="I2" i="2"/>
  <c r="I6" i="2"/>
  <c r="I10" i="2"/>
  <c r="I15" i="2"/>
  <c r="I20" i="2"/>
  <c r="I24" i="2"/>
  <c r="I32" i="2"/>
  <c r="I37" i="2"/>
  <c r="I42" i="2"/>
  <c r="I48" i="2"/>
  <c r="I53" i="2"/>
  <c r="I62" i="2"/>
  <c r="I71" i="2"/>
  <c r="I77" i="2"/>
  <c r="I82" i="2"/>
  <c r="I87" i="2"/>
  <c r="I92" i="2"/>
  <c r="I96" i="2"/>
  <c r="I104" i="2"/>
  <c r="I110" i="2"/>
  <c r="I116" i="2"/>
  <c r="I101" i="2"/>
  <c r="I65" i="2"/>
  <c r="I85" i="2"/>
  <c r="I29" i="2"/>
  <c r="I106" i="2"/>
  <c r="I47" i="2"/>
  <c r="I13" i="2"/>
  <c r="I72" i="2"/>
  <c r="I41" i="2"/>
  <c r="I46" i="2"/>
  <c r="I51" i="2"/>
  <c r="I61" i="2"/>
  <c r="I70" i="2"/>
  <c r="I76" i="2"/>
  <c r="I80" i="2"/>
  <c r="I86" i="2"/>
  <c r="I90" i="2"/>
  <c r="I95" i="2"/>
  <c r="I100" i="2"/>
  <c r="I109" i="2"/>
  <c r="I115" i="2"/>
  <c r="I58" i="2"/>
  <c r="I60" i="2"/>
  <c r="I68" i="2"/>
  <c r="I28" i="2"/>
  <c r="I91" i="2"/>
  <c r="I44" i="2"/>
  <c r="I114" i="2"/>
  <c r="I56" i="2"/>
  <c r="BK102" i="1"/>
  <c r="BK112" i="1"/>
  <c r="D156" i="1"/>
  <c r="BJ102" i="1"/>
  <c r="BL102" i="1"/>
  <c r="BL112" i="1"/>
  <c r="BJ112" i="1"/>
  <c r="BM102" i="1"/>
  <c r="BM112" i="1"/>
  <c r="N156" i="1"/>
  <c r="Z156" i="1"/>
  <c r="AL156" i="1"/>
  <c r="AX156" i="1"/>
  <c r="H156" i="1"/>
  <c r="L156" i="1"/>
  <c r="P156" i="1"/>
  <c r="T156" i="1"/>
  <c r="X156" i="1"/>
  <c r="AB156" i="1"/>
  <c r="AF156" i="1"/>
  <c r="AJ156" i="1"/>
  <c r="AN156" i="1"/>
  <c r="AR156" i="1"/>
  <c r="AV156" i="1"/>
  <c r="AZ156" i="1"/>
  <c r="BD156" i="1"/>
  <c r="F156" i="1"/>
  <c r="R156" i="1"/>
  <c r="AD156" i="1"/>
  <c r="AP156" i="1"/>
  <c r="BB156" i="1"/>
  <c r="E156" i="1"/>
  <c r="I156" i="1"/>
  <c r="M156" i="1"/>
  <c r="Q156" i="1"/>
  <c r="U156" i="1"/>
  <c r="Y156" i="1"/>
  <c r="AC156" i="1"/>
  <c r="AG156" i="1"/>
  <c r="AK156" i="1"/>
  <c r="AO156" i="1"/>
  <c r="AS156" i="1"/>
  <c r="AW156" i="1"/>
  <c r="BA156" i="1"/>
  <c r="BE156" i="1"/>
  <c r="BL149" i="1"/>
  <c r="J156" i="1"/>
  <c r="V156" i="1"/>
  <c r="AH156" i="1"/>
  <c r="AT156" i="1"/>
  <c r="BF156" i="1"/>
  <c r="G156" i="1"/>
  <c r="K156" i="1"/>
  <c r="O156" i="1"/>
  <c r="S156" i="1"/>
  <c r="W156" i="1"/>
  <c r="AA156" i="1"/>
  <c r="AE156" i="1"/>
  <c r="AI156" i="1"/>
  <c r="AM156" i="1"/>
  <c r="AQ156" i="1"/>
  <c r="AU156" i="1"/>
  <c r="AY156" i="1"/>
  <c r="BC156" i="1"/>
  <c r="BG156" i="1"/>
  <c r="BJ149" i="1"/>
  <c r="BL156" i="1" l="1"/>
  <c r="BJ156" i="1"/>
  <c r="BM156" i="1"/>
  <c r="BK156" i="1"/>
</calcChain>
</file>

<file path=xl/sharedStrings.xml><?xml version="1.0" encoding="utf-8"?>
<sst xmlns="http://schemas.openxmlformats.org/spreadsheetml/2006/main" count="646" uniqueCount="302">
  <si>
    <t>Ages of People-</t>
  </si>
  <si>
    <t>Showing for the Union, for each Province, and for each Census District the Number of Persons, Males and Females, 1) European or White, and 2) Other than European or White, of Different Ages, according to the Census taken on 7th May, 1911.</t>
  </si>
  <si>
    <t>Note: E or W signifies Euorpean</t>
  </si>
  <si>
    <t>Page</t>
  </si>
  <si>
    <t>Under 1 Year</t>
  </si>
  <si>
    <t>1 Year</t>
  </si>
  <si>
    <t>2 Years</t>
  </si>
  <si>
    <t>3 Years</t>
  </si>
  <si>
    <t>4 Years</t>
  </si>
  <si>
    <t>5- 9 Years</t>
  </si>
  <si>
    <t>10- 14 Years</t>
  </si>
  <si>
    <t>15- 19 Years</t>
  </si>
  <si>
    <t>20- 24 Years</t>
  </si>
  <si>
    <t>25- 34 Years</t>
  </si>
  <si>
    <t>35- 49 Years</t>
  </si>
  <si>
    <t>50- 69 Years</t>
  </si>
  <si>
    <t>70 Years and Over</t>
  </si>
  <si>
    <t>Unspecified</t>
  </si>
  <si>
    <t>PROVINCE AND CENSUS DISTRICT</t>
  </si>
  <si>
    <t>White</t>
  </si>
  <si>
    <t>Other</t>
  </si>
  <si>
    <t>Male</t>
  </si>
  <si>
    <t>Female</t>
  </si>
  <si>
    <t>Total- The Union of Sout Africa</t>
  </si>
  <si>
    <t xml:space="preserve"> </t>
  </si>
  <si>
    <t>Cape of Good Hope</t>
  </si>
  <si>
    <t>Natal</t>
  </si>
  <si>
    <t>Transvaal</t>
  </si>
  <si>
    <t>Orange Free State</t>
  </si>
  <si>
    <t>Cape of Good Hope-</t>
  </si>
  <si>
    <t xml:space="preserve"> Aberdeen</t>
  </si>
  <si>
    <t>182- 185</t>
  </si>
  <si>
    <t xml:space="preserve"> Adelaide</t>
  </si>
  <si>
    <t xml:space="preserve"> Albany</t>
  </si>
  <si>
    <t xml:space="preserve"> Albert</t>
  </si>
  <si>
    <t xml:space="preserve"> Alexandria</t>
  </si>
  <si>
    <t xml:space="preserve"> Aliwal North</t>
  </si>
  <si>
    <t xml:space="preserve"> Barkly East</t>
  </si>
  <si>
    <t xml:space="preserve"> Barkly West</t>
  </si>
  <si>
    <t xml:space="preserve"> Bathurst</t>
  </si>
  <si>
    <t xml:space="preserve"> Beaufort West</t>
  </si>
  <si>
    <t xml:space="preserve"> Bedford</t>
  </si>
  <si>
    <t xml:space="preserve"> Bredasdorp</t>
  </si>
  <si>
    <t xml:space="preserve"> Britstown</t>
  </si>
  <si>
    <t>186- 189</t>
  </si>
  <si>
    <t xml:space="preserve"> Caledon</t>
  </si>
  <si>
    <t xml:space="preserve"> Calvinia</t>
  </si>
  <si>
    <t xml:space="preserve"> Cape</t>
  </si>
  <si>
    <t xml:space="preserve"> Carnarvon</t>
  </si>
  <si>
    <t xml:space="preserve"> Cathcart</t>
  </si>
  <si>
    <t xml:space="preserve"> Ceres</t>
  </si>
  <si>
    <t xml:space="preserve"> Clanwilliam</t>
  </si>
  <si>
    <t xml:space="preserve"> Colesberg</t>
  </si>
  <si>
    <t xml:space="preserve"> Cradock</t>
  </si>
  <si>
    <t xml:space="preserve"> De Aar</t>
  </si>
  <si>
    <t xml:space="preserve"> East London</t>
  </si>
  <si>
    <t xml:space="preserve"> Fort Beaufort</t>
  </si>
  <si>
    <t xml:space="preserve"> Fraserburg</t>
  </si>
  <si>
    <t xml:space="preserve"> George</t>
  </si>
  <si>
    <t xml:space="preserve"> Glen Grey</t>
  </si>
  <si>
    <t xml:space="preserve"> Graaff-Reinet</t>
  </si>
  <si>
    <t xml:space="preserve"> Hanover</t>
  </si>
  <si>
    <t xml:space="preserve"> Hay</t>
  </si>
  <si>
    <t xml:space="preserve"> Herbert</t>
  </si>
  <si>
    <t>190- 193</t>
  </si>
  <si>
    <t xml:space="preserve"> Herschel</t>
  </si>
  <si>
    <t xml:space="preserve"> Hopetown</t>
  </si>
  <si>
    <t xml:space="preserve"> Humansdorp</t>
  </si>
  <si>
    <t xml:space="preserve"> Jansenville</t>
  </si>
  <si>
    <t xml:space="preserve"> Kenhardt</t>
  </si>
  <si>
    <t xml:space="preserve"> Kimberley</t>
  </si>
  <si>
    <t xml:space="preserve"> Kingwilliamstown</t>
  </si>
  <si>
    <t xml:space="preserve"> Knysna</t>
  </si>
  <si>
    <t xml:space="preserve"> Komgha</t>
  </si>
  <si>
    <t xml:space="preserve"> Ladismith</t>
  </si>
  <si>
    <t xml:space="preserve"> Laingsburg </t>
  </si>
  <si>
    <t xml:space="preserve"> Malmesbury</t>
  </si>
  <si>
    <t xml:space="preserve"> Middelbrug</t>
  </si>
  <si>
    <t xml:space="preserve"> Molteno</t>
  </si>
  <si>
    <t xml:space="preserve"> Montagu</t>
  </si>
  <si>
    <t xml:space="preserve"> Mossel Bay</t>
  </si>
  <si>
    <t xml:space="preserve"> Murraysburg</t>
  </si>
  <si>
    <t xml:space="preserve"> Namaqualand</t>
  </si>
  <si>
    <t xml:space="preserve"> Oudtshoorn</t>
  </si>
  <si>
    <t>194- 197</t>
  </si>
  <si>
    <t xml:space="preserve"> Paarl</t>
  </si>
  <si>
    <t xml:space="preserve"> Peddie</t>
  </si>
  <si>
    <t xml:space="preserve"> Philipstown</t>
  </si>
  <si>
    <t xml:space="preserve"> Piquetberg</t>
  </si>
  <si>
    <t xml:space="preserve"> Port Elizabeth</t>
  </si>
  <si>
    <t xml:space="preserve"> Port Nolloth</t>
  </si>
  <si>
    <t xml:space="preserve"> Prieska</t>
  </si>
  <si>
    <t xml:space="preserve"> Prins Albert</t>
  </si>
  <si>
    <t xml:space="preserve"> Queenstown</t>
  </si>
  <si>
    <t xml:space="preserve"> Richmond</t>
  </si>
  <si>
    <t xml:space="preserve"> Riversdale</t>
  </si>
  <si>
    <t xml:space="preserve"> Robertson</t>
  </si>
  <si>
    <t xml:space="preserve"> Simonstown</t>
  </si>
  <si>
    <t xml:space="preserve"> Somerset East</t>
  </si>
  <si>
    <t xml:space="preserve"> Stellenbosch</t>
  </si>
  <si>
    <t xml:space="preserve"> Steynsburg </t>
  </si>
  <si>
    <t xml:space="preserve"> Steytlerville</t>
  </si>
  <si>
    <t xml:space="preserve"> Stockenstroom</t>
  </si>
  <si>
    <t xml:space="preserve"> Stutterheim</t>
  </si>
  <si>
    <t>198- 201</t>
  </si>
  <si>
    <t xml:space="preserve"> Sutherland</t>
  </si>
  <si>
    <t xml:space="preserve"> Swellendam</t>
  </si>
  <si>
    <t xml:space="preserve"> Tarka</t>
  </si>
  <si>
    <t xml:space="preserve"> Tulbagh</t>
  </si>
  <si>
    <t xml:space="preserve"> Uitenhage</t>
  </si>
  <si>
    <t xml:space="preserve"> Uniondale</t>
  </si>
  <si>
    <t xml:space="preserve"> Van Rhynsdorp</t>
  </si>
  <si>
    <t xml:space="preserve"> Victoria East</t>
  </si>
  <si>
    <t xml:space="preserve"> Victoria West</t>
  </si>
  <si>
    <t xml:space="preserve"> Willowmore</t>
  </si>
  <si>
    <t xml:space="preserve"> Wodehouse</t>
  </si>
  <si>
    <t xml:space="preserve"> Worcester</t>
  </si>
  <si>
    <t>Total- Cape of Good Hope</t>
  </si>
  <si>
    <t>( Excluding Bechuana, Transkeian, WB)</t>
  </si>
  <si>
    <t>Bechuanaland-</t>
  </si>
  <si>
    <t xml:space="preserve"> Gordonia</t>
  </si>
  <si>
    <t>202- 205</t>
  </si>
  <si>
    <t xml:space="preserve"> Kuruman</t>
  </si>
  <si>
    <t xml:space="preserve"> Mafeking</t>
  </si>
  <si>
    <t xml:space="preserve"> Taung</t>
  </si>
  <si>
    <t xml:space="preserve"> Vryburg </t>
  </si>
  <si>
    <t>Total- Bechuanaland</t>
  </si>
  <si>
    <t>Transkeian Territories</t>
  </si>
  <si>
    <t>East Griqualand-</t>
  </si>
  <si>
    <t xml:space="preserve"> Maclear </t>
  </si>
  <si>
    <t xml:space="preserve"> Matatiele</t>
  </si>
  <si>
    <t xml:space="preserve"> Mount Ayliff</t>
  </si>
  <si>
    <t xml:space="preserve"> Mount Currie</t>
  </si>
  <si>
    <t xml:space="preserve"> Mount Fletcher</t>
  </si>
  <si>
    <t xml:space="preserve"> Mount Frere</t>
  </si>
  <si>
    <t xml:space="preserve"> Qumbu</t>
  </si>
  <si>
    <t xml:space="preserve"> Tsolo</t>
  </si>
  <si>
    <t xml:space="preserve"> Umzimkulu</t>
  </si>
  <si>
    <t>Tembuland-</t>
  </si>
  <si>
    <t xml:space="preserve"> Elliot</t>
  </si>
  <si>
    <t xml:space="preserve"> Elliotdale</t>
  </si>
  <si>
    <t xml:space="preserve"> Engcobo</t>
  </si>
  <si>
    <t>206- 209</t>
  </si>
  <si>
    <t xml:space="preserve"> Mqanduli</t>
  </si>
  <si>
    <t xml:space="preserve"> St Mark's</t>
  </si>
  <si>
    <t xml:space="preserve"> Umtata</t>
  </si>
  <si>
    <t xml:space="preserve"> Xalanga</t>
  </si>
  <si>
    <t>Transkei-</t>
  </si>
  <si>
    <t xml:space="preserve"> Butterworth</t>
  </si>
  <si>
    <t xml:space="preserve"> Idutywa</t>
  </si>
  <si>
    <t xml:space="preserve"> Kentani</t>
  </si>
  <si>
    <t xml:space="preserve"> Nqamakwe</t>
  </si>
  <si>
    <t xml:space="preserve"> Tsomo</t>
  </si>
  <si>
    <t xml:space="preserve"> Willowvale</t>
  </si>
  <si>
    <t>Pondoland-</t>
  </si>
  <si>
    <t xml:space="preserve"> Bizana </t>
  </si>
  <si>
    <t xml:space="preserve"> Flagstaff</t>
  </si>
  <si>
    <t xml:space="preserve"> Libode</t>
  </si>
  <si>
    <t xml:space="preserve"> Lusikisiki</t>
  </si>
  <si>
    <t xml:space="preserve"> Ngqeleni</t>
  </si>
  <si>
    <t xml:space="preserve"> Port St John's</t>
  </si>
  <si>
    <t>210- 213</t>
  </si>
  <si>
    <t xml:space="preserve"> Tabankulu</t>
  </si>
  <si>
    <t>Total- The Transkeian Territories</t>
  </si>
  <si>
    <t xml:space="preserve"> Walfish Bay</t>
  </si>
  <si>
    <t>Travellers by rail</t>
  </si>
  <si>
    <t>( including all territories)</t>
  </si>
  <si>
    <t>Total</t>
  </si>
  <si>
    <t>WhiteM</t>
  </si>
  <si>
    <t>WhiteF</t>
  </si>
  <si>
    <t>BlackM</t>
  </si>
  <si>
    <t>BlackF</t>
  </si>
  <si>
    <t>Black</t>
  </si>
  <si>
    <t>WhiteP</t>
  </si>
  <si>
    <t>Aberdeen</t>
  </si>
  <si>
    <t>Adelaide</t>
  </si>
  <si>
    <t>Albany</t>
  </si>
  <si>
    <t>Albert</t>
  </si>
  <si>
    <t>Alexandria</t>
  </si>
  <si>
    <t>Aliwal North</t>
  </si>
  <si>
    <t>Barkly East</t>
  </si>
  <si>
    <t>Barkly West</t>
  </si>
  <si>
    <t>Bathurst</t>
  </si>
  <si>
    <t>Beaufort West</t>
  </si>
  <si>
    <t>Bedford</t>
  </si>
  <si>
    <t>Bredasdorp</t>
  </si>
  <si>
    <t>Britstown</t>
  </si>
  <si>
    <t>Caledon</t>
  </si>
  <si>
    <t>Calvinia</t>
  </si>
  <si>
    <t>Cape</t>
  </si>
  <si>
    <t>Carnarvon</t>
  </si>
  <si>
    <t>Cathcart</t>
  </si>
  <si>
    <t>Ceres</t>
  </si>
  <si>
    <t>Clanwilliam</t>
  </si>
  <si>
    <t>Colesberg</t>
  </si>
  <si>
    <t>Cradock</t>
  </si>
  <si>
    <t>De Aar</t>
  </si>
  <si>
    <t>East London</t>
  </si>
  <si>
    <t>Fort Beaufort</t>
  </si>
  <si>
    <t>Fraserburg</t>
  </si>
  <si>
    <t>George</t>
  </si>
  <si>
    <t>Glen Grey</t>
  </si>
  <si>
    <t>Graaff-Reinet</t>
  </si>
  <si>
    <t>Hanover</t>
  </si>
  <si>
    <t>Hay</t>
  </si>
  <si>
    <t>Herbert</t>
  </si>
  <si>
    <t>Herschel</t>
  </si>
  <si>
    <t>Hopetown</t>
  </si>
  <si>
    <t>Humansdorp</t>
  </si>
  <si>
    <t>Jansenville</t>
  </si>
  <si>
    <t>Kenhardt</t>
  </si>
  <si>
    <t>Kimberley</t>
  </si>
  <si>
    <t>Kingwilliamstown</t>
  </si>
  <si>
    <t>Knysna</t>
  </si>
  <si>
    <t>Komgha</t>
  </si>
  <si>
    <t>Ladismith</t>
  </si>
  <si>
    <t>Laingsburg</t>
  </si>
  <si>
    <t>Malmesbury</t>
  </si>
  <si>
    <t>Middelbrug</t>
  </si>
  <si>
    <t>Molteno</t>
  </si>
  <si>
    <t>Montagu</t>
  </si>
  <si>
    <t>Mossel Bay</t>
  </si>
  <si>
    <t>Murraysburg</t>
  </si>
  <si>
    <t>Namaqualand</t>
  </si>
  <si>
    <t>Oudtshoorn</t>
  </si>
  <si>
    <t>Paarl</t>
  </si>
  <si>
    <t>Peddie</t>
  </si>
  <si>
    <t>Philipstown</t>
  </si>
  <si>
    <t>Piquetberg</t>
  </si>
  <si>
    <t>Port Elizabeth</t>
  </si>
  <si>
    <t>Port Nolloth</t>
  </si>
  <si>
    <t>Prieska</t>
  </si>
  <si>
    <t>Prins Albert</t>
  </si>
  <si>
    <t>Queenstown</t>
  </si>
  <si>
    <t>Richmond</t>
  </si>
  <si>
    <t>Riversdale</t>
  </si>
  <si>
    <t>Robertson</t>
  </si>
  <si>
    <t>Simonstown</t>
  </si>
  <si>
    <t>Somerset East</t>
  </si>
  <si>
    <t>Stellenbosch</t>
  </si>
  <si>
    <t>Steynsburg</t>
  </si>
  <si>
    <t>Steytlerville</t>
  </si>
  <si>
    <t>Stockenstroom</t>
  </si>
  <si>
    <t>Stutterheim</t>
  </si>
  <si>
    <t>Sutherland</t>
  </si>
  <si>
    <t>Swellendam</t>
  </si>
  <si>
    <t>Tarka</t>
  </si>
  <si>
    <t>Tulbagh</t>
  </si>
  <si>
    <t>Uitenhage</t>
  </si>
  <si>
    <t>Uniondale</t>
  </si>
  <si>
    <t>Van Rhynsdorp</t>
  </si>
  <si>
    <t>Victoria East</t>
  </si>
  <si>
    <t>Victoria West</t>
  </si>
  <si>
    <t>Willowmore</t>
  </si>
  <si>
    <t>Wodehouse</t>
  </si>
  <si>
    <t>Worcester</t>
  </si>
  <si>
    <t>Gordonia</t>
  </si>
  <si>
    <t>Kuruman</t>
  </si>
  <si>
    <t>Mafeking</t>
  </si>
  <si>
    <t>Taung</t>
  </si>
  <si>
    <t>Vryburg</t>
  </si>
  <si>
    <t>Maclear</t>
  </si>
  <si>
    <t>Matatiele</t>
  </si>
  <si>
    <t>Mount Ayliff</t>
  </si>
  <si>
    <t>Mount Currie</t>
  </si>
  <si>
    <t>Mount Fletcher</t>
  </si>
  <si>
    <t>Mount Frere</t>
  </si>
  <si>
    <t>Qumbu</t>
  </si>
  <si>
    <t>Tsolo</t>
  </si>
  <si>
    <t>Umzimkulu</t>
  </si>
  <si>
    <t>Elliot</t>
  </si>
  <si>
    <t>Elliotdale</t>
  </si>
  <si>
    <t>Engcobo</t>
  </si>
  <si>
    <t>Mqanduli</t>
  </si>
  <si>
    <t>St Mark's</t>
  </si>
  <si>
    <t>Umtata</t>
  </si>
  <si>
    <t>Xalanga</t>
  </si>
  <si>
    <t>Butterworth</t>
  </si>
  <si>
    <t>Idutywa</t>
  </si>
  <si>
    <t>Kentani</t>
  </si>
  <si>
    <t>Nqamakwe</t>
  </si>
  <si>
    <t>Tsomo</t>
  </si>
  <si>
    <t>Willowvale</t>
  </si>
  <si>
    <t>Bizana</t>
  </si>
  <si>
    <t>Flagstaff</t>
  </si>
  <si>
    <t>Libode</t>
  </si>
  <si>
    <t>Lusikisiki</t>
  </si>
  <si>
    <t>Ngqeleni</t>
  </si>
  <si>
    <t>Port St John's</t>
  </si>
  <si>
    <t>Tabankulu</t>
  </si>
  <si>
    <t/>
  </si>
  <si>
    <t>District</t>
  </si>
  <si>
    <t>Rails</t>
  </si>
  <si>
    <t>Middelburg</t>
  </si>
  <si>
    <t>Persons</t>
  </si>
  <si>
    <t>Manlik</t>
  </si>
  <si>
    <t>Vroulik</t>
  </si>
  <si>
    <t>European</t>
  </si>
  <si>
    <t>Coloured</t>
  </si>
  <si>
    <t>Non-white</t>
  </si>
  <si>
    <t>BlackP</t>
  </si>
  <si>
    <t>BlackPTotal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</si>
</sst>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 x14ac:knownFonts="1">
    <font>
      <sz val="11"/>
      <color theme="1"/>
      <name val="Calibri"/>
      <family val="2"/>
      <scheme val="minor"/>
    </font>
    <font>
      <b/>
      <sz val="11"/>
      <color theme="1"/>
      <name val="Calibri"/>
      <family val="2"/>
      <scheme val="minor"/>
    </font>
    <font>
      <sz val="14"/>
      <color theme="1"/>
      <name val="Calibri"/>
      <family val="2"/>
      <scheme val="minor"/>
    </font>
    <font>
      <sz val="11"/>
      <name val="Calibri"/>
      <family val="2"/>
      <scheme val="minor"/>
    </font>
    <font>
      <b/>
      <sz val="11"/>
      <name val="Calibri"/>
      <family val="2"/>
      <scheme val="minor"/>
    </font>
    <font>
      <b/>
      <sz val="12"/>
      <name val="Calibri"/>
      <family val="2"/>
      <scheme val="minor"/>
    </font>
    <font>
      <b/>
      <sz val="12"/>
      <color theme="1"/>
      <name val="Calibri"/>
      <family val="2"/>
      <scheme val="minor"/>
    </font>
    <font>
      <sz val="10"/>
      <color theme="1"/>
      <name val="Calibri"/>
      <family val="2"/>
      <scheme val="minor"/>
    </font>
    <font>
      <b/>
      <i/>
      <sz val="11"/>
      <color theme="1"/>
      <name val="Calibri"/>
      <family val="2"/>
      <scheme val="minor"/>
    </font>
  </fonts>
  <fills count="2">
    <fill>
      <patternFill patternType="none"/>
    </fill>
    <fill>
      <patternFill patternType="gray125"/>
    </fill>
  </fills>
  <borders count="47">
    <border>
      <left/>
      <right/>
      <top/>
      <bottom/>
      <diagonal/>
    </border>
    <border>
      <left/>
      <right/>
      <top style="double">
        <color auto="1"/>
      </top>
      <bottom/>
      <diagonal/>
    </border>
    <border>
      <left style="medium">
        <color auto="1"/>
      </left>
      <right style="medium">
        <color auto="1"/>
      </right>
      <top style="double">
        <color auto="1"/>
      </top>
      <bottom/>
      <diagonal/>
    </border>
    <border>
      <left style="medium">
        <color auto="1"/>
      </left>
      <right/>
      <top style="double">
        <color auto="1"/>
      </top>
      <bottom/>
      <diagonal/>
    </border>
    <border>
      <left/>
      <right style="medium">
        <color auto="1"/>
      </right>
      <top style="double">
        <color auto="1"/>
      </top>
      <bottom/>
      <diagonal/>
    </border>
    <border>
      <left/>
      <right style="double">
        <color auto="1"/>
      </right>
      <top style="double">
        <color auto="1"/>
      </top>
      <bottom/>
      <diagonal/>
    </border>
    <border>
      <left style="medium">
        <color auto="1"/>
      </left>
      <right style="medium">
        <color auto="1"/>
      </right>
      <top/>
      <bottom/>
      <diagonal/>
    </border>
    <border>
      <left style="medium">
        <color auto="1"/>
      </left>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right style="thin">
        <color auto="1"/>
      </right>
      <top style="thin">
        <color auto="1"/>
      </top>
      <bottom/>
      <diagonal/>
    </border>
    <border>
      <left/>
      <right/>
      <top style="thin">
        <color auto="1"/>
      </top>
      <bottom/>
      <diagonal/>
    </border>
    <border>
      <left/>
      <right style="double">
        <color auto="1"/>
      </right>
      <top style="thin">
        <color auto="1"/>
      </top>
      <bottom/>
      <diagonal/>
    </border>
    <border>
      <left style="thin">
        <color auto="1"/>
      </left>
      <right style="medium">
        <color auto="1"/>
      </right>
      <top style="thin">
        <color auto="1"/>
      </top>
      <bottom/>
      <diagonal/>
    </border>
    <border>
      <left/>
      <right/>
      <top/>
      <bottom style="thin">
        <color auto="1"/>
      </bottom>
      <diagonal/>
    </border>
    <border>
      <left style="medium">
        <color auto="1"/>
      </left>
      <right style="medium">
        <color auto="1"/>
      </right>
      <top/>
      <bottom style="thin">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right style="thin">
        <color auto="1"/>
      </right>
      <top/>
      <bottom/>
      <diagonal/>
    </border>
    <border>
      <left/>
      <right style="medium">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medium">
        <color auto="1"/>
      </right>
      <top style="thin">
        <color auto="1"/>
      </top>
      <bottom style="mediumDashed">
        <color auto="1"/>
      </bottom>
      <diagonal/>
    </border>
    <border>
      <left style="medium">
        <color auto="1"/>
      </left>
      <right style="medium">
        <color auto="1"/>
      </right>
      <top style="thin">
        <color auto="1"/>
      </top>
      <bottom/>
      <diagonal/>
    </border>
    <border>
      <left style="medium">
        <color auto="1"/>
      </left>
      <right/>
      <top style="thin">
        <color auto="1"/>
      </top>
      <bottom/>
      <diagonal/>
    </border>
    <border>
      <left/>
      <right/>
      <top/>
      <bottom style="double">
        <color auto="1"/>
      </bottom>
      <diagonal/>
    </border>
    <border>
      <left style="medium">
        <color auto="1"/>
      </left>
      <right style="medium">
        <color auto="1"/>
      </right>
      <top/>
      <bottom style="double">
        <color auto="1"/>
      </bottom>
      <diagonal/>
    </border>
    <border>
      <left style="medium">
        <color auto="1"/>
      </left>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bottom style="dotted">
        <color auto="1"/>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thin">
        <color auto="1"/>
      </left>
      <right/>
      <top/>
      <bottom/>
      <diagonal/>
    </border>
    <border>
      <left style="thin">
        <color auto="1"/>
      </left>
      <right/>
      <top/>
      <bottom style="medium">
        <color auto="1"/>
      </bottom>
      <diagonal/>
    </border>
    <border>
      <left style="thin">
        <color auto="1"/>
      </left>
      <right/>
      <top/>
      <bottom style="double">
        <color auto="1"/>
      </bottom>
      <diagonal/>
    </border>
    <border>
      <left style="thin">
        <color auto="1"/>
      </left>
      <right/>
      <top style="double">
        <color auto="1"/>
      </top>
      <bottom/>
      <diagonal/>
    </border>
  </borders>
  <cellStyleXfs count="1">
    <xf numFmtId="0" fontId="0" fillId="0" borderId="0"/>
  </cellStyleXfs>
  <cellXfs count="163">
    <xf numFmtId="0" fontId="0" fillId="0" borderId="0" xfId="0"/>
    <xf numFmtId="0" fontId="2" fillId="0" borderId="0" xfId="0" applyFont="1"/>
    <xf numFmtId="0" fontId="0" fillId="0" borderId="1" xfId="0" applyBorder="1" applyAlignment="1">
      <alignment horizontal="center"/>
    </xf>
    <xf numFmtId="0" fontId="0" fillId="0" borderId="2" xfId="0" applyBorder="1" applyAlignment="1">
      <alignment horizontal="center"/>
    </xf>
    <xf numFmtId="0" fontId="1" fillId="0" borderId="0" xfId="0" applyFont="1" applyBorder="1" applyAlignment="1">
      <alignment horizontal="center"/>
    </xf>
    <xf numFmtId="0" fontId="1" fillId="0" borderId="6" xfId="0" applyFont="1" applyBorder="1" applyAlignment="1">
      <alignment horizontal="center"/>
    </xf>
    <xf numFmtId="15" fontId="1" fillId="0" borderId="0" xfId="0" applyNumberFormat="1" applyFont="1" applyBorder="1" applyAlignment="1">
      <alignment horizontal="center"/>
    </xf>
    <xf numFmtId="15" fontId="1" fillId="0" borderId="6" xfId="0" applyNumberFormat="1"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3" fillId="0" borderId="9" xfId="0" applyFont="1" applyBorder="1" applyAlignment="1">
      <alignment horizontal="center"/>
    </xf>
    <xf numFmtId="0" fontId="0" fillId="0" borderId="15" xfId="0" applyBorder="1" applyAlignment="1">
      <alignment horizontal="center"/>
    </xf>
    <xf numFmtId="0" fontId="0" fillId="0" borderId="12" xfId="0" applyBorder="1" applyAlignment="1">
      <alignment horizontal="center"/>
    </xf>
    <xf numFmtId="0" fontId="0" fillId="0" borderId="1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9" xfId="0" applyBorder="1"/>
    <xf numFmtId="0" fontId="0" fillId="0" borderId="20" xfId="0" applyBorder="1"/>
    <xf numFmtId="0" fontId="3" fillId="0" borderId="20" xfId="0" applyFont="1" applyBorder="1"/>
    <xf numFmtId="0" fontId="0" fillId="0" borderId="21" xfId="0" applyBorder="1"/>
    <xf numFmtId="0" fontId="0" fillId="0" borderId="22" xfId="0" applyBorder="1"/>
    <xf numFmtId="0" fontId="0" fillId="0" borderId="23" xfId="0" applyBorder="1"/>
    <xf numFmtId="0" fontId="0" fillId="0" borderId="0" xfId="0" applyBorder="1"/>
    <xf numFmtId="0" fontId="0" fillId="0" borderId="6" xfId="0" applyBorder="1"/>
    <xf numFmtId="0" fontId="0" fillId="0" borderId="7" xfId="0" applyBorder="1"/>
    <xf numFmtId="0" fontId="0" fillId="0" borderId="24" xfId="0" applyBorder="1"/>
    <xf numFmtId="0" fontId="0" fillId="0" borderId="25" xfId="0" applyBorder="1"/>
    <xf numFmtId="0" fontId="3" fillId="0" borderId="25" xfId="0" applyFont="1" applyBorder="1"/>
    <xf numFmtId="0" fontId="0" fillId="0" borderId="26" xfId="0" applyBorder="1"/>
    <xf numFmtId="0" fontId="0" fillId="0" borderId="0" xfId="0" applyBorder="1" applyAlignment="1">
      <alignment horizontal="left"/>
    </xf>
    <xf numFmtId="0" fontId="0" fillId="0" borderId="6" xfId="0" applyBorder="1" applyAlignment="1">
      <alignment horizontal="left"/>
    </xf>
    <xf numFmtId="0" fontId="0" fillId="0" borderId="7" xfId="0" applyBorder="1" applyAlignment="1">
      <alignment horizontal="left"/>
    </xf>
    <xf numFmtId="3" fontId="4" fillId="0" borderId="7" xfId="0" applyNumberFormat="1" applyFont="1" applyBorder="1" applyAlignment="1">
      <alignment horizontal="right"/>
    </xf>
    <xf numFmtId="3" fontId="4" fillId="0" borderId="25" xfId="0" applyNumberFormat="1" applyFont="1" applyBorder="1" applyAlignment="1">
      <alignment horizontal="right"/>
    </xf>
    <xf numFmtId="3" fontId="4" fillId="0" borderId="27" xfId="0" applyNumberFormat="1" applyFont="1" applyBorder="1" applyAlignment="1">
      <alignment horizontal="right"/>
    </xf>
    <xf numFmtId="3" fontId="4" fillId="0" borderId="28" xfId="0" applyNumberFormat="1" applyFont="1" applyBorder="1" applyAlignment="1">
      <alignment horizontal="right"/>
    </xf>
    <xf numFmtId="3" fontId="4" fillId="0" borderId="0" xfId="0" applyNumberFormat="1" applyFont="1" applyBorder="1" applyAlignment="1">
      <alignment horizontal="right"/>
    </xf>
    <xf numFmtId="0" fontId="0" fillId="0" borderId="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3" fontId="0" fillId="0" borderId="29" xfId="0" applyNumberFormat="1" applyBorder="1"/>
    <xf numFmtId="3" fontId="0" fillId="0" borderId="30" xfId="0" applyNumberFormat="1" applyBorder="1"/>
    <xf numFmtId="3" fontId="3" fillId="0" borderId="30" xfId="0" applyNumberFormat="1" applyFont="1" applyBorder="1"/>
    <xf numFmtId="3" fontId="0" fillId="0" borderId="31" xfId="0" applyNumberFormat="1" applyBorder="1"/>
    <xf numFmtId="3" fontId="0" fillId="0" borderId="24" xfId="0" applyNumberFormat="1" applyBorder="1"/>
    <xf numFmtId="3" fontId="0" fillId="0" borderId="25" xfId="0" applyNumberFormat="1" applyBorder="1"/>
    <xf numFmtId="3" fontId="3" fillId="0" borderId="25" xfId="0" applyNumberFormat="1" applyFont="1" applyBorder="1"/>
    <xf numFmtId="3" fontId="0" fillId="0" borderId="26" xfId="0" applyNumberFormat="1" applyBorder="1"/>
    <xf numFmtId="3" fontId="3" fillId="0" borderId="24" xfId="0" applyNumberFormat="1" applyFont="1" applyBorder="1"/>
    <xf numFmtId="0" fontId="0" fillId="0" borderId="0" xfId="0" applyFill="1" applyBorder="1"/>
    <xf numFmtId="0" fontId="0" fillId="0" borderId="6" xfId="0" applyFill="1" applyBorder="1"/>
    <xf numFmtId="0" fontId="0" fillId="0" borderId="7" xfId="0" applyFill="1" applyBorder="1"/>
    <xf numFmtId="3" fontId="0" fillId="0" borderId="19" xfId="0" applyNumberFormat="1" applyBorder="1"/>
    <xf numFmtId="3" fontId="0" fillId="0" borderId="20" xfId="0" applyNumberFormat="1" applyBorder="1"/>
    <xf numFmtId="3" fontId="3" fillId="0" borderId="20" xfId="0" applyNumberFormat="1" applyFont="1" applyBorder="1"/>
    <xf numFmtId="3" fontId="0" fillId="0" borderId="21" xfId="0" applyNumberFormat="1" applyBorder="1"/>
    <xf numFmtId="0" fontId="5" fillId="0" borderId="32" xfId="0" applyFont="1" applyBorder="1"/>
    <xf numFmtId="0" fontId="5" fillId="0" borderId="33" xfId="0" applyFont="1" applyBorder="1"/>
    <xf numFmtId="0" fontId="5" fillId="0" borderId="34" xfId="0" applyFont="1" applyBorder="1"/>
    <xf numFmtId="3" fontId="0" fillId="0" borderId="8" xfId="0" applyNumberFormat="1" applyBorder="1"/>
    <xf numFmtId="3" fontId="0" fillId="0" borderId="9" xfId="0" applyNumberFormat="1" applyBorder="1"/>
    <xf numFmtId="3" fontId="3" fillId="0" borderId="9" xfId="0" applyNumberFormat="1" applyFont="1" applyBorder="1"/>
    <xf numFmtId="3" fontId="0" fillId="0" borderId="15" xfId="0" applyNumberFormat="1" applyBorder="1"/>
    <xf numFmtId="0" fontId="0" fillId="0" borderId="0" xfId="0" applyAlignment="1">
      <alignment horizontal="left"/>
    </xf>
    <xf numFmtId="3" fontId="0" fillId="0" borderId="7" xfId="0" applyNumberFormat="1" applyBorder="1"/>
    <xf numFmtId="3" fontId="3" fillId="0" borderId="0" xfId="0" applyNumberFormat="1" applyFont="1" applyBorder="1"/>
    <xf numFmtId="3" fontId="3" fillId="0" borderId="26" xfId="0" applyNumberFormat="1" applyFont="1" applyBorder="1"/>
    <xf numFmtId="0" fontId="5" fillId="0" borderId="7" xfId="0" applyFont="1" applyBorder="1"/>
    <xf numFmtId="0" fontId="0" fillId="0" borderId="0" xfId="0" applyFill="1" applyAlignment="1">
      <alignment horizontal="left"/>
    </xf>
    <xf numFmtId="0" fontId="0" fillId="0" borderId="7" xfId="0" applyFill="1" applyBorder="1" applyAlignment="1">
      <alignment horizontal="center"/>
    </xf>
    <xf numFmtId="3" fontId="0" fillId="0" borderId="7" xfId="0" applyNumberFormat="1" applyFill="1" applyBorder="1"/>
    <xf numFmtId="3" fontId="3" fillId="0" borderId="25" xfId="0" applyNumberFormat="1" applyFont="1" applyFill="1" applyBorder="1"/>
    <xf numFmtId="3" fontId="3" fillId="0" borderId="0" xfId="0" applyNumberFormat="1" applyFont="1" applyFill="1" applyBorder="1"/>
    <xf numFmtId="3" fontId="3" fillId="0" borderId="26" xfId="0" applyNumberFormat="1" applyFont="1" applyFill="1" applyBorder="1"/>
    <xf numFmtId="0" fontId="0" fillId="0" borderId="0" xfId="0" applyFill="1"/>
    <xf numFmtId="0" fontId="3" fillId="0" borderId="0" xfId="0" applyFont="1" applyAlignment="1">
      <alignment horizontal="left"/>
    </xf>
    <xf numFmtId="0" fontId="3" fillId="0" borderId="6" xfId="0" applyFont="1" applyBorder="1"/>
    <xf numFmtId="3" fontId="0" fillId="0" borderId="25" xfId="0" applyNumberFormat="1" applyFill="1" applyBorder="1"/>
    <xf numFmtId="0" fontId="0" fillId="0" borderId="28" xfId="0" applyFill="1" applyBorder="1" applyAlignment="1">
      <alignment horizontal="left"/>
    </xf>
    <xf numFmtId="0" fontId="0" fillId="0" borderId="0" xfId="0" applyFill="1" applyBorder="1" applyAlignment="1">
      <alignment horizontal="left"/>
    </xf>
    <xf numFmtId="0" fontId="0" fillId="0" borderId="13" xfId="0" applyFill="1" applyBorder="1" applyAlignment="1">
      <alignment horizontal="left"/>
    </xf>
    <xf numFmtId="0" fontId="0" fillId="0" borderId="33" xfId="0" applyFill="1" applyBorder="1"/>
    <xf numFmtId="0" fontId="0" fillId="0" borderId="34" xfId="0" applyBorder="1"/>
    <xf numFmtId="3" fontId="3" fillId="0" borderId="13" xfId="0" applyNumberFormat="1" applyFont="1" applyBorder="1"/>
    <xf numFmtId="3" fontId="3" fillId="0" borderId="15" xfId="0" applyNumberFormat="1" applyFont="1" applyBorder="1"/>
    <xf numFmtId="0" fontId="6" fillId="0" borderId="0" xfId="0" applyFont="1" applyFill="1" applyBorder="1" applyAlignment="1">
      <alignment horizontal="left"/>
    </xf>
    <xf numFmtId="0" fontId="6" fillId="0" borderId="6" xfId="0" applyFont="1" applyFill="1" applyBorder="1"/>
    <xf numFmtId="3" fontId="3" fillId="0" borderId="7" xfId="0" applyNumberFormat="1" applyFont="1" applyBorder="1"/>
    <xf numFmtId="3" fontId="3" fillId="0" borderId="27" xfId="0" applyNumberFormat="1" applyFont="1" applyBorder="1"/>
    <xf numFmtId="3" fontId="3" fillId="0" borderId="7" xfId="0" applyNumberFormat="1" applyFont="1" applyFill="1" applyBorder="1"/>
    <xf numFmtId="3" fontId="3" fillId="0" borderId="27" xfId="0" applyNumberFormat="1" applyFont="1" applyFill="1" applyBorder="1"/>
    <xf numFmtId="0" fontId="7" fillId="0" borderId="0" xfId="0" applyFont="1" applyFill="1" applyBorder="1" applyAlignment="1">
      <alignment horizontal="left"/>
    </xf>
    <xf numFmtId="0" fontId="1" fillId="0" borderId="35" xfId="0" applyFont="1" applyFill="1" applyBorder="1" applyAlignment="1">
      <alignment horizontal="left"/>
    </xf>
    <xf numFmtId="0" fontId="6" fillId="0" borderId="36" xfId="0" applyFont="1" applyFill="1" applyBorder="1"/>
    <xf numFmtId="0" fontId="0" fillId="0" borderId="37" xfId="0" applyBorder="1"/>
    <xf numFmtId="3" fontId="0" fillId="0" borderId="37" xfId="0" applyNumberFormat="1" applyBorder="1"/>
    <xf numFmtId="3" fontId="3" fillId="0" borderId="38" xfId="0" applyNumberFormat="1" applyFont="1" applyBorder="1"/>
    <xf numFmtId="3" fontId="3" fillId="0" borderId="35" xfId="0" applyNumberFormat="1" applyFont="1" applyBorder="1"/>
    <xf numFmtId="3" fontId="3" fillId="0" borderId="39" xfId="0" applyNumberFormat="1" applyFont="1" applyBorder="1"/>
    <xf numFmtId="0" fontId="1" fillId="0" borderId="40" xfId="0" applyFont="1" applyBorder="1" applyAlignment="1">
      <alignment horizontal="left"/>
    </xf>
    <xf numFmtId="0" fontId="1" fillId="0" borderId="6" xfId="0" applyFont="1" applyBorder="1"/>
    <xf numFmtId="3" fontId="0" fillId="0" borderId="0" xfId="0" applyNumberFormat="1" applyBorder="1"/>
    <xf numFmtId="3" fontId="0" fillId="0" borderId="28" xfId="0" applyNumberFormat="1" applyBorder="1"/>
    <xf numFmtId="0" fontId="3" fillId="0" borderId="7" xfId="0" applyFont="1" applyBorder="1" applyAlignment="1">
      <alignment horizontal="center"/>
    </xf>
    <xf numFmtId="3" fontId="0" fillId="0" borderId="0" xfId="0" applyNumberFormat="1"/>
    <xf numFmtId="0" fontId="0" fillId="0" borderId="13" xfId="0" applyBorder="1" applyAlignment="1">
      <alignment horizontal="left"/>
    </xf>
    <xf numFmtId="0" fontId="0" fillId="0" borderId="33" xfId="0" applyBorder="1"/>
    <xf numFmtId="0" fontId="0" fillId="0" borderId="35" xfId="0" applyBorder="1" applyAlignment="1">
      <alignment horizontal="left"/>
    </xf>
    <xf numFmtId="0" fontId="0" fillId="0" borderId="36" xfId="0" applyBorder="1"/>
    <xf numFmtId="0" fontId="0" fillId="0" borderId="37" xfId="0" applyBorder="1" applyAlignment="1">
      <alignment horizontal="center"/>
    </xf>
    <xf numFmtId="0" fontId="8" fillId="0" borderId="0" xfId="0" applyFont="1" applyBorder="1" applyAlignment="1">
      <alignment horizontal="left"/>
    </xf>
    <xf numFmtId="0" fontId="8" fillId="0" borderId="6" xfId="0" applyFont="1" applyBorder="1"/>
    <xf numFmtId="3" fontId="0" fillId="0" borderId="7" xfId="0" applyNumberFormat="1" applyFont="1" applyFill="1" applyBorder="1"/>
    <xf numFmtId="3" fontId="0" fillId="0" borderId="7" xfId="0" applyNumberFormat="1" applyFont="1" applyBorder="1"/>
    <xf numFmtId="3" fontId="0" fillId="0" borderId="24" xfId="0" applyNumberFormat="1" applyFont="1" applyBorder="1"/>
    <xf numFmtId="0" fontId="0" fillId="0" borderId="0" xfId="0" applyFont="1" applyBorder="1" applyAlignment="1">
      <alignment horizontal="left"/>
    </xf>
    <xf numFmtId="0" fontId="0" fillId="0" borderId="6" xfId="0" applyFont="1" applyBorder="1"/>
    <xf numFmtId="3" fontId="0" fillId="0" borderId="25" xfId="0" applyNumberFormat="1" applyFont="1" applyBorder="1"/>
    <xf numFmtId="3" fontId="0" fillId="0" borderId="27" xfId="0" applyNumberFormat="1" applyFont="1" applyBorder="1"/>
    <xf numFmtId="0" fontId="0" fillId="0" borderId="35" xfId="0" applyFill="1" applyBorder="1" applyAlignment="1">
      <alignment horizontal="left"/>
    </xf>
    <xf numFmtId="0" fontId="0" fillId="0" borderId="36" xfId="0" applyFill="1" applyBorder="1"/>
    <xf numFmtId="0" fontId="0" fillId="0" borderId="3" xfId="0" applyBorder="1"/>
    <xf numFmtId="3" fontId="0" fillId="0" borderId="3" xfId="0" applyNumberFormat="1" applyBorder="1"/>
    <xf numFmtId="3" fontId="3" fillId="0" borderId="41" xfId="0" applyNumberFormat="1" applyFont="1" applyBorder="1"/>
    <xf numFmtId="3" fontId="3" fillId="0" borderId="1" xfId="0" applyNumberFormat="1" applyFont="1" applyBorder="1"/>
    <xf numFmtId="3" fontId="3" fillId="0" borderId="42" xfId="0" applyNumberFormat="1" applyFont="1" applyBorder="1"/>
    <xf numFmtId="0" fontId="0" fillId="0" borderId="0" xfId="0" applyFill="1" applyBorder="1" applyAlignment="1">
      <alignment horizontal="center"/>
    </xf>
    <xf numFmtId="0" fontId="0" fillId="0" borderId="43" xfId="0" applyBorder="1"/>
    <xf numFmtId="3" fontId="4" fillId="0" borderId="43" xfId="0" applyNumberFormat="1" applyFont="1" applyBorder="1" applyAlignment="1">
      <alignment horizontal="right"/>
    </xf>
    <xf numFmtId="3" fontId="0" fillId="0" borderId="44" xfId="0" applyNumberFormat="1" applyBorder="1"/>
    <xf numFmtId="3" fontId="0" fillId="0" borderId="43" xfId="0" applyNumberFormat="1" applyBorder="1"/>
    <xf numFmtId="3" fontId="0" fillId="0" borderId="23" xfId="0" applyNumberFormat="1" applyBorder="1"/>
    <xf numFmtId="3" fontId="0" fillId="0" borderId="10" xfId="0" applyNumberFormat="1" applyBorder="1"/>
    <xf numFmtId="3" fontId="3" fillId="0" borderId="43" xfId="0" applyNumberFormat="1" applyFont="1" applyBorder="1"/>
    <xf numFmtId="3" fontId="3" fillId="0" borderId="43" xfId="0" applyNumberFormat="1" applyFont="1" applyFill="1" applyBorder="1"/>
    <xf numFmtId="3" fontId="0" fillId="0" borderId="43" xfId="0" applyNumberFormat="1" applyFill="1" applyBorder="1"/>
    <xf numFmtId="3" fontId="3" fillId="0" borderId="10" xfId="0" applyNumberFormat="1" applyFont="1" applyBorder="1"/>
    <xf numFmtId="3" fontId="3" fillId="0" borderId="45" xfId="0" applyNumberFormat="1" applyFont="1" applyBorder="1"/>
    <xf numFmtId="3" fontId="0" fillId="0" borderId="43" xfId="0" applyNumberFormat="1" applyFont="1" applyBorder="1"/>
    <xf numFmtId="3" fontId="3" fillId="0" borderId="46" xfId="0" applyNumberFormat="1" applyFont="1" applyBorder="1"/>
    <xf numFmtId="0" fontId="3" fillId="0" borderId="0" xfId="0" applyFont="1" applyBorder="1"/>
    <xf numFmtId="0" fontId="6" fillId="0" borderId="0" xfId="0" applyFont="1" applyFill="1" applyBorder="1"/>
    <xf numFmtId="0" fontId="1" fillId="0" borderId="0" xfId="0" applyFont="1" applyBorder="1"/>
    <xf numFmtId="0" fontId="8" fillId="0" borderId="0" xfId="0" applyFont="1" applyBorder="1"/>
    <xf numFmtId="0" fontId="0" fillId="0" borderId="0" xfId="0" applyFont="1" applyBorder="1"/>
    <xf numFmtId="0" fontId="3" fillId="0" borderId="0" xfId="0" applyFont="1" applyBorder="1" applyAlignment="1">
      <alignment horizontal="center" vertical="center"/>
    </xf>
    <xf numFmtId="3" fontId="0" fillId="0" borderId="0" xfId="0" applyNumberFormat="1" applyFill="1" applyBorder="1"/>
    <xf numFmtId="3" fontId="0" fillId="0" borderId="0" xfId="0" applyNumberFormat="1" applyFont="1" applyBorder="1"/>
    <xf numFmtId="164" fontId="0" fillId="0" borderId="0" xfId="0" applyNumberFormat="1"/>
    <xf numFmtId="0" fontId="1" fillId="0" borderId="3" xfId="0" applyFont="1" applyBorder="1" applyAlignment="1">
      <alignment horizontal="center"/>
    </xf>
    <xf numFmtId="0" fontId="1" fillId="0" borderId="1" xfId="0" applyFont="1" applyBorder="1" applyAlignment="1">
      <alignment horizontal="center"/>
    </xf>
    <xf numFmtId="0" fontId="1" fillId="0" borderId="4" xfId="0" applyFont="1" applyBorder="1" applyAlignment="1">
      <alignment horizontal="center"/>
    </xf>
    <xf numFmtId="0" fontId="1" fillId="0" borderId="3" xfId="0" applyFont="1" applyBorder="1" applyAlignment="1">
      <alignment horizontal="center" vertical="center"/>
    </xf>
    <xf numFmtId="0" fontId="1" fillId="0" borderId="7" xfId="0" applyFont="1" applyBorder="1" applyAlignment="1">
      <alignment horizontal="center" vertical="center"/>
    </xf>
    <xf numFmtId="0" fontId="1" fillId="0" borderId="18"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0" fillId="0" borderId="12" xfId="0" applyFont="1" applyBorder="1" applyAlignment="1">
      <alignment horizontal="center"/>
    </xf>
    <xf numFmtId="0" fontId="0" fillId="0" borderId="9" xfId="0" applyFont="1" applyBorder="1" applyAlignment="1">
      <alignment horizontal="center"/>
    </xf>
    <xf numFmtId="0" fontId="3" fillId="0" borderId="13" xfId="0" applyFont="1" applyBorder="1" applyAlignment="1">
      <alignment horizontal="center" vertical="center"/>
    </xf>
    <xf numFmtId="0" fontId="1" fillId="0" borderId="5" xfId="0" applyFont="1" applyBorder="1" applyAlignment="1">
      <alignment horizontal="center"/>
    </xf>
    <xf numFmtId="0" fontId="0" fillId="0" borderId="8" xfId="0" applyFont="1" applyBorder="1" applyAlignment="1">
      <alignment horizontal="center"/>
    </xf>
    <xf numFmtId="0" fontId="3" fillId="0" borderId="1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W158"/>
  <sheetViews>
    <sheetView workbookViewId="0">
      <selection activeCell="BO18" sqref="BO18:BW135"/>
    </sheetView>
  </sheetViews>
  <sheetFormatPr defaultRowHeight="15" x14ac:dyDescent="0.25"/>
  <cols>
    <col min="61" max="65" width="9.140625" style="22"/>
  </cols>
  <sheetData>
    <row r="2" spans="1:65" ht="18.75" x14ac:dyDescent="0.3">
      <c r="A2" s="1" t="s">
        <v>0</v>
      </c>
      <c r="B2" t="s">
        <v>1</v>
      </c>
    </row>
    <row r="3" spans="1:65" x14ac:dyDescent="0.25">
      <c r="B3" t="s">
        <v>2</v>
      </c>
    </row>
    <row r="4" spans="1:65" ht="15.75" thickBot="1" x14ac:dyDescent="0.3"/>
    <row r="5" spans="1:65" ht="15.75" thickTop="1" x14ac:dyDescent="0.25">
      <c r="A5" s="2"/>
      <c r="B5" s="3"/>
      <c r="C5" s="152" t="s">
        <v>3</v>
      </c>
      <c r="D5" s="149" t="s">
        <v>4</v>
      </c>
      <c r="E5" s="150"/>
      <c r="F5" s="150"/>
      <c r="G5" s="151"/>
      <c r="H5" s="149" t="s">
        <v>5</v>
      </c>
      <c r="I5" s="150"/>
      <c r="J5" s="150"/>
      <c r="K5" s="151"/>
      <c r="L5" s="150" t="s">
        <v>6</v>
      </c>
      <c r="M5" s="150"/>
      <c r="N5" s="150"/>
      <c r="O5" s="150"/>
      <c r="P5" s="149" t="s">
        <v>7</v>
      </c>
      <c r="Q5" s="150"/>
      <c r="R5" s="150"/>
      <c r="S5" s="151"/>
      <c r="T5" s="150" t="s">
        <v>8</v>
      </c>
      <c r="U5" s="150"/>
      <c r="V5" s="150"/>
      <c r="W5" s="150"/>
      <c r="X5" s="149" t="s">
        <v>9</v>
      </c>
      <c r="Y5" s="150"/>
      <c r="Z5" s="150"/>
      <c r="AA5" s="151"/>
      <c r="AB5" s="149" t="s">
        <v>10</v>
      </c>
      <c r="AC5" s="150"/>
      <c r="AD5" s="150"/>
      <c r="AE5" s="151"/>
      <c r="AF5" s="149" t="s">
        <v>11</v>
      </c>
      <c r="AG5" s="150"/>
      <c r="AH5" s="150"/>
      <c r="AI5" s="151"/>
      <c r="AJ5" s="149" t="s">
        <v>12</v>
      </c>
      <c r="AK5" s="150"/>
      <c r="AL5" s="150"/>
      <c r="AM5" s="151"/>
      <c r="AN5" s="149" t="s">
        <v>13</v>
      </c>
      <c r="AO5" s="150"/>
      <c r="AP5" s="150"/>
      <c r="AQ5" s="151"/>
      <c r="AR5" s="149" t="s">
        <v>14</v>
      </c>
      <c r="AS5" s="150"/>
      <c r="AT5" s="150"/>
      <c r="AU5" s="151"/>
      <c r="AV5" s="149" t="s">
        <v>15</v>
      </c>
      <c r="AW5" s="150"/>
      <c r="AX5" s="150"/>
      <c r="AY5" s="151"/>
      <c r="AZ5" s="149" t="s">
        <v>16</v>
      </c>
      <c r="BA5" s="150"/>
      <c r="BB5" s="150"/>
      <c r="BC5" s="151"/>
      <c r="BD5" s="149" t="s">
        <v>17</v>
      </c>
      <c r="BE5" s="150"/>
      <c r="BF5" s="150"/>
      <c r="BG5" s="160"/>
      <c r="BH5" s="4"/>
      <c r="BJ5" s="22" t="s">
        <v>167</v>
      </c>
    </row>
    <row r="6" spans="1:65" x14ac:dyDescent="0.25">
      <c r="A6" s="4" t="s">
        <v>18</v>
      </c>
      <c r="B6" s="5"/>
      <c r="C6" s="153"/>
      <c r="D6" s="161" t="s">
        <v>19</v>
      </c>
      <c r="E6" s="158"/>
      <c r="F6" s="155" t="s">
        <v>20</v>
      </c>
      <c r="G6" s="156"/>
      <c r="H6" s="161" t="s">
        <v>19</v>
      </c>
      <c r="I6" s="158"/>
      <c r="J6" s="155" t="s">
        <v>20</v>
      </c>
      <c r="K6" s="156"/>
      <c r="L6" s="157" t="s">
        <v>19</v>
      </c>
      <c r="M6" s="158"/>
      <c r="N6" s="155" t="s">
        <v>20</v>
      </c>
      <c r="O6" s="159"/>
      <c r="P6" s="161" t="s">
        <v>19</v>
      </c>
      <c r="Q6" s="158"/>
      <c r="R6" s="155" t="s">
        <v>20</v>
      </c>
      <c r="S6" s="156"/>
      <c r="T6" s="157" t="s">
        <v>19</v>
      </c>
      <c r="U6" s="158"/>
      <c r="V6" s="155" t="s">
        <v>20</v>
      </c>
      <c r="W6" s="159"/>
      <c r="X6" s="161" t="s">
        <v>19</v>
      </c>
      <c r="Y6" s="158"/>
      <c r="Z6" s="155" t="s">
        <v>20</v>
      </c>
      <c r="AA6" s="156"/>
      <c r="AB6" s="161" t="s">
        <v>19</v>
      </c>
      <c r="AC6" s="158"/>
      <c r="AD6" s="155" t="s">
        <v>20</v>
      </c>
      <c r="AE6" s="156"/>
      <c r="AF6" s="161" t="s">
        <v>19</v>
      </c>
      <c r="AG6" s="158"/>
      <c r="AH6" s="155" t="s">
        <v>20</v>
      </c>
      <c r="AI6" s="156"/>
      <c r="AJ6" s="161" t="s">
        <v>19</v>
      </c>
      <c r="AK6" s="158"/>
      <c r="AL6" s="155" t="s">
        <v>20</v>
      </c>
      <c r="AM6" s="156"/>
      <c r="AN6" s="161" t="s">
        <v>19</v>
      </c>
      <c r="AO6" s="158"/>
      <c r="AP6" s="155" t="s">
        <v>20</v>
      </c>
      <c r="AQ6" s="156"/>
      <c r="AR6" s="161" t="s">
        <v>19</v>
      </c>
      <c r="AS6" s="158"/>
      <c r="AT6" s="155" t="s">
        <v>20</v>
      </c>
      <c r="AU6" s="156"/>
      <c r="AV6" s="161" t="s">
        <v>19</v>
      </c>
      <c r="AW6" s="158"/>
      <c r="AX6" s="155" t="s">
        <v>20</v>
      </c>
      <c r="AY6" s="156"/>
      <c r="AZ6" s="161" t="s">
        <v>19</v>
      </c>
      <c r="BA6" s="158"/>
      <c r="BB6" s="155" t="s">
        <v>20</v>
      </c>
      <c r="BC6" s="156"/>
      <c r="BD6" s="161" t="s">
        <v>19</v>
      </c>
      <c r="BE6" s="158"/>
      <c r="BF6" s="155" t="s">
        <v>20</v>
      </c>
      <c r="BG6" s="162"/>
      <c r="BH6" s="145"/>
      <c r="BJ6" s="22" t="s">
        <v>19</v>
      </c>
      <c r="BL6" s="22" t="s">
        <v>20</v>
      </c>
    </row>
    <row r="7" spans="1:65" x14ac:dyDescent="0.25">
      <c r="A7" s="6">
        <v>4145</v>
      </c>
      <c r="B7" s="7"/>
      <c r="C7" s="153"/>
      <c r="D7" s="8" t="s">
        <v>21</v>
      </c>
      <c r="E7" s="9" t="s">
        <v>22</v>
      </c>
      <c r="F7" s="10" t="s">
        <v>21</v>
      </c>
      <c r="G7" s="11" t="s">
        <v>22</v>
      </c>
      <c r="H7" s="8" t="s">
        <v>21</v>
      </c>
      <c r="I7" s="9" t="s">
        <v>22</v>
      </c>
      <c r="J7" s="10" t="s">
        <v>21</v>
      </c>
      <c r="K7" s="11" t="s">
        <v>22</v>
      </c>
      <c r="L7" s="12" t="s">
        <v>21</v>
      </c>
      <c r="M7" s="9" t="s">
        <v>22</v>
      </c>
      <c r="N7" s="10" t="s">
        <v>21</v>
      </c>
      <c r="O7" s="13" t="s">
        <v>22</v>
      </c>
      <c r="P7" s="8" t="s">
        <v>21</v>
      </c>
      <c r="Q7" s="9" t="s">
        <v>22</v>
      </c>
      <c r="R7" s="10" t="s">
        <v>21</v>
      </c>
      <c r="S7" s="11" t="s">
        <v>22</v>
      </c>
      <c r="T7" s="12" t="s">
        <v>21</v>
      </c>
      <c r="U7" s="9" t="s">
        <v>22</v>
      </c>
      <c r="V7" s="10" t="s">
        <v>21</v>
      </c>
      <c r="W7" s="13" t="s">
        <v>22</v>
      </c>
      <c r="X7" s="8" t="s">
        <v>21</v>
      </c>
      <c r="Y7" s="9" t="s">
        <v>22</v>
      </c>
      <c r="Z7" s="10" t="s">
        <v>21</v>
      </c>
      <c r="AA7" s="11" t="s">
        <v>22</v>
      </c>
      <c r="AB7" s="8" t="s">
        <v>21</v>
      </c>
      <c r="AC7" s="9" t="s">
        <v>22</v>
      </c>
      <c r="AD7" s="10" t="s">
        <v>21</v>
      </c>
      <c r="AE7" s="11" t="s">
        <v>22</v>
      </c>
      <c r="AF7" s="8" t="s">
        <v>21</v>
      </c>
      <c r="AG7" s="9" t="s">
        <v>22</v>
      </c>
      <c r="AH7" s="10" t="s">
        <v>21</v>
      </c>
      <c r="AI7" s="11" t="s">
        <v>22</v>
      </c>
      <c r="AJ7" s="8" t="s">
        <v>21</v>
      </c>
      <c r="AK7" s="9" t="s">
        <v>22</v>
      </c>
      <c r="AL7" s="10" t="s">
        <v>21</v>
      </c>
      <c r="AM7" s="11" t="s">
        <v>22</v>
      </c>
      <c r="AN7" s="8" t="s">
        <v>21</v>
      </c>
      <c r="AO7" s="9" t="s">
        <v>22</v>
      </c>
      <c r="AP7" s="10" t="s">
        <v>21</v>
      </c>
      <c r="AQ7" s="11" t="s">
        <v>22</v>
      </c>
      <c r="AR7" s="8" t="s">
        <v>21</v>
      </c>
      <c r="AS7" s="9" t="s">
        <v>22</v>
      </c>
      <c r="AT7" s="10" t="s">
        <v>21</v>
      </c>
      <c r="AU7" s="11" t="s">
        <v>22</v>
      </c>
      <c r="AV7" s="8" t="s">
        <v>21</v>
      </c>
      <c r="AW7" s="9" t="s">
        <v>22</v>
      </c>
      <c r="AX7" s="10" t="s">
        <v>21</v>
      </c>
      <c r="AY7" s="11" t="s">
        <v>22</v>
      </c>
      <c r="AZ7" s="8" t="s">
        <v>21</v>
      </c>
      <c r="BA7" s="9" t="s">
        <v>22</v>
      </c>
      <c r="BB7" s="10" t="s">
        <v>21</v>
      </c>
      <c r="BC7" s="11" t="s">
        <v>22</v>
      </c>
      <c r="BD7" s="8" t="s">
        <v>21</v>
      </c>
      <c r="BE7" s="9" t="s">
        <v>22</v>
      </c>
      <c r="BF7" s="10" t="s">
        <v>21</v>
      </c>
      <c r="BG7" s="13" t="s">
        <v>22</v>
      </c>
      <c r="BH7" s="37"/>
      <c r="BJ7" s="126" t="s">
        <v>21</v>
      </c>
      <c r="BK7" s="126" t="s">
        <v>22</v>
      </c>
      <c r="BL7" s="126" t="s">
        <v>21</v>
      </c>
      <c r="BM7" s="126" t="s">
        <v>22</v>
      </c>
    </row>
    <row r="8" spans="1:65" x14ac:dyDescent="0.25">
      <c r="A8" s="14"/>
      <c r="B8" s="15"/>
      <c r="C8" s="154"/>
      <c r="D8" s="16"/>
      <c r="E8" s="17"/>
      <c r="F8" s="18"/>
      <c r="G8" s="19"/>
      <c r="H8" s="16"/>
      <c r="I8" s="17"/>
      <c r="J8" s="18"/>
      <c r="K8" s="19"/>
      <c r="L8" s="20"/>
      <c r="M8" s="17"/>
      <c r="N8" s="18"/>
      <c r="O8" s="21"/>
      <c r="P8" s="16"/>
      <c r="Q8" s="17"/>
      <c r="R8" s="18"/>
      <c r="S8" s="19"/>
      <c r="T8" s="20"/>
      <c r="U8" s="17"/>
      <c r="V8" s="18"/>
      <c r="W8" s="21"/>
      <c r="X8" s="16"/>
      <c r="Y8" s="17"/>
      <c r="Z8" s="18"/>
      <c r="AA8" s="19"/>
      <c r="AB8" s="16"/>
      <c r="AC8" s="17"/>
      <c r="AD8" s="18"/>
      <c r="AE8" s="19"/>
      <c r="AF8" s="16"/>
      <c r="AG8" s="17"/>
      <c r="AH8" s="18"/>
      <c r="AI8" s="19"/>
      <c r="AJ8" s="16"/>
      <c r="AK8" s="17"/>
      <c r="AL8" s="18"/>
      <c r="AM8" s="19"/>
      <c r="AN8" s="16"/>
      <c r="AO8" s="17"/>
      <c r="AP8" s="18"/>
      <c r="AQ8" s="19"/>
      <c r="AR8" s="16"/>
      <c r="AS8" s="17"/>
      <c r="AT8" s="18"/>
      <c r="AU8" s="19"/>
      <c r="AV8" s="16"/>
      <c r="AW8" s="17"/>
      <c r="AX8" s="18"/>
      <c r="AY8" s="19"/>
      <c r="AZ8" s="16"/>
      <c r="BA8" s="17"/>
      <c r="BB8" s="18"/>
      <c r="BC8" s="19"/>
      <c r="BD8" s="16"/>
      <c r="BE8" s="17"/>
      <c r="BF8" s="18"/>
      <c r="BG8" s="21"/>
      <c r="BH8" s="22"/>
    </row>
    <row r="9" spans="1:65" x14ac:dyDescent="0.25">
      <c r="A9" s="22"/>
      <c r="B9" s="23"/>
      <c r="C9" s="24"/>
      <c r="D9" s="25"/>
      <c r="E9" s="26"/>
      <c r="F9" s="27"/>
      <c r="G9" s="26"/>
      <c r="H9" s="25"/>
      <c r="I9" s="26"/>
      <c r="J9" s="27"/>
      <c r="K9" s="26"/>
      <c r="L9" s="25"/>
      <c r="M9" s="26"/>
      <c r="N9" s="27"/>
      <c r="O9" s="26"/>
      <c r="P9" s="25"/>
      <c r="Q9" s="26"/>
      <c r="R9" s="27"/>
      <c r="S9" s="26"/>
      <c r="T9" s="25"/>
      <c r="U9" s="26"/>
      <c r="V9" s="27"/>
      <c r="W9" s="26"/>
      <c r="X9" s="25"/>
      <c r="Y9" s="26"/>
      <c r="Z9" s="27"/>
      <c r="AA9" s="26"/>
      <c r="AB9" s="25"/>
      <c r="AC9" s="26"/>
      <c r="AD9" s="27"/>
      <c r="AE9" s="28"/>
      <c r="AF9" s="25"/>
      <c r="AG9" s="26"/>
      <c r="AH9" s="27"/>
      <c r="AI9" s="28"/>
      <c r="AJ9" s="25"/>
      <c r="AK9" s="26"/>
      <c r="AL9" s="27"/>
      <c r="AM9" s="28"/>
      <c r="AN9" s="25"/>
      <c r="AO9" s="26"/>
      <c r="AP9" s="27"/>
      <c r="AQ9" s="28"/>
      <c r="AR9" s="25"/>
      <c r="AS9" s="26"/>
      <c r="AT9" s="27"/>
      <c r="AU9" s="28"/>
      <c r="AV9" s="25"/>
      <c r="AW9" s="26"/>
      <c r="AX9" s="27"/>
      <c r="AY9" s="28"/>
      <c r="AZ9" s="25"/>
      <c r="BA9" s="26"/>
      <c r="BB9" s="27"/>
      <c r="BC9" s="28"/>
      <c r="BD9" s="25"/>
      <c r="BE9" s="26"/>
      <c r="BF9" s="27"/>
      <c r="BG9" s="127"/>
      <c r="BH9" s="22"/>
    </row>
    <row r="10" spans="1:65" x14ac:dyDescent="0.25">
      <c r="A10" s="29" t="s">
        <v>23</v>
      </c>
      <c r="B10" s="30"/>
      <c r="C10" s="31"/>
      <c r="D10" s="32">
        <f>SUM(D13:D16)</f>
        <v>20071</v>
      </c>
      <c r="E10" s="33">
        <f t="shared" ref="E10:AE10" si="0">SUM(E13:E16)</f>
        <v>19137</v>
      </c>
      <c r="F10" s="33">
        <f t="shared" si="0"/>
        <v>82939</v>
      </c>
      <c r="G10" s="34">
        <f t="shared" si="0"/>
        <v>89844</v>
      </c>
      <c r="H10" s="32">
        <f t="shared" si="0"/>
        <v>16736</v>
      </c>
      <c r="I10" s="33">
        <f t="shared" si="0"/>
        <v>15790</v>
      </c>
      <c r="J10" s="33">
        <f t="shared" si="0"/>
        <v>44298</v>
      </c>
      <c r="K10" s="34">
        <f t="shared" si="0"/>
        <v>47008</v>
      </c>
      <c r="L10" s="32">
        <f t="shared" si="0"/>
        <v>19010</v>
      </c>
      <c r="M10" s="33">
        <f t="shared" si="0"/>
        <v>18619</v>
      </c>
      <c r="N10" s="33">
        <f t="shared" si="0"/>
        <v>70826</v>
      </c>
      <c r="O10" s="34">
        <f t="shared" si="0"/>
        <v>75553</v>
      </c>
      <c r="P10" s="32">
        <f t="shared" si="0"/>
        <v>19496</v>
      </c>
      <c r="Q10" s="33">
        <f>SUM(Q13:Q16)</f>
        <v>19237</v>
      </c>
      <c r="R10" s="33">
        <f t="shared" si="0"/>
        <v>71010</v>
      </c>
      <c r="S10" s="34">
        <f t="shared" si="0"/>
        <v>76411</v>
      </c>
      <c r="T10" s="32">
        <f t="shared" si="0"/>
        <v>18919</v>
      </c>
      <c r="U10" s="33">
        <f t="shared" si="0"/>
        <v>18557</v>
      </c>
      <c r="V10" s="33">
        <f t="shared" si="0"/>
        <v>74500</v>
      </c>
      <c r="W10" s="34">
        <f t="shared" si="0"/>
        <v>77708</v>
      </c>
      <c r="X10" s="32">
        <f t="shared" si="0"/>
        <v>78571</v>
      </c>
      <c r="Y10" s="33">
        <f t="shared" si="0"/>
        <v>76859</v>
      </c>
      <c r="Z10" s="33">
        <f t="shared" si="0"/>
        <v>312951</v>
      </c>
      <c r="AA10" s="34">
        <f t="shared" si="0"/>
        <v>309141</v>
      </c>
      <c r="AB10" s="32">
        <f t="shared" si="0"/>
        <v>62890</v>
      </c>
      <c r="AC10" s="33">
        <f t="shared" si="0"/>
        <v>61567</v>
      </c>
      <c r="AD10" s="33">
        <f t="shared" si="0"/>
        <v>298075</v>
      </c>
      <c r="AE10" s="35">
        <f t="shared" si="0"/>
        <v>274184</v>
      </c>
      <c r="AF10" s="32">
        <f>SUM(AF13:AF16)</f>
        <v>63982</v>
      </c>
      <c r="AG10" s="33">
        <f t="shared" ref="AG10:BG10" si="1">SUM(AG13:AG16)</f>
        <v>61708</v>
      </c>
      <c r="AH10" s="33">
        <f t="shared" si="1"/>
        <v>241572</v>
      </c>
      <c r="AI10" s="36">
        <f t="shared" si="1"/>
        <v>240559</v>
      </c>
      <c r="AJ10" s="32">
        <f t="shared" si="1"/>
        <v>65726</v>
      </c>
      <c r="AK10" s="33">
        <f t="shared" si="1"/>
        <v>57467</v>
      </c>
      <c r="AL10" s="33">
        <f t="shared" si="1"/>
        <v>226061</v>
      </c>
      <c r="AM10" s="36">
        <f t="shared" si="1"/>
        <v>209642</v>
      </c>
      <c r="AN10" s="32">
        <f t="shared" si="1"/>
        <v>124064</v>
      </c>
      <c r="AO10" s="33">
        <f t="shared" si="1"/>
        <v>95537</v>
      </c>
      <c r="AP10" s="33">
        <f t="shared" si="1"/>
        <v>414252</v>
      </c>
      <c r="AQ10" s="36">
        <f t="shared" si="1"/>
        <v>363398</v>
      </c>
      <c r="AR10" s="32">
        <f t="shared" si="1"/>
        <v>126807</v>
      </c>
      <c r="AS10" s="33">
        <f t="shared" si="1"/>
        <v>91775</v>
      </c>
      <c r="AT10" s="33">
        <f t="shared" si="1"/>
        <v>341889</v>
      </c>
      <c r="AU10" s="36">
        <f t="shared" si="1"/>
        <v>304535</v>
      </c>
      <c r="AV10" s="32">
        <f t="shared" si="1"/>
        <v>60122</v>
      </c>
      <c r="AW10" s="33">
        <f t="shared" si="1"/>
        <v>46738</v>
      </c>
      <c r="AX10" s="33">
        <f t="shared" si="1"/>
        <v>165771</v>
      </c>
      <c r="AY10" s="36">
        <f t="shared" si="1"/>
        <v>190119</v>
      </c>
      <c r="AZ10" s="32">
        <f t="shared" si="1"/>
        <v>8681</v>
      </c>
      <c r="BA10" s="33">
        <f t="shared" si="1"/>
        <v>8056</v>
      </c>
      <c r="BB10" s="33">
        <f t="shared" si="1"/>
        <v>39294</v>
      </c>
      <c r="BC10" s="36">
        <f t="shared" si="1"/>
        <v>54343</v>
      </c>
      <c r="BD10" s="32">
        <f t="shared" si="1"/>
        <v>89</v>
      </c>
      <c r="BE10" s="33">
        <f t="shared" si="1"/>
        <v>31</v>
      </c>
      <c r="BF10" s="33">
        <f t="shared" si="1"/>
        <v>790</v>
      </c>
      <c r="BG10" s="128">
        <f t="shared" si="1"/>
        <v>479</v>
      </c>
      <c r="BH10" s="36"/>
    </row>
    <row r="11" spans="1:65" ht="15.75" thickBot="1" x14ac:dyDescent="0.3">
      <c r="A11" s="37" t="s">
        <v>24</v>
      </c>
      <c r="B11" s="38"/>
      <c r="C11" s="39"/>
      <c r="D11" s="40"/>
      <c r="E11" s="41"/>
      <c r="F11" s="42"/>
      <c r="G11" s="41"/>
      <c r="H11" s="40"/>
      <c r="I11" s="41"/>
      <c r="J11" s="42"/>
      <c r="K11" s="41"/>
      <c r="L11" s="40"/>
      <c r="M11" s="41"/>
      <c r="N11" s="42"/>
      <c r="O11" s="41"/>
      <c r="P11" s="40"/>
      <c r="Q11" s="41"/>
      <c r="R11" s="42"/>
      <c r="S11" s="41"/>
      <c r="T11" s="40"/>
      <c r="U11" s="41"/>
      <c r="V11" s="42"/>
      <c r="W11" s="41"/>
      <c r="X11" s="40"/>
      <c r="Y11" s="41"/>
      <c r="Z11" s="42"/>
      <c r="AA11" s="41"/>
      <c r="AB11" s="40"/>
      <c r="AC11" s="41"/>
      <c r="AD11" s="42"/>
      <c r="AE11" s="43"/>
      <c r="AF11" s="40"/>
      <c r="AG11" s="41"/>
      <c r="AH11" s="42"/>
      <c r="AI11" s="43"/>
      <c r="AJ11" s="40"/>
      <c r="AK11" s="41"/>
      <c r="AL11" s="42"/>
      <c r="AM11" s="43"/>
      <c r="AN11" s="40"/>
      <c r="AO11" s="41"/>
      <c r="AP11" s="42"/>
      <c r="AQ11" s="43"/>
      <c r="AR11" s="40"/>
      <c r="AS11" s="41"/>
      <c r="AT11" s="42"/>
      <c r="AU11" s="43"/>
      <c r="AV11" s="40"/>
      <c r="AW11" s="41"/>
      <c r="AX11" s="42"/>
      <c r="AY11" s="43"/>
      <c r="AZ11" s="40"/>
      <c r="BA11" s="41"/>
      <c r="BB11" s="42"/>
      <c r="BC11" s="43"/>
      <c r="BD11" s="40"/>
      <c r="BE11" s="41"/>
      <c r="BF11" s="42"/>
      <c r="BG11" s="129"/>
      <c r="BH11" s="101"/>
    </row>
    <row r="12" spans="1:65" x14ac:dyDescent="0.25">
      <c r="A12" s="37"/>
      <c r="B12" s="38"/>
      <c r="C12" s="39"/>
      <c r="D12" s="44"/>
      <c r="E12" s="45"/>
      <c r="F12" s="46"/>
      <c r="G12" s="45"/>
      <c r="H12" s="44"/>
      <c r="I12" s="45"/>
      <c r="J12" s="46"/>
      <c r="K12" s="45"/>
      <c r="L12" s="44"/>
      <c r="M12" s="45"/>
      <c r="N12" s="46"/>
      <c r="O12" s="45"/>
      <c r="P12" s="44"/>
      <c r="Q12" s="45"/>
      <c r="R12" s="46"/>
      <c r="S12" s="45"/>
      <c r="T12" s="44"/>
      <c r="U12" s="45"/>
      <c r="V12" s="46"/>
      <c r="W12" s="45"/>
      <c r="X12" s="44"/>
      <c r="Y12" s="45"/>
      <c r="Z12" s="46"/>
      <c r="AA12" s="45"/>
      <c r="AB12" s="44"/>
      <c r="AC12" s="45"/>
      <c r="AD12" s="46"/>
      <c r="AE12" s="47"/>
      <c r="AF12" s="44"/>
      <c r="AG12" s="45"/>
      <c r="AH12" s="46"/>
      <c r="AI12" s="47"/>
      <c r="AJ12" s="44"/>
      <c r="AK12" s="45"/>
      <c r="AL12" s="46"/>
      <c r="AM12" s="47"/>
      <c r="AN12" s="44"/>
      <c r="AO12" s="45"/>
      <c r="AP12" s="46"/>
      <c r="AQ12" s="47"/>
      <c r="AR12" s="44"/>
      <c r="AS12" s="45"/>
      <c r="AT12" s="46"/>
      <c r="AU12" s="47"/>
      <c r="AV12" s="44"/>
      <c r="AW12" s="45"/>
      <c r="AX12" s="46"/>
      <c r="AY12" s="47"/>
      <c r="AZ12" s="44"/>
      <c r="BA12" s="45"/>
      <c r="BB12" s="46"/>
      <c r="BC12" s="47"/>
      <c r="BD12" s="44"/>
      <c r="BE12" s="45"/>
      <c r="BF12" s="46"/>
      <c r="BG12" s="130"/>
      <c r="BH12" s="101"/>
    </row>
    <row r="13" spans="1:65" x14ac:dyDescent="0.25">
      <c r="A13" s="22" t="s">
        <v>25</v>
      </c>
      <c r="B13" s="23"/>
      <c r="C13" s="24"/>
      <c r="D13" s="48">
        <v>8649</v>
      </c>
      <c r="E13" s="45">
        <v>8081</v>
      </c>
      <c r="F13" s="46">
        <v>35907</v>
      </c>
      <c r="G13" s="45">
        <v>38001</v>
      </c>
      <c r="H13" s="48">
        <v>7080</v>
      </c>
      <c r="I13" s="45">
        <v>6789</v>
      </c>
      <c r="J13" s="46">
        <v>21527</v>
      </c>
      <c r="K13" s="45">
        <v>22241</v>
      </c>
      <c r="L13" s="48">
        <v>8317</v>
      </c>
      <c r="M13" s="45">
        <v>8027</v>
      </c>
      <c r="N13" s="46">
        <v>34185</v>
      </c>
      <c r="O13" s="45">
        <v>35828</v>
      </c>
      <c r="P13" s="48">
        <v>8568</v>
      </c>
      <c r="Q13" s="45">
        <v>8345</v>
      </c>
      <c r="R13" s="46">
        <v>35670</v>
      </c>
      <c r="S13" s="45">
        <v>37572</v>
      </c>
      <c r="T13" s="48">
        <v>8391</v>
      </c>
      <c r="U13" s="45">
        <v>8292</v>
      </c>
      <c r="V13" s="46">
        <v>34497</v>
      </c>
      <c r="W13" s="45">
        <v>35964</v>
      </c>
      <c r="X13" s="48">
        <v>37420</v>
      </c>
      <c r="Y13" s="45">
        <v>36680</v>
      </c>
      <c r="Z13" s="46">
        <v>140469</v>
      </c>
      <c r="AA13" s="45">
        <v>137780</v>
      </c>
      <c r="AB13" s="48">
        <v>32691</v>
      </c>
      <c r="AC13" s="45">
        <v>32132</v>
      </c>
      <c r="AD13" s="46">
        <v>129555</v>
      </c>
      <c r="AE13" s="47">
        <v>123113</v>
      </c>
      <c r="AF13" s="48">
        <v>30728</v>
      </c>
      <c r="AG13" s="45">
        <v>30281</v>
      </c>
      <c r="AH13" s="46">
        <v>95475</v>
      </c>
      <c r="AI13" s="47">
        <v>105931</v>
      </c>
      <c r="AJ13" s="48">
        <v>26959</v>
      </c>
      <c r="AK13" s="45">
        <v>27145</v>
      </c>
      <c r="AL13" s="46">
        <v>71465</v>
      </c>
      <c r="AM13" s="47">
        <v>93326</v>
      </c>
      <c r="AN13" s="48">
        <v>47833</v>
      </c>
      <c r="AO13" s="45">
        <v>42410</v>
      </c>
      <c r="AP13" s="46">
        <v>126195</v>
      </c>
      <c r="AQ13" s="47">
        <v>164605</v>
      </c>
      <c r="AR13" s="48">
        <v>50177</v>
      </c>
      <c r="AS13" s="45">
        <v>42555</v>
      </c>
      <c r="AT13" s="46">
        <v>131087</v>
      </c>
      <c r="AU13" s="47">
        <v>130974</v>
      </c>
      <c r="AV13" s="48">
        <v>29429</v>
      </c>
      <c r="AW13" s="45">
        <v>25383</v>
      </c>
      <c r="AX13" s="46">
        <v>78015</v>
      </c>
      <c r="AY13" s="47">
        <v>80707</v>
      </c>
      <c r="AZ13" s="48">
        <v>4993</v>
      </c>
      <c r="BA13" s="45">
        <v>4977</v>
      </c>
      <c r="BB13" s="46">
        <v>19960</v>
      </c>
      <c r="BC13" s="47">
        <v>21832</v>
      </c>
      <c r="BD13" s="48">
        <v>33</v>
      </c>
      <c r="BE13" s="45">
        <v>12</v>
      </c>
      <c r="BF13" s="46">
        <v>396</v>
      </c>
      <c r="BG13" s="130">
        <v>311</v>
      </c>
      <c r="BH13" s="101"/>
    </row>
    <row r="14" spans="1:65" x14ac:dyDescent="0.25">
      <c r="A14" s="49" t="s">
        <v>26</v>
      </c>
      <c r="B14" s="50"/>
      <c r="C14" s="51"/>
      <c r="D14" s="44">
        <v>1228</v>
      </c>
      <c r="E14" s="45">
        <v>1197</v>
      </c>
      <c r="F14" s="46">
        <v>18270</v>
      </c>
      <c r="G14" s="45">
        <v>19881</v>
      </c>
      <c r="H14" s="44">
        <v>1167</v>
      </c>
      <c r="I14" s="45">
        <v>1005</v>
      </c>
      <c r="J14" s="46">
        <v>6465</v>
      </c>
      <c r="K14" s="45">
        <v>7278</v>
      </c>
      <c r="L14" s="44">
        <v>1215</v>
      </c>
      <c r="M14" s="45">
        <v>1212</v>
      </c>
      <c r="N14" s="46">
        <v>13620</v>
      </c>
      <c r="O14" s="45">
        <v>15300</v>
      </c>
      <c r="P14" s="44">
        <v>1172</v>
      </c>
      <c r="Q14" s="45">
        <v>1179</v>
      </c>
      <c r="R14" s="46">
        <v>13395</v>
      </c>
      <c r="S14" s="45">
        <v>15057</v>
      </c>
      <c r="T14" s="44">
        <v>1246</v>
      </c>
      <c r="U14" s="45">
        <v>1100</v>
      </c>
      <c r="V14" s="46">
        <v>17462</v>
      </c>
      <c r="W14" s="45">
        <v>18002</v>
      </c>
      <c r="X14" s="44">
        <v>5338</v>
      </c>
      <c r="Y14" s="45">
        <v>5435</v>
      </c>
      <c r="Z14" s="46">
        <v>76671</v>
      </c>
      <c r="AA14" s="45">
        <v>76826</v>
      </c>
      <c r="AB14" s="44">
        <v>4498</v>
      </c>
      <c r="AC14" s="45">
        <v>4562</v>
      </c>
      <c r="AD14" s="46">
        <v>80083</v>
      </c>
      <c r="AE14" s="47">
        <v>75719</v>
      </c>
      <c r="AF14" s="44">
        <v>4278</v>
      </c>
      <c r="AG14" s="45">
        <v>4255</v>
      </c>
      <c r="AH14" s="46">
        <v>51220</v>
      </c>
      <c r="AI14" s="47">
        <v>64580</v>
      </c>
      <c r="AJ14" s="44">
        <v>4738</v>
      </c>
      <c r="AK14" s="45">
        <v>4121</v>
      </c>
      <c r="AL14" s="46">
        <v>43135</v>
      </c>
      <c r="AM14" s="47">
        <v>55719</v>
      </c>
      <c r="AN14" s="44">
        <v>10560</v>
      </c>
      <c r="AO14" s="45">
        <v>8228</v>
      </c>
      <c r="AP14" s="46">
        <v>74900</v>
      </c>
      <c r="AQ14" s="47">
        <v>88040</v>
      </c>
      <c r="AR14" s="44">
        <v>11160</v>
      </c>
      <c r="AS14" s="45">
        <v>8450</v>
      </c>
      <c r="AT14" s="46">
        <v>71864</v>
      </c>
      <c r="AU14" s="47">
        <v>78743</v>
      </c>
      <c r="AV14" s="44">
        <v>5148</v>
      </c>
      <c r="AW14" s="45">
        <v>4162</v>
      </c>
      <c r="AX14" s="46">
        <v>37746</v>
      </c>
      <c r="AY14" s="47">
        <v>52584</v>
      </c>
      <c r="AZ14" s="44">
        <v>743</v>
      </c>
      <c r="BA14" s="45">
        <v>713</v>
      </c>
      <c r="BB14" s="46">
        <v>7185</v>
      </c>
      <c r="BC14" s="47">
        <v>16008</v>
      </c>
      <c r="BD14" s="44">
        <v>4</v>
      </c>
      <c r="BE14" s="45"/>
      <c r="BF14" s="46">
        <v>137</v>
      </c>
      <c r="BG14" s="130">
        <v>39</v>
      </c>
      <c r="BH14" s="101"/>
    </row>
    <row r="15" spans="1:65" x14ac:dyDescent="0.25">
      <c r="A15" s="49" t="s">
        <v>27</v>
      </c>
      <c r="B15" s="50"/>
      <c r="C15" s="51"/>
      <c r="D15" s="44">
        <v>7204</v>
      </c>
      <c r="E15" s="45">
        <v>6971</v>
      </c>
      <c r="F15" s="46">
        <v>22854</v>
      </c>
      <c r="G15" s="45">
        <v>25382</v>
      </c>
      <c r="H15" s="44">
        <v>5869</v>
      </c>
      <c r="I15" s="45">
        <v>5495</v>
      </c>
      <c r="J15" s="46">
        <v>11816</v>
      </c>
      <c r="K15" s="45">
        <v>13033</v>
      </c>
      <c r="L15" s="44">
        <v>6584</v>
      </c>
      <c r="M15" s="45">
        <v>6518</v>
      </c>
      <c r="N15" s="46">
        <v>16952</v>
      </c>
      <c r="O15" s="45">
        <v>18103</v>
      </c>
      <c r="P15" s="44">
        <v>6830</v>
      </c>
      <c r="Q15" s="45">
        <v>6718</v>
      </c>
      <c r="R15" s="46">
        <v>16034</v>
      </c>
      <c r="S15" s="45">
        <v>17685</v>
      </c>
      <c r="T15" s="44">
        <v>6295</v>
      </c>
      <c r="U15" s="45">
        <v>6268</v>
      </c>
      <c r="V15" s="46">
        <v>16882</v>
      </c>
      <c r="W15" s="45">
        <v>17940</v>
      </c>
      <c r="X15" s="44">
        <v>24775</v>
      </c>
      <c r="Y15" s="45">
        <v>24126</v>
      </c>
      <c r="Z15" s="46">
        <v>72095</v>
      </c>
      <c r="AA15" s="45">
        <v>71104</v>
      </c>
      <c r="AB15" s="44">
        <v>17343</v>
      </c>
      <c r="AC15" s="45">
        <v>16724</v>
      </c>
      <c r="AD15" s="46">
        <v>65570</v>
      </c>
      <c r="AE15" s="47">
        <v>55372</v>
      </c>
      <c r="AF15" s="44">
        <v>19405</v>
      </c>
      <c r="AG15" s="45">
        <v>18012</v>
      </c>
      <c r="AH15" s="46">
        <v>74165</v>
      </c>
      <c r="AI15" s="47">
        <v>51086</v>
      </c>
      <c r="AJ15" s="44">
        <v>22995</v>
      </c>
      <c r="AK15" s="45">
        <v>17894</v>
      </c>
      <c r="AL15" s="46">
        <v>94974</v>
      </c>
      <c r="AM15" s="47">
        <v>45571</v>
      </c>
      <c r="AN15" s="44">
        <v>49302</v>
      </c>
      <c r="AO15" s="45">
        <v>32310</v>
      </c>
      <c r="AP15" s="46">
        <v>184690</v>
      </c>
      <c r="AQ15" s="47">
        <v>85736</v>
      </c>
      <c r="AR15" s="44">
        <v>50709</v>
      </c>
      <c r="AS15" s="45">
        <v>29687</v>
      </c>
      <c r="AT15" s="46">
        <v>114125</v>
      </c>
      <c r="AU15" s="47">
        <v>74225</v>
      </c>
      <c r="AV15" s="44">
        <v>17777</v>
      </c>
      <c r="AW15" s="45">
        <v>11418</v>
      </c>
      <c r="AX15" s="46">
        <v>36676</v>
      </c>
      <c r="AY15" s="47">
        <v>43866</v>
      </c>
      <c r="AZ15" s="44">
        <v>1801</v>
      </c>
      <c r="BA15" s="45">
        <v>1502</v>
      </c>
      <c r="BB15" s="46">
        <v>7672</v>
      </c>
      <c r="BC15" s="47">
        <v>11855</v>
      </c>
      <c r="BD15" s="44">
        <v>24</v>
      </c>
      <c r="BE15" s="45">
        <v>6</v>
      </c>
      <c r="BF15" s="46">
        <v>137</v>
      </c>
      <c r="BG15" s="130">
        <v>50</v>
      </c>
      <c r="BH15" s="101"/>
    </row>
    <row r="16" spans="1:65" x14ac:dyDescent="0.25">
      <c r="A16" s="49" t="s">
        <v>28</v>
      </c>
      <c r="B16" s="50"/>
      <c r="C16" s="51"/>
      <c r="D16" s="44">
        <v>2990</v>
      </c>
      <c r="E16" s="45">
        <v>2888</v>
      </c>
      <c r="F16" s="46">
        <v>5908</v>
      </c>
      <c r="G16" s="45">
        <v>6580</v>
      </c>
      <c r="H16" s="44">
        <v>2620</v>
      </c>
      <c r="I16" s="45">
        <v>2501</v>
      </c>
      <c r="J16" s="46">
        <v>4490</v>
      </c>
      <c r="K16" s="45">
        <v>4456</v>
      </c>
      <c r="L16" s="44">
        <v>2894</v>
      </c>
      <c r="M16" s="45">
        <v>2862</v>
      </c>
      <c r="N16" s="46">
        <v>6069</v>
      </c>
      <c r="O16" s="45">
        <v>6322</v>
      </c>
      <c r="P16" s="44">
        <v>2926</v>
      </c>
      <c r="Q16" s="45">
        <v>2995</v>
      </c>
      <c r="R16" s="46">
        <v>5911</v>
      </c>
      <c r="S16" s="45">
        <v>6097</v>
      </c>
      <c r="T16" s="44">
        <v>2987</v>
      </c>
      <c r="U16" s="45">
        <v>2897</v>
      </c>
      <c r="V16" s="46">
        <v>5659</v>
      </c>
      <c r="W16" s="45">
        <v>5802</v>
      </c>
      <c r="X16" s="44">
        <v>11038</v>
      </c>
      <c r="Y16" s="45">
        <v>10618</v>
      </c>
      <c r="Z16" s="46">
        <v>23716</v>
      </c>
      <c r="AA16" s="45">
        <v>23431</v>
      </c>
      <c r="AB16" s="44">
        <v>8358</v>
      </c>
      <c r="AC16" s="45">
        <v>8149</v>
      </c>
      <c r="AD16" s="46">
        <v>22867</v>
      </c>
      <c r="AE16" s="47">
        <v>19980</v>
      </c>
      <c r="AF16" s="44">
        <v>9571</v>
      </c>
      <c r="AG16" s="45">
        <v>9160</v>
      </c>
      <c r="AH16" s="46">
        <v>20712</v>
      </c>
      <c r="AI16" s="47">
        <v>18962</v>
      </c>
      <c r="AJ16" s="44">
        <v>11034</v>
      </c>
      <c r="AK16" s="45">
        <v>8307</v>
      </c>
      <c r="AL16" s="46">
        <v>16487</v>
      </c>
      <c r="AM16" s="47">
        <v>15026</v>
      </c>
      <c r="AN16" s="44">
        <v>16369</v>
      </c>
      <c r="AO16" s="45">
        <v>12589</v>
      </c>
      <c r="AP16" s="46">
        <v>28467</v>
      </c>
      <c r="AQ16" s="47">
        <v>25017</v>
      </c>
      <c r="AR16" s="44">
        <v>14761</v>
      </c>
      <c r="AS16" s="45">
        <v>11083</v>
      </c>
      <c r="AT16" s="46">
        <v>24813</v>
      </c>
      <c r="AU16" s="47">
        <v>20593</v>
      </c>
      <c r="AV16" s="44">
        <v>7768</v>
      </c>
      <c r="AW16" s="45">
        <v>5775</v>
      </c>
      <c r="AX16" s="46">
        <v>13334</v>
      </c>
      <c r="AY16" s="47">
        <v>12962</v>
      </c>
      <c r="AZ16" s="44">
        <v>1144</v>
      </c>
      <c r="BA16" s="45">
        <v>864</v>
      </c>
      <c r="BB16" s="46">
        <v>4477</v>
      </c>
      <c r="BC16" s="47">
        <v>4648</v>
      </c>
      <c r="BD16" s="44">
        <v>28</v>
      </c>
      <c r="BE16" s="45">
        <v>13</v>
      </c>
      <c r="BF16" s="46">
        <v>120</v>
      </c>
      <c r="BG16" s="130">
        <v>79</v>
      </c>
      <c r="BH16" s="101"/>
    </row>
    <row r="17" spans="1:75" x14ac:dyDescent="0.25">
      <c r="A17" s="49"/>
      <c r="B17" s="50"/>
      <c r="C17" s="51"/>
      <c r="D17" s="52"/>
      <c r="E17" s="53"/>
      <c r="F17" s="54"/>
      <c r="G17" s="53"/>
      <c r="H17" s="52"/>
      <c r="I17" s="53"/>
      <c r="J17" s="54"/>
      <c r="K17" s="53"/>
      <c r="L17" s="52"/>
      <c r="M17" s="53"/>
      <c r="N17" s="54"/>
      <c r="O17" s="53"/>
      <c r="P17" s="52"/>
      <c r="Q17" s="53"/>
      <c r="R17" s="54"/>
      <c r="S17" s="53"/>
      <c r="T17" s="52"/>
      <c r="U17" s="53"/>
      <c r="V17" s="54"/>
      <c r="W17" s="53"/>
      <c r="X17" s="52"/>
      <c r="Y17" s="53"/>
      <c r="Z17" s="54"/>
      <c r="AA17" s="53"/>
      <c r="AB17" s="52"/>
      <c r="AC17" s="53"/>
      <c r="AD17" s="54"/>
      <c r="AE17" s="55"/>
      <c r="AF17" s="52"/>
      <c r="AG17" s="53"/>
      <c r="AH17" s="54"/>
      <c r="AI17" s="55"/>
      <c r="AJ17" s="52"/>
      <c r="AK17" s="53"/>
      <c r="AL17" s="54"/>
      <c r="AM17" s="55"/>
      <c r="AN17" s="52"/>
      <c r="AO17" s="53"/>
      <c r="AP17" s="54"/>
      <c r="AQ17" s="55"/>
      <c r="AR17" s="52"/>
      <c r="AS17" s="53"/>
      <c r="AT17" s="54"/>
      <c r="AU17" s="55"/>
      <c r="AV17" s="52"/>
      <c r="AW17" s="53"/>
      <c r="AX17" s="54"/>
      <c r="AY17" s="55"/>
      <c r="AZ17" s="52"/>
      <c r="BA17" s="53"/>
      <c r="BB17" s="54"/>
      <c r="BC17" s="55"/>
      <c r="BD17" s="52"/>
      <c r="BE17" s="53"/>
      <c r="BF17" s="54"/>
      <c r="BG17" s="131"/>
      <c r="BH17" s="101"/>
    </row>
    <row r="18" spans="1:75" ht="16.5" thickBot="1" x14ac:dyDescent="0.3">
      <c r="A18" s="56" t="s">
        <v>29</v>
      </c>
      <c r="B18" s="57"/>
      <c r="C18" s="58"/>
      <c r="D18" s="59"/>
      <c r="E18" s="60"/>
      <c r="F18" s="61"/>
      <c r="G18" s="60"/>
      <c r="H18" s="59"/>
      <c r="I18" s="60"/>
      <c r="J18" s="61"/>
      <c r="K18" s="60"/>
      <c r="L18" s="59"/>
      <c r="M18" s="60"/>
      <c r="N18" s="61"/>
      <c r="O18" s="60"/>
      <c r="P18" s="59"/>
      <c r="Q18" s="60"/>
      <c r="R18" s="61"/>
      <c r="S18" s="60"/>
      <c r="T18" s="59"/>
      <c r="U18" s="60"/>
      <c r="V18" s="61"/>
      <c r="W18" s="60"/>
      <c r="X18" s="59"/>
      <c r="Y18" s="60"/>
      <c r="Z18" s="61"/>
      <c r="AA18" s="60"/>
      <c r="AB18" s="59"/>
      <c r="AC18" s="60"/>
      <c r="AD18" s="61"/>
      <c r="AE18" s="62"/>
      <c r="AF18" s="59"/>
      <c r="AG18" s="60"/>
      <c r="AH18" s="61"/>
      <c r="AI18" s="62"/>
      <c r="AJ18" s="59"/>
      <c r="AK18" s="60"/>
      <c r="AL18" s="61"/>
      <c r="AM18" s="62"/>
      <c r="AN18" s="59"/>
      <c r="AO18" s="60"/>
      <c r="AP18" s="61"/>
      <c r="AQ18" s="62"/>
      <c r="AR18" s="59"/>
      <c r="AS18" s="60"/>
      <c r="AT18" s="61"/>
      <c r="AU18" s="62"/>
      <c r="AV18" s="59"/>
      <c r="AW18" s="60"/>
      <c r="AX18" s="61"/>
      <c r="AY18" s="62"/>
      <c r="AZ18" s="59"/>
      <c r="BA18" s="60"/>
      <c r="BB18" s="61"/>
      <c r="BC18" s="62"/>
      <c r="BD18" s="59"/>
      <c r="BE18" s="60"/>
      <c r="BF18" s="61"/>
      <c r="BG18" s="132"/>
      <c r="BH18" s="101"/>
      <c r="BP18" t="s">
        <v>168</v>
      </c>
      <c r="BQ18" t="s">
        <v>169</v>
      </c>
      <c r="BR18" t="s">
        <v>170</v>
      </c>
      <c r="BS18" t="s">
        <v>171</v>
      </c>
      <c r="BT18" t="s">
        <v>19</v>
      </c>
      <c r="BU18" t="s">
        <v>172</v>
      </c>
      <c r="BV18" t="s">
        <v>167</v>
      </c>
      <c r="BW18" t="s">
        <v>173</v>
      </c>
    </row>
    <row r="19" spans="1:75" x14ac:dyDescent="0.25">
      <c r="A19" s="63">
        <v>1</v>
      </c>
      <c r="B19" s="23" t="s">
        <v>30</v>
      </c>
      <c r="C19" s="39" t="s">
        <v>31</v>
      </c>
      <c r="D19" s="64">
        <v>93</v>
      </c>
      <c r="E19" s="46">
        <v>76</v>
      </c>
      <c r="F19" s="65">
        <v>104</v>
      </c>
      <c r="G19" s="46">
        <v>105</v>
      </c>
      <c r="H19" s="64">
        <v>51</v>
      </c>
      <c r="I19" s="46">
        <v>63</v>
      </c>
      <c r="J19" s="65">
        <v>67</v>
      </c>
      <c r="K19" s="46">
        <v>74</v>
      </c>
      <c r="L19" s="64">
        <v>55</v>
      </c>
      <c r="M19" s="46">
        <v>63</v>
      </c>
      <c r="N19" s="65">
        <v>82</v>
      </c>
      <c r="O19" s="46">
        <v>88</v>
      </c>
      <c r="P19" s="64">
        <v>81</v>
      </c>
      <c r="Q19" s="46">
        <v>57</v>
      </c>
      <c r="R19" s="65">
        <v>77</v>
      </c>
      <c r="S19" s="46">
        <v>79</v>
      </c>
      <c r="T19" s="64">
        <v>89</v>
      </c>
      <c r="U19" s="46">
        <v>84</v>
      </c>
      <c r="V19" s="65">
        <v>87</v>
      </c>
      <c r="W19" s="46">
        <v>78</v>
      </c>
      <c r="X19" s="64">
        <v>351</v>
      </c>
      <c r="Y19" s="46">
        <v>299</v>
      </c>
      <c r="Z19" s="65">
        <v>327</v>
      </c>
      <c r="AA19" s="46">
        <v>338</v>
      </c>
      <c r="AB19" s="64">
        <v>311</v>
      </c>
      <c r="AC19" s="46">
        <v>289</v>
      </c>
      <c r="AD19" s="65">
        <v>310</v>
      </c>
      <c r="AE19" s="66">
        <v>256</v>
      </c>
      <c r="AF19" s="64">
        <v>263</v>
      </c>
      <c r="AG19" s="46">
        <v>241</v>
      </c>
      <c r="AH19" s="65">
        <v>224</v>
      </c>
      <c r="AI19" s="66">
        <v>227</v>
      </c>
      <c r="AJ19" s="64">
        <v>222</v>
      </c>
      <c r="AK19" s="46">
        <v>248</v>
      </c>
      <c r="AL19" s="65">
        <v>200</v>
      </c>
      <c r="AM19" s="66">
        <v>211</v>
      </c>
      <c r="AN19" s="64">
        <v>335</v>
      </c>
      <c r="AO19" s="46">
        <v>300</v>
      </c>
      <c r="AP19" s="65">
        <v>324</v>
      </c>
      <c r="AQ19" s="66">
        <v>331</v>
      </c>
      <c r="AR19" s="64">
        <v>364</v>
      </c>
      <c r="AS19" s="46">
        <v>329</v>
      </c>
      <c r="AT19" s="65">
        <v>382</v>
      </c>
      <c r="AU19" s="66">
        <v>287</v>
      </c>
      <c r="AV19" s="64">
        <v>224</v>
      </c>
      <c r="AW19" s="46">
        <v>205</v>
      </c>
      <c r="AX19" s="65">
        <v>237</v>
      </c>
      <c r="AY19" s="66">
        <v>163</v>
      </c>
      <c r="AZ19" s="64">
        <v>45</v>
      </c>
      <c r="BA19" s="46">
        <v>34</v>
      </c>
      <c r="BB19" s="65">
        <v>69</v>
      </c>
      <c r="BC19" s="66">
        <v>37</v>
      </c>
      <c r="BD19" s="64"/>
      <c r="BE19" s="46"/>
      <c r="BF19" s="65"/>
      <c r="BG19" s="133"/>
      <c r="BH19" s="65"/>
      <c r="BI19" s="22" t="s">
        <v>30</v>
      </c>
      <c r="BJ19" s="101">
        <f>SUM(AZ19,AV19,AR19,AN19,AJ19,AF19)</f>
        <v>1453</v>
      </c>
      <c r="BK19" s="101">
        <f t="shared" ref="BK19:BM19" si="2">SUM(BA19,AW19,AS19,AO19,AK19,AG19)</f>
        <v>1357</v>
      </c>
      <c r="BL19" s="101">
        <f t="shared" si="2"/>
        <v>1436</v>
      </c>
      <c r="BM19" s="101">
        <f t="shared" si="2"/>
        <v>1256</v>
      </c>
      <c r="BO19" t="s">
        <v>174</v>
      </c>
      <c r="BP19">
        <v>1453</v>
      </c>
      <c r="BQ19">
        <v>1357</v>
      </c>
      <c r="BR19">
        <v>1436</v>
      </c>
      <c r="BS19">
        <v>1256</v>
      </c>
      <c r="BT19">
        <f>SUM(BP19:BQ19)</f>
        <v>2810</v>
      </c>
      <c r="BU19">
        <f>SUM(BR19:BS20)</f>
        <v>6681</v>
      </c>
      <c r="BV19">
        <f t="shared" ref="BV19:BV50" si="3">SUM(BP19:BS19)</f>
        <v>5502</v>
      </c>
      <c r="BW19" s="148">
        <f>BT19/BV19</f>
        <v>0.51072337331879314</v>
      </c>
    </row>
    <row r="20" spans="1:75" x14ac:dyDescent="0.25">
      <c r="A20" s="63">
        <v>2</v>
      </c>
      <c r="B20" s="23" t="s">
        <v>32</v>
      </c>
      <c r="C20" s="24"/>
      <c r="D20" s="64">
        <v>24</v>
      </c>
      <c r="E20" s="46">
        <v>46</v>
      </c>
      <c r="F20" s="65">
        <v>150</v>
      </c>
      <c r="G20" s="46">
        <v>175</v>
      </c>
      <c r="H20" s="64">
        <v>27</v>
      </c>
      <c r="I20" s="46">
        <v>30</v>
      </c>
      <c r="J20" s="65">
        <v>128</v>
      </c>
      <c r="K20" s="46">
        <v>109</v>
      </c>
      <c r="L20" s="64">
        <v>40</v>
      </c>
      <c r="M20" s="46">
        <v>25</v>
      </c>
      <c r="N20" s="65">
        <v>128</v>
      </c>
      <c r="O20" s="46">
        <v>130</v>
      </c>
      <c r="P20" s="64">
        <v>30</v>
      </c>
      <c r="Q20" s="46">
        <v>44</v>
      </c>
      <c r="R20" s="65">
        <v>161</v>
      </c>
      <c r="S20" s="46">
        <v>150</v>
      </c>
      <c r="T20" s="64">
        <v>34</v>
      </c>
      <c r="U20" s="46">
        <v>36</v>
      </c>
      <c r="V20" s="65">
        <v>141</v>
      </c>
      <c r="W20" s="46">
        <v>132</v>
      </c>
      <c r="X20" s="64">
        <v>153</v>
      </c>
      <c r="Y20" s="46">
        <v>132</v>
      </c>
      <c r="Z20" s="65">
        <v>612</v>
      </c>
      <c r="AA20" s="46">
        <v>539</v>
      </c>
      <c r="AB20" s="64">
        <v>144</v>
      </c>
      <c r="AC20" s="46">
        <v>122</v>
      </c>
      <c r="AD20" s="65">
        <v>539</v>
      </c>
      <c r="AE20" s="66">
        <v>475</v>
      </c>
      <c r="AF20" s="64">
        <v>154</v>
      </c>
      <c r="AG20" s="46">
        <v>123</v>
      </c>
      <c r="AH20" s="65">
        <v>352</v>
      </c>
      <c r="AI20" s="66">
        <v>405</v>
      </c>
      <c r="AJ20" s="64">
        <v>90</v>
      </c>
      <c r="AK20" s="46">
        <v>103</v>
      </c>
      <c r="AL20" s="65">
        <v>215</v>
      </c>
      <c r="AM20" s="66">
        <v>330</v>
      </c>
      <c r="AN20" s="64">
        <v>193</v>
      </c>
      <c r="AO20" s="46">
        <v>166</v>
      </c>
      <c r="AP20" s="65">
        <v>360</v>
      </c>
      <c r="AQ20" s="66">
        <v>591</v>
      </c>
      <c r="AR20" s="64">
        <v>179</v>
      </c>
      <c r="AS20" s="46">
        <v>172</v>
      </c>
      <c r="AT20" s="65">
        <v>489</v>
      </c>
      <c r="AU20" s="66">
        <v>445</v>
      </c>
      <c r="AV20" s="64">
        <v>114</v>
      </c>
      <c r="AW20" s="46">
        <v>94</v>
      </c>
      <c r="AX20" s="65">
        <v>318</v>
      </c>
      <c r="AY20" s="66">
        <v>294</v>
      </c>
      <c r="AZ20" s="64">
        <v>27</v>
      </c>
      <c r="BA20" s="46">
        <v>22</v>
      </c>
      <c r="BB20" s="65">
        <v>94</v>
      </c>
      <c r="BC20" s="66">
        <v>96</v>
      </c>
      <c r="BD20" s="64"/>
      <c r="BE20" s="46"/>
      <c r="BF20" s="65"/>
      <c r="BG20" s="133"/>
      <c r="BH20" s="65"/>
      <c r="BI20" s="22" t="s">
        <v>32</v>
      </c>
      <c r="BJ20" s="101">
        <f t="shared" ref="BJ20:BJ83" si="4">SUM(AZ20,AV20,AR20,AN20,AJ20,AF20)</f>
        <v>757</v>
      </c>
      <c r="BK20" s="101">
        <f t="shared" ref="BK20:BK83" si="5">SUM(BA20,AW20,AS20,AO20,AK20,AG20)</f>
        <v>680</v>
      </c>
      <c r="BL20" s="101">
        <f t="shared" ref="BL20:BL83" si="6">SUM(BB20,AX20,AT20,AP20,AL20,AH20)</f>
        <v>1828</v>
      </c>
      <c r="BM20" s="101">
        <f t="shared" ref="BM20:BM83" si="7">SUM(BC20,AY20,AU20,AQ20,AM20,AI20)</f>
        <v>2161</v>
      </c>
      <c r="BO20" t="s">
        <v>175</v>
      </c>
      <c r="BP20">
        <v>757</v>
      </c>
      <c r="BQ20">
        <v>680</v>
      </c>
      <c r="BR20">
        <v>1828</v>
      </c>
      <c r="BS20">
        <v>2161</v>
      </c>
      <c r="BT20">
        <f t="shared" ref="BT20:BT83" si="8">SUM(BP20:BQ20)</f>
        <v>1437</v>
      </c>
      <c r="BU20">
        <f t="shared" ref="BU20:BU83" si="9">SUM(BR20:BS21)</f>
        <v>16485</v>
      </c>
      <c r="BV20">
        <f t="shared" si="3"/>
        <v>5426</v>
      </c>
      <c r="BW20" s="148">
        <f t="shared" ref="BW20:BW83" si="10">BT20/BV20</f>
        <v>0.26483597493549577</v>
      </c>
    </row>
    <row r="21" spans="1:75" x14ac:dyDescent="0.25">
      <c r="A21" s="63">
        <v>3</v>
      </c>
      <c r="B21" s="23" t="s">
        <v>33</v>
      </c>
      <c r="C21" s="24"/>
      <c r="D21" s="64">
        <v>101</v>
      </c>
      <c r="E21" s="46">
        <v>120</v>
      </c>
      <c r="F21" s="65">
        <v>411</v>
      </c>
      <c r="G21" s="46">
        <v>459</v>
      </c>
      <c r="H21" s="64">
        <v>89</v>
      </c>
      <c r="I21" s="46">
        <v>84</v>
      </c>
      <c r="J21" s="65">
        <v>287</v>
      </c>
      <c r="K21" s="46">
        <v>263</v>
      </c>
      <c r="L21" s="64">
        <v>131</v>
      </c>
      <c r="M21" s="46">
        <v>99</v>
      </c>
      <c r="N21" s="65">
        <v>366</v>
      </c>
      <c r="O21" s="46">
        <v>371</v>
      </c>
      <c r="P21" s="64">
        <v>110</v>
      </c>
      <c r="Q21" s="46">
        <v>109</v>
      </c>
      <c r="R21" s="65">
        <v>376</v>
      </c>
      <c r="S21" s="46">
        <v>399</v>
      </c>
      <c r="T21" s="64">
        <v>103</v>
      </c>
      <c r="U21" s="46">
        <v>110</v>
      </c>
      <c r="V21" s="65">
        <v>370</v>
      </c>
      <c r="W21" s="46">
        <v>363</v>
      </c>
      <c r="X21" s="64">
        <v>560</v>
      </c>
      <c r="Y21" s="46">
        <v>560</v>
      </c>
      <c r="Z21" s="65">
        <v>1512</v>
      </c>
      <c r="AA21" s="46">
        <v>1487</v>
      </c>
      <c r="AB21" s="64">
        <v>669</v>
      </c>
      <c r="AC21" s="46">
        <v>588</v>
      </c>
      <c r="AD21" s="65">
        <v>1303</v>
      </c>
      <c r="AE21" s="66">
        <v>1273</v>
      </c>
      <c r="AF21" s="64">
        <v>743</v>
      </c>
      <c r="AG21" s="46">
        <v>793</v>
      </c>
      <c r="AH21" s="65">
        <v>1130</v>
      </c>
      <c r="AI21" s="66">
        <v>1201</v>
      </c>
      <c r="AJ21" s="64">
        <v>416</v>
      </c>
      <c r="AK21" s="46">
        <v>529</v>
      </c>
      <c r="AL21" s="65">
        <v>745</v>
      </c>
      <c r="AM21" s="66">
        <v>1071</v>
      </c>
      <c r="AN21" s="64">
        <v>675</v>
      </c>
      <c r="AO21" s="46">
        <v>732</v>
      </c>
      <c r="AP21" s="65">
        <v>1287</v>
      </c>
      <c r="AQ21" s="66">
        <v>1593</v>
      </c>
      <c r="AR21" s="64">
        <v>887</v>
      </c>
      <c r="AS21" s="46">
        <v>938</v>
      </c>
      <c r="AT21" s="65">
        <v>1421</v>
      </c>
      <c r="AU21" s="66">
        <v>1495</v>
      </c>
      <c r="AV21" s="64">
        <v>577</v>
      </c>
      <c r="AW21" s="46">
        <v>600</v>
      </c>
      <c r="AX21" s="65">
        <v>938</v>
      </c>
      <c r="AY21" s="66">
        <v>934</v>
      </c>
      <c r="AZ21" s="64">
        <v>178</v>
      </c>
      <c r="BA21" s="46">
        <v>164</v>
      </c>
      <c r="BB21" s="65">
        <v>322</v>
      </c>
      <c r="BC21" s="66">
        <v>359</v>
      </c>
      <c r="BD21" s="64"/>
      <c r="BE21" s="46">
        <v>1</v>
      </c>
      <c r="BF21" s="65">
        <v>1</v>
      </c>
      <c r="BG21" s="133"/>
      <c r="BH21" s="65"/>
      <c r="BI21" s="22" t="s">
        <v>33</v>
      </c>
      <c r="BJ21" s="101">
        <f t="shared" si="4"/>
        <v>3476</v>
      </c>
      <c r="BK21" s="101">
        <f t="shared" si="5"/>
        <v>3756</v>
      </c>
      <c r="BL21" s="101">
        <f t="shared" si="6"/>
        <v>5843</v>
      </c>
      <c r="BM21" s="101">
        <f t="shared" si="7"/>
        <v>6653</v>
      </c>
      <c r="BO21" t="s">
        <v>176</v>
      </c>
      <c r="BP21">
        <v>3476</v>
      </c>
      <c r="BQ21">
        <v>3756</v>
      </c>
      <c r="BR21">
        <v>5843</v>
      </c>
      <c r="BS21">
        <v>6653</v>
      </c>
      <c r="BT21">
        <f t="shared" si="8"/>
        <v>7232</v>
      </c>
      <c r="BU21">
        <f t="shared" si="9"/>
        <v>17270</v>
      </c>
      <c r="BV21">
        <f t="shared" si="3"/>
        <v>19728</v>
      </c>
      <c r="BW21" s="148">
        <f t="shared" si="10"/>
        <v>0.36658556366585565</v>
      </c>
    </row>
    <row r="22" spans="1:75" x14ac:dyDescent="0.25">
      <c r="A22" s="63">
        <v>4</v>
      </c>
      <c r="B22" s="23" t="s">
        <v>34</v>
      </c>
      <c r="C22" s="24"/>
      <c r="D22" s="64">
        <v>130</v>
      </c>
      <c r="E22" s="46">
        <v>86</v>
      </c>
      <c r="F22" s="65">
        <v>163</v>
      </c>
      <c r="G22" s="46">
        <v>158</v>
      </c>
      <c r="H22" s="64">
        <v>94</v>
      </c>
      <c r="I22" s="46">
        <v>108</v>
      </c>
      <c r="J22" s="65">
        <v>122</v>
      </c>
      <c r="K22" s="46">
        <v>118</v>
      </c>
      <c r="L22" s="64">
        <v>109</v>
      </c>
      <c r="M22" s="46">
        <v>81</v>
      </c>
      <c r="N22" s="65">
        <v>148</v>
      </c>
      <c r="O22" s="46">
        <v>138</v>
      </c>
      <c r="P22" s="64">
        <v>130</v>
      </c>
      <c r="Q22" s="46">
        <v>110</v>
      </c>
      <c r="R22" s="65">
        <v>149</v>
      </c>
      <c r="S22" s="46">
        <v>134</v>
      </c>
      <c r="T22" s="64">
        <v>90</v>
      </c>
      <c r="U22" s="46">
        <v>87</v>
      </c>
      <c r="V22" s="65">
        <v>124</v>
      </c>
      <c r="W22" s="46">
        <v>112</v>
      </c>
      <c r="X22" s="64">
        <v>467</v>
      </c>
      <c r="Y22" s="46">
        <v>431</v>
      </c>
      <c r="Z22" s="65">
        <v>508</v>
      </c>
      <c r="AA22" s="46">
        <v>509</v>
      </c>
      <c r="AB22" s="64">
        <v>371</v>
      </c>
      <c r="AC22" s="46">
        <v>327</v>
      </c>
      <c r="AD22" s="65">
        <v>453</v>
      </c>
      <c r="AE22" s="66">
        <v>456</v>
      </c>
      <c r="AF22" s="64">
        <v>350</v>
      </c>
      <c r="AG22" s="46">
        <v>332</v>
      </c>
      <c r="AH22" s="65">
        <v>381</v>
      </c>
      <c r="AI22" s="66">
        <v>339</v>
      </c>
      <c r="AJ22" s="64">
        <v>313</v>
      </c>
      <c r="AK22" s="46">
        <v>362</v>
      </c>
      <c r="AL22" s="65">
        <v>363</v>
      </c>
      <c r="AM22" s="66">
        <v>310</v>
      </c>
      <c r="AN22" s="64">
        <v>573</v>
      </c>
      <c r="AO22" s="46">
        <v>499</v>
      </c>
      <c r="AP22" s="65">
        <v>651</v>
      </c>
      <c r="AQ22" s="66">
        <v>678</v>
      </c>
      <c r="AR22" s="64">
        <v>501</v>
      </c>
      <c r="AS22" s="46">
        <v>422</v>
      </c>
      <c r="AT22" s="65">
        <v>718</v>
      </c>
      <c r="AU22" s="66">
        <v>549</v>
      </c>
      <c r="AV22" s="64">
        <v>316</v>
      </c>
      <c r="AW22" s="46">
        <v>252</v>
      </c>
      <c r="AX22" s="65">
        <v>356</v>
      </c>
      <c r="AY22" s="66">
        <v>276</v>
      </c>
      <c r="AZ22" s="64">
        <v>41</v>
      </c>
      <c r="BA22" s="46">
        <v>38</v>
      </c>
      <c r="BB22" s="65">
        <v>88</v>
      </c>
      <c r="BC22" s="66">
        <v>65</v>
      </c>
      <c r="BD22" s="64">
        <v>5</v>
      </c>
      <c r="BE22" s="46"/>
      <c r="BF22" s="65">
        <v>9</v>
      </c>
      <c r="BG22" s="133">
        <v>9</v>
      </c>
      <c r="BH22" s="65"/>
      <c r="BI22" s="22" t="s">
        <v>34</v>
      </c>
      <c r="BJ22" s="101">
        <f t="shared" si="4"/>
        <v>2094</v>
      </c>
      <c r="BK22" s="101">
        <f t="shared" si="5"/>
        <v>1905</v>
      </c>
      <c r="BL22" s="101">
        <f t="shared" si="6"/>
        <v>2557</v>
      </c>
      <c r="BM22" s="101">
        <f t="shared" si="7"/>
        <v>2217</v>
      </c>
      <c r="BO22" t="s">
        <v>177</v>
      </c>
      <c r="BP22">
        <v>2094</v>
      </c>
      <c r="BQ22">
        <v>1905</v>
      </c>
      <c r="BR22">
        <v>2557</v>
      </c>
      <c r="BS22">
        <v>2217</v>
      </c>
      <c r="BT22">
        <f t="shared" si="8"/>
        <v>3999</v>
      </c>
      <c r="BU22">
        <f t="shared" si="9"/>
        <v>11366</v>
      </c>
      <c r="BV22">
        <f t="shared" si="3"/>
        <v>8773</v>
      </c>
      <c r="BW22" s="148">
        <f t="shared" si="10"/>
        <v>0.45583038869257952</v>
      </c>
    </row>
    <row r="23" spans="1:75" x14ac:dyDescent="0.25">
      <c r="A23" s="63">
        <v>5</v>
      </c>
      <c r="B23" s="23" t="s">
        <v>35</v>
      </c>
      <c r="C23" s="24"/>
      <c r="D23" s="64">
        <v>34</v>
      </c>
      <c r="E23" s="46">
        <v>45</v>
      </c>
      <c r="F23" s="65">
        <v>237</v>
      </c>
      <c r="G23" s="46">
        <v>207</v>
      </c>
      <c r="H23" s="64">
        <v>32</v>
      </c>
      <c r="I23" s="46">
        <v>31</v>
      </c>
      <c r="J23" s="65">
        <v>133</v>
      </c>
      <c r="K23" s="46">
        <v>148</v>
      </c>
      <c r="L23" s="64">
        <v>44</v>
      </c>
      <c r="M23" s="46">
        <v>42</v>
      </c>
      <c r="N23" s="65">
        <v>207</v>
      </c>
      <c r="O23" s="46">
        <v>233</v>
      </c>
      <c r="P23" s="64">
        <v>45</v>
      </c>
      <c r="Q23" s="46">
        <v>46</v>
      </c>
      <c r="R23" s="65">
        <v>208</v>
      </c>
      <c r="S23" s="46">
        <v>218</v>
      </c>
      <c r="T23" s="64">
        <v>38</v>
      </c>
      <c r="U23" s="46">
        <v>38</v>
      </c>
      <c r="V23" s="65">
        <v>233</v>
      </c>
      <c r="W23" s="46">
        <v>243</v>
      </c>
      <c r="X23" s="64">
        <v>191</v>
      </c>
      <c r="Y23" s="46">
        <v>189</v>
      </c>
      <c r="Z23" s="65">
        <v>1033</v>
      </c>
      <c r="AA23" s="46">
        <v>930</v>
      </c>
      <c r="AB23" s="64">
        <v>135</v>
      </c>
      <c r="AC23" s="46">
        <v>177</v>
      </c>
      <c r="AD23" s="65">
        <v>905</v>
      </c>
      <c r="AE23" s="66">
        <v>757</v>
      </c>
      <c r="AF23" s="64">
        <v>122</v>
      </c>
      <c r="AG23" s="46">
        <v>152</v>
      </c>
      <c r="AH23" s="65">
        <v>621</v>
      </c>
      <c r="AI23" s="66">
        <v>647</v>
      </c>
      <c r="AJ23" s="64">
        <v>137</v>
      </c>
      <c r="AK23" s="46">
        <v>149</v>
      </c>
      <c r="AL23" s="65">
        <v>416</v>
      </c>
      <c r="AM23" s="66">
        <v>544</v>
      </c>
      <c r="AN23" s="64">
        <v>234</v>
      </c>
      <c r="AO23" s="46">
        <v>179</v>
      </c>
      <c r="AP23" s="65">
        <v>698</v>
      </c>
      <c r="AQ23" s="66">
        <v>875</v>
      </c>
      <c r="AR23" s="64">
        <v>237</v>
      </c>
      <c r="AS23" s="46">
        <v>191</v>
      </c>
      <c r="AT23" s="65">
        <v>780</v>
      </c>
      <c r="AU23" s="66">
        <v>732</v>
      </c>
      <c r="AV23" s="64">
        <v>151</v>
      </c>
      <c r="AW23" s="46">
        <v>113</v>
      </c>
      <c r="AX23" s="65">
        <v>511</v>
      </c>
      <c r="AY23" s="66">
        <v>451</v>
      </c>
      <c r="AZ23" s="64">
        <v>24</v>
      </c>
      <c r="BA23" s="46">
        <v>27</v>
      </c>
      <c r="BB23" s="65">
        <v>156</v>
      </c>
      <c r="BC23" s="66">
        <v>161</v>
      </c>
      <c r="BD23" s="64"/>
      <c r="BE23" s="46"/>
      <c r="BF23" s="65"/>
      <c r="BG23" s="133">
        <v>3</v>
      </c>
      <c r="BH23" s="65"/>
      <c r="BI23" s="22" t="s">
        <v>35</v>
      </c>
      <c r="BJ23" s="101">
        <f t="shared" si="4"/>
        <v>905</v>
      </c>
      <c r="BK23" s="101">
        <f t="shared" si="5"/>
        <v>811</v>
      </c>
      <c r="BL23" s="101">
        <f t="shared" si="6"/>
        <v>3182</v>
      </c>
      <c r="BM23" s="101">
        <f t="shared" si="7"/>
        <v>3410</v>
      </c>
      <c r="BO23" t="s">
        <v>178</v>
      </c>
      <c r="BP23">
        <v>905</v>
      </c>
      <c r="BQ23">
        <v>811</v>
      </c>
      <c r="BR23">
        <v>3182</v>
      </c>
      <c r="BS23">
        <v>3410</v>
      </c>
      <c r="BT23">
        <f t="shared" si="8"/>
        <v>1716</v>
      </c>
      <c r="BU23">
        <f t="shared" si="9"/>
        <v>12777</v>
      </c>
      <c r="BV23">
        <f t="shared" si="3"/>
        <v>8308</v>
      </c>
      <c r="BW23" s="148">
        <f t="shared" si="10"/>
        <v>0.2065479056331247</v>
      </c>
    </row>
    <row r="24" spans="1:75" ht="15.75" x14ac:dyDescent="0.25">
      <c r="A24" s="63">
        <v>6</v>
      </c>
      <c r="B24" s="23" t="s">
        <v>36</v>
      </c>
      <c r="C24" s="67"/>
      <c r="D24" s="44">
        <v>99</v>
      </c>
      <c r="E24" s="45">
        <v>120</v>
      </c>
      <c r="F24" s="46">
        <v>182</v>
      </c>
      <c r="G24" s="45">
        <v>213</v>
      </c>
      <c r="H24" s="44">
        <v>81</v>
      </c>
      <c r="I24" s="45">
        <v>94</v>
      </c>
      <c r="J24" s="46">
        <v>102</v>
      </c>
      <c r="K24" s="45">
        <v>110</v>
      </c>
      <c r="L24" s="44">
        <v>100</v>
      </c>
      <c r="M24" s="45">
        <v>109</v>
      </c>
      <c r="N24" s="46">
        <v>149</v>
      </c>
      <c r="O24" s="45">
        <v>119</v>
      </c>
      <c r="P24" s="44">
        <v>109</v>
      </c>
      <c r="Q24" s="45">
        <v>95</v>
      </c>
      <c r="R24" s="46">
        <v>124</v>
      </c>
      <c r="S24" s="45">
        <v>159</v>
      </c>
      <c r="T24" s="44">
        <v>104</v>
      </c>
      <c r="U24" s="45">
        <v>100</v>
      </c>
      <c r="V24" s="46">
        <v>133</v>
      </c>
      <c r="W24" s="45">
        <v>130</v>
      </c>
      <c r="X24" s="44">
        <v>451</v>
      </c>
      <c r="Y24" s="45">
        <v>424</v>
      </c>
      <c r="Z24" s="46">
        <v>548</v>
      </c>
      <c r="AA24" s="45">
        <v>513</v>
      </c>
      <c r="AB24" s="44">
        <v>362</v>
      </c>
      <c r="AC24" s="45">
        <v>420</v>
      </c>
      <c r="AD24" s="46">
        <v>472</v>
      </c>
      <c r="AE24" s="47">
        <v>491</v>
      </c>
      <c r="AF24" s="44">
        <v>324</v>
      </c>
      <c r="AG24" s="45">
        <v>398</v>
      </c>
      <c r="AH24" s="46">
        <v>477</v>
      </c>
      <c r="AI24" s="47">
        <v>442</v>
      </c>
      <c r="AJ24" s="44">
        <v>284</v>
      </c>
      <c r="AK24" s="45">
        <v>318</v>
      </c>
      <c r="AL24" s="46">
        <v>588</v>
      </c>
      <c r="AM24" s="47">
        <v>401</v>
      </c>
      <c r="AN24" s="44">
        <v>526</v>
      </c>
      <c r="AO24" s="45">
        <v>520</v>
      </c>
      <c r="AP24" s="46">
        <v>1093</v>
      </c>
      <c r="AQ24" s="47">
        <v>773</v>
      </c>
      <c r="AR24" s="44">
        <v>556</v>
      </c>
      <c r="AS24" s="45">
        <v>512</v>
      </c>
      <c r="AT24" s="46">
        <v>920</v>
      </c>
      <c r="AU24" s="47">
        <v>593</v>
      </c>
      <c r="AV24" s="44">
        <v>315</v>
      </c>
      <c r="AW24" s="45">
        <v>249</v>
      </c>
      <c r="AX24" s="46">
        <v>424</v>
      </c>
      <c r="AY24" s="47">
        <v>326</v>
      </c>
      <c r="AZ24" s="44">
        <v>73</v>
      </c>
      <c r="BA24" s="45">
        <v>52</v>
      </c>
      <c r="BB24" s="46">
        <v>69</v>
      </c>
      <c r="BC24" s="47">
        <v>79</v>
      </c>
      <c r="BD24" s="44"/>
      <c r="BE24" s="45"/>
      <c r="BF24" s="46"/>
      <c r="BG24" s="130"/>
      <c r="BH24" s="101"/>
      <c r="BI24" s="22" t="s">
        <v>36</v>
      </c>
      <c r="BJ24" s="101">
        <f t="shared" si="4"/>
        <v>2078</v>
      </c>
      <c r="BK24" s="101">
        <f t="shared" si="5"/>
        <v>2049</v>
      </c>
      <c r="BL24" s="101">
        <f t="shared" si="6"/>
        <v>3571</v>
      </c>
      <c r="BM24" s="101">
        <f t="shared" si="7"/>
        <v>2614</v>
      </c>
      <c r="BO24" t="s">
        <v>179</v>
      </c>
      <c r="BP24">
        <v>2078</v>
      </c>
      <c r="BQ24">
        <v>2049</v>
      </c>
      <c r="BR24">
        <v>3571</v>
      </c>
      <c r="BS24">
        <v>2614</v>
      </c>
      <c r="BT24">
        <f t="shared" si="8"/>
        <v>4127</v>
      </c>
      <c r="BU24">
        <f t="shared" si="9"/>
        <v>9515</v>
      </c>
      <c r="BV24">
        <f t="shared" si="3"/>
        <v>10312</v>
      </c>
      <c r="BW24" s="148">
        <f t="shared" si="10"/>
        <v>0.40021334367726918</v>
      </c>
    </row>
    <row r="25" spans="1:75" x14ac:dyDescent="0.25">
      <c r="A25" s="63">
        <v>7</v>
      </c>
      <c r="B25" s="23" t="s">
        <v>37</v>
      </c>
      <c r="C25" s="39"/>
      <c r="D25" s="64">
        <v>75</v>
      </c>
      <c r="E25" s="46">
        <v>54</v>
      </c>
      <c r="F25" s="65">
        <v>129</v>
      </c>
      <c r="G25" s="46">
        <v>125</v>
      </c>
      <c r="H25" s="64">
        <v>62</v>
      </c>
      <c r="I25" s="46">
        <v>53</v>
      </c>
      <c r="J25" s="65">
        <v>78</v>
      </c>
      <c r="K25" s="46">
        <v>76</v>
      </c>
      <c r="L25" s="64">
        <v>75</v>
      </c>
      <c r="M25" s="46">
        <v>57</v>
      </c>
      <c r="N25" s="65">
        <v>99</v>
      </c>
      <c r="O25" s="46">
        <v>86</v>
      </c>
      <c r="P25" s="64">
        <v>64</v>
      </c>
      <c r="Q25" s="46">
        <v>68</v>
      </c>
      <c r="R25" s="65">
        <v>62</v>
      </c>
      <c r="S25" s="46">
        <v>88</v>
      </c>
      <c r="T25" s="64">
        <v>72</v>
      </c>
      <c r="U25" s="46">
        <v>54</v>
      </c>
      <c r="V25" s="65">
        <v>61</v>
      </c>
      <c r="W25" s="46">
        <v>76</v>
      </c>
      <c r="X25" s="64">
        <v>284</v>
      </c>
      <c r="Y25" s="46">
        <v>273</v>
      </c>
      <c r="Z25" s="65">
        <v>260</v>
      </c>
      <c r="AA25" s="46">
        <v>315</v>
      </c>
      <c r="AB25" s="64">
        <v>228</v>
      </c>
      <c r="AC25" s="46">
        <v>295</v>
      </c>
      <c r="AD25" s="65">
        <v>226</v>
      </c>
      <c r="AE25" s="66">
        <v>278</v>
      </c>
      <c r="AF25" s="64">
        <v>223</v>
      </c>
      <c r="AG25" s="46">
        <v>244</v>
      </c>
      <c r="AH25" s="65">
        <v>232</v>
      </c>
      <c r="AI25" s="66">
        <v>148</v>
      </c>
      <c r="AJ25" s="64">
        <v>237</v>
      </c>
      <c r="AK25" s="46">
        <v>216</v>
      </c>
      <c r="AL25" s="65">
        <v>344</v>
      </c>
      <c r="AM25" s="66">
        <v>185</v>
      </c>
      <c r="AN25" s="64">
        <v>368</v>
      </c>
      <c r="AO25" s="46">
        <v>304</v>
      </c>
      <c r="AP25" s="65">
        <v>744</v>
      </c>
      <c r="AQ25" s="66">
        <v>538</v>
      </c>
      <c r="AR25" s="64">
        <v>351</v>
      </c>
      <c r="AS25" s="46">
        <v>279</v>
      </c>
      <c r="AT25" s="65">
        <v>613</v>
      </c>
      <c r="AU25" s="66">
        <v>291</v>
      </c>
      <c r="AV25" s="64">
        <v>185</v>
      </c>
      <c r="AW25" s="46">
        <v>134</v>
      </c>
      <c r="AX25" s="65">
        <v>122</v>
      </c>
      <c r="AY25" s="66">
        <v>83</v>
      </c>
      <c r="AZ25" s="64">
        <v>18</v>
      </c>
      <c r="BA25" s="46">
        <v>13</v>
      </c>
      <c r="BB25" s="65">
        <v>16</v>
      </c>
      <c r="BC25" s="66">
        <v>14</v>
      </c>
      <c r="BD25" s="64"/>
      <c r="BE25" s="46"/>
      <c r="BF25" s="65">
        <v>2</v>
      </c>
      <c r="BG25" s="133"/>
      <c r="BH25" s="65"/>
      <c r="BI25" s="22" t="s">
        <v>37</v>
      </c>
      <c r="BJ25" s="101">
        <f t="shared" si="4"/>
        <v>1382</v>
      </c>
      <c r="BK25" s="101">
        <f t="shared" si="5"/>
        <v>1190</v>
      </c>
      <c r="BL25" s="101">
        <f t="shared" si="6"/>
        <v>2071</v>
      </c>
      <c r="BM25" s="101">
        <f t="shared" si="7"/>
        <v>1259</v>
      </c>
      <c r="BO25" t="s">
        <v>180</v>
      </c>
      <c r="BP25">
        <v>1382</v>
      </c>
      <c r="BQ25">
        <v>1190</v>
      </c>
      <c r="BR25">
        <v>2071</v>
      </c>
      <c r="BS25">
        <v>1259</v>
      </c>
      <c r="BT25">
        <f t="shared" si="8"/>
        <v>2572</v>
      </c>
      <c r="BU25">
        <f t="shared" si="9"/>
        <v>21775</v>
      </c>
      <c r="BV25">
        <f t="shared" si="3"/>
        <v>5902</v>
      </c>
      <c r="BW25" s="148">
        <f t="shared" si="10"/>
        <v>0.43578447983734325</v>
      </c>
    </row>
    <row r="26" spans="1:75" x14ac:dyDescent="0.25">
      <c r="A26" s="63">
        <v>8</v>
      </c>
      <c r="B26" s="23" t="s">
        <v>38</v>
      </c>
      <c r="C26" s="24"/>
      <c r="D26" s="64">
        <v>104</v>
      </c>
      <c r="E26" s="46">
        <v>121</v>
      </c>
      <c r="F26" s="65">
        <v>596</v>
      </c>
      <c r="G26" s="46">
        <v>567</v>
      </c>
      <c r="H26" s="64">
        <v>100</v>
      </c>
      <c r="I26" s="46">
        <v>94</v>
      </c>
      <c r="J26" s="65">
        <v>298</v>
      </c>
      <c r="K26" s="46">
        <v>262</v>
      </c>
      <c r="L26" s="64">
        <v>111</v>
      </c>
      <c r="M26" s="46">
        <v>122</v>
      </c>
      <c r="N26" s="65">
        <v>410</v>
      </c>
      <c r="O26" s="46">
        <v>454</v>
      </c>
      <c r="P26" s="64">
        <v>112</v>
      </c>
      <c r="Q26" s="46">
        <v>106</v>
      </c>
      <c r="R26" s="65">
        <v>470</v>
      </c>
      <c r="S26" s="46">
        <v>489</v>
      </c>
      <c r="T26" s="64">
        <v>116</v>
      </c>
      <c r="U26" s="46">
        <v>104</v>
      </c>
      <c r="V26" s="65">
        <v>449</v>
      </c>
      <c r="W26" s="46">
        <v>489</v>
      </c>
      <c r="X26" s="64">
        <v>452</v>
      </c>
      <c r="Y26" s="46">
        <v>419</v>
      </c>
      <c r="Z26" s="65">
        <v>1944</v>
      </c>
      <c r="AA26" s="46">
        <v>1924</v>
      </c>
      <c r="AB26" s="64">
        <v>365</v>
      </c>
      <c r="AC26" s="46">
        <v>365</v>
      </c>
      <c r="AD26" s="65">
        <v>1659</v>
      </c>
      <c r="AE26" s="66">
        <v>1548</v>
      </c>
      <c r="AF26" s="64">
        <v>347</v>
      </c>
      <c r="AG26" s="46">
        <v>365</v>
      </c>
      <c r="AH26" s="65">
        <v>1554</v>
      </c>
      <c r="AI26" s="66">
        <v>1333</v>
      </c>
      <c r="AJ26" s="64">
        <v>304</v>
      </c>
      <c r="AK26" s="46">
        <v>271</v>
      </c>
      <c r="AL26" s="65">
        <v>1232</v>
      </c>
      <c r="AM26" s="66">
        <v>1168</v>
      </c>
      <c r="AN26" s="64">
        <v>620</v>
      </c>
      <c r="AO26" s="46">
        <v>410</v>
      </c>
      <c r="AP26" s="65">
        <v>2951</v>
      </c>
      <c r="AQ26" s="66">
        <v>2140</v>
      </c>
      <c r="AR26" s="64">
        <v>727</v>
      </c>
      <c r="AS26" s="46">
        <v>395</v>
      </c>
      <c r="AT26" s="65">
        <v>2923</v>
      </c>
      <c r="AU26" s="66">
        <v>1738</v>
      </c>
      <c r="AV26" s="64">
        <v>437</v>
      </c>
      <c r="AW26" s="46">
        <v>190</v>
      </c>
      <c r="AX26" s="65">
        <v>1699</v>
      </c>
      <c r="AY26" s="66">
        <v>1098</v>
      </c>
      <c r="AZ26" s="64">
        <v>67</v>
      </c>
      <c r="BA26" s="46">
        <v>23</v>
      </c>
      <c r="BB26" s="65">
        <v>333</v>
      </c>
      <c r="BC26" s="66">
        <v>276</v>
      </c>
      <c r="BD26" s="64">
        <v>1</v>
      </c>
      <c r="BE26" s="46"/>
      <c r="BF26" s="65">
        <v>2</v>
      </c>
      <c r="BG26" s="133">
        <v>4</v>
      </c>
      <c r="BH26" s="65"/>
      <c r="BI26" s="22" t="s">
        <v>38</v>
      </c>
      <c r="BJ26" s="101">
        <f t="shared" si="4"/>
        <v>2502</v>
      </c>
      <c r="BK26" s="101">
        <f t="shared" si="5"/>
        <v>1654</v>
      </c>
      <c r="BL26" s="101">
        <f t="shared" si="6"/>
        <v>10692</v>
      </c>
      <c r="BM26" s="101">
        <f t="shared" si="7"/>
        <v>7753</v>
      </c>
      <c r="BO26" t="s">
        <v>181</v>
      </c>
      <c r="BP26">
        <v>2502</v>
      </c>
      <c r="BQ26">
        <v>1654</v>
      </c>
      <c r="BR26">
        <v>10692</v>
      </c>
      <c r="BS26">
        <v>7753</v>
      </c>
      <c r="BT26">
        <f t="shared" si="8"/>
        <v>4156</v>
      </c>
      <c r="BU26">
        <f t="shared" si="9"/>
        <v>24073</v>
      </c>
      <c r="BV26">
        <f t="shared" si="3"/>
        <v>22601</v>
      </c>
      <c r="BW26" s="148">
        <f t="shared" si="10"/>
        <v>0.18388566877571788</v>
      </c>
    </row>
    <row r="27" spans="1:75" x14ac:dyDescent="0.25">
      <c r="A27" s="63">
        <v>9</v>
      </c>
      <c r="B27" s="23" t="s">
        <v>39</v>
      </c>
      <c r="C27" s="24"/>
      <c r="D27" s="64">
        <v>37</v>
      </c>
      <c r="E27" s="46">
        <v>17</v>
      </c>
      <c r="F27" s="65">
        <v>163</v>
      </c>
      <c r="G27" s="46">
        <v>221</v>
      </c>
      <c r="H27" s="64">
        <v>20</v>
      </c>
      <c r="I27" s="46">
        <v>23</v>
      </c>
      <c r="J27" s="65">
        <v>155</v>
      </c>
      <c r="K27" s="46">
        <v>138</v>
      </c>
      <c r="L27" s="64">
        <v>22</v>
      </c>
      <c r="M27" s="46">
        <v>31</v>
      </c>
      <c r="N27" s="65">
        <v>202</v>
      </c>
      <c r="O27" s="46">
        <v>173</v>
      </c>
      <c r="P27" s="64">
        <v>25</v>
      </c>
      <c r="Q27" s="46">
        <v>21</v>
      </c>
      <c r="R27" s="65">
        <v>173</v>
      </c>
      <c r="S27" s="46">
        <v>155</v>
      </c>
      <c r="T27" s="64">
        <v>28</v>
      </c>
      <c r="U27" s="46">
        <v>28</v>
      </c>
      <c r="V27" s="65">
        <v>207</v>
      </c>
      <c r="W27" s="46">
        <v>175</v>
      </c>
      <c r="X27" s="64">
        <v>120</v>
      </c>
      <c r="Y27" s="46">
        <v>144</v>
      </c>
      <c r="Z27" s="65">
        <v>801</v>
      </c>
      <c r="AA27" s="46">
        <v>757</v>
      </c>
      <c r="AB27" s="64">
        <v>95</v>
      </c>
      <c r="AC27" s="46">
        <v>106</v>
      </c>
      <c r="AD27" s="65">
        <v>741</v>
      </c>
      <c r="AE27" s="66">
        <v>684</v>
      </c>
      <c r="AF27" s="64">
        <v>79</v>
      </c>
      <c r="AG27" s="46">
        <v>81</v>
      </c>
      <c r="AH27" s="65">
        <v>537</v>
      </c>
      <c r="AI27" s="66">
        <v>577</v>
      </c>
      <c r="AJ27" s="64">
        <v>71</v>
      </c>
      <c r="AK27" s="46">
        <v>94</v>
      </c>
      <c r="AL27" s="65">
        <v>347</v>
      </c>
      <c r="AM27" s="66">
        <v>461</v>
      </c>
      <c r="AN27" s="64">
        <v>158</v>
      </c>
      <c r="AO27" s="46">
        <v>152</v>
      </c>
      <c r="AP27" s="65">
        <v>537</v>
      </c>
      <c r="AQ27" s="66">
        <v>710</v>
      </c>
      <c r="AR27" s="64">
        <v>164</v>
      </c>
      <c r="AS27" s="46">
        <v>162</v>
      </c>
      <c r="AT27" s="65">
        <v>613</v>
      </c>
      <c r="AU27" s="66">
        <v>675</v>
      </c>
      <c r="AV27" s="64">
        <v>152</v>
      </c>
      <c r="AW27" s="46">
        <v>135</v>
      </c>
      <c r="AX27" s="65">
        <v>445</v>
      </c>
      <c r="AY27" s="66">
        <v>432</v>
      </c>
      <c r="AZ27" s="64">
        <v>33</v>
      </c>
      <c r="BA27" s="46">
        <v>27</v>
      </c>
      <c r="BB27" s="65">
        <v>136</v>
      </c>
      <c r="BC27" s="66">
        <v>158</v>
      </c>
      <c r="BD27" s="64"/>
      <c r="BE27" s="46"/>
      <c r="BF27" s="65">
        <v>1</v>
      </c>
      <c r="BG27" s="133">
        <v>3</v>
      </c>
      <c r="BH27" s="65"/>
      <c r="BI27" s="22" t="s">
        <v>39</v>
      </c>
      <c r="BJ27" s="101">
        <f t="shared" si="4"/>
        <v>657</v>
      </c>
      <c r="BK27" s="101">
        <f t="shared" si="5"/>
        <v>651</v>
      </c>
      <c r="BL27" s="101">
        <f t="shared" si="6"/>
        <v>2615</v>
      </c>
      <c r="BM27" s="101">
        <f t="shared" si="7"/>
        <v>3013</v>
      </c>
      <c r="BO27" t="s">
        <v>182</v>
      </c>
      <c r="BP27">
        <v>657</v>
      </c>
      <c r="BQ27">
        <v>651</v>
      </c>
      <c r="BR27">
        <v>2615</v>
      </c>
      <c r="BS27">
        <v>3013</v>
      </c>
      <c r="BT27">
        <f t="shared" si="8"/>
        <v>1308</v>
      </c>
      <c r="BU27">
        <f t="shared" si="9"/>
        <v>9701</v>
      </c>
      <c r="BV27">
        <f t="shared" si="3"/>
        <v>6936</v>
      </c>
      <c r="BW27" s="148">
        <f t="shared" si="10"/>
        <v>0.18858131487889274</v>
      </c>
    </row>
    <row r="28" spans="1:75" x14ac:dyDescent="0.25">
      <c r="A28" s="63">
        <v>10</v>
      </c>
      <c r="B28" s="23" t="s">
        <v>40</v>
      </c>
      <c r="C28" s="24"/>
      <c r="D28" s="64">
        <v>72</v>
      </c>
      <c r="E28" s="46">
        <v>69</v>
      </c>
      <c r="F28" s="65">
        <v>120</v>
      </c>
      <c r="G28" s="46">
        <v>121</v>
      </c>
      <c r="H28" s="64">
        <v>66</v>
      </c>
      <c r="I28" s="46">
        <v>61</v>
      </c>
      <c r="J28" s="65">
        <v>91</v>
      </c>
      <c r="K28" s="46">
        <v>75</v>
      </c>
      <c r="L28" s="64">
        <v>56</v>
      </c>
      <c r="M28" s="46">
        <v>75</v>
      </c>
      <c r="N28" s="65">
        <v>127</v>
      </c>
      <c r="O28" s="46">
        <v>87</v>
      </c>
      <c r="P28" s="64">
        <v>81</v>
      </c>
      <c r="Q28" s="46">
        <v>73</v>
      </c>
      <c r="R28" s="65">
        <v>117</v>
      </c>
      <c r="S28" s="46">
        <v>117</v>
      </c>
      <c r="T28" s="64">
        <v>74</v>
      </c>
      <c r="U28" s="46">
        <v>69</v>
      </c>
      <c r="V28" s="65">
        <v>100</v>
      </c>
      <c r="W28" s="46">
        <v>101</v>
      </c>
      <c r="X28" s="64">
        <v>331</v>
      </c>
      <c r="Y28" s="46">
        <v>309</v>
      </c>
      <c r="Z28" s="65">
        <v>442</v>
      </c>
      <c r="AA28" s="46">
        <v>503</v>
      </c>
      <c r="AB28" s="64">
        <v>300</v>
      </c>
      <c r="AC28" s="46">
        <v>311</v>
      </c>
      <c r="AD28" s="65">
        <v>356</v>
      </c>
      <c r="AE28" s="66">
        <v>354</v>
      </c>
      <c r="AF28" s="64">
        <v>276</v>
      </c>
      <c r="AG28" s="46">
        <v>298</v>
      </c>
      <c r="AH28" s="65">
        <v>374</v>
      </c>
      <c r="AI28" s="66">
        <v>343</v>
      </c>
      <c r="AJ28" s="64">
        <v>223</v>
      </c>
      <c r="AK28" s="46">
        <v>267</v>
      </c>
      <c r="AL28" s="65">
        <v>285</v>
      </c>
      <c r="AM28" s="66">
        <v>304</v>
      </c>
      <c r="AN28" s="64">
        <v>423</v>
      </c>
      <c r="AO28" s="46">
        <v>396</v>
      </c>
      <c r="AP28" s="65">
        <v>453</v>
      </c>
      <c r="AQ28" s="66">
        <v>449</v>
      </c>
      <c r="AR28" s="64">
        <v>406</v>
      </c>
      <c r="AS28" s="46">
        <v>371</v>
      </c>
      <c r="AT28" s="65">
        <v>521</v>
      </c>
      <c r="AU28" s="66">
        <v>488</v>
      </c>
      <c r="AV28" s="64">
        <v>260</v>
      </c>
      <c r="AW28" s="46">
        <v>229</v>
      </c>
      <c r="AX28" s="65">
        <v>367</v>
      </c>
      <c r="AY28" s="66">
        <v>286</v>
      </c>
      <c r="AZ28" s="64">
        <v>60</v>
      </c>
      <c r="BA28" s="46">
        <v>42</v>
      </c>
      <c r="BB28" s="65">
        <v>118</v>
      </c>
      <c r="BC28" s="66">
        <v>85</v>
      </c>
      <c r="BD28" s="64"/>
      <c r="BE28" s="46"/>
      <c r="BF28" s="65"/>
      <c r="BG28" s="133"/>
      <c r="BH28" s="65"/>
      <c r="BI28" s="22" t="s">
        <v>40</v>
      </c>
      <c r="BJ28" s="101">
        <f t="shared" si="4"/>
        <v>1648</v>
      </c>
      <c r="BK28" s="101">
        <f t="shared" si="5"/>
        <v>1603</v>
      </c>
      <c r="BL28" s="101">
        <f t="shared" si="6"/>
        <v>2118</v>
      </c>
      <c r="BM28" s="101">
        <f t="shared" si="7"/>
        <v>1955</v>
      </c>
      <c r="BO28" t="s">
        <v>183</v>
      </c>
      <c r="BP28">
        <v>1648</v>
      </c>
      <c r="BQ28">
        <v>1603</v>
      </c>
      <c r="BR28">
        <v>2118</v>
      </c>
      <c r="BS28">
        <v>1955</v>
      </c>
      <c r="BT28">
        <f t="shared" si="8"/>
        <v>3251</v>
      </c>
      <c r="BU28">
        <f t="shared" si="9"/>
        <v>8635</v>
      </c>
      <c r="BV28">
        <f t="shared" si="3"/>
        <v>7324</v>
      </c>
      <c r="BW28" s="148">
        <f t="shared" si="10"/>
        <v>0.44388312397596941</v>
      </c>
    </row>
    <row r="29" spans="1:75" x14ac:dyDescent="0.25">
      <c r="A29" s="63">
        <v>11</v>
      </c>
      <c r="B29" s="23" t="s">
        <v>41</v>
      </c>
      <c r="C29" s="24"/>
      <c r="D29" s="64">
        <v>42</v>
      </c>
      <c r="E29" s="46">
        <v>37</v>
      </c>
      <c r="F29" s="65">
        <v>175</v>
      </c>
      <c r="G29" s="46">
        <v>167</v>
      </c>
      <c r="H29" s="64">
        <v>20</v>
      </c>
      <c r="I29" s="46">
        <v>14</v>
      </c>
      <c r="J29" s="65">
        <v>107</v>
      </c>
      <c r="K29" s="46">
        <v>117</v>
      </c>
      <c r="L29" s="64">
        <v>31</v>
      </c>
      <c r="M29" s="46">
        <v>26</v>
      </c>
      <c r="N29" s="65">
        <v>154</v>
      </c>
      <c r="O29" s="46">
        <v>148</v>
      </c>
      <c r="P29" s="64">
        <v>26</v>
      </c>
      <c r="Q29" s="46">
        <v>33</v>
      </c>
      <c r="R29" s="65">
        <v>172</v>
      </c>
      <c r="S29" s="46">
        <v>153</v>
      </c>
      <c r="T29" s="64">
        <v>30</v>
      </c>
      <c r="U29" s="46">
        <v>19</v>
      </c>
      <c r="V29" s="65">
        <v>146</v>
      </c>
      <c r="W29" s="46">
        <v>142</v>
      </c>
      <c r="X29" s="64">
        <v>113</v>
      </c>
      <c r="Y29" s="46">
        <v>126</v>
      </c>
      <c r="Z29" s="65">
        <v>639</v>
      </c>
      <c r="AA29" s="46">
        <v>595</v>
      </c>
      <c r="AB29" s="64">
        <v>92</v>
      </c>
      <c r="AC29" s="46">
        <v>122</v>
      </c>
      <c r="AD29" s="65">
        <v>643</v>
      </c>
      <c r="AE29" s="66">
        <v>561</v>
      </c>
      <c r="AF29" s="64">
        <v>87</v>
      </c>
      <c r="AG29" s="46">
        <v>86</v>
      </c>
      <c r="AH29" s="65">
        <v>414</v>
      </c>
      <c r="AI29" s="66">
        <v>466</v>
      </c>
      <c r="AJ29" s="64">
        <v>91</v>
      </c>
      <c r="AK29" s="46">
        <v>101</v>
      </c>
      <c r="AL29" s="65">
        <v>286</v>
      </c>
      <c r="AM29" s="66">
        <v>338</v>
      </c>
      <c r="AN29" s="64">
        <v>131</v>
      </c>
      <c r="AO29" s="46">
        <v>147</v>
      </c>
      <c r="AP29" s="65">
        <v>426</v>
      </c>
      <c r="AQ29" s="66">
        <v>514</v>
      </c>
      <c r="AR29" s="64">
        <v>182</v>
      </c>
      <c r="AS29" s="46">
        <v>165</v>
      </c>
      <c r="AT29" s="65">
        <v>576</v>
      </c>
      <c r="AU29" s="66">
        <v>611</v>
      </c>
      <c r="AV29" s="64">
        <v>106</v>
      </c>
      <c r="AW29" s="46">
        <v>90</v>
      </c>
      <c r="AX29" s="65">
        <v>383</v>
      </c>
      <c r="AY29" s="66">
        <v>337</v>
      </c>
      <c r="AZ29" s="64">
        <v>15</v>
      </c>
      <c r="BA29" s="46">
        <v>18</v>
      </c>
      <c r="BB29" s="65">
        <v>94</v>
      </c>
      <c r="BC29" s="66">
        <v>117</v>
      </c>
      <c r="BD29" s="64"/>
      <c r="BE29" s="46"/>
      <c r="BF29" s="65"/>
      <c r="BG29" s="133"/>
      <c r="BH29" s="65"/>
      <c r="BI29" s="22" t="s">
        <v>41</v>
      </c>
      <c r="BJ29" s="101">
        <f t="shared" si="4"/>
        <v>612</v>
      </c>
      <c r="BK29" s="101">
        <f t="shared" si="5"/>
        <v>607</v>
      </c>
      <c r="BL29" s="101">
        <f t="shared" si="6"/>
        <v>2179</v>
      </c>
      <c r="BM29" s="101">
        <f t="shared" si="7"/>
        <v>2383</v>
      </c>
      <c r="BO29" t="s">
        <v>184</v>
      </c>
      <c r="BP29">
        <v>612</v>
      </c>
      <c r="BQ29">
        <v>607</v>
      </c>
      <c r="BR29">
        <v>2179</v>
      </c>
      <c r="BS29">
        <v>2383</v>
      </c>
      <c r="BT29">
        <f t="shared" si="8"/>
        <v>1219</v>
      </c>
      <c r="BU29">
        <f t="shared" si="9"/>
        <v>6770</v>
      </c>
      <c r="BV29">
        <f t="shared" si="3"/>
        <v>5781</v>
      </c>
      <c r="BW29" s="148">
        <f t="shared" si="10"/>
        <v>0.21086317246151184</v>
      </c>
    </row>
    <row r="30" spans="1:75" ht="15.75" x14ac:dyDescent="0.25">
      <c r="A30" s="63">
        <v>12</v>
      </c>
      <c r="B30" s="23" t="s">
        <v>42</v>
      </c>
      <c r="C30" s="67"/>
      <c r="D30" s="44">
        <v>68</v>
      </c>
      <c r="E30" s="45">
        <v>57</v>
      </c>
      <c r="F30" s="46">
        <v>51</v>
      </c>
      <c r="G30" s="45">
        <v>65</v>
      </c>
      <c r="H30" s="44">
        <v>72</v>
      </c>
      <c r="I30" s="45">
        <v>69</v>
      </c>
      <c r="J30" s="46">
        <v>49</v>
      </c>
      <c r="K30" s="45">
        <v>68</v>
      </c>
      <c r="L30" s="44">
        <v>68</v>
      </c>
      <c r="M30" s="45">
        <v>72</v>
      </c>
      <c r="N30" s="46">
        <v>65</v>
      </c>
      <c r="O30" s="45">
        <v>51</v>
      </c>
      <c r="P30" s="44">
        <v>82</v>
      </c>
      <c r="Q30" s="45">
        <v>60</v>
      </c>
      <c r="R30" s="46">
        <v>74</v>
      </c>
      <c r="S30" s="45">
        <v>55</v>
      </c>
      <c r="T30" s="44">
        <v>71</v>
      </c>
      <c r="U30" s="45">
        <v>66</v>
      </c>
      <c r="V30" s="46">
        <v>68</v>
      </c>
      <c r="W30" s="45">
        <v>56</v>
      </c>
      <c r="X30" s="44">
        <v>339</v>
      </c>
      <c r="Y30" s="45">
        <v>334</v>
      </c>
      <c r="Z30" s="46">
        <v>270</v>
      </c>
      <c r="AA30" s="45">
        <v>277</v>
      </c>
      <c r="AB30" s="44">
        <v>283</v>
      </c>
      <c r="AC30" s="45">
        <v>273</v>
      </c>
      <c r="AD30" s="46">
        <v>261</v>
      </c>
      <c r="AE30" s="47">
        <v>236</v>
      </c>
      <c r="AF30" s="44">
        <v>262</v>
      </c>
      <c r="AG30" s="45">
        <v>256</v>
      </c>
      <c r="AH30" s="46">
        <v>199</v>
      </c>
      <c r="AI30" s="47">
        <v>173</v>
      </c>
      <c r="AJ30" s="44">
        <v>219</v>
      </c>
      <c r="AK30" s="45">
        <v>230</v>
      </c>
      <c r="AL30" s="46">
        <v>158</v>
      </c>
      <c r="AM30" s="47">
        <v>179</v>
      </c>
      <c r="AN30" s="44">
        <v>361</v>
      </c>
      <c r="AO30" s="45">
        <v>330</v>
      </c>
      <c r="AP30" s="46">
        <v>242</v>
      </c>
      <c r="AQ30" s="47">
        <v>230</v>
      </c>
      <c r="AR30" s="44">
        <v>362</v>
      </c>
      <c r="AS30" s="45">
        <v>324</v>
      </c>
      <c r="AT30" s="46">
        <v>234</v>
      </c>
      <c r="AU30" s="47">
        <v>255</v>
      </c>
      <c r="AV30" s="44">
        <v>277</v>
      </c>
      <c r="AW30" s="45">
        <v>286</v>
      </c>
      <c r="AX30" s="46">
        <v>201</v>
      </c>
      <c r="AY30" s="47">
        <v>217</v>
      </c>
      <c r="AZ30" s="44">
        <v>54</v>
      </c>
      <c r="BA30" s="45">
        <v>58</v>
      </c>
      <c r="BB30" s="46">
        <v>61</v>
      </c>
      <c r="BC30" s="47">
        <v>59</v>
      </c>
      <c r="BD30" s="44"/>
      <c r="BE30" s="45"/>
      <c r="BF30" s="46"/>
      <c r="BG30" s="130"/>
      <c r="BH30" s="101"/>
      <c r="BI30" s="22" t="s">
        <v>42</v>
      </c>
      <c r="BJ30" s="101">
        <f t="shared" si="4"/>
        <v>1535</v>
      </c>
      <c r="BK30" s="101">
        <f t="shared" si="5"/>
        <v>1484</v>
      </c>
      <c r="BL30" s="101">
        <f t="shared" si="6"/>
        <v>1095</v>
      </c>
      <c r="BM30" s="101">
        <f t="shared" si="7"/>
        <v>1113</v>
      </c>
      <c r="BO30" t="s">
        <v>185</v>
      </c>
      <c r="BP30">
        <v>1535</v>
      </c>
      <c r="BQ30">
        <v>1484</v>
      </c>
      <c r="BR30">
        <v>1095</v>
      </c>
      <c r="BS30">
        <v>1113</v>
      </c>
      <c r="BT30">
        <f t="shared" si="8"/>
        <v>3019</v>
      </c>
      <c r="BU30">
        <f t="shared" si="9"/>
        <v>4048</v>
      </c>
      <c r="BV30">
        <f t="shared" si="3"/>
        <v>5227</v>
      </c>
      <c r="BW30" s="148">
        <f t="shared" si="10"/>
        <v>0.57757796058924815</v>
      </c>
    </row>
    <row r="31" spans="1:75" s="74" customFormat="1" x14ac:dyDescent="0.25">
      <c r="A31" s="68">
        <v>13</v>
      </c>
      <c r="B31" s="50" t="s">
        <v>43</v>
      </c>
      <c r="C31" s="69" t="s">
        <v>44</v>
      </c>
      <c r="D31" s="70">
        <v>37</v>
      </c>
      <c r="E31" s="71">
        <v>32</v>
      </c>
      <c r="F31" s="72">
        <v>53</v>
      </c>
      <c r="G31" s="71">
        <v>48</v>
      </c>
      <c r="H31" s="70">
        <v>24</v>
      </c>
      <c r="I31" s="71">
        <v>33</v>
      </c>
      <c r="J31" s="72">
        <v>43</v>
      </c>
      <c r="K31" s="71">
        <v>37</v>
      </c>
      <c r="L31" s="70">
        <v>41</v>
      </c>
      <c r="M31" s="71">
        <v>30</v>
      </c>
      <c r="N31" s="72">
        <v>53</v>
      </c>
      <c r="O31" s="71">
        <v>52</v>
      </c>
      <c r="P31" s="70">
        <v>46</v>
      </c>
      <c r="Q31" s="71">
        <v>29</v>
      </c>
      <c r="R31" s="72">
        <v>45</v>
      </c>
      <c r="S31" s="71">
        <v>35</v>
      </c>
      <c r="T31" s="70">
        <v>41</v>
      </c>
      <c r="U31" s="71">
        <v>41</v>
      </c>
      <c r="V31" s="72">
        <v>50</v>
      </c>
      <c r="W31" s="71">
        <v>53</v>
      </c>
      <c r="X31" s="70">
        <v>186</v>
      </c>
      <c r="Y31" s="71">
        <v>156</v>
      </c>
      <c r="Z31" s="72">
        <v>196</v>
      </c>
      <c r="AA31" s="71">
        <v>174</v>
      </c>
      <c r="AB31" s="70">
        <v>155</v>
      </c>
      <c r="AC31" s="71">
        <v>161</v>
      </c>
      <c r="AD31" s="72">
        <v>152</v>
      </c>
      <c r="AE31" s="73">
        <v>134</v>
      </c>
      <c r="AF31" s="70">
        <v>128</v>
      </c>
      <c r="AG31" s="71">
        <v>137</v>
      </c>
      <c r="AH31" s="72">
        <v>134</v>
      </c>
      <c r="AI31" s="73">
        <v>119</v>
      </c>
      <c r="AJ31" s="70">
        <v>125</v>
      </c>
      <c r="AK31" s="71">
        <v>127</v>
      </c>
      <c r="AL31" s="72">
        <v>172</v>
      </c>
      <c r="AM31" s="73">
        <v>84</v>
      </c>
      <c r="AN31" s="70">
        <v>191</v>
      </c>
      <c r="AO31" s="71">
        <v>178</v>
      </c>
      <c r="AP31" s="72">
        <v>278</v>
      </c>
      <c r="AQ31" s="73">
        <v>179</v>
      </c>
      <c r="AR31" s="70">
        <v>177</v>
      </c>
      <c r="AS31" s="71">
        <v>170</v>
      </c>
      <c r="AT31" s="72">
        <v>320</v>
      </c>
      <c r="AU31" s="73">
        <v>203</v>
      </c>
      <c r="AV31" s="70">
        <v>142</v>
      </c>
      <c r="AW31" s="71">
        <v>102</v>
      </c>
      <c r="AX31" s="72">
        <v>162</v>
      </c>
      <c r="AY31" s="73">
        <v>111</v>
      </c>
      <c r="AZ31" s="70">
        <v>18</v>
      </c>
      <c r="BA31" s="71">
        <v>17</v>
      </c>
      <c r="BB31" s="72">
        <v>50</v>
      </c>
      <c r="BC31" s="73">
        <v>28</v>
      </c>
      <c r="BD31" s="70"/>
      <c r="BE31" s="71"/>
      <c r="BF31" s="72"/>
      <c r="BG31" s="134"/>
      <c r="BH31" s="72"/>
      <c r="BI31" s="49" t="s">
        <v>43</v>
      </c>
      <c r="BJ31" s="101">
        <f t="shared" si="4"/>
        <v>781</v>
      </c>
      <c r="BK31" s="101">
        <f t="shared" si="5"/>
        <v>731</v>
      </c>
      <c r="BL31" s="101">
        <f t="shared" si="6"/>
        <v>1116</v>
      </c>
      <c r="BM31" s="101">
        <f t="shared" si="7"/>
        <v>724</v>
      </c>
      <c r="BO31" t="s">
        <v>186</v>
      </c>
      <c r="BP31" s="74">
        <v>781</v>
      </c>
      <c r="BQ31" s="74">
        <v>731</v>
      </c>
      <c r="BR31" s="74">
        <v>1116</v>
      </c>
      <c r="BS31" s="74">
        <v>724</v>
      </c>
      <c r="BT31">
        <f t="shared" si="8"/>
        <v>1512</v>
      </c>
      <c r="BU31">
        <f t="shared" si="9"/>
        <v>6364</v>
      </c>
      <c r="BV31">
        <f t="shared" si="3"/>
        <v>3352</v>
      </c>
      <c r="BW31" s="148">
        <f t="shared" si="10"/>
        <v>0.45107398568019091</v>
      </c>
    </row>
    <row r="32" spans="1:75" x14ac:dyDescent="0.25">
      <c r="A32" s="63">
        <v>14</v>
      </c>
      <c r="B32" s="23" t="s">
        <v>45</v>
      </c>
      <c r="C32" s="24"/>
      <c r="D32" s="64">
        <v>121</v>
      </c>
      <c r="E32" s="46">
        <v>115</v>
      </c>
      <c r="F32" s="65">
        <v>119</v>
      </c>
      <c r="G32" s="46">
        <v>149</v>
      </c>
      <c r="H32" s="64">
        <v>95</v>
      </c>
      <c r="I32" s="46">
        <v>128</v>
      </c>
      <c r="J32" s="65">
        <v>90</v>
      </c>
      <c r="K32" s="46">
        <v>93</v>
      </c>
      <c r="L32" s="64">
        <v>141</v>
      </c>
      <c r="M32" s="46">
        <v>143</v>
      </c>
      <c r="N32" s="65">
        <v>138</v>
      </c>
      <c r="O32" s="46">
        <v>116</v>
      </c>
      <c r="P32" s="64">
        <v>167</v>
      </c>
      <c r="Q32" s="46">
        <v>133</v>
      </c>
      <c r="R32" s="65">
        <v>121</v>
      </c>
      <c r="S32" s="46">
        <v>151</v>
      </c>
      <c r="T32" s="64">
        <v>142</v>
      </c>
      <c r="U32" s="46">
        <v>132</v>
      </c>
      <c r="V32" s="65">
        <v>143</v>
      </c>
      <c r="W32" s="46">
        <v>119</v>
      </c>
      <c r="X32" s="64">
        <v>618</v>
      </c>
      <c r="Y32" s="46">
        <v>630</v>
      </c>
      <c r="Z32" s="65">
        <v>583</v>
      </c>
      <c r="AA32" s="46">
        <v>571</v>
      </c>
      <c r="AB32" s="64">
        <v>584</v>
      </c>
      <c r="AC32" s="46">
        <v>579</v>
      </c>
      <c r="AD32" s="65">
        <v>536</v>
      </c>
      <c r="AE32" s="66">
        <v>474</v>
      </c>
      <c r="AF32" s="64">
        <v>552</v>
      </c>
      <c r="AG32" s="46">
        <v>465</v>
      </c>
      <c r="AH32" s="65">
        <v>431</v>
      </c>
      <c r="AI32" s="66">
        <v>379</v>
      </c>
      <c r="AJ32" s="64">
        <v>406</v>
      </c>
      <c r="AK32" s="46">
        <v>410</v>
      </c>
      <c r="AL32" s="65">
        <v>282</v>
      </c>
      <c r="AM32" s="66">
        <v>374</v>
      </c>
      <c r="AN32" s="64">
        <v>721</v>
      </c>
      <c r="AO32" s="46">
        <v>618</v>
      </c>
      <c r="AP32" s="65">
        <v>478</v>
      </c>
      <c r="AQ32" s="66">
        <v>507</v>
      </c>
      <c r="AR32" s="64">
        <v>728</v>
      </c>
      <c r="AS32" s="46">
        <v>673</v>
      </c>
      <c r="AT32" s="65">
        <v>520</v>
      </c>
      <c r="AU32" s="66">
        <v>500</v>
      </c>
      <c r="AV32" s="64">
        <v>485</v>
      </c>
      <c r="AW32" s="46">
        <v>484</v>
      </c>
      <c r="AX32" s="65">
        <v>398</v>
      </c>
      <c r="AY32" s="66">
        <v>430</v>
      </c>
      <c r="AZ32" s="64">
        <v>107</v>
      </c>
      <c r="BA32" s="46">
        <v>87</v>
      </c>
      <c r="BB32" s="65">
        <v>102</v>
      </c>
      <c r="BC32" s="66">
        <v>123</v>
      </c>
      <c r="BD32" s="64"/>
      <c r="BE32" s="46"/>
      <c r="BF32" s="65">
        <v>1</v>
      </c>
      <c r="BG32" s="133"/>
      <c r="BH32" s="65"/>
      <c r="BI32" s="22" t="s">
        <v>45</v>
      </c>
      <c r="BJ32" s="101">
        <f t="shared" si="4"/>
        <v>2999</v>
      </c>
      <c r="BK32" s="101">
        <f t="shared" si="5"/>
        <v>2737</v>
      </c>
      <c r="BL32" s="101">
        <f t="shared" si="6"/>
        <v>2211</v>
      </c>
      <c r="BM32" s="101">
        <f t="shared" si="7"/>
        <v>2313</v>
      </c>
      <c r="BO32" t="s">
        <v>187</v>
      </c>
      <c r="BP32">
        <v>2999</v>
      </c>
      <c r="BQ32">
        <v>2737</v>
      </c>
      <c r="BR32">
        <v>2211</v>
      </c>
      <c r="BS32">
        <v>2313</v>
      </c>
      <c r="BT32">
        <f t="shared" si="8"/>
        <v>5736</v>
      </c>
      <c r="BU32">
        <f t="shared" si="9"/>
        <v>8626</v>
      </c>
      <c r="BV32">
        <f t="shared" si="3"/>
        <v>10260</v>
      </c>
      <c r="BW32" s="148">
        <f t="shared" si="10"/>
        <v>0.55906432748538015</v>
      </c>
    </row>
    <row r="33" spans="1:75" x14ac:dyDescent="0.25">
      <c r="A33" s="63">
        <v>15</v>
      </c>
      <c r="B33" s="23" t="s">
        <v>46</v>
      </c>
      <c r="C33" s="24"/>
      <c r="D33" s="64">
        <v>132</v>
      </c>
      <c r="E33" s="46">
        <v>109</v>
      </c>
      <c r="F33" s="65">
        <v>142</v>
      </c>
      <c r="G33" s="46">
        <v>117</v>
      </c>
      <c r="H33" s="64">
        <v>87</v>
      </c>
      <c r="I33" s="46">
        <v>84</v>
      </c>
      <c r="J33" s="65">
        <v>90</v>
      </c>
      <c r="K33" s="46">
        <v>75</v>
      </c>
      <c r="L33" s="64">
        <v>111</v>
      </c>
      <c r="M33" s="46">
        <v>126</v>
      </c>
      <c r="N33" s="65">
        <v>107</v>
      </c>
      <c r="O33" s="46">
        <v>100</v>
      </c>
      <c r="P33" s="64">
        <v>111</v>
      </c>
      <c r="Q33" s="46">
        <v>105</v>
      </c>
      <c r="R33" s="65">
        <v>116</v>
      </c>
      <c r="S33" s="46">
        <v>103</v>
      </c>
      <c r="T33" s="64">
        <v>97</v>
      </c>
      <c r="U33" s="46">
        <v>126</v>
      </c>
      <c r="V33" s="65">
        <v>105</v>
      </c>
      <c r="W33" s="46">
        <v>90</v>
      </c>
      <c r="X33" s="64">
        <v>444</v>
      </c>
      <c r="Y33" s="46">
        <v>488</v>
      </c>
      <c r="Z33" s="65">
        <v>466</v>
      </c>
      <c r="AA33" s="46">
        <v>454</v>
      </c>
      <c r="AB33" s="64">
        <v>429</v>
      </c>
      <c r="AC33" s="46">
        <v>426</v>
      </c>
      <c r="AD33" s="65">
        <v>422</v>
      </c>
      <c r="AE33" s="66">
        <v>401</v>
      </c>
      <c r="AF33" s="64">
        <v>387</v>
      </c>
      <c r="AG33" s="46">
        <v>410</v>
      </c>
      <c r="AH33" s="65">
        <v>367</v>
      </c>
      <c r="AI33" s="66">
        <v>352</v>
      </c>
      <c r="AJ33" s="64">
        <v>397</v>
      </c>
      <c r="AK33" s="46">
        <v>367</v>
      </c>
      <c r="AL33" s="65">
        <v>311</v>
      </c>
      <c r="AM33" s="66">
        <v>360</v>
      </c>
      <c r="AN33" s="64">
        <v>588</v>
      </c>
      <c r="AO33" s="46">
        <v>488</v>
      </c>
      <c r="AP33" s="65">
        <v>498</v>
      </c>
      <c r="AQ33" s="66">
        <v>462</v>
      </c>
      <c r="AR33" s="64">
        <v>497</v>
      </c>
      <c r="AS33" s="46">
        <v>427</v>
      </c>
      <c r="AT33" s="65">
        <v>477</v>
      </c>
      <c r="AU33" s="66">
        <v>447</v>
      </c>
      <c r="AV33" s="64">
        <v>330</v>
      </c>
      <c r="AW33" s="46">
        <v>245</v>
      </c>
      <c r="AX33" s="65">
        <v>347</v>
      </c>
      <c r="AY33" s="66">
        <v>296</v>
      </c>
      <c r="AZ33" s="64">
        <v>75</v>
      </c>
      <c r="BA33" s="46">
        <v>27</v>
      </c>
      <c r="BB33" s="65">
        <v>104</v>
      </c>
      <c r="BC33" s="66">
        <v>81</v>
      </c>
      <c r="BD33" s="64"/>
      <c r="BE33" s="46">
        <v>2</v>
      </c>
      <c r="BF33" s="65"/>
      <c r="BG33" s="133"/>
      <c r="BH33" s="65"/>
      <c r="BI33" s="22" t="s">
        <v>46</v>
      </c>
      <c r="BJ33" s="101">
        <f t="shared" si="4"/>
        <v>2274</v>
      </c>
      <c r="BK33" s="101">
        <f t="shared" si="5"/>
        <v>1964</v>
      </c>
      <c r="BL33" s="101">
        <f t="shared" si="6"/>
        <v>2104</v>
      </c>
      <c r="BM33" s="101">
        <f t="shared" si="7"/>
        <v>1998</v>
      </c>
      <c r="BO33" t="s">
        <v>188</v>
      </c>
      <c r="BP33">
        <v>2274</v>
      </c>
      <c r="BQ33">
        <v>1964</v>
      </c>
      <c r="BR33">
        <v>2104</v>
      </c>
      <c r="BS33">
        <v>1998</v>
      </c>
      <c r="BT33">
        <f t="shared" si="8"/>
        <v>4238</v>
      </c>
      <c r="BU33">
        <f t="shared" si="9"/>
        <v>61042</v>
      </c>
      <c r="BV33">
        <f t="shared" si="3"/>
        <v>8340</v>
      </c>
      <c r="BW33" s="148">
        <f t="shared" si="10"/>
        <v>0.50815347721822546</v>
      </c>
    </row>
    <row r="34" spans="1:75" x14ac:dyDescent="0.25">
      <c r="A34" s="63">
        <v>16</v>
      </c>
      <c r="B34" s="23" t="s">
        <v>47</v>
      </c>
      <c r="C34" s="24"/>
      <c r="D34" s="64">
        <v>1147</v>
      </c>
      <c r="E34" s="46">
        <v>1032</v>
      </c>
      <c r="F34" s="65">
        <v>1692</v>
      </c>
      <c r="G34" s="46">
        <v>1647</v>
      </c>
      <c r="H34" s="64">
        <v>1032</v>
      </c>
      <c r="I34" s="46">
        <v>969</v>
      </c>
      <c r="J34" s="65">
        <v>1189</v>
      </c>
      <c r="K34" s="46">
        <v>1179</v>
      </c>
      <c r="L34" s="64">
        <v>1097</v>
      </c>
      <c r="M34" s="46">
        <v>1065</v>
      </c>
      <c r="N34" s="65">
        <v>1402</v>
      </c>
      <c r="O34" s="46">
        <v>1392</v>
      </c>
      <c r="P34" s="64">
        <v>1151</v>
      </c>
      <c r="Q34" s="46">
        <v>1186</v>
      </c>
      <c r="R34" s="65">
        <v>1524</v>
      </c>
      <c r="S34" s="46">
        <v>1489</v>
      </c>
      <c r="T34" s="64">
        <v>1242</v>
      </c>
      <c r="U34" s="46">
        <v>1195</v>
      </c>
      <c r="V34" s="65">
        <v>1452</v>
      </c>
      <c r="W34" s="46">
        <v>1531</v>
      </c>
      <c r="X34" s="64">
        <v>5217</v>
      </c>
      <c r="Y34" s="46">
        <v>5262</v>
      </c>
      <c r="Z34" s="65">
        <v>6522</v>
      </c>
      <c r="AA34" s="46">
        <v>6449</v>
      </c>
      <c r="AB34" s="64">
        <v>4458</v>
      </c>
      <c r="AC34" s="46">
        <v>4299</v>
      </c>
      <c r="AD34" s="65">
        <v>5437</v>
      </c>
      <c r="AE34" s="66">
        <v>5545</v>
      </c>
      <c r="AF34" s="64">
        <v>4183</v>
      </c>
      <c r="AG34" s="46">
        <v>4127</v>
      </c>
      <c r="AH34" s="65">
        <v>4111</v>
      </c>
      <c r="AI34" s="66">
        <v>5171</v>
      </c>
      <c r="AJ34" s="64">
        <v>4127</v>
      </c>
      <c r="AK34" s="46">
        <v>4091</v>
      </c>
      <c r="AL34" s="65">
        <v>3771</v>
      </c>
      <c r="AM34" s="66">
        <v>5431</v>
      </c>
      <c r="AN34" s="64">
        <v>8461</v>
      </c>
      <c r="AO34" s="46">
        <v>7757</v>
      </c>
      <c r="AP34" s="65">
        <v>7821</v>
      </c>
      <c r="AQ34" s="66">
        <v>8124</v>
      </c>
      <c r="AR34" s="64">
        <v>10100</v>
      </c>
      <c r="AS34" s="46">
        <v>8009</v>
      </c>
      <c r="AT34" s="65">
        <v>7498</v>
      </c>
      <c r="AU34" s="66">
        <v>6877</v>
      </c>
      <c r="AV34" s="64">
        <v>4863</v>
      </c>
      <c r="AW34" s="46">
        <v>4790</v>
      </c>
      <c r="AX34" s="65">
        <v>3436</v>
      </c>
      <c r="AY34" s="66">
        <v>3481</v>
      </c>
      <c r="AZ34" s="64">
        <v>632</v>
      </c>
      <c r="BA34" s="46">
        <v>942</v>
      </c>
      <c r="BB34" s="65">
        <v>556</v>
      </c>
      <c r="BC34" s="66">
        <v>663</v>
      </c>
      <c r="BD34" s="64">
        <v>1</v>
      </c>
      <c r="BE34" s="46">
        <v>1</v>
      </c>
      <c r="BF34" s="65">
        <v>3</v>
      </c>
      <c r="BG34" s="133">
        <v>2</v>
      </c>
      <c r="BH34" s="65"/>
      <c r="BI34" s="22" t="s">
        <v>47</v>
      </c>
      <c r="BJ34" s="101">
        <f t="shared" si="4"/>
        <v>32366</v>
      </c>
      <c r="BK34" s="101">
        <f t="shared" si="5"/>
        <v>29716</v>
      </c>
      <c r="BL34" s="101">
        <f t="shared" si="6"/>
        <v>27193</v>
      </c>
      <c r="BM34" s="101">
        <f t="shared" si="7"/>
        <v>29747</v>
      </c>
      <c r="BO34" t="s">
        <v>189</v>
      </c>
      <c r="BP34">
        <v>32366</v>
      </c>
      <c r="BQ34">
        <v>29716</v>
      </c>
      <c r="BR34">
        <v>27193</v>
      </c>
      <c r="BS34">
        <v>29747</v>
      </c>
      <c r="BT34">
        <f t="shared" si="8"/>
        <v>62082</v>
      </c>
      <c r="BU34">
        <f t="shared" si="9"/>
        <v>59496</v>
      </c>
      <c r="BV34">
        <f t="shared" si="3"/>
        <v>119022</v>
      </c>
      <c r="BW34" s="148">
        <f t="shared" si="10"/>
        <v>0.52160104854564704</v>
      </c>
    </row>
    <row r="35" spans="1:75" x14ac:dyDescent="0.25">
      <c r="A35" s="63">
        <v>17</v>
      </c>
      <c r="B35" s="23" t="s">
        <v>48</v>
      </c>
      <c r="C35" s="24"/>
      <c r="D35" s="64">
        <v>63</v>
      </c>
      <c r="E35" s="46">
        <v>46</v>
      </c>
      <c r="F35" s="65">
        <v>80</v>
      </c>
      <c r="G35" s="46">
        <v>65</v>
      </c>
      <c r="H35" s="64">
        <v>53</v>
      </c>
      <c r="I35" s="46">
        <v>54</v>
      </c>
      <c r="J35" s="65">
        <v>45</v>
      </c>
      <c r="K35" s="46">
        <v>57</v>
      </c>
      <c r="L35" s="64">
        <v>50</v>
      </c>
      <c r="M35" s="46">
        <v>52</v>
      </c>
      <c r="N35" s="65">
        <v>95</v>
      </c>
      <c r="O35" s="46">
        <v>79</v>
      </c>
      <c r="P35" s="64">
        <v>54</v>
      </c>
      <c r="Q35" s="46">
        <v>62</v>
      </c>
      <c r="R35" s="65">
        <v>70</v>
      </c>
      <c r="S35" s="46">
        <v>76</v>
      </c>
      <c r="T35" s="64">
        <v>60</v>
      </c>
      <c r="U35" s="46">
        <v>47</v>
      </c>
      <c r="V35" s="65">
        <v>54</v>
      </c>
      <c r="W35" s="46">
        <v>72</v>
      </c>
      <c r="X35" s="64">
        <v>275</v>
      </c>
      <c r="Y35" s="46">
        <v>269</v>
      </c>
      <c r="Z35" s="65">
        <v>267</v>
      </c>
      <c r="AA35" s="46">
        <v>273</v>
      </c>
      <c r="AB35" s="64">
        <v>210</v>
      </c>
      <c r="AC35" s="46">
        <v>250</v>
      </c>
      <c r="AD35" s="65">
        <v>256</v>
      </c>
      <c r="AE35" s="66">
        <v>208</v>
      </c>
      <c r="AF35" s="64">
        <v>222</v>
      </c>
      <c r="AG35" s="46">
        <v>212</v>
      </c>
      <c r="AH35" s="65">
        <v>209</v>
      </c>
      <c r="AI35" s="66">
        <v>227</v>
      </c>
      <c r="AJ35" s="64">
        <v>192</v>
      </c>
      <c r="AK35" s="46">
        <v>199</v>
      </c>
      <c r="AL35" s="65">
        <v>186</v>
      </c>
      <c r="AM35" s="66">
        <v>229</v>
      </c>
      <c r="AN35" s="64">
        <v>299</v>
      </c>
      <c r="AO35" s="46">
        <v>260</v>
      </c>
      <c r="AP35" s="65">
        <v>295</v>
      </c>
      <c r="AQ35" s="66">
        <v>293</v>
      </c>
      <c r="AR35" s="64">
        <v>310</v>
      </c>
      <c r="AS35" s="46">
        <v>257</v>
      </c>
      <c r="AT35" s="65">
        <v>318</v>
      </c>
      <c r="AU35" s="66">
        <v>284</v>
      </c>
      <c r="AV35" s="64">
        <v>168</v>
      </c>
      <c r="AW35" s="46">
        <v>144</v>
      </c>
      <c r="AX35" s="65">
        <v>221</v>
      </c>
      <c r="AY35" s="66">
        <v>165</v>
      </c>
      <c r="AZ35" s="64">
        <v>30</v>
      </c>
      <c r="BA35" s="46">
        <v>22</v>
      </c>
      <c r="BB35" s="65">
        <v>64</v>
      </c>
      <c r="BC35" s="66">
        <v>65</v>
      </c>
      <c r="BD35" s="64"/>
      <c r="BE35" s="46"/>
      <c r="BF35" s="65">
        <v>1</v>
      </c>
      <c r="BG35" s="133">
        <v>2</v>
      </c>
      <c r="BH35" s="65"/>
      <c r="BI35" s="22" t="s">
        <v>48</v>
      </c>
      <c r="BJ35" s="101">
        <f t="shared" si="4"/>
        <v>1221</v>
      </c>
      <c r="BK35" s="101">
        <f t="shared" si="5"/>
        <v>1094</v>
      </c>
      <c r="BL35" s="101">
        <f t="shared" si="6"/>
        <v>1293</v>
      </c>
      <c r="BM35" s="101">
        <f t="shared" si="7"/>
        <v>1263</v>
      </c>
      <c r="BO35" t="s">
        <v>190</v>
      </c>
      <c r="BP35">
        <v>1221</v>
      </c>
      <c r="BQ35">
        <v>1094</v>
      </c>
      <c r="BR35">
        <v>1293</v>
      </c>
      <c r="BS35">
        <v>1263</v>
      </c>
      <c r="BT35">
        <f t="shared" si="8"/>
        <v>2315</v>
      </c>
      <c r="BU35">
        <f t="shared" si="9"/>
        <v>7982</v>
      </c>
      <c r="BV35">
        <f t="shared" si="3"/>
        <v>4871</v>
      </c>
      <c r="BW35" s="148">
        <f t="shared" si="10"/>
        <v>0.47526175323342229</v>
      </c>
    </row>
    <row r="36" spans="1:75" ht="15.75" x14ac:dyDescent="0.25">
      <c r="A36" s="63">
        <v>18</v>
      </c>
      <c r="B36" s="23" t="s">
        <v>49</v>
      </c>
      <c r="C36" s="67"/>
      <c r="D36" s="44">
        <v>31</v>
      </c>
      <c r="E36" s="45">
        <v>39</v>
      </c>
      <c r="F36" s="46">
        <v>246</v>
      </c>
      <c r="G36" s="45">
        <v>223</v>
      </c>
      <c r="H36" s="44">
        <v>33</v>
      </c>
      <c r="I36" s="45">
        <v>33</v>
      </c>
      <c r="J36" s="46">
        <v>160</v>
      </c>
      <c r="K36" s="45">
        <v>139</v>
      </c>
      <c r="L36" s="44">
        <v>34</v>
      </c>
      <c r="M36" s="45">
        <v>30</v>
      </c>
      <c r="N36" s="46">
        <v>178</v>
      </c>
      <c r="O36" s="45">
        <v>203</v>
      </c>
      <c r="P36" s="44">
        <v>38</v>
      </c>
      <c r="Q36" s="45">
        <v>42</v>
      </c>
      <c r="R36" s="46">
        <v>179</v>
      </c>
      <c r="S36" s="45">
        <v>210</v>
      </c>
      <c r="T36" s="44">
        <v>35</v>
      </c>
      <c r="U36" s="45">
        <v>30</v>
      </c>
      <c r="V36" s="46">
        <v>201</v>
      </c>
      <c r="W36" s="45">
        <v>173</v>
      </c>
      <c r="X36" s="44">
        <v>162</v>
      </c>
      <c r="Y36" s="45">
        <v>143</v>
      </c>
      <c r="Z36" s="46">
        <v>737</v>
      </c>
      <c r="AA36" s="45">
        <v>730</v>
      </c>
      <c r="AB36" s="44">
        <v>133</v>
      </c>
      <c r="AC36" s="45">
        <v>122</v>
      </c>
      <c r="AD36" s="46">
        <v>657</v>
      </c>
      <c r="AE36" s="47">
        <v>625</v>
      </c>
      <c r="AF36" s="44">
        <v>115</v>
      </c>
      <c r="AG36" s="45">
        <v>102</v>
      </c>
      <c r="AH36" s="46">
        <v>462</v>
      </c>
      <c r="AI36" s="47">
        <v>548</v>
      </c>
      <c r="AJ36" s="44">
        <v>117</v>
      </c>
      <c r="AK36" s="45">
        <v>135</v>
      </c>
      <c r="AL36" s="46">
        <v>280</v>
      </c>
      <c r="AM36" s="47">
        <v>451</v>
      </c>
      <c r="AN36" s="44">
        <v>205</v>
      </c>
      <c r="AO36" s="45">
        <v>192</v>
      </c>
      <c r="AP36" s="46">
        <v>529</v>
      </c>
      <c r="AQ36" s="47">
        <v>834</v>
      </c>
      <c r="AR36" s="44">
        <v>220</v>
      </c>
      <c r="AS36" s="45">
        <v>177</v>
      </c>
      <c r="AT36" s="46">
        <v>751</v>
      </c>
      <c r="AU36" s="47">
        <v>701</v>
      </c>
      <c r="AV36" s="44">
        <v>114</v>
      </c>
      <c r="AW36" s="45">
        <v>108</v>
      </c>
      <c r="AX36" s="46">
        <v>360</v>
      </c>
      <c r="AY36" s="47">
        <v>299</v>
      </c>
      <c r="AZ36" s="44">
        <v>23</v>
      </c>
      <c r="BA36" s="45">
        <v>17</v>
      </c>
      <c r="BB36" s="46">
        <v>79</v>
      </c>
      <c r="BC36" s="47">
        <v>132</v>
      </c>
      <c r="BD36" s="44"/>
      <c r="BE36" s="45"/>
      <c r="BF36" s="46"/>
      <c r="BG36" s="130">
        <v>1</v>
      </c>
      <c r="BH36" s="101"/>
      <c r="BI36" s="22" t="s">
        <v>49</v>
      </c>
      <c r="BJ36" s="101">
        <f t="shared" si="4"/>
        <v>794</v>
      </c>
      <c r="BK36" s="101">
        <f t="shared" si="5"/>
        <v>731</v>
      </c>
      <c r="BL36" s="101">
        <f t="shared" si="6"/>
        <v>2461</v>
      </c>
      <c r="BM36" s="101">
        <f t="shared" si="7"/>
        <v>2965</v>
      </c>
      <c r="BO36" t="s">
        <v>191</v>
      </c>
      <c r="BP36">
        <v>794</v>
      </c>
      <c r="BQ36">
        <v>731</v>
      </c>
      <c r="BR36">
        <v>2461</v>
      </c>
      <c r="BS36">
        <v>2965</v>
      </c>
      <c r="BT36">
        <f t="shared" si="8"/>
        <v>1525</v>
      </c>
      <c r="BU36">
        <f t="shared" si="9"/>
        <v>8289</v>
      </c>
      <c r="BV36">
        <f t="shared" si="3"/>
        <v>6951</v>
      </c>
      <c r="BW36" s="148">
        <f t="shared" si="10"/>
        <v>0.2193928931089052</v>
      </c>
    </row>
    <row r="37" spans="1:75" x14ac:dyDescent="0.25">
      <c r="A37" s="63">
        <v>19</v>
      </c>
      <c r="B37" s="23" t="s">
        <v>50</v>
      </c>
      <c r="C37" s="39"/>
      <c r="D37" s="64">
        <v>57</v>
      </c>
      <c r="E37" s="46">
        <v>49</v>
      </c>
      <c r="F37" s="65">
        <v>76</v>
      </c>
      <c r="G37" s="46">
        <v>64</v>
      </c>
      <c r="H37" s="64">
        <v>28</v>
      </c>
      <c r="I37" s="46">
        <v>33</v>
      </c>
      <c r="J37" s="65">
        <v>35</v>
      </c>
      <c r="K37" s="46">
        <v>35</v>
      </c>
      <c r="L37" s="64">
        <v>59</v>
      </c>
      <c r="M37" s="46">
        <v>34</v>
      </c>
      <c r="N37" s="65">
        <v>63</v>
      </c>
      <c r="O37" s="46">
        <v>47</v>
      </c>
      <c r="P37" s="64">
        <v>46</v>
      </c>
      <c r="Q37" s="46">
        <v>51</v>
      </c>
      <c r="R37" s="65">
        <v>65</v>
      </c>
      <c r="S37" s="46">
        <v>60</v>
      </c>
      <c r="T37" s="64">
        <v>48</v>
      </c>
      <c r="U37" s="46">
        <v>39</v>
      </c>
      <c r="V37" s="65">
        <v>67</v>
      </c>
      <c r="W37" s="46">
        <v>60</v>
      </c>
      <c r="X37" s="64">
        <v>229</v>
      </c>
      <c r="Y37" s="46">
        <v>217</v>
      </c>
      <c r="Z37" s="65">
        <v>262</v>
      </c>
      <c r="AA37" s="46">
        <v>235</v>
      </c>
      <c r="AB37" s="64">
        <v>223</v>
      </c>
      <c r="AC37" s="46">
        <v>207</v>
      </c>
      <c r="AD37" s="65">
        <v>210</v>
      </c>
      <c r="AE37" s="66">
        <v>194</v>
      </c>
      <c r="AF37" s="64">
        <v>182</v>
      </c>
      <c r="AG37" s="46">
        <v>187</v>
      </c>
      <c r="AH37" s="65">
        <v>310</v>
      </c>
      <c r="AI37" s="66">
        <v>179</v>
      </c>
      <c r="AJ37" s="64">
        <v>158</v>
      </c>
      <c r="AK37" s="46">
        <v>170</v>
      </c>
      <c r="AL37" s="65">
        <v>301</v>
      </c>
      <c r="AM37" s="66">
        <v>171</v>
      </c>
      <c r="AN37" s="64">
        <v>248</v>
      </c>
      <c r="AO37" s="46">
        <v>242</v>
      </c>
      <c r="AP37" s="65">
        <v>475</v>
      </c>
      <c r="AQ37" s="66">
        <v>241</v>
      </c>
      <c r="AR37" s="64">
        <v>237</v>
      </c>
      <c r="AS37" s="46">
        <v>251</v>
      </c>
      <c r="AT37" s="65">
        <v>486</v>
      </c>
      <c r="AU37" s="66">
        <v>234</v>
      </c>
      <c r="AV37" s="64">
        <v>186</v>
      </c>
      <c r="AW37" s="46">
        <v>183</v>
      </c>
      <c r="AX37" s="65">
        <v>210</v>
      </c>
      <c r="AY37" s="66">
        <v>158</v>
      </c>
      <c r="AZ37" s="64">
        <v>26</v>
      </c>
      <c r="BA37" s="46">
        <v>30</v>
      </c>
      <c r="BB37" s="65">
        <v>57</v>
      </c>
      <c r="BC37" s="66">
        <v>41</v>
      </c>
      <c r="BD37" s="64"/>
      <c r="BE37" s="46"/>
      <c r="BF37" s="65"/>
      <c r="BG37" s="133">
        <v>1</v>
      </c>
      <c r="BH37" s="65"/>
      <c r="BI37" s="22" t="s">
        <v>50</v>
      </c>
      <c r="BJ37" s="101">
        <f t="shared" si="4"/>
        <v>1037</v>
      </c>
      <c r="BK37" s="101">
        <f t="shared" si="5"/>
        <v>1063</v>
      </c>
      <c r="BL37" s="101">
        <f t="shared" si="6"/>
        <v>1839</v>
      </c>
      <c r="BM37" s="101">
        <f t="shared" si="7"/>
        <v>1024</v>
      </c>
      <c r="BO37" t="s">
        <v>192</v>
      </c>
      <c r="BP37">
        <v>1037</v>
      </c>
      <c r="BQ37">
        <v>1063</v>
      </c>
      <c r="BR37">
        <v>1839</v>
      </c>
      <c r="BS37">
        <v>1024</v>
      </c>
      <c r="BT37">
        <f t="shared" si="8"/>
        <v>2100</v>
      </c>
      <c r="BU37">
        <f t="shared" si="9"/>
        <v>6482</v>
      </c>
      <c r="BV37">
        <f t="shared" si="3"/>
        <v>4963</v>
      </c>
      <c r="BW37" s="148">
        <f t="shared" si="10"/>
        <v>0.42313117066290551</v>
      </c>
    </row>
    <row r="38" spans="1:75" x14ac:dyDescent="0.25">
      <c r="A38" s="63">
        <v>20</v>
      </c>
      <c r="B38" s="23" t="s">
        <v>51</v>
      </c>
      <c r="C38" s="24"/>
      <c r="D38" s="64">
        <v>89</v>
      </c>
      <c r="E38" s="46">
        <v>85</v>
      </c>
      <c r="F38" s="65">
        <v>124</v>
      </c>
      <c r="G38" s="46">
        <v>107</v>
      </c>
      <c r="H38" s="64">
        <v>70</v>
      </c>
      <c r="I38" s="46">
        <v>56</v>
      </c>
      <c r="J38" s="65">
        <v>76</v>
      </c>
      <c r="K38" s="46">
        <v>79</v>
      </c>
      <c r="L38" s="64">
        <v>78</v>
      </c>
      <c r="M38" s="46">
        <v>77</v>
      </c>
      <c r="N38" s="65">
        <v>109</v>
      </c>
      <c r="O38" s="46">
        <v>101</v>
      </c>
      <c r="P38" s="64">
        <v>79</v>
      </c>
      <c r="Q38" s="46">
        <v>82</v>
      </c>
      <c r="R38" s="65">
        <v>89</v>
      </c>
      <c r="S38" s="46">
        <v>103</v>
      </c>
      <c r="T38" s="64">
        <v>70</v>
      </c>
      <c r="U38" s="46">
        <v>72</v>
      </c>
      <c r="V38" s="65">
        <v>95</v>
      </c>
      <c r="W38" s="46">
        <v>89</v>
      </c>
      <c r="X38" s="64">
        <v>333</v>
      </c>
      <c r="Y38" s="46">
        <v>354</v>
      </c>
      <c r="Z38" s="65">
        <v>422</v>
      </c>
      <c r="AA38" s="46">
        <v>388</v>
      </c>
      <c r="AB38" s="64">
        <v>343</v>
      </c>
      <c r="AC38" s="46">
        <v>330</v>
      </c>
      <c r="AD38" s="65">
        <v>387</v>
      </c>
      <c r="AE38" s="66">
        <v>316</v>
      </c>
      <c r="AF38" s="64">
        <v>300</v>
      </c>
      <c r="AG38" s="46">
        <v>276</v>
      </c>
      <c r="AH38" s="65">
        <v>325</v>
      </c>
      <c r="AI38" s="66">
        <v>325</v>
      </c>
      <c r="AJ38" s="64">
        <v>249</v>
      </c>
      <c r="AK38" s="46">
        <v>272</v>
      </c>
      <c r="AL38" s="65">
        <v>276</v>
      </c>
      <c r="AM38" s="66">
        <v>295</v>
      </c>
      <c r="AN38" s="64">
        <v>392</v>
      </c>
      <c r="AO38" s="46">
        <v>356</v>
      </c>
      <c r="AP38" s="65">
        <v>446</v>
      </c>
      <c r="AQ38" s="66">
        <v>423</v>
      </c>
      <c r="AR38" s="64">
        <v>358</v>
      </c>
      <c r="AS38" s="46">
        <v>316</v>
      </c>
      <c r="AT38" s="65">
        <v>426</v>
      </c>
      <c r="AU38" s="66">
        <v>380</v>
      </c>
      <c r="AV38" s="64">
        <v>242</v>
      </c>
      <c r="AW38" s="46">
        <v>239</v>
      </c>
      <c r="AX38" s="65">
        <v>299</v>
      </c>
      <c r="AY38" s="66">
        <v>246</v>
      </c>
      <c r="AZ38" s="64">
        <v>42</v>
      </c>
      <c r="BA38" s="46">
        <v>43</v>
      </c>
      <c r="BB38" s="65">
        <v>95</v>
      </c>
      <c r="BC38" s="66">
        <v>83</v>
      </c>
      <c r="BD38" s="64"/>
      <c r="BE38" s="46"/>
      <c r="BF38" s="65"/>
      <c r="BG38" s="133"/>
      <c r="BH38" s="65"/>
      <c r="BI38" s="22" t="s">
        <v>51</v>
      </c>
      <c r="BJ38" s="101">
        <f t="shared" si="4"/>
        <v>1583</v>
      </c>
      <c r="BK38" s="101">
        <f t="shared" si="5"/>
        <v>1502</v>
      </c>
      <c r="BL38" s="101">
        <f t="shared" si="6"/>
        <v>1867</v>
      </c>
      <c r="BM38" s="101">
        <f t="shared" si="7"/>
        <v>1752</v>
      </c>
      <c r="BO38" t="s">
        <v>193</v>
      </c>
      <c r="BP38">
        <v>1583</v>
      </c>
      <c r="BQ38">
        <v>1502</v>
      </c>
      <c r="BR38">
        <v>1867</v>
      </c>
      <c r="BS38">
        <v>1752</v>
      </c>
      <c r="BT38">
        <f t="shared" si="8"/>
        <v>3085</v>
      </c>
      <c r="BU38">
        <f t="shared" si="9"/>
        <v>7654</v>
      </c>
      <c r="BV38">
        <f t="shared" si="3"/>
        <v>6704</v>
      </c>
      <c r="BW38" s="148">
        <f t="shared" si="10"/>
        <v>0.46017303102625301</v>
      </c>
    </row>
    <row r="39" spans="1:75" x14ac:dyDescent="0.25">
      <c r="A39" s="63">
        <v>21</v>
      </c>
      <c r="B39" s="23" t="s">
        <v>52</v>
      </c>
      <c r="C39" s="24"/>
      <c r="D39" s="64">
        <v>50</v>
      </c>
      <c r="E39" s="46">
        <v>52</v>
      </c>
      <c r="F39" s="65">
        <v>112</v>
      </c>
      <c r="G39" s="46">
        <v>134</v>
      </c>
      <c r="H39" s="64">
        <v>52</v>
      </c>
      <c r="I39" s="46">
        <v>58</v>
      </c>
      <c r="J39" s="65">
        <v>103</v>
      </c>
      <c r="K39" s="46">
        <v>89</v>
      </c>
      <c r="L39" s="64">
        <v>56</v>
      </c>
      <c r="M39" s="46">
        <v>52</v>
      </c>
      <c r="N39" s="65">
        <v>114</v>
      </c>
      <c r="O39" s="46">
        <v>96</v>
      </c>
      <c r="P39" s="64">
        <v>75</v>
      </c>
      <c r="Q39" s="46">
        <v>51</v>
      </c>
      <c r="R39" s="65">
        <v>110</v>
      </c>
      <c r="S39" s="46">
        <v>112</v>
      </c>
      <c r="T39" s="64">
        <v>51</v>
      </c>
      <c r="U39" s="46">
        <v>52</v>
      </c>
      <c r="V39" s="65">
        <v>74</v>
      </c>
      <c r="W39" s="46">
        <v>102</v>
      </c>
      <c r="X39" s="64">
        <v>251</v>
      </c>
      <c r="Y39" s="46">
        <v>268</v>
      </c>
      <c r="Z39" s="65">
        <v>415</v>
      </c>
      <c r="AA39" s="46">
        <v>377</v>
      </c>
      <c r="AB39" s="64">
        <v>196</v>
      </c>
      <c r="AC39" s="46">
        <v>182</v>
      </c>
      <c r="AD39" s="65">
        <v>324</v>
      </c>
      <c r="AE39" s="66">
        <v>297</v>
      </c>
      <c r="AF39" s="64">
        <v>189</v>
      </c>
      <c r="AG39" s="46">
        <v>174</v>
      </c>
      <c r="AH39" s="65">
        <v>301</v>
      </c>
      <c r="AI39" s="66">
        <v>252</v>
      </c>
      <c r="AJ39" s="64">
        <v>190</v>
      </c>
      <c r="AK39" s="46">
        <v>169</v>
      </c>
      <c r="AL39" s="65">
        <v>297</v>
      </c>
      <c r="AM39" s="66">
        <v>267</v>
      </c>
      <c r="AN39" s="64">
        <v>312</v>
      </c>
      <c r="AO39" s="46">
        <v>292</v>
      </c>
      <c r="AP39" s="65">
        <v>591</v>
      </c>
      <c r="AQ39" s="66">
        <v>499</v>
      </c>
      <c r="AR39" s="64">
        <v>306</v>
      </c>
      <c r="AS39" s="46">
        <v>284</v>
      </c>
      <c r="AT39" s="65">
        <v>670</v>
      </c>
      <c r="AU39" s="66">
        <v>451</v>
      </c>
      <c r="AV39" s="64">
        <v>172</v>
      </c>
      <c r="AW39" s="46">
        <v>137</v>
      </c>
      <c r="AX39" s="65">
        <v>358</v>
      </c>
      <c r="AY39" s="66">
        <v>223</v>
      </c>
      <c r="AZ39" s="64">
        <v>30</v>
      </c>
      <c r="BA39" s="46">
        <v>27</v>
      </c>
      <c r="BB39" s="65">
        <v>79</v>
      </c>
      <c r="BC39" s="66">
        <v>47</v>
      </c>
      <c r="BD39" s="64"/>
      <c r="BE39" s="46"/>
      <c r="BF39" s="65">
        <v>3</v>
      </c>
      <c r="BG39" s="133"/>
      <c r="BH39" s="65"/>
      <c r="BI39" s="22" t="s">
        <v>52</v>
      </c>
      <c r="BJ39" s="101">
        <f t="shared" si="4"/>
        <v>1199</v>
      </c>
      <c r="BK39" s="101">
        <f t="shared" si="5"/>
        <v>1083</v>
      </c>
      <c r="BL39" s="101">
        <f t="shared" si="6"/>
        <v>2296</v>
      </c>
      <c r="BM39" s="101">
        <f t="shared" si="7"/>
        <v>1739</v>
      </c>
      <c r="BO39" t="s">
        <v>194</v>
      </c>
      <c r="BP39">
        <v>1199</v>
      </c>
      <c r="BQ39">
        <v>1083</v>
      </c>
      <c r="BR39">
        <v>2296</v>
      </c>
      <c r="BS39">
        <v>1739</v>
      </c>
      <c r="BT39">
        <f t="shared" si="8"/>
        <v>2282</v>
      </c>
      <c r="BU39">
        <f t="shared" si="9"/>
        <v>11549</v>
      </c>
      <c r="BV39">
        <f t="shared" si="3"/>
        <v>6317</v>
      </c>
      <c r="BW39" s="148">
        <f t="shared" si="10"/>
        <v>0.36124742757638117</v>
      </c>
    </row>
    <row r="40" spans="1:75" x14ac:dyDescent="0.25">
      <c r="A40" s="75">
        <v>22</v>
      </c>
      <c r="B40" s="76" t="s">
        <v>53</v>
      </c>
      <c r="C40" s="24"/>
      <c r="D40" s="64">
        <v>97</v>
      </c>
      <c r="E40" s="46">
        <v>106</v>
      </c>
      <c r="F40" s="65">
        <v>229</v>
      </c>
      <c r="G40" s="46">
        <v>270</v>
      </c>
      <c r="H40" s="64">
        <v>89</v>
      </c>
      <c r="I40" s="46">
        <v>79</v>
      </c>
      <c r="J40" s="65">
        <v>187</v>
      </c>
      <c r="K40" s="46">
        <v>228</v>
      </c>
      <c r="L40" s="64">
        <v>115</v>
      </c>
      <c r="M40" s="46">
        <v>97</v>
      </c>
      <c r="N40" s="65">
        <v>229</v>
      </c>
      <c r="O40" s="46">
        <v>239</v>
      </c>
      <c r="P40" s="64">
        <v>109</v>
      </c>
      <c r="Q40" s="46">
        <v>94</v>
      </c>
      <c r="R40" s="65">
        <v>247</v>
      </c>
      <c r="S40" s="46">
        <v>235</v>
      </c>
      <c r="T40" s="64">
        <v>102</v>
      </c>
      <c r="U40" s="46">
        <v>128</v>
      </c>
      <c r="V40" s="65">
        <v>224</v>
      </c>
      <c r="W40" s="46">
        <v>215</v>
      </c>
      <c r="X40" s="64">
        <v>447</v>
      </c>
      <c r="Y40" s="46">
        <v>498</v>
      </c>
      <c r="Z40" s="65">
        <v>891</v>
      </c>
      <c r="AA40" s="46">
        <v>840</v>
      </c>
      <c r="AB40" s="64">
        <v>446</v>
      </c>
      <c r="AC40" s="46">
        <v>481</v>
      </c>
      <c r="AD40" s="65">
        <v>767</v>
      </c>
      <c r="AE40" s="66">
        <v>726</v>
      </c>
      <c r="AF40" s="64">
        <v>400</v>
      </c>
      <c r="AG40" s="46">
        <v>445</v>
      </c>
      <c r="AH40" s="65">
        <v>599</v>
      </c>
      <c r="AI40" s="66">
        <v>546</v>
      </c>
      <c r="AJ40" s="64">
        <v>328</v>
      </c>
      <c r="AK40" s="46">
        <v>376</v>
      </c>
      <c r="AL40" s="65">
        <v>379</v>
      </c>
      <c r="AM40" s="66">
        <v>520</v>
      </c>
      <c r="AN40" s="64">
        <v>581</v>
      </c>
      <c r="AO40" s="46">
        <v>612</v>
      </c>
      <c r="AP40" s="65">
        <v>845</v>
      </c>
      <c r="AQ40" s="66">
        <v>994</v>
      </c>
      <c r="AR40" s="64">
        <v>662</v>
      </c>
      <c r="AS40" s="46">
        <v>567</v>
      </c>
      <c r="AT40" s="65">
        <v>1185</v>
      </c>
      <c r="AU40" s="66">
        <v>935</v>
      </c>
      <c r="AV40" s="64">
        <v>366</v>
      </c>
      <c r="AW40" s="46">
        <v>343</v>
      </c>
      <c r="AX40" s="65">
        <v>728</v>
      </c>
      <c r="AY40" s="66">
        <v>475</v>
      </c>
      <c r="AZ40" s="64">
        <v>81</v>
      </c>
      <c r="BA40" s="46">
        <v>74</v>
      </c>
      <c r="BB40" s="65">
        <v>151</v>
      </c>
      <c r="BC40" s="66">
        <v>157</v>
      </c>
      <c r="BD40" s="64"/>
      <c r="BE40" s="46"/>
      <c r="BF40" s="65"/>
      <c r="BG40" s="133">
        <v>1</v>
      </c>
      <c r="BH40" s="65"/>
      <c r="BI40" s="140" t="s">
        <v>53</v>
      </c>
      <c r="BJ40" s="101">
        <f t="shared" si="4"/>
        <v>2418</v>
      </c>
      <c r="BK40" s="101">
        <f t="shared" si="5"/>
        <v>2417</v>
      </c>
      <c r="BL40" s="101">
        <f t="shared" si="6"/>
        <v>3887</v>
      </c>
      <c r="BM40" s="101">
        <f t="shared" si="7"/>
        <v>3627</v>
      </c>
      <c r="BO40" t="s">
        <v>195</v>
      </c>
      <c r="BP40">
        <v>2418</v>
      </c>
      <c r="BQ40">
        <v>2417</v>
      </c>
      <c r="BR40">
        <v>3887</v>
      </c>
      <c r="BS40">
        <v>3627</v>
      </c>
      <c r="BT40">
        <f t="shared" si="8"/>
        <v>4835</v>
      </c>
      <c r="BU40">
        <f t="shared" si="9"/>
        <v>9119</v>
      </c>
      <c r="BV40">
        <f t="shared" si="3"/>
        <v>12349</v>
      </c>
      <c r="BW40" s="148">
        <f t="shared" si="10"/>
        <v>0.39152967851647907</v>
      </c>
    </row>
    <row r="41" spans="1:75" x14ac:dyDescent="0.25">
      <c r="A41" s="63">
        <v>23</v>
      </c>
      <c r="B41" s="23" t="s">
        <v>54</v>
      </c>
      <c r="C41" s="24"/>
      <c r="D41" s="64">
        <v>27</v>
      </c>
      <c r="E41" s="46">
        <v>18</v>
      </c>
      <c r="F41" s="65">
        <v>51</v>
      </c>
      <c r="G41" s="46">
        <v>45</v>
      </c>
      <c r="H41" s="64">
        <v>12</v>
      </c>
      <c r="I41" s="46">
        <v>26</v>
      </c>
      <c r="J41" s="65">
        <v>35</v>
      </c>
      <c r="K41" s="46">
        <v>32</v>
      </c>
      <c r="L41" s="64">
        <v>19</v>
      </c>
      <c r="M41" s="46">
        <v>29</v>
      </c>
      <c r="N41" s="65">
        <v>44</v>
      </c>
      <c r="O41" s="46">
        <v>40</v>
      </c>
      <c r="P41" s="64">
        <v>24</v>
      </c>
      <c r="Q41" s="46">
        <v>27</v>
      </c>
      <c r="R41" s="65">
        <v>50</v>
      </c>
      <c r="S41" s="46">
        <v>39</v>
      </c>
      <c r="T41" s="64">
        <v>23</v>
      </c>
      <c r="U41" s="46">
        <v>20</v>
      </c>
      <c r="V41" s="65">
        <v>30</v>
      </c>
      <c r="W41" s="46">
        <v>37</v>
      </c>
      <c r="X41" s="64">
        <v>86</v>
      </c>
      <c r="Y41" s="46">
        <v>111</v>
      </c>
      <c r="Z41" s="65">
        <v>149</v>
      </c>
      <c r="AA41" s="46">
        <v>168</v>
      </c>
      <c r="AB41" s="64">
        <v>77</v>
      </c>
      <c r="AC41" s="46">
        <v>82</v>
      </c>
      <c r="AD41" s="65">
        <v>129</v>
      </c>
      <c r="AE41" s="66">
        <v>141</v>
      </c>
      <c r="AF41" s="64">
        <v>70</v>
      </c>
      <c r="AG41" s="46">
        <v>60</v>
      </c>
      <c r="AH41" s="65">
        <v>136</v>
      </c>
      <c r="AI41" s="66">
        <v>125</v>
      </c>
      <c r="AJ41" s="64">
        <v>77</v>
      </c>
      <c r="AK41" s="46">
        <v>82</v>
      </c>
      <c r="AL41" s="65">
        <v>102</v>
      </c>
      <c r="AM41" s="66">
        <v>112</v>
      </c>
      <c r="AN41" s="64">
        <v>162</v>
      </c>
      <c r="AO41" s="46">
        <v>109</v>
      </c>
      <c r="AP41" s="65">
        <v>228</v>
      </c>
      <c r="AQ41" s="66">
        <v>201</v>
      </c>
      <c r="AR41" s="64">
        <v>137</v>
      </c>
      <c r="AS41" s="46">
        <v>120</v>
      </c>
      <c r="AT41" s="65">
        <v>257</v>
      </c>
      <c r="AU41" s="66">
        <v>165</v>
      </c>
      <c r="AV41" s="64">
        <v>62</v>
      </c>
      <c r="AW41" s="46">
        <v>43</v>
      </c>
      <c r="AX41" s="65">
        <v>129</v>
      </c>
      <c r="AY41" s="66">
        <v>90</v>
      </c>
      <c r="AZ41" s="64">
        <v>5</v>
      </c>
      <c r="BA41" s="46">
        <v>2</v>
      </c>
      <c r="BB41" s="65">
        <v>39</v>
      </c>
      <c r="BC41" s="66">
        <v>21</v>
      </c>
      <c r="BD41" s="64"/>
      <c r="BE41" s="46"/>
      <c r="BF41" s="65"/>
      <c r="BG41" s="133"/>
      <c r="BH41" s="65"/>
      <c r="BI41" s="22" t="s">
        <v>54</v>
      </c>
      <c r="BJ41" s="101">
        <f t="shared" si="4"/>
        <v>513</v>
      </c>
      <c r="BK41" s="101">
        <f t="shared" si="5"/>
        <v>416</v>
      </c>
      <c r="BL41" s="101">
        <f t="shared" si="6"/>
        <v>891</v>
      </c>
      <c r="BM41" s="101">
        <f t="shared" si="7"/>
        <v>714</v>
      </c>
      <c r="BO41" t="s">
        <v>196</v>
      </c>
      <c r="BP41">
        <v>513</v>
      </c>
      <c r="BQ41">
        <v>416</v>
      </c>
      <c r="BR41">
        <v>891</v>
      </c>
      <c r="BS41">
        <v>714</v>
      </c>
      <c r="BT41">
        <f t="shared" si="8"/>
        <v>929</v>
      </c>
      <c r="BU41">
        <f t="shared" si="9"/>
        <v>20219</v>
      </c>
      <c r="BV41">
        <f t="shared" si="3"/>
        <v>2534</v>
      </c>
      <c r="BW41" s="148">
        <f t="shared" si="10"/>
        <v>0.3666140489344909</v>
      </c>
    </row>
    <row r="42" spans="1:75" x14ac:dyDescent="0.25">
      <c r="A42" s="63">
        <v>24</v>
      </c>
      <c r="B42" s="23" t="s">
        <v>55</v>
      </c>
      <c r="C42" s="24"/>
      <c r="D42" s="44">
        <v>269</v>
      </c>
      <c r="E42" s="71">
        <v>244</v>
      </c>
      <c r="F42" s="45">
        <v>574</v>
      </c>
      <c r="G42" s="71">
        <v>616</v>
      </c>
      <c r="H42" s="44">
        <v>217</v>
      </c>
      <c r="I42" s="71">
        <v>214</v>
      </c>
      <c r="J42" s="45">
        <v>250</v>
      </c>
      <c r="K42" s="71">
        <v>322</v>
      </c>
      <c r="L42" s="44">
        <v>268</v>
      </c>
      <c r="M42" s="71">
        <v>246</v>
      </c>
      <c r="N42" s="45">
        <v>403</v>
      </c>
      <c r="O42" s="71">
        <v>412</v>
      </c>
      <c r="P42" s="44">
        <v>262</v>
      </c>
      <c r="Q42" s="71">
        <v>252</v>
      </c>
      <c r="R42" s="45">
        <v>366</v>
      </c>
      <c r="S42" s="71">
        <v>399</v>
      </c>
      <c r="T42" s="44">
        <v>249</v>
      </c>
      <c r="U42" s="71">
        <v>273</v>
      </c>
      <c r="V42" s="45">
        <v>445</v>
      </c>
      <c r="W42" s="71">
        <v>445</v>
      </c>
      <c r="X42" s="44">
        <v>1147</v>
      </c>
      <c r="Y42" s="71">
        <v>1063</v>
      </c>
      <c r="Z42" s="45">
        <v>1815</v>
      </c>
      <c r="AA42" s="71">
        <v>1734</v>
      </c>
      <c r="AB42" s="44">
        <v>935</v>
      </c>
      <c r="AC42" s="71">
        <v>904</v>
      </c>
      <c r="AD42" s="45">
        <v>1653</v>
      </c>
      <c r="AE42" s="73">
        <v>1513</v>
      </c>
      <c r="AF42" s="44">
        <v>937</v>
      </c>
      <c r="AG42" s="71">
        <v>888</v>
      </c>
      <c r="AH42" s="45">
        <v>1361</v>
      </c>
      <c r="AI42" s="73">
        <v>1665</v>
      </c>
      <c r="AJ42" s="44">
        <v>723</v>
      </c>
      <c r="AK42" s="71">
        <v>860</v>
      </c>
      <c r="AL42" s="45">
        <v>1196</v>
      </c>
      <c r="AM42" s="73">
        <v>1598</v>
      </c>
      <c r="AN42" s="44">
        <v>1566</v>
      </c>
      <c r="AO42" s="71">
        <v>1464</v>
      </c>
      <c r="AP42" s="45">
        <v>2630</v>
      </c>
      <c r="AQ42" s="73">
        <v>2585</v>
      </c>
      <c r="AR42" s="44">
        <v>1649</v>
      </c>
      <c r="AS42" s="71">
        <v>1480</v>
      </c>
      <c r="AT42" s="45">
        <v>2522</v>
      </c>
      <c r="AU42" s="73">
        <v>2207</v>
      </c>
      <c r="AV42" s="44">
        <v>915</v>
      </c>
      <c r="AW42" s="71">
        <v>816</v>
      </c>
      <c r="AX42" s="45">
        <v>1100</v>
      </c>
      <c r="AY42" s="73">
        <v>1102</v>
      </c>
      <c r="AZ42" s="44">
        <v>147</v>
      </c>
      <c r="BA42" s="71">
        <v>158</v>
      </c>
      <c r="BB42" s="45">
        <v>320</v>
      </c>
      <c r="BC42" s="73">
        <v>328</v>
      </c>
      <c r="BD42" s="44"/>
      <c r="BE42" s="71"/>
      <c r="BF42" s="45">
        <v>2</v>
      </c>
      <c r="BG42" s="134">
        <v>2</v>
      </c>
      <c r="BH42" s="72"/>
      <c r="BI42" s="22" t="s">
        <v>55</v>
      </c>
      <c r="BJ42" s="101">
        <f t="shared" si="4"/>
        <v>5937</v>
      </c>
      <c r="BK42" s="101">
        <f t="shared" si="5"/>
        <v>5666</v>
      </c>
      <c r="BL42" s="101">
        <f t="shared" si="6"/>
        <v>9129</v>
      </c>
      <c r="BM42" s="101">
        <f t="shared" si="7"/>
        <v>9485</v>
      </c>
      <c r="BO42" t="s">
        <v>197</v>
      </c>
      <c r="BP42">
        <v>5937</v>
      </c>
      <c r="BQ42">
        <v>5666</v>
      </c>
      <c r="BR42">
        <v>9129</v>
      </c>
      <c r="BS42">
        <v>9485</v>
      </c>
      <c r="BT42">
        <f t="shared" si="8"/>
        <v>11603</v>
      </c>
      <c r="BU42">
        <f t="shared" si="9"/>
        <v>25436</v>
      </c>
      <c r="BV42">
        <f t="shared" si="3"/>
        <v>30217</v>
      </c>
      <c r="BW42" s="148">
        <f t="shared" si="10"/>
        <v>0.38398914518317501</v>
      </c>
    </row>
    <row r="43" spans="1:75" ht="15.75" x14ac:dyDescent="0.25">
      <c r="A43" s="63">
        <v>25</v>
      </c>
      <c r="B43" s="23" t="s">
        <v>56</v>
      </c>
      <c r="C43" s="67"/>
      <c r="D43" s="44">
        <v>22</v>
      </c>
      <c r="E43" s="45">
        <v>24</v>
      </c>
      <c r="F43" s="46">
        <v>209</v>
      </c>
      <c r="G43" s="45">
        <v>264</v>
      </c>
      <c r="H43" s="44">
        <v>32</v>
      </c>
      <c r="I43" s="45">
        <v>20</v>
      </c>
      <c r="J43" s="46">
        <v>132</v>
      </c>
      <c r="K43" s="45">
        <v>140</v>
      </c>
      <c r="L43" s="44">
        <v>26</v>
      </c>
      <c r="M43" s="45">
        <v>21</v>
      </c>
      <c r="N43" s="46">
        <v>175</v>
      </c>
      <c r="O43" s="45">
        <v>197</v>
      </c>
      <c r="P43" s="44">
        <v>31</v>
      </c>
      <c r="Q43" s="45">
        <v>23</v>
      </c>
      <c r="R43" s="46">
        <v>195</v>
      </c>
      <c r="S43" s="45">
        <v>217</v>
      </c>
      <c r="T43" s="44">
        <v>22</v>
      </c>
      <c r="U43" s="45">
        <v>20</v>
      </c>
      <c r="V43" s="46">
        <v>182</v>
      </c>
      <c r="W43" s="45">
        <v>222</v>
      </c>
      <c r="X43" s="44">
        <v>119</v>
      </c>
      <c r="Y43" s="45">
        <v>120</v>
      </c>
      <c r="Z43" s="46">
        <v>852</v>
      </c>
      <c r="AA43" s="45">
        <v>843</v>
      </c>
      <c r="AB43" s="44">
        <v>115</v>
      </c>
      <c r="AC43" s="45">
        <v>89</v>
      </c>
      <c r="AD43" s="46">
        <v>788</v>
      </c>
      <c r="AE43" s="47">
        <v>811</v>
      </c>
      <c r="AF43" s="44">
        <v>92</v>
      </c>
      <c r="AG43" s="45">
        <v>92</v>
      </c>
      <c r="AH43" s="46">
        <v>566</v>
      </c>
      <c r="AI43" s="47">
        <v>745</v>
      </c>
      <c r="AJ43" s="44">
        <v>88</v>
      </c>
      <c r="AK43" s="45">
        <v>86</v>
      </c>
      <c r="AL43" s="46">
        <v>453</v>
      </c>
      <c r="AM43" s="47">
        <v>554</v>
      </c>
      <c r="AN43" s="44">
        <v>161</v>
      </c>
      <c r="AO43" s="45">
        <v>137</v>
      </c>
      <c r="AP43" s="46">
        <v>561</v>
      </c>
      <c r="AQ43" s="47">
        <v>920</v>
      </c>
      <c r="AR43" s="44">
        <v>171</v>
      </c>
      <c r="AS43" s="45">
        <v>165</v>
      </c>
      <c r="AT43" s="46">
        <v>733</v>
      </c>
      <c r="AU43" s="47">
        <v>823</v>
      </c>
      <c r="AV43" s="44">
        <v>126</v>
      </c>
      <c r="AW43" s="45">
        <v>92</v>
      </c>
      <c r="AX43" s="46">
        <v>567</v>
      </c>
      <c r="AY43" s="47">
        <v>531</v>
      </c>
      <c r="AZ43" s="44">
        <v>18</v>
      </c>
      <c r="BA43" s="45">
        <v>26</v>
      </c>
      <c r="BB43" s="46">
        <v>163</v>
      </c>
      <c r="BC43" s="47">
        <v>206</v>
      </c>
      <c r="BD43" s="44"/>
      <c r="BE43" s="45"/>
      <c r="BF43" s="46"/>
      <c r="BG43" s="130"/>
      <c r="BH43" s="101"/>
      <c r="BI43" s="22" t="s">
        <v>56</v>
      </c>
      <c r="BJ43" s="101">
        <f t="shared" si="4"/>
        <v>656</v>
      </c>
      <c r="BK43" s="101">
        <f t="shared" si="5"/>
        <v>598</v>
      </c>
      <c r="BL43" s="101">
        <f t="shared" si="6"/>
        <v>3043</v>
      </c>
      <c r="BM43" s="101">
        <f t="shared" si="7"/>
        <v>3779</v>
      </c>
      <c r="BO43" t="s">
        <v>198</v>
      </c>
      <c r="BP43">
        <v>656</v>
      </c>
      <c r="BQ43">
        <v>598</v>
      </c>
      <c r="BR43">
        <v>3043</v>
      </c>
      <c r="BS43">
        <v>3779</v>
      </c>
      <c r="BT43">
        <f t="shared" si="8"/>
        <v>1254</v>
      </c>
      <c r="BU43">
        <f t="shared" si="9"/>
        <v>8866</v>
      </c>
      <c r="BV43">
        <f t="shared" si="3"/>
        <v>8076</v>
      </c>
      <c r="BW43" s="148">
        <f t="shared" si="10"/>
        <v>0.15527488855869243</v>
      </c>
    </row>
    <row r="44" spans="1:75" x14ac:dyDescent="0.25">
      <c r="A44" s="63">
        <v>26</v>
      </c>
      <c r="B44" s="23" t="s">
        <v>57</v>
      </c>
      <c r="C44" s="39"/>
      <c r="D44" s="64">
        <v>84</v>
      </c>
      <c r="E44" s="46">
        <v>81</v>
      </c>
      <c r="F44" s="65">
        <v>65</v>
      </c>
      <c r="G44" s="46">
        <v>59</v>
      </c>
      <c r="H44" s="64">
        <v>69</v>
      </c>
      <c r="I44" s="46">
        <v>53</v>
      </c>
      <c r="J44" s="65">
        <v>45</v>
      </c>
      <c r="K44" s="46">
        <v>40</v>
      </c>
      <c r="L44" s="64">
        <v>64</v>
      </c>
      <c r="M44" s="46">
        <v>54</v>
      </c>
      <c r="N44" s="65">
        <v>68</v>
      </c>
      <c r="O44" s="46">
        <v>63</v>
      </c>
      <c r="P44" s="64">
        <v>64</v>
      </c>
      <c r="Q44" s="46">
        <v>71</v>
      </c>
      <c r="R44" s="65">
        <v>48</v>
      </c>
      <c r="S44" s="46">
        <v>55</v>
      </c>
      <c r="T44" s="64">
        <v>82</v>
      </c>
      <c r="U44" s="46">
        <v>73</v>
      </c>
      <c r="V44" s="65">
        <v>58</v>
      </c>
      <c r="W44" s="46">
        <v>69</v>
      </c>
      <c r="X44" s="64">
        <v>341</v>
      </c>
      <c r="Y44" s="46">
        <v>269</v>
      </c>
      <c r="Z44" s="65">
        <v>211</v>
      </c>
      <c r="AA44" s="46">
        <v>219</v>
      </c>
      <c r="AB44" s="64">
        <v>266</v>
      </c>
      <c r="AC44" s="46">
        <v>262</v>
      </c>
      <c r="AD44" s="65">
        <v>201</v>
      </c>
      <c r="AE44" s="66">
        <v>206</v>
      </c>
      <c r="AF44" s="64">
        <v>296</v>
      </c>
      <c r="AG44" s="46">
        <v>255</v>
      </c>
      <c r="AH44" s="65">
        <v>193</v>
      </c>
      <c r="AI44" s="66">
        <v>182</v>
      </c>
      <c r="AJ44" s="64">
        <v>245</v>
      </c>
      <c r="AK44" s="46">
        <v>246</v>
      </c>
      <c r="AL44" s="65">
        <v>162</v>
      </c>
      <c r="AM44" s="66">
        <v>143</v>
      </c>
      <c r="AN44" s="64">
        <v>337</v>
      </c>
      <c r="AO44" s="46">
        <v>318</v>
      </c>
      <c r="AP44" s="65">
        <v>235</v>
      </c>
      <c r="AQ44" s="66">
        <v>220</v>
      </c>
      <c r="AR44" s="64">
        <v>341</v>
      </c>
      <c r="AS44" s="46">
        <v>281</v>
      </c>
      <c r="AT44" s="65">
        <v>271</v>
      </c>
      <c r="AU44" s="66">
        <v>215</v>
      </c>
      <c r="AV44" s="64">
        <v>224</v>
      </c>
      <c r="AW44" s="46">
        <v>160</v>
      </c>
      <c r="AX44" s="65">
        <v>196</v>
      </c>
      <c r="AY44" s="66">
        <v>128</v>
      </c>
      <c r="AZ44" s="64">
        <v>34</v>
      </c>
      <c r="BA44" s="46">
        <v>30</v>
      </c>
      <c r="BB44" s="65">
        <v>58</v>
      </c>
      <c r="BC44" s="66">
        <v>41</v>
      </c>
      <c r="BD44" s="64"/>
      <c r="BE44" s="46"/>
      <c r="BF44" s="65">
        <v>5</v>
      </c>
      <c r="BG44" s="133">
        <v>3</v>
      </c>
      <c r="BH44" s="65"/>
      <c r="BI44" s="22" t="s">
        <v>57</v>
      </c>
      <c r="BJ44" s="101">
        <f t="shared" si="4"/>
        <v>1477</v>
      </c>
      <c r="BK44" s="101">
        <f t="shared" si="5"/>
        <v>1290</v>
      </c>
      <c r="BL44" s="101">
        <f t="shared" si="6"/>
        <v>1115</v>
      </c>
      <c r="BM44" s="101">
        <f t="shared" si="7"/>
        <v>929</v>
      </c>
      <c r="BO44" t="s">
        <v>199</v>
      </c>
      <c r="BP44">
        <v>1477</v>
      </c>
      <c r="BQ44">
        <v>1290</v>
      </c>
      <c r="BR44">
        <v>1115</v>
      </c>
      <c r="BS44">
        <v>929</v>
      </c>
      <c r="BT44">
        <f t="shared" si="8"/>
        <v>2767</v>
      </c>
      <c r="BU44">
        <f t="shared" si="9"/>
        <v>7050</v>
      </c>
      <c r="BV44">
        <f t="shared" si="3"/>
        <v>4811</v>
      </c>
      <c r="BW44" s="148">
        <f t="shared" si="10"/>
        <v>0.57514030347121181</v>
      </c>
    </row>
    <row r="45" spans="1:75" x14ac:dyDescent="0.25">
      <c r="A45" s="63">
        <v>27</v>
      </c>
      <c r="B45" s="23" t="s">
        <v>58</v>
      </c>
      <c r="C45" s="24"/>
      <c r="D45" s="64">
        <v>112</v>
      </c>
      <c r="E45" s="46">
        <v>109</v>
      </c>
      <c r="F45" s="65">
        <v>124</v>
      </c>
      <c r="G45" s="46">
        <v>132</v>
      </c>
      <c r="H45" s="64">
        <v>112</v>
      </c>
      <c r="I45" s="46">
        <v>88</v>
      </c>
      <c r="J45" s="65">
        <v>104</v>
      </c>
      <c r="K45" s="46">
        <v>102</v>
      </c>
      <c r="L45" s="64">
        <v>126</v>
      </c>
      <c r="M45" s="46">
        <v>103</v>
      </c>
      <c r="N45" s="65">
        <v>118</v>
      </c>
      <c r="O45" s="46">
        <v>105</v>
      </c>
      <c r="P45" s="64">
        <v>115</v>
      </c>
      <c r="Q45" s="46">
        <v>116</v>
      </c>
      <c r="R45" s="65">
        <v>126</v>
      </c>
      <c r="S45" s="46">
        <v>103</v>
      </c>
      <c r="T45" s="64">
        <v>119</v>
      </c>
      <c r="U45" s="46">
        <v>119</v>
      </c>
      <c r="V45" s="65">
        <v>120</v>
      </c>
      <c r="W45" s="46">
        <v>125</v>
      </c>
      <c r="X45" s="64">
        <v>572</v>
      </c>
      <c r="Y45" s="46">
        <v>514</v>
      </c>
      <c r="Z45" s="65">
        <v>510</v>
      </c>
      <c r="AA45" s="46">
        <v>527</v>
      </c>
      <c r="AB45" s="64">
        <v>466</v>
      </c>
      <c r="AC45" s="46">
        <v>426</v>
      </c>
      <c r="AD45" s="65">
        <v>475</v>
      </c>
      <c r="AE45" s="66">
        <v>453</v>
      </c>
      <c r="AF45" s="64">
        <v>386</v>
      </c>
      <c r="AG45" s="46">
        <v>397</v>
      </c>
      <c r="AH45" s="65">
        <v>463</v>
      </c>
      <c r="AI45" s="66">
        <v>348</v>
      </c>
      <c r="AJ45" s="64">
        <v>376</v>
      </c>
      <c r="AK45" s="46">
        <v>327</v>
      </c>
      <c r="AL45" s="65">
        <v>605</v>
      </c>
      <c r="AM45" s="66">
        <v>308</v>
      </c>
      <c r="AN45" s="64">
        <v>544</v>
      </c>
      <c r="AO45" s="46">
        <v>472</v>
      </c>
      <c r="AP45" s="65">
        <v>860</v>
      </c>
      <c r="AQ45" s="66">
        <v>485</v>
      </c>
      <c r="AR45" s="64">
        <v>465</v>
      </c>
      <c r="AS45" s="46">
        <v>420</v>
      </c>
      <c r="AT45" s="65">
        <v>670</v>
      </c>
      <c r="AU45" s="66">
        <v>399</v>
      </c>
      <c r="AV45" s="64">
        <v>338</v>
      </c>
      <c r="AW45" s="46">
        <v>316</v>
      </c>
      <c r="AX45" s="65">
        <v>431</v>
      </c>
      <c r="AY45" s="66">
        <v>289</v>
      </c>
      <c r="AZ45" s="64">
        <v>65</v>
      </c>
      <c r="BA45" s="46">
        <v>61</v>
      </c>
      <c r="BB45" s="65">
        <v>94</v>
      </c>
      <c r="BC45" s="66">
        <v>54</v>
      </c>
      <c r="BD45" s="64"/>
      <c r="BE45" s="46"/>
      <c r="BF45" s="65"/>
      <c r="BG45" s="133"/>
      <c r="BH45" s="65"/>
      <c r="BI45" s="22" t="s">
        <v>58</v>
      </c>
      <c r="BJ45" s="101">
        <f t="shared" si="4"/>
        <v>2174</v>
      </c>
      <c r="BK45" s="101">
        <f t="shared" si="5"/>
        <v>1993</v>
      </c>
      <c r="BL45" s="101">
        <f t="shared" si="6"/>
        <v>3123</v>
      </c>
      <c r="BM45" s="101">
        <f t="shared" si="7"/>
        <v>1883</v>
      </c>
      <c r="BO45" t="s">
        <v>200</v>
      </c>
      <c r="BP45">
        <v>2174</v>
      </c>
      <c r="BQ45">
        <v>1993</v>
      </c>
      <c r="BR45">
        <v>3123</v>
      </c>
      <c r="BS45">
        <v>1883</v>
      </c>
      <c r="BT45">
        <f t="shared" si="8"/>
        <v>4167</v>
      </c>
      <c r="BU45">
        <f t="shared" si="9"/>
        <v>32496</v>
      </c>
      <c r="BV45">
        <f t="shared" si="3"/>
        <v>9173</v>
      </c>
      <c r="BW45" s="148">
        <f t="shared" si="10"/>
        <v>0.4542679603183255</v>
      </c>
    </row>
    <row r="46" spans="1:75" x14ac:dyDescent="0.25">
      <c r="A46" s="63">
        <v>28</v>
      </c>
      <c r="B46" s="23" t="s">
        <v>59</v>
      </c>
      <c r="C46" s="24"/>
      <c r="D46" s="64">
        <v>11</v>
      </c>
      <c r="E46" s="46">
        <v>6</v>
      </c>
      <c r="F46" s="65">
        <v>920</v>
      </c>
      <c r="G46" s="46">
        <v>1016</v>
      </c>
      <c r="H46" s="64">
        <v>14</v>
      </c>
      <c r="I46" s="46">
        <v>9</v>
      </c>
      <c r="J46" s="65">
        <v>499</v>
      </c>
      <c r="K46" s="46">
        <v>535</v>
      </c>
      <c r="L46" s="64">
        <v>16</v>
      </c>
      <c r="M46" s="46">
        <v>6</v>
      </c>
      <c r="N46" s="65">
        <v>988</v>
      </c>
      <c r="O46" s="46">
        <v>1016</v>
      </c>
      <c r="P46" s="64">
        <v>11</v>
      </c>
      <c r="Q46" s="46">
        <v>11</v>
      </c>
      <c r="R46" s="65">
        <v>1071</v>
      </c>
      <c r="S46" s="46">
        <v>1038</v>
      </c>
      <c r="T46" s="64">
        <v>7</v>
      </c>
      <c r="U46" s="46">
        <v>12</v>
      </c>
      <c r="V46" s="65">
        <v>916</v>
      </c>
      <c r="W46" s="46">
        <v>1024</v>
      </c>
      <c r="X46" s="64">
        <v>46</v>
      </c>
      <c r="Y46" s="46">
        <v>34</v>
      </c>
      <c r="Z46" s="65">
        <v>3099</v>
      </c>
      <c r="AA46" s="46">
        <v>3216</v>
      </c>
      <c r="AB46" s="64">
        <v>34</v>
      </c>
      <c r="AC46" s="46">
        <v>43</v>
      </c>
      <c r="AD46" s="65">
        <v>3527</v>
      </c>
      <c r="AE46" s="66">
        <v>3468</v>
      </c>
      <c r="AF46" s="64">
        <v>43</v>
      </c>
      <c r="AG46" s="46">
        <v>27</v>
      </c>
      <c r="AH46" s="65">
        <v>2889</v>
      </c>
      <c r="AI46" s="66">
        <v>3362</v>
      </c>
      <c r="AJ46" s="64">
        <v>51</v>
      </c>
      <c r="AK46" s="46">
        <v>43</v>
      </c>
      <c r="AL46" s="65">
        <v>1145</v>
      </c>
      <c r="AM46" s="66">
        <v>1648</v>
      </c>
      <c r="AN46" s="64">
        <v>73</v>
      </c>
      <c r="AO46" s="46">
        <v>56</v>
      </c>
      <c r="AP46" s="65">
        <v>2532</v>
      </c>
      <c r="AQ46" s="66">
        <v>4550</v>
      </c>
      <c r="AR46" s="64">
        <v>71</v>
      </c>
      <c r="AS46" s="46">
        <v>47</v>
      </c>
      <c r="AT46" s="65">
        <v>2525</v>
      </c>
      <c r="AU46" s="66">
        <v>3277</v>
      </c>
      <c r="AV46" s="64">
        <v>48</v>
      </c>
      <c r="AW46" s="46">
        <v>41</v>
      </c>
      <c r="AX46" s="65">
        <v>1773</v>
      </c>
      <c r="AY46" s="66">
        <v>2358</v>
      </c>
      <c r="AZ46" s="64">
        <v>8</v>
      </c>
      <c r="BA46" s="46">
        <v>6</v>
      </c>
      <c r="BB46" s="65">
        <v>738</v>
      </c>
      <c r="BC46" s="66">
        <v>693</v>
      </c>
      <c r="BD46" s="64"/>
      <c r="BE46" s="46"/>
      <c r="BF46" s="65"/>
      <c r="BG46" s="133"/>
      <c r="BH46" s="65"/>
      <c r="BI46" s="22" t="s">
        <v>59</v>
      </c>
      <c r="BJ46" s="101">
        <f t="shared" si="4"/>
        <v>294</v>
      </c>
      <c r="BK46" s="101">
        <f t="shared" si="5"/>
        <v>220</v>
      </c>
      <c r="BL46" s="101">
        <f t="shared" si="6"/>
        <v>11602</v>
      </c>
      <c r="BM46" s="101">
        <f t="shared" si="7"/>
        <v>15888</v>
      </c>
      <c r="BO46" t="s">
        <v>201</v>
      </c>
      <c r="BP46">
        <v>294</v>
      </c>
      <c r="BQ46">
        <v>220</v>
      </c>
      <c r="BR46">
        <v>11602</v>
      </c>
      <c r="BS46">
        <v>15888</v>
      </c>
      <c r="BT46">
        <f t="shared" si="8"/>
        <v>514</v>
      </c>
      <c r="BU46">
        <f t="shared" si="9"/>
        <v>34305</v>
      </c>
      <c r="BV46">
        <f t="shared" si="3"/>
        <v>28004</v>
      </c>
      <c r="BW46" s="148">
        <f t="shared" si="10"/>
        <v>1.8354520782745323E-2</v>
      </c>
    </row>
    <row r="47" spans="1:75" x14ac:dyDescent="0.25">
      <c r="A47" s="63">
        <v>29</v>
      </c>
      <c r="B47" s="23" t="s">
        <v>60</v>
      </c>
      <c r="C47" s="24"/>
      <c r="D47" s="64">
        <v>97</v>
      </c>
      <c r="E47" s="46">
        <v>95</v>
      </c>
      <c r="F47" s="65">
        <v>274</v>
      </c>
      <c r="G47" s="46">
        <v>282</v>
      </c>
      <c r="H47" s="64">
        <v>67</v>
      </c>
      <c r="I47" s="46">
        <v>78</v>
      </c>
      <c r="J47" s="65">
        <v>138</v>
      </c>
      <c r="K47" s="46">
        <v>141</v>
      </c>
      <c r="L47" s="64">
        <v>90</v>
      </c>
      <c r="M47" s="46">
        <v>84</v>
      </c>
      <c r="N47" s="65">
        <v>187</v>
      </c>
      <c r="O47" s="46">
        <v>183</v>
      </c>
      <c r="P47" s="64">
        <v>81</v>
      </c>
      <c r="Q47" s="46">
        <v>90</v>
      </c>
      <c r="R47" s="65">
        <v>191</v>
      </c>
      <c r="S47" s="46">
        <v>200</v>
      </c>
      <c r="T47" s="64">
        <v>106</v>
      </c>
      <c r="U47" s="46">
        <v>101</v>
      </c>
      <c r="V47" s="65">
        <v>200</v>
      </c>
      <c r="W47" s="46">
        <v>207</v>
      </c>
      <c r="X47" s="64">
        <v>461</v>
      </c>
      <c r="Y47" s="46">
        <v>439</v>
      </c>
      <c r="Z47" s="65">
        <v>859</v>
      </c>
      <c r="AA47" s="46">
        <v>906</v>
      </c>
      <c r="AB47" s="64">
        <v>434</v>
      </c>
      <c r="AC47" s="46">
        <v>506</v>
      </c>
      <c r="AD47" s="65">
        <v>707</v>
      </c>
      <c r="AE47" s="66">
        <v>711</v>
      </c>
      <c r="AF47" s="64">
        <v>404</v>
      </c>
      <c r="AG47" s="46">
        <v>479</v>
      </c>
      <c r="AH47" s="65">
        <v>539</v>
      </c>
      <c r="AI47" s="66">
        <v>631</v>
      </c>
      <c r="AJ47" s="64">
        <v>270</v>
      </c>
      <c r="AK47" s="46">
        <v>337</v>
      </c>
      <c r="AL47" s="65">
        <v>381</v>
      </c>
      <c r="AM47" s="66">
        <v>504</v>
      </c>
      <c r="AN47" s="64">
        <v>451</v>
      </c>
      <c r="AO47" s="46">
        <v>494</v>
      </c>
      <c r="AP47" s="65">
        <v>667</v>
      </c>
      <c r="AQ47" s="66">
        <v>865</v>
      </c>
      <c r="AR47" s="64">
        <v>586</v>
      </c>
      <c r="AS47" s="46">
        <v>619</v>
      </c>
      <c r="AT47" s="65">
        <v>906</v>
      </c>
      <c r="AU47" s="66">
        <v>826</v>
      </c>
      <c r="AV47" s="64">
        <v>404</v>
      </c>
      <c r="AW47" s="46">
        <v>429</v>
      </c>
      <c r="AX47" s="65">
        <v>638</v>
      </c>
      <c r="AY47" s="66">
        <v>512</v>
      </c>
      <c r="AZ47" s="64">
        <v>96</v>
      </c>
      <c r="BA47" s="46">
        <v>97</v>
      </c>
      <c r="BB47" s="65">
        <v>179</v>
      </c>
      <c r="BC47" s="66">
        <v>167</v>
      </c>
      <c r="BD47" s="64"/>
      <c r="BE47" s="46"/>
      <c r="BF47" s="65"/>
      <c r="BG47" s="133"/>
      <c r="BH47" s="65"/>
      <c r="BI47" s="22" t="s">
        <v>60</v>
      </c>
      <c r="BJ47" s="101">
        <f t="shared" si="4"/>
        <v>2211</v>
      </c>
      <c r="BK47" s="101">
        <f t="shared" si="5"/>
        <v>2455</v>
      </c>
      <c r="BL47" s="101">
        <f t="shared" si="6"/>
        <v>3310</v>
      </c>
      <c r="BM47" s="101">
        <f t="shared" si="7"/>
        <v>3505</v>
      </c>
      <c r="BO47" t="s">
        <v>202</v>
      </c>
      <c r="BP47">
        <v>2211</v>
      </c>
      <c r="BQ47">
        <v>2455</v>
      </c>
      <c r="BR47">
        <v>3310</v>
      </c>
      <c r="BS47">
        <v>3505</v>
      </c>
      <c r="BT47">
        <f t="shared" si="8"/>
        <v>4666</v>
      </c>
      <c r="BU47">
        <f t="shared" si="9"/>
        <v>8253</v>
      </c>
      <c r="BV47">
        <f t="shared" si="3"/>
        <v>11481</v>
      </c>
      <c r="BW47" s="148">
        <f t="shared" si="10"/>
        <v>0.40641059141189789</v>
      </c>
    </row>
    <row r="48" spans="1:75" x14ac:dyDescent="0.25">
      <c r="A48" s="63">
        <v>30</v>
      </c>
      <c r="B48" s="23" t="s">
        <v>61</v>
      </c>
      <c r="C48" s="24"/>
      <c r="D48" s="64">
        <v>22</v>
      </c>
      <c r="E48" s="46">
        <v>23</v>
      </c>
      <c r="F48" s="65">
        <v>45</v>
      </c>
      <c r="G48" s="46">
        <v>41</v>
      </c>
      <c r="H48" s="64">
        <v>24</v>
      </c>
      <c r="I48" s="46">
        <v>21</v>
      </c>
      <c r="J48" s="65">
        <v>31</v>
      </c>
      <c r="K48" s="46">
        <v>22</v>
      </c>
      <c r="L48" s="64">
        <v>28</v>
      </c>
      <c r="M48" s="46">
        <v>27</v>
      </c>
      <c r="N48" s="65">
        <v>36</v>
      </c>
      <c r="O48" s="46">
        <v>44</v>
      </c>
      <c r="P48" s="64">
        <v>28</v>
      </c>
      <c r="Q48" s="46">
        <v>28</v>
      </c>
      <c r="R48" s="65">
        <v>41</v>
      </c>
      <c r="S48" s="46">
        <v>35</v>
      </c>
      <c r="T48" s="64">
        <v>22</v>
      </c>
      <c r="U48" s="46">
        <v>26</v>
      </c>
      <c r="V48" s="65">
        <v>53</v>
      </c>
      <c r="W48" s="46">
        <v>34</v>
      </c>
      <c r="X48" s="64">
        <v>113</v>
      </c>
      <c r="Y48" s="46">
        <v>108</v>
      </c>
      <c r="Z48" s="65">
        <v>126</v>
      </c>
      <c r="AA48" s="46">
        <v>121</v>
      </c>
      <c r="AB48" s="64">
        <v>88</v>
      </c>
      <c r="AC48" s="46">
        <v>76</v>
      </c>
      <c r="AD48" s="65">
        <v>109</v>
      </c>
      <c r="AE48" s="66">
        <v>111</v>
      </c>
      <c r="AF48" s="64">
        <v>79</v>
      </c>
      <c r="AG48" s="46">
        <v>93</v>
      </c>
      <c r="AH48" s="65">
        <v>132</v>
      </c>
      <c r="AI48" s="66">
        <v>104</v>
      </c>
      <c r="AJ48" s="64">
        <v>78</v>
      </c>
      <c r="AK48" s="46">
        <v>87</v>
      </c>
      <c r="AL48" s="65">
        <v>90</v>
      </c>
      <c r="AM48" s="66">
        <v>67</v>
      </c>
      <c r="AN48" s="64">
        <v>125</v>
      </c>
      <c r="AO48" s="46">
        <v>136</v>
      </c>
      <c r="AP48" s="65">
        <v>163</v>
      </c>
      <c r="AQ48" s="66">
        <v>164</v>
      </c>
      <c r="AR48" s="64">
        <v>154</v>
      </c>
      <c r="AS48" s="46">
        <v>130</v>
      </c>
      <c r="AT48" s="65">
        <v>251</v>
      </c>
      <c r="AU48" s="66">
        <v>172</v>
      </c>
      <c r="AV48" s="64">
        <v>118</v>
      </c>
      <c r="AW48" s="46">
        <v>89</v>
      </c>
      <c r="AX48" s="65">
        <v>162</v>
      </c>
      <c r="AY48" s="66">
        <v>85</v>
      </c>
      <c r="AZ48" s="64">
        <v>16</v>
      </c>
      <c r="BA48" s="46">
        <v>19</v>
      </c>
      <c r="BB48" s="65">
        <v>29</v>
      </c>
      <c r="BC48" s="66">
        <v>19</v>
      </c>
      <c r="BD48" s="64"/>
      <c r="BE48" s="46"/>
      <c r="BF48" s="65"/>
      <c r="BG48" s="133"/>
      <c r="BH48" s="65"/>
      <c r="BI48" s="22" t="s">
        <v>61</v>
      </c>
      <c r="BJ48" s="101">
        <f t="shared" si="4"/>
        <v>570</v>
      </c>
      <c r="BK48" s="101">
        <f t="shared" si="5"/>
        <v>554</v>
      </c>
      <c r="BL48" s="101">
        <f t="shared" si="6"/>
        <v>827</v>
      </c>
      <c r="BM48" s="101">
        <f t="shared" si="7"/>
        <v>611</v>
      </c>
      <c r="BO48" t="s">
        <v>203</v>
      </c>
      <c r="BP48">
        <v>570</v>
      </c>
      <c r="BQ48">
        <v>554</v>
      </c>
      <c r="BR48">
        <v>827</v>
      </c>
      <c r="BS48">
        <v>611</v>
      </c>
      <c r="BT48">
        <f t="shared" si="8"/>
        <v>1124</v>
      </c>
      <c r="BU48">
        <f t="shared" si="9"/>
        <v>6051</v>
      </c>
      <c r="BV48">
        <f t="shared" si="3"/>
        <v>2562</v>
      </c>
      <c r="BW48" s="148">
        <f t="shared" si="10"/>
        <v>0.43871975019516002</v>
      </c>
    </row>
    <row r="49" spans="1:75" ht="15.75" x14ac:dyDescent="0.25">
      <c r="A49" s="63">
        <v>31</v>
      </c>
      <c r="B49" s="23" t="s">
        <v>62</v>
      </c>
      <c r="C49" s="67"/>
      <c r="D49" s="64">
        <v>91</v>
      </c>
      <c r="E49" s="45">
        <v>85</v>
      </c>
      <c r="F49" s="46">
        <v>137</v>
      </c>
      <c r="G49" s="45">
        <v>115</v>
      </c>
      <c r="H49" s="64">
        <v>69</v>
      </c>
      <c r="I49" s="45">
        <v>72</v>
      </c>
      <c r="J49" s="46">
        <v>76</v>
      </c>
      <c r="K49" s="45">
        <v>98</v>
      </c>
      <c r="L49" s="64">
        <v>85</v>
      </c>
      <c r="M49" s="45">
        <v>74</v>
      </c>
      <c r="N49" s="46">
        <v>145</v>
      </c>
      <c r="O49" s="45">
        <v>117</v>
      </c>
      <c r="P49" s="64">
        <v>78</v>
      </c>
      <c r="Q49" s="45">
        <v>80</v>
      </c>
      <c r="R49" s="46">
        <v>115</v>
      </c>
      <c r="S49" s="45">
        <v>132</v>
      </c>
      <c r="T49" s="64">
        <v>82</v>
      </c>
      <c r="U49" s="45">
        <v>80</v>
      </c>
      <c r="V49" s="46">
        <v>113</v>
      </c>
      <c r="W49" s="45">
        <v>124</v>
      </c>
      <c r="X49" s="64">
        <v>397</v>
      </c>
      <c r="Y49" s="45">
        <v>339</v>
      </c>
      <c r="Z49" s="46">
        <v>482</v>
      </c>
      <c r="AA49" s="45">
        <v>548</v>
      </c>
      <c r="AB49" s="64">
        <v>305</v>
      </c>
      <c r="AC49" s="45">
        <v>342</v>
      </c>
      <c r="AD49" s="46">
        <v>488</v>
      </c>
      <c r="AE49" s="47">
        <v>456</v>
      </c>
      <c r="AF49" s="64">
        <v>310</v>
      </c>
      <c r="AG49" s="45">
        <v>264</v>
      </c>
      <c r="AH49" s="46">
        <v>378</v>
      </c>
      <c r="AI49" s="47">
        <v>459</v>
      </c>
      <c r="AJ49" s="64">
        <v>231</v>
      </c>
      <c r="AK49" s="45">
        <v>245</v>
      </c>
      <c r="AL49" s="46">
        <v>302</v>
      </c>
      <c r="AM49" s="47">
        <v>361</v>
      </c>
      <c r="AN49" s="64">
        <v>333</v>
      </c>
      <c r="AO49" s="45">
        <v>307</v>
      </c>
      <c r="AP49" s="46">
        <v>500</v>
      </c>
      <c r="AQ49" s="47">
        <v>546</v>
      </c>
      <c r="AR49" s="64">
        <v>374</v>
      </c>
      <c r="AS49" s="45">
        <v>300</v>
      </c>
      <c r="AT49" s="46">
        <v>583</v>
      </c>
      <c r="AU49" s="47">
        <v>505</v>
      </c>
      <c r="AV49" s="64">
        <v>211</v>
      </c>
      <c r="AW49" s="45">
        <v>129</v>
      </c>
      <c r="AX49" s="46">
        <v>447</v>
      </c>
      <c r="AY49" s="47">
        <v>320</v>
      </c>
      <c r="AZ49" s="64">
        <v>30</v>
      </c>
      <c r="BA49" s="45">
        <v>24</v>
      </c>
      <c r="BB49" s="46">
        <v>109</v>
      </c>
      <c r="BC49" s="47">
        <v>103</v>
      </c>
      <c r="BD49" s="70"/>
      <c r="BE49" s="77"/>
      <c r="BF49" s="71">
        <v>2</v>
      </c>
      <c r="BG49" s="135"/>
      <c r="BH49" s="146"/>
      <c r="BI49" s="22" t="s">
        <v>62</v>
      </c>
      <c r="BJ49" s="101">
        <f t="shared" si="4"/>
        <v>1489</v>
      </c>
      <c r="BK49" s="101">
        <f t="shared" si="5"/>
        <v>1269</v>
      </c>
      <c r="BL49" s="101">
        <f t="shared" si="6"/>
        <v>2319</v>
      </c>
      <c r="BM49" s="101">
        <f t="shared" si="7"/>
        <v>2294</v>
      </c>
      <c r="BO49" t="s">
        <v>204</v>
      </c>
      <c r="BP49">
        <v>1489</v>
      </c>
      <c r="BQ49">
        <v>1269</v>
      </c>
      <c r="BR49">
        <v>2319</v>
      </c>
      <c r="BS49">
        <v>2294</v>
      </c>
      <c r="BT49">
        <f t="shared" si="8"/>
        <v>2758</v>
      </c>
      <c r="BU49">
        <f t="shared" si="9"/>
        <v>9117</v>
      </c>
      <c r="BV49">
        <f t="shared" si="3"/>
        <v>7371</v>
      </c>
      <c r="BW49" s="148">
        <f t="shared" si="10"/>
        <v>0.37416904083570751</v>
      </c>
    </row>
    <row r="50" spans="1:75" s="74" customFormat="1" x14ac:dyDescent="0.25">
      <c r="A50" s="68">
        <v>32</v>
      </c>
      <c r="B50" s="50" t="s">
        <v>63</v>
      </c>
      <c r="C50" s="69" t="s">
        <v>64</v>
      </c>
      <c r="D50" s="70">
        <v>52</v>
      </c>
      <c r="E50" s="71">
        <v>53</v>
      </c>
      <c r="F50" s="72">
        <v>145</v>
      </c>
      <c r="G50" s="71">
        <v>159</v>
      </c>
      <c r="H50" s="70">
        <v>34</v>
      </c>
      <c r="I50" s="71">
        <v>53</v>
      </c>
      <c r="J50" s="72">
        <v>127</v>
      </c>
      <c r="K50" s="71">
        <v>99</v>
      </c>
      <c r="L50" s="70">
        <v>45</v>
      </c>
      <c r="M50" s="71">
        <v>57</v>
      </c>
      <c r="N50" s="72">
        <v>154</v>
      </c>
      <c r="O50" s="71">
        <v>156</v>
      </c>
      <c r="P50" s="70">
        <v>61</v>
      </c>
      <c r="Q50" s="71">
        <v>44</v>
      </c>
      <c r="R50" s="72">
        <v>158</v>
      </c>
      <c r="S50" s="71">
        <v>160</v>
      </c>
      <c r="T50" s="70">
        <v>48</v>
      </c>
      <c r="U50" s="71">
        <v>50</v>
      </c>
      <c r="V50" s="72">
        <v>155</v>
      </c>
      <c r="W50" s="71">
        <v>151</v>
      </c>
      <c r="X50" s="70">
        <v>202</v>
      </c>
      <c r="Y50" s="71">
        <v>214</v>
      </c>
      <c r="Z50" s="72">
        <v>568</v>
      </c>
      <c r="AA50" s="71">
        <v>584</v>
      </c>
      <c r="AB50" s="70">
        <v>180</v>
      </c>
      <c r="AC50" s="71">
        <v>166</v>
      </c>
      <c r="AD50" s="72">
        <v>506</v>
      </c>
      <c r="AE50" s="73">
        <v>481</v>
      </c>
      <c r="AF50" s="70">
        <v>154</v>
      </c>
      <c r="AG50" s="71">
        <v>174</v>
      </c>
      <c r="AH50" s="72">
        <v>345</v>
      </c>
      <c r="AI50" s="73">
        <v>480</v>
      </c>
      <c r="AJ50" s="70">
        <v>162</v>
      </c>
      <c r="AK50" s="71">
        <v>139</v>
      </c>
      <c r="AL50" s="72">
        <v>263</v>
      </c>
      <c r="AM50" s="73">
        <v>348</v>
      </c>
      <c r="AN50" s="70">
        <v>213</v>
      </c>
      <c r="AO50" s="71">
        <v>182</v>
      </c>
      <c r="AP50" s="72">
        <v>468</v>
      </c>
      <c r="AQ50" s="73">
        <v>544</v>
      </c>
      <c r="AR50" s="70">
        <v>260</v>
      </c>
      <c r="AS50" s="71">
        <v>184</v>
      </c>
      <c r="AT50" s="72">
        <v>586</v>
      </c>
      <c r="AU50" s="73">
        <v>520</v>
      </c>
      <c r="AV50" s="70">
        <v>179</v>
      </c>
      <c r="AW50" s="71">
        <v>105</v>
      </c>
      <c r="AX50" s="72">
        <v>441</v>
      </c>
      <c r="AY50" s="73">
        <v>310</v>
      </c>
      <c r="AZ50" s="70">
        <v>28</v>
      </c>
      <c r="BA50" s="71">
        <v>26</v>
      </c>
      <c r="BB50" s="72">
        <v>107</v>
      </c>
      <c r="BC50" s="73">
        <v>92</v>
      </c>
      <c r="BD50" s="70"/>
      <c r="BE50" s="71"/>
      <c r="BF50" s="72"/>
      <c r="BG50" s="134"/>
      <c r="BH50" s="72"/>
      <c r="BI50" s="49" t="s">
        <v>63</v>
      </c>
      <c r="BJ50" s="101">
        <f t="shared" si="4"/>
        <v>996</v>
      </c>
      <c r="BK50" s="101">
        <f t="shared" si="5"/>
        <v>810</v>
      </c>
      <c r="BL50" s="101">
        <f t="shared" si="6"/>
        <v>2210</v>
      </c>
      <c r="BM50" s="101">
        <f t="shared" si="7"/>
        <v>2294</v>
      </c>
      <c r="BO50" t="s">
        <v>205</v>
      </c>
      <c r="BP50" s="74">
        <v>996</v>
      </c>
      <c r="BQ50" s="74">
        <v>810</v>
      </c>
      <c r="BR50" s="74">
        <v>2210</v>
      </c>
      <c r="BS50" s="74">
        <v>2294</v>
      </c>
      <c r="BT50">
        <f t="shared" si="8"/>
        <v>1806</v>
      </c>
      <c r="BU50">
        <f t="shared" si="9"/>
        <v>25521</v>
      </c>
      <c r="BV50">
        <f t="shared" si="3"/>
        <v>6310</v>
      </c>
      <c r="BW50" s="148">
        <f t="shared" si="10"/>
        <v>0.2862123613312203</v>
      </c>
    </row>
    <row r="51" spans="1:75" x14ac:dyDescent="0.25">
      <c r="A51" s="63">
        <v>33</v>
      </c>
      <c r="B51" s="23" t="s">
        <v>65</v>
      </c>
      <c r="C51" s="24"/>
      <c r="D51" s="64">
        <v>2</v>
      </c>
      <c r="E51" s="46">
        <v>10</v>
      </c>
      <c r="F51" s="65">
        <v>620</v>
      </c>
      <c r="G51" s="46">
        <v>689</v>
      </c>
      <c r="H51" s="64">
        <v>4</v>
      </c>
      <c r="I51" s="46">
        <v>4</v>
      </c>
      <c r="J51" s="65">
        <v>438</v>
      </c>
      <c r="K51" s="46">
        <v>492</v>
      </c>
      <c r="L51" s="64">
        <v>3</v>
      </c>
      <c r="M51" s="46">
        <v>5</v>
      </c>
      <c r="N51" s="65">
        <v>764</v>
      </c>
      <c r="O51" s="46">
        <v>748</v>
      </c>
      <c r="P51" s="64">
        <v>4</v>
      </c>
      <c r="Q51" s="46">
        <v>3</v>
      </c>
      <c r="R51" s="65">
        <v>782</v>
      </c>
      <c r="S51" s="46">
        <v>863</v>
      </c>
      <c r="T51" s="64">
        <v>2</v>
      </c>
      <c r="U51" s="46">
        <v>2</v>
      </c>
      <c r="V51" s="65">
        <v>653</v>
      </c>
      <c r="W51" s="46">
        <v>697</v>
      </c>
      <c r="X51" s="64">
        <v>12</v>
      </c>
      <c r="Y51" s="46">
        <v>9</v>
      </c>
      <c r="Z51" s="65">
        <v>2846</v>
      </c>
      <c r="AA51" s="46">
        <v>2779</v>
      </c>
      <c r="AB51" s="64">
        <v>7</v>
      </c>
      <c r="AC51" s="46">
        <v>10</v>
      </c>
      <c r="AD51" s="65">
        <v>2713</v>
      </c>
      <c r="AE51" s="66">
        <v>2705</v>
      </c>
      <c r="AF51" s="64">
        <v>6</v>
      </c>
      <c r="AG51" s="46">
        <v>9</v>
      </c>
      <c r="AH51" s="65">
        <v>2202</v>
      </c>
      <c r="AI51" s="66">
        <v>2401</v>
      </c>
      <c r="AJ51" s="64">
        <v>11</v>
      </c>
      <c r="AK51" s="46">
        <v>11</v>
      </c>
      <c r="AL51" s="65">
        <v>1258</v>
      </c>
      <c r="AM51" s="66">
        <v>1736</v>
      </c>
      <c r="AN51" s="64">
        <v>37</v>
      </c>
      <c r="AO51" s="46">
        <v>16</v>
      </c>
      <c r="AP51" s="65">
        <v>1950</v>
      </c>
      <c r="AQ51" s="66">
        <v>3131</v>
      </c>
      <c r="AR51" s="64">
        <v>34</v>
      </c>
      <c r="AS51" s="46">
        <v>21</v>
      </c>
      <c r="AT51" s="65">
        <v>1923</v>
      </c>
      <c r="AU51" s="66">
        <v>2316</v>
      </c>
      <c r="AV51" s="64">
        <v>29</v>
      </c>
      <c r="AW51" s="46">
        <v>18</v>
      </c>
      <c r="AX51" s="65">
        <v>1489</v>
      </c>
      <c r="AY51" s="66">
        <v>1667</v>
      </c>
      <c r="AZ51" s="64">
        <v>1</v>
      </c>
      <c r="BA51" s="46">
        <v>2</v>
      </c>
      <c r="BB51" s="65">
        <v>445</v>
      </c>
      <c r="BC51" s="66">
        <v>499</v>
      </c>
      <c r="BD51" s="64"/>
      <c r="BE51" s="46"/>
      <c r="BF51" s="65"/>
      <c r="BG51" s="133"/>
      <c r="BH51" s="65"/>
      <c r="BI51" s="22" t="s">
        <v>65</v>
      </c>
      <c r="BJ51" s="101">
        <f t="shared" si="4"/>
        <v>118</v>
      </c>
      <c r="BK51" s="101">
        <f t="shared" si="5"/>
        <v>77</v>
      </c>
      <c r="BL51" s="101">
        <f t="shared" si="6"/>
        <v>9267</v>
      </c>
      <c r="BM51" s="101">
        <f t="shared" si="7"/>
        <v>11750</v>
      </c>
      <c r="BO51" t="s">
        <v>206</v>
      </c>
      <c r="BP51">
        <v>118</v>
      </c>
      <c r="BQ51">
        <v>77</v>
      </c>
      <c r="BR51">
        <v>9267</v>
      </c>
      <c r="BS51">
        <v>11750</v>
      </c>
      <c r="BT51">
        <f t="shared" si="8"/>
        <v>195</v>
      </c>
      <c r="BU51">
        <f t="shared" si="9"/>
        <v>22844</v>
      </c>
      <c r="BV51">
        <f t="shared" ref="BV51:BV82" si="11">SUM(BP51:BS51)</f>
        <v>21212</v>
      </c>
      <c r="BW51" s="148">
        <f t="shared" si="10"/>
        <v>9.1929096737695636E-3</v>
      </c>
    </row>
    <row r="52" spans="1:75" x14ac:dyDescent="0.25">
      <c r="A52" s="63">
        <v>34</v>
      </c>
      <c r="B52" s="23" t="s">
        <v>66</v>
      </c>
      <c r="C52" s="24"/>
      <c r="D52" s="64">
        <v>62</v>
      </c>
      <c r="E52" s="46">
        <v>51</v>
      </c>
      <c r="F52" s="65">
        <v>47</v>
      </c>
      <c r="G52" s="46">
        <v>67</v>
      </c>
      <c r="H52" s="64">
        <v>44</v>
      </c>
      <c r="I52" s="46">
        <v>42</v>
      </c>
      <c r="J52" s="65">
        <v>37</v>
      </c>
      <c r="K52" s="46">
        <v>38</v>
      </c>
      <c r="L52" s="64">
        <v>47</v>
      </c>
      <c r="M52" s="46">
        <v>51</v>
      </c>
      <c r="N52" s="65">
        <v>73</v>
      </c>
      <c r="O52" s="46">
        <v>57</v>
      </c>
      <c r="P52" s="64">
        <v>55</v>
      </c>
      <c r="Q52" s="46">
        <v>55</v>
      </c>
      <c r="R52" s="65">
        <v>57</v>
      </c>
      <c r="S52" s="46">
        <v>54</v>
      </c>
      <c r="T52" s="64">
        <v>51</v>
      </c>
      <c r="U52" s="46">
        <v>48</v>
      </c>
      <c r="V52" s="65">
        <v>44</v>
      </c>
      <c r="W52" s="46">
        <v>59</v>
      </c>
      <c r="X52" s="64">
        <v>239</v>
      </c>
      <c r="Y52" s="46">
        <v>239</v>
      </c>
      <c r="Z52" s="65">
        <v>209</v>
      </c>
      <c r="AA52" s="46">
        <v>203</v>
      </c>
      <c r="AB52" s="64">
        <v>212</v>
      </c>
      <c r="AC52" s="46">
        <v>216</v>
      </c>
      <c r="AD52" s="65">
        <v>172</v>
      </c>
      <c r="AE52" s="66">
        <v>170</v>
      </c>
      <c r="AF52" s="64">
        <v>174</v>
      </c>
      <c r="AG52" s="46">
        <v>185</v>
      </c>
      <c r="AH52" s="65">
        <v>153</v>
      </c>
      <c r="AI52" s="66">
        <v>140</v>
      </c>
      <c r="AJ52" s="64">
        <v>134</v>
      </c>
      <c r="AK52" s="46">
        <v>147</v>
      </c>
      <c r="AL52" s="65">
        <v>132</v>
      </c>
      <c r="AM52" s="66">
        <v>123</v>
      </c>
      <c r="AN52" s="64">
        <v>250</v>
      </c>
      <c r="AO52" s="46">
        <v>225</v>
      </c>
      <c r="AP52" s="65">
        <v>209</v>
      </c>
      <c r="AQ52" s="66">
        <v>234</v>
      </c>
      <c r="AR52" s="64">
        <v>240</v>
      </c>
      <c r="AS52" s="46">
        <v>211</v>
      </c>
      <c r="AT52" s="65">
        <v>267</v>
      </c>
      <c r="AU52" s="66">
        <v>218</v>
      </c>
      <c r="AV52" s="64">
        <v>146</v>
      </c>
      <c r="AW52" s="46">
        <v>120</v>
      </c>
      <c r="AX52" s="65">
        <v>162</v>
      </c>
      <c r="AY52" s="66">
        <v>106</v>
      </c>
      <c r="AZ52" s="64">
        <v>31</v>
      </c>
      <c r="BA52" s="46">
        <v>19</v>
      </c>
      <c r="BB52" s="65">
        <v>50</v>
      </c>
      <c r="BC52" s="66">
        <v>33</v>
      </c>
      <c r="BD52" s="64"/>
      <c r="BE52" s="46"/>
      <c r="BF52" s="65"/>
      <c r="BG52" s="133"/>
      <c r="BH52" s="65"/>
      <c r="BI52" s="22" t="s">
        <v>66</v>
      </c>
      <c r="BJ52" s="101">
        <f t="shared" si="4"/>
        <v>975</v>
      </c>
      <c r="BK52" s="101">
        <f t="shared" si="5"/>
        <v>907</v>
      </c>
      <c r="BL52" s="101">
        <f t="shared" si="6"/>
        <v>973</v>
      </c>
      <c r="BM52" s="101">
        <f t="shared" si="7"/>
        <v>854</v>
      </c>
      <c r="BO52" t="s">
        <v>207</v>
      </c>
      <c r="BP52">
        <v>975</v>
      </c>
      <c r="BQ52">
        <v>907</v>
      </c>
      <c r="BR52">
        <v>973</v>
      </c>
      <c r="BS52">
        <v>854</v>
      </c>
      <c r="BT52">
        <f t="shared" si="8"/>
        <v>1882</v>
      </c>
      <c r="BU52">
        <f t="shared" si="9"/>
        <v>7406</v>
      </c>
      <c r="BV52">
        <f t="shared" si="11"/>
        <v>3709</v>
      </c>
      <c r="BW52" s="148">
        <f t="shared" si="10"/>
        <v>0.50741439741170125</v>
      </c>
    </row>
    <row r="53" spans="1:75" x14ac:dyDescent="0.25">
      <c r="A53" s="63">
        <v>35</v>
      </c>
      <c r="B53" s="23" t="s">
        <v>67</v>
      </c>
      <c r="C53" s="24"/>
      <c r="D53" s="44">
        <v>109</v>
      </c>
      <c r="E53" s="46">
        <v>120</v>
      </c>
      <c r="F53" s="65">
        <v>212</v>
      </c>
      <c r="G53" s="46">
        <v>174</v>
      </c>
      <c r="H53" s="44">
        <v>96</v>
      </c>
      <c r="I53" s="46">
        <v>66</v>
      </c>
      <c r="J53" s="65">
        <v>169</v>
      </c>
      <c r="K53" s="46">
        <v>143</v>
      </c>
      <c r="L53" s="44">
        <v>116</v>
      </c>
      <c r="M53" s="46">
        <v>99</v>
      </c>
      <c r="N53" s="65">
        <v>164</v>
      </c>
      <c r="O53" s="46">
        <v>164</v>
      </c>
      <c r="P53" s="44">
        <v>103</v>
      </c>
      <c r="Q53" s="46">
        <v>91</v>
      </c>
      <c r="R53" s="65">
        <v>176</v>
      </c>
      <c r="S53" s="46">
        <v>202</v>
      </c>
      <c r="T53" s="44">
        <v>100</v>
      </c>
      <c r="U53" s="46">
        <v>95</v>
      </c>
      <c r="V53" s="65">
        <v>160</v>
      </c>
      <c r="W53" s="46">
        <v>193</v>
      </c>
      <c r="X53" s="44">
        <v>418</v>
      </c>
      <c r="Y53" s="46">
        <v>447</v>
      </c>
      <c r="Z53" s="65">
        <v>782</v>
      </c>
      <c r="AA53" s="46">
        <v>780</v>
      </c>
      <c r="AB53" s="44">
        <v>370</v>
      </c>
      <c r="AC53" s="46">
        <v>339</v>
      </c>
      <c r="AD53" s="65">
        <v>729</v>
      </c>
      <c r="AE53" s="66">
        <v>665</v>
      </c>
      <c r="AF53" s="44">
        <v>320</v>
      </c>
      <c r="AG53" s="46">
        <v>316</v>
      </c>
      <c r="AH53" s="65">
        <v>577</v>
      </c>
      <c r="AI53" s="66">
        <v>545</v>
      </c>
      <c r="AJ53" s="44">
        <v>281</v>
      </c>
      <c r="AK53" s="46">
        <v>290</v>
      </c>
      <c r="AL53" s="65">
        <v>413</v>
      </c>
      <c r="AM53" s="66">
        <v>385</v>
      </c>
      <c r="AN53" s="44">
        <v>506</v>
      </c>
      <c r="AO53" s="46">
        <v>414</v>
      </c>
      <c r="AP53" s="65">
        <v>607</v>
      </c>
      <c r="AQ53" s="66">
        <v>686</v>
      </c>
      <c r="AR53" s="44">
        <v>502</v>
      </c>
      <c r="AS53" s="46">
        <v>399</v>
      </c>
      <c r="AT53" s="65">
        <v>700</v>
      </c>
      <c r="AU53" s="66">
        <v>590</v>
      </c>
      <c r="AV53" s="44">
        <v>355</v>
      </c>
      <c r="AW53" s="46">
        <v>265</v>
      </c>
      <c r="AX53" s="65">
        <v>490</v>
      </c>
      <c r="AY53" s="66">
        <v>353</v>
      </c>
      <c r="AZ53" s="44">
        <v>59</v>
      </c>
      <c r="BA53" s="46">
        <v>54</v>
      </c>
      <c r="BB53" s="65">
        <v>120</v>
      </c>
      <c r="BC53" s="66">
        <v>113</v>
      </c>
      <c r="BD53" s="44"/>
      <c r="BE53" s="46"/>
      <c r="BF53" s="65">
        <v>1</v>
      </c>
      <c r="BG53" s="133"/>
      <c r="BH53" s="65"/>
      <c r="BI53" s="22" t="s">
        <v>67</v>
      </c>
      <c r="BJ53" s="101">
        <f t="shared" si="4"/>
        <v>2023</v>
      </c>
      <c r="BK53" s="101">
        <f t="shared" si="5"/>
        <v>1738</v>
      </c>
      <c r="BL53" s="101">
        <f t="shared" si="6"/>
        <v>2907</v>
      </c>
      <c r="BM53" s="101">
        <f t="shared" si="7"/>
        <v>2672</v>
      </c>
      <c r="BO53" t="s">
        <v>208</v>
      </c>
      <c r="BP53">
        <v>2023</v>
      </c>
      <c r="BQ53">
        <v>1738</v>
      </c>
      <c r="BR53">
        <v>2907</v>
      </c>
      <c r="BS53">
        <v>2672</v>
      </c>
      <c r="BT53">
        <f t="shared" si="8"/>
        <v>3761</v>
      </c>
      <c r="BU53">
        <f t="shared" si="9"/>
        <v>8648</v>
      </c>
      <c r="BV53">
        <f t="shared" si="11"/>
        <v>9340</v>
      </c>
      <c r="BW53" s="148">
        <f t="shared" si="10"/>
        <v>0.40267665952890791</v>
      </c>
    </row>
    <row r="54" spans="1:75" x14ac:dyDescent="0.25">
      <c r="A54" s="63">
        <v>36</v>
      </c>
      <c r="B54" s="23" t="s">
        <v>68</v>
      </c>
      <c r="C54" s="24"/>
      <c r="D54" s="64">
        <v>83</v>
      </c>
      <c r="E54" s="46">
        <v>99</v>
      </c>
      <c r="F54" s="65">
        <v>109</v>
      </c>
      <c r="G54" s="46">
        <v>106</v>
      </c>
      <c r="H54" s="64">
        <v>80</v>
      </c>
      <c r="I54" s="46">
        <v>65</v>
      </c>
      <c r="J54" s="65">
        <v>89</v>
      </c>
      <c r="K54" s="46">
        <v>99</v>
      </c>
      <c r="L54" s="64">
        <v>81</v>
      </c>
      <c r="M54" s="46">
        <v>74</v>
      </c>
      <c r="N54" s="65">
        <v>98</v>
      </c>
      <c r="O54" s="46">
        <v>81</v>
      </c>
      <c r="P54" s="64">
        <v>92</v>
      </c>
      <c r="Q54" s="46">
        <v>111</v>
      </c>
      <c r="R54" s="65">
        <v>115</v>
      </c>
      <c r="S54" s="46">
        <v>102</v>
      </c>
      <c r="T54" s="64">
        <v>84</v>
      </c>
      <c r="U54" s="46">
        <v>88</v>
      </c>
      <c r="V54" s="65">
        <v>93</v>
      </c>
      <c r="W54" s="46">
        <v>84</v>
      </c>
      <c r="X54" s="64">
        <v>395</v>
      </c>
      <c r="Y54" s="46">
        <v>423</v>
      </c>
      <c r="Z54" s="65">
        <v>459</v>
      </c>
      <c r="AA54" s="46">
        <v>416</v>
      </c>
      <c r="AB54" s="64">
        <v>352</v>
      </c>
      <c r="AC54" s="46">
        <v>374</v>
      </c>
      <c r="AD54" s="65">
        <v>431</v>
      </c>
      <c r="AE54" s="66">
        <v>349</v>
      </c>
      <c r="AF54" s="64">
        <v>287</v>
      </c>
      <c r="AG54" s="46">
        <v>270</v>
      </c>
      <c r="AH54" s="65">
        <v>305</v>
      </c>
      <c r="AI54" s="66">
        <v>300</v>
      </c>
      <c r="AJ54" s="64">
        <v>240</v>
      </c>
      <c r="AK54" s="46">
        <v>260</v>
      </c>
      <c r="AL54" s="65">
        <v>180</v>
      </c>
      <c r="AM54" s="66">
        <v>261</v>
      </c>
      <c r="AN54" s="64">
        <v>356</v>
      </c>
      <c r="AO54" s="46">
        <v>366</v>
      </c>
      <c r="AP54" s="65">
        <v>314</v>
      </c>
      <c r="AQ54" s="66">
        <v>379</v>
      </c>
      <c r="AR54" s="64">
        <v>405</v>
      </c>
      <c r="AS54" s="46">
        <v>355</v>
      </c>
      <c r="AT54" s="65">
        <v>384</v>
      </c>
      <c r="AU54" s="66">
        <v>332</v>
      </c>
      <c r="AV54" s="64">
        <v>239</v>
      </c>
      <c r="AW54" s="46">
        <v>195</v>
      </c>
      <c r="AX54" s="65">
        <v>243</v>
      </c>
      <c r="AY54" s="66">
        <v>217</v>
      </c>
      <c r="AZ54" s="64">
        <v>46</v>
      </c>
      <c r="BA54" s="46">
        <v>47</v>
      </c>
      <c r="BB54" s="65">
        <v>95</v>
      </c>
      <c r="BC54" s="66">
        <v>59</v>
      </c>
      <c r="BD54" s="64"/>
      <c r="BE54" s="46"/>
      <c r="BF54" s="65"/>
      <c r="BG54" s="133"/>
      <c r="BH54" s="65"/>
      <c r="BI54" s="22" t="s">
        <v>68</v>
      </c>
      <c r="BJ54" s="101">
        <f t="shared" si="4"/>
        <v>1573</v>
      </c>
      <c r="BK54" s="101">
        <f t="shared" si="5"/>
        <v>1493</v>
      </c>
      <c r="BL54" s="101">
        <f t="shared" si="6"/>
        <v>1521</v>
      </c>
      <c r="BM54" s="101">
        <f t="shared" si="7"/>
        <v>1548</v>
      </c>
      <c r="BO54" t="s">
        <v>209</v>
      </c>
      <c r="BP54">
        <v>1573</v>
      </c>
      <c r="BQ54">
        <v>1493</v>
      </c>
      <c r="BR54">
        <v>1521</v>
      </c>
      <c r="BS54">
        <v>1548</v>
      </c>
      <c r="BT54">
        <f t="shared" si="8"/>
        <v>3066</v>
      </c>
      <c r="BU54">
        <f t="shared" si="9"/>
        <v>6213</v>
      </c>
      <c r="BV54">
        <f t="shared" si="11"/>
        <v>6135</v>
      </c>
      <c r="BW54" s="148">
        <f t="shared" si="10"/>
        <v>0.4997555012224939</v>
      </c>
    </row>
    <row r="55" spans="1:75" ht="15.75" x14ac:dyDescent="0.25">
      <c r="A55" s="63">
        <v>37</v>
      </c>
      <c r="B55" s="23" t="s">
        <v>69</v>
      </c>
      <c r="C55" s="67"/>
      <c r="D55" s="44">
        <v>133</v>
      </c>
      <c r="E55" s="45">
        <v>123</v>
      </c>
      <c r="F55" s="46">
        <v>99</v>
      </c>
      <c r="G55" s="45">
        <v>102</v>
      </c>
      <c r="H55" s="44">
        <v>100</v>
      </c>
      <c r="I55" s="45">
        <v>88</v>
      </c>
      <c r="J55" s="46">
        <v>63</v>
      </c>
      <c r="K55" s="45">
        <v>67</v>
      </c>
      <c r="L55" s="44">
        <v>120</v>
      </c>
      <c r="M55" s="45">
        <v>105</v>
      </c>
      <c r="N55" s="46">
        <v>78</v>
      </c>
      <c r="O55" s="45">
        <v>86</v>
      </c>
      <c r="P55" s="44">
        <v>122</v>
      </c>
      <c r="Q55" s="45">
        <v>122</v>
      </c>
      <c r="R55" s="46">
        <v>94</v>
      </c>
      <c r="S55" s="45">
        <v>101</v>
      </c>
      <c r="T55" s="44">
        <v>127</v>
      </c>
      <c r="U55" s="45">
        <v>115</v>
      </c>
      <c r="V55" s="46">
        <v>79</v>
      </c>
      <c r="W55" s="45">
        <v>82</v>
      </c>
      <c r="X55" s="44">
        <v>535</v>
      </c>
      <c r="Y55" s="45">
        <v>490</v>
      </c>
      <c r="Z55" s="46">
        <v>341</v>
      </c>
      <c r="AA55" s="45">
        <v>335</v>
      </c>
      <c r="AB55" s="44">
        <v>445</v>
      </c>
      <c r="AC55" s="45">
        <v>454</v>
      </c>
      <c r="AD55" s="46">
        <v>325</v>
      </c>
      <c r="AE55" s="47">
        <v>274</v>
      </c>
      <c r="AF55" s="44">
        <v>437</v>
      </c>
      <c r="AG55" s="45">
        <v>407</v>
      </c>
      <c r="AH55" s="46">
        <v>294</v>
      </c>
      <c r="AI55" s="47">
        <v>244</v>
      </c>
      <c r="AJ55" s="44">
        <v>348</v>
      </c>
      <c r="AK55" s="45">
        <v>303</v>
      </c>
      <c r="AL55" s="46">
        <v>283</v>
      </c>
      <c r="AM55" s="47">
        <v>254</v>
      </c>
      <c r="AN55" s="44">
        <v>531</v>
      </c>
      <c r="AO55" s="45">
        <v>410</v>
      </c>
      <c r="AP55" s="46">
        <v>424</v>
      </c>
      <c r="AQ55" s="47">
        <v>379</v>
      </c>
      <c r="AR55" s="44">
        <v>494</v>
      </c>
      <c r="AS55" s="45">
        <v>391</v>
      </c>
      <c r="AT55" s="46">
        <v>410</v>
      </c>
      <c r="AU55" s="47">
        <v>314</v>
      </c>
      <c r="AV55" s="44">
        <v>302</v>
      </c>
      <c r="AW55" s="45">
        <v>181</v>
      </c>
      <c r="AX55" s="46">
        <v>245</v>
      </c>
      <c r="AY55" s="47">
        <v>195</v>
      </c>
      <c r="AZ55" s="44">
        <v>45</v>
      </c>
      <c r="BA55" s="45">
        <v>26</v>
      </c>
      <c r="BB55" s="46">
        <v>50</v>
      </c>
      <c r="BC55" s="47">
        <v>52</v>
      </c>
      <c r="BD55" s="44">
        <v>1</v>
      </c>
      <c r="BE55" s="45"/>
      <c r="BF55" s="46"/>
      <c r="BG55" s="130"/>
      <c r="BH55" s="101"/>
      <c r="BI55" s="22" t="s">
        <v>69</v>
      </c>
      <c r="BJ55" s="101">
        <f t="shared" si="4"/>
        <v>2157</v>
      </c>
      <c r="BK55" s="101">
        <f t="shared" si="5"/>
        <v>1718</v>
      </c>
      <c r="BL55" s="101">
        <f t="shared" si="6"/>
        <v>1706</v>
      </c>
      <c r="BM55" s="101">
        <f t="shared" si="7"/>
        <v>1438</v>
      </c>
      <c r="BO55" t="s">
        <v>210</v>
      </c>
      <c r="BP55">
        <v>2157</v>
      </c>
      <c r="BQ55">
        <v>1718</v>
      </c>
      <c r="BR55">
        <v>1706</v>
      </c>
      <c r="BS55">
        <v>1438</v>
      </c>
      <c r="BT55">
        <f t="shared" si="8"/>
        <v>3875</v>
      </c>
      <c r="BU55">
        <f t="shared" si="9"/>
        <v>37784</v>
      </c>
      <c r="BV55">
        <f t="shared" si="11"/>
        <v>7019</v>
      </c>
      <c r="BW55" s="148">
        <f t="shared" si="10"/>
        <v>0.55207294486394076</v>
      </c>
    </row>
    <row r="56" spans="1:75" x14ac:dyDescent="0.25">
      <c r="A56" s="63">
        <v>38</v>
      </c>
      <c r="B56" s="23" t="s">
        <v>70</v>
      </c>
      <c r="C56" s="39"/>
      <c r="D56" s="64">
        <v>303</v>
      </c>
      <c r="E56" s="46">
        <v>274</v>
      </c>
      <c r="F56" s="65">
        <v>453</v>
      </c>
      <c r="G56" s="46">
        <v>476</v>
      </c>
      <c r="H56" s="64">
        <v>246</v>
      </c>
      <c r="I56" s="46">
        <v>207</v>
      </c>
      <c r="J56" s="65">
        <v>241</v>
      </c>
      <c r="K56" s="46">
        <v>264</v>
      </c>
      <c r="L56" s="64">
        <v>283</v>
      </c>
      <c r="M56" s="46">
        <v>273</v>
      </c>
      <c r="N56" s="65">
        <v>341</v>
      </c>
      <c r="O56" s="46">
        <v>344</v>
      </c>
      <c r="P56" s="64">
        <v>291</v>
      </c>
      <c r="Q56" s="46">
        <v>308</v>
      </c>
      <c r="R56" s="65">
        <v>355</v>
      </c>
      <c r="S56" s="46">
        <v>375</v>
      </c>
      <c r="T56" s="64">
        <v>306</v>
      </c>
      <c r="U56" s="46">
        <v>261</v>
      </c>
      <c r="V56" s="65">
        <v>358</v>
      </c>
      <c r="W56" s="46">
        <v>370</v>
      </c>
      <c r="X56" s="64">
        <v>1248</v>
      </c>
      <c r="Y56" s="46">
        <v>1252</v>
      </c>
      <c r="Z56" s="65">
        <v>1376</v>
      </c>
      <c r="AA56" s="46">
        <v>1404</v>
      </c>
      <c r="AB56" s="64">
        <v>1046</v>
      </c>
      <c r="AC56" s="46">
        <v>997</v>
      </c>
      <c r="AD56" s="65">
        <v>1171</v>
      </c>
      <c r="AE56" s="66">
        <v>1263</v>
      </c>
      <c r="AF56" s="64">
        <v>1037</v>
      </c>
      <c r="AG56" s="46">
        <v>957</v>
      </c>
      <c r="AH56" s="65">
        <v>2656</v>
      </c>
      <c r="AI56" s="66">
        <v>1484</v>
      </c>
      <c r="AJ56" s="64">
        <v>870</v>
      </c>
      <c r="AK56" s="46">
        <v>977</v>
      </c>
      <c r="AL56" s="65">
        <v>4629</v>
      </c>
      <c r="AM56" s="66">
        <v>1458</v>
      </c>
      <c r="AN56" s="64">
        <v>1957</v>
      </c>
      <c r="AO56" s="46">
        <v>1568</v>
      </c>
      <c r="AP56" s="65">
        <v>10122</v>
      </c>
      <c r="AQ56" s="66">
        <v>2123</v>
      </c>
      <c r="AR56" s="64">
        <v>2262</v>
      </c>
      <c r="AS56" s="46">
        <v>1729</v>
      </c>
      <c r="AT56" s="65">
        <v>7259</v>
      </c>
      <c r="AU56" s="66">
        <v>1804</v>
      </c>
      <c r="AV56" s="64">
        <v>1106</v>
      </c>
      <c r="AW56" s="46">
        <v>828</v>
      </c>
      <c r="AX56" s="65">
        <v>1835</v>
      </c>
      <c r="AY56" s="66">
        <v>885</v>
      </c>
      <c r="AZ56" s="64">
        <v>142</v>
      </c>
      <c r="BA56" s="46">
        <v>146</v>
      </c>
      <c r="BB56" s="65">
        <v>189</v>
      </c>
      <c r="BC56" s="66">
        <v>196</v>
      </c>
      <c r="BD56" s="64">
        <v>2</v>
      </c>
      <c r="BE56" s="46"/>
      <c r="BF56" s="65">
        <v>43</v>
      </c>
      <c r="BG56" s="133">
        <v>2</v>
      </c>
      <c r="BH56" s="65"/>
      <c r="BI56" s="22" t="s">
        <v>70</v>
      </c>
      <c r="BJ56" s="101">
        <f t="shared" si="4"/>
        <v>7374</v>
      </c>
      <c r="BK56" s="101">
        <f t="shared" si="5"/>
        <v>6205</v>
      </c>
      <c r="BL56" s="101">
        <f t="shared" si="6"/>
        <v>26690</v>
      </c>
      <c r="BM56" s="101">
        <f t="shared" si="7"/>
        <v>7950</v>
      </c>
      <c r="BO56" t="s">
        <v>211</v>
      </c>
      <c r="BP56">
        <v>7374</v>
      </c>
      <c r="BQ56">
        <v>6205</v>
      </c>
      <c r="BR56">
        <v>26690</v>
      </c>
      <c r="BS56">
        <v>7950</v>
      </c>
      <c r="BT56">
        <f t="shared" si="8"/>
        <v>13579</v>
      </c>
      <c r="BU56">
        <f t="shared" si="9"/>
        <v>89126</v>
      </c>
      <c r="BV56">
        <f t="shared" si="11"/>
        <v>48219</v>
      </c>
      <c r="BW56" s="148">
        <f t="shared" si="10"/>
        <v>0.28161098322238121</v>
      </c>
    </row>
    <row r="57" spans="1:75" x14ac:dyDescent="0.25">
      <c r="A57" s="63">
        <v>39</v>
      </c>
      <c r="B57" s="23" t="s">
        <v>71</v>
      </c>
      <c r="C57" s="24"/>
      <c r="D57" s="64">
        <v>145</v>
      </c>
      <c r="E57" s="46">
        <v>139</v>
      </c>
      <c r="F57" s="65">
        <v>1796</v>
      </c>
      <c r="G57" s="46">
        <v>1895</v>
      </c>
      <c r="H57" s="64">
        <v>111</v>
      </c>
      <c r="I57" s="46">
        <v>96</v>
      </c>
      <c r="J57" s="65">
        <v>981</v>
      </c>
      <c r="K57" s="46">
        <v>990</v>
      </c>
      <c r="L57" s="64">
        <v>136</v>
      </c>
      <c r="M57" s="46">
        <v>149</v>
      </c>
      <c r="N57" s="65">
        <v>1658</v>
      </c>
      <c r="O57" s="46">
        <v>1737</v>
      </c>
      <c r="P57" s="64">
        <v>143</v>
      </c>
      <c r="Q57" s="46">
        <v>133</v>
      </c>
      <c r="R57" s="65">
        <v>1746</v>
      </c>
      <c r="S57" s="46">
        <v>1791</v>
      </c>
      <c r="T57" s="64">
        <v>146</v>
      </c>
      <c r="U57" s="46">
        <v>126</v>
      </c>
      <c r="V57" s="65">
        <v>1596</v>
      </c>
      <c r="W57" s="46">
        <v>1749</v>
      </c>
      <c r="X57" s="64">
        <v>620</v>
      </c>
      <c r="Y57" s="46">
        <v>645</v>
      </c>
      <c r="Z57" s="65">
        <v>6547</v>
      </c>
      <c r="AA57" s="46">
        <v>6452</v>
      </c>
      <c r="AB57" s="64">
        <v>614</v>
      </c>
      <c r="AC57" s="46">
        <v>624</v>
      </c>
      <c r="AD57" s="65">
        <v>6372</v>
      </c>
      <c r="AE57" s="66">
        <v>6342</v>
      </c>
      <c r="AF57" s="64">
        <v>642</v>
      </c>
      <c r="AG57" s="46">
        <v>564</v>
      </c>
      <c r="AH57" s="65">
        <v>4368</v>
      </c>
      <c r="AI57" s="66">
        <v>6162</v>
      </c>
      <c r="AJ57" s="64">
        <v>441</v>
      </c>
      <c r="AK57" s="46">
        <v>527</v>
      </c>
      <c r="AL57" s="65">
        <v>2911</v>
      </c>
      <c r="AM57" s="66">
        <v>4735</v>
      </c>
      <c r="AN57" s="64">
        <v>781</v>
      </c>
      <c r="AO57" s="46">
        <v>780</v>
      </c>
      <c r="AP57" s="65">
        <v>4588</v>
      </c>
      <c r="AQ57" s="66">
        <v>8956</v>
      </c>
      <c r="AR57" s="64">
        <v>811</v>
      </c>
      <c r="AS57" s="46">
        <v>836</v>
      </c>
      <c r="AT57" s="65">
        <v>5238</v>
      </c>
      <c r="AU57" s="66">
        <v>6318</v>
      </c>
      <c r="AV57" s="64">
        <v>484</v>
      </c>
      <c r="AW57" s="46">
        <v>448</v>
      </c>
      <c r="AX57" s="65">
        <v>3755</v>
      </c>
      <c r="AY57" s="66">
        <v>4593</v>
      </c>
      <c r="AZ57" s="64">
        <v>87</v>
      </c>
      <c r="BA57" s="46">
        <v>105</v>
      </c>
      <c r="BB57" s="65">
        <v>1348</v>
      </c>
      <c r="BC57" s="66">
        <v>1514</v>
      </c>
      <c r="BD57" s="64"/>
      <c r="BE57" s="46"/>
      <c r="BF57" s="65">
        <v>1</v>
      </c>
      <c r="BG57" s="133">
        <v>2</v>
      </c>
      <c r="BH57" s="65"/>
      <c r="BI57" s="22" t="s">
        <v>71</v>
      </c>
      <c r="BJ57" s="101">
        <f t="shared" si="4"/>
        <v>3246</v>
      </c>
      <c r="BK57" s="101">
        <f t="shared" si="5"/>
        <v>3260</v>
      </c>
      <c r="BL57" s="101">
        <f t="shared" si="6"/>
        <v>22208</v>
      </c>
      <c r="BM57" s="101">
        <f t="shared" si="7"/>
        <v>32278</v>
      </c>
      <c r="BO57" t="s">
        <v>212</v>
      </c>
      <c r="BP57">
        <v>3246</v>
      </c>
      <c r="BQ57">
        <v>3260</v>
      </c>
      <c r="BR57">
        <v>22208</v>
      </c>
      <c r="BS57">
        <v>32278</v>
      </c>
      <c r="BT57">
        <f t="shared" si="8"/>
        <v>6506</v>
      </c>
      <c r="BU57">
        <f t="shared" si="9"/>
        <v>57433</v>
      </c>
      <c r="BV57">
        <f t="shared" si="11"/>
        <v>60992</v>
      </c>
      <c r="BW57" s="148">
        <f t="shared" si="10"/>
        <v>0.10666972717733474</v>
      </c>
    </row>
    <row r="58" spans="1:75" x14ac:dyDescent="0.25">
      <c r="A58" s="63">
        <v>40</v>
      </c>
      <c r="B58" s="23" t="s">
        <v>72</v>
      </c>
      <c r="C58" s="24"/>
      <c r="D58" s="64">
        <v>77</v>
      </c>
      <c r="E58" s="46">
        <v>86</v>
      </c>
      <c r="F58" s="65">
        <v>121</v>
      </c>
      <c r="G58" s="46">
        <v>81</v>
      </c>
      <c r="H58" s="64">
        <v>63</v>
      </c>
      <c r="I58" s="46">
        <v>61</v>
      </c>
      <c r="J58" s="65">
        <v>83</v>
      </c>
      <c r="K58" s="46">
        <v>84</v>
      </c>
      <c r="L58" s="64">
        <v>58</v>
      </c>
      <c r="M58" s="46">
        <v>74</v>
      </c>
      <c r="N58" s="65">
        <v>96</v>
      </c>
      <c r="O58" s="46">
        <v>87</v>
      </c>
      <c r="P58" s="64">
        <v>86</v>
      </c>
      <c r="Q58" s="46">
        <v>77</v>
      </c>
      <c r="R58" s="65">
        <v>102</v>
      </c>
      <c r="S58" s="46">
        <v>119</v>
      </c>
      <c r="T58" s="64">
        <v>76</v>
      </c>
      <c r="U58" s="46">
        <v>76</v>
      </c>
      <c r="V58" s="65">
        <v>105</v>
      </c>
      <c r="W58" s="46">
        <v>88</v>
      </c>
      <c r="X58" s="64">
        <v>379</v>
      </c>
      <c r="Y58" s="46">
        <v>402</v>
      </c>
      <c r="Z58" s="65">
        <v>450</v>
      </c>
      <c r="AA58" s="46">
        <v>442</v>
      </c>
      <c r="AB58" s="64">
        <v>352</v>
      </c>
      <c r="AC58" s="46">
        <v>308</v>
      </c>
      <c r="AD58" s="65">
        <v>401</v>
      </c>
      <c r="AE58" s="66">
        <v>368</v>
      </c>
      <c r="AF58" s="64">
        <v>288</v>
      </c>
      <c r="AG58" s="46">
        <v>264</v>
      </c>
      <c r="AH58" s="65">
        <v>302</v>
      </c>
      <c r="AI58" s="66">
        <v>283</v>
      </c>
      <c r="AJ58" s="64">
        <v>229</v>
      </c>
      <c r="AK58" s="46">
        <v>209</v>
      </c>
      <c r="AL58" s="65">
        <v>224</v>
      </c>
      <c r="AM58" s="66">
        <v>272</v>
      </c>
      <c r="AN58" s="64">
        <v>349</v>
      </c>
      <c r="AO58" s="46">
        <v>318</v>
      </c>
      <c r="AP58" s="65">
        <v>319</v>
      </c>
      <c r="AQ58" s="66">
        <v>372</v>
      </c>
      <c r="AR58" s="64">
        <v>358</v>
      </c>
      <c r="AS58" s="46">
        <v>304</v>
      </c>
      <c r="AT58" s="65">
        <v>368</v>
      </c>
      <c r="AU58" s="66">
        <v>302</v>
      </c>
      <c r="AV58" s="64">
        <v>244</v>
      </c>
      <c r="AW58" s="46">
        <v>192</v>
      </c>
      <c r="AX58" s="65">
        <v>231</v>
      </c>
      <c r="AY58" s="66">
        <v>173</v>
      </c>
      <c r="AZ58" s="64">
        <v>50</v>
      </c>
      <c r="BA58" s="46">
        <v>49</v>
      </c>
      <c r="BB58" s="65">
        <v>64</v>
      </c>
      <c r="BC58" s="66">
        <v>37</v>
      </c>
      <c r="BD58" s="64"/>
      <c r="BE58" s="46"/>
      <c r="BF58" s="65"/>
      <c r="BG58" s="133"/>
      <c r="BH58" s="65"/>
      <c r="BI58" s="22" t="s">
        <v>72</v>
      </c>
      <c r="BJ58" s="101">
        <f t="shared" si="4"/>
        <v>1518</v>
      </c>
      <c r="BK58" s="101">
        <f t="shared" si="5"/>
        <v>1336</v>
      </c>
      <c r="BL58" s="101">
        <f t="shared" si="6"/>
        <v>1508</v>
      </c>
      <c r="BM58" s="101">
        <f t="shared" si="7"/>
        <v>1439</v>
      </c>
      <c r="BO58" t="s">
        <v>213</v>
      </c>
      <c r="BP58">
        <v>1518</v>
      </c>
      <c r="BQ58">
        <v>1336</v>
      </c>
      <c r="BR58">
        <v>1508</v>
      </c>
      <c r="BS58">
        <v>1439</v>
      </c>
      <c r="BT58">
        <f t="shared" si="8"/>
        <v>2854</v>
      </c>
      <c r="BU58">
        <f t="shared" si="9"/>
        <v>10363</v>
      </c>
      <c r="BV58">
        <f t="shared" si="11"/>
        <v>5801</v>
      </c>
      <c r="BW58" s="148">
        <f t="shared" si="10"/>
        <v>0.49198414066540253</v>
      </c>
    </row>
    <row r="59" spans="1:75" x14ac:dyDescent="0.25">
      <c r="A59" s="63">
        <v>41</v>
      </c>
      <c r="B59" s="23" t="s">
        <v>73</v>
      </c>
      <c r="C59" s="24"/>
      <c r="D59" s="64">
        <v>33</v>
      </c>
      <c r="E59" s="46">
        <v>33</v>
      </c>
      <c r="F59" s="65">
        <v>255</v>
      </c>
      <c r="G59" s="46">
        <v>303</v>
      </c>
      <c r="H59" s="64">
        <v>30</v>
      </c>
      <c r="I59" s="46">
        <v>22</v>
      </c>
      <c r="J59" s="65">
        <v>138</v>
      </c>
      <c r="K59" s="46">
        <v>179</v>
      </c>
      <c r="L59" s="64">
        <v>37</v>
      </c>
      <c r="M59" s="46">
        <v>32</v>
      </c>
      <c r="N59" s="65">
        <v>274</v>
      </c>
      <c r="O59" s="46">
        <v>315</v>
      </c>
      <c r="P59" s="64">
        <v>27</v>
      </c>
      <c r="Q59" s="46">
        <v>29</v>
      </c>
      <c r="R59" s="65">
        <v>253</v>
      </c>
      <c r="S59" s="46">
        <v>338</v>
      </c>
      <c r="T59" s="64">
        <v>32</v>
      </c>
      <c r="U59" s="46">
        <v>38</v>
      </c>
      <c r="V59" s="65">
        <v>278</v>
      </c>
      <c r="W59" s="46">
        <v>293</v>
      </c>
      <c r="X59" s="64">
        <v>123</v>
      </c>
      <c r="Y59" s="46">
        <v>131</v>
      </c>
      <c r="Z59" s="65">
        <v>1221</v>
      </c>
      <c r="AA59" s="46">
        <v>1167</v>
      </c>
      <c r="AB59" s="64">
        <v>78</v>
      </c>
      <c r="AC59" s="46">
        <v>92</v>
      </c>
      <c r="AD59" s="65">
        <v>1162</v>
      </c>
      <c r="AE59" s="66">
        <v>1035</v>
      </c>
      <c r="AF59" s="64">
        <v>74</v>
      </c>
      <c r="AG59" s="46">
        <v>90</v>
      </c>
      <c r="AH59" s="65">
        <v>692</v>
      </c>
      <c r="AI59" s="66">
        <v>920</v>
      </c>
      <c r="AJ59" s="64">
        <v>61</v>
      </c>
      <c r="AK59" s="46">
        <v>67</v>
      </c>
      <c r="AL59" s="65">
        <v>330</v>
      </c>
      <c r="AM59" s="66">
        <v>634</v>
      </c>
      <c r="AN59" s="64">
        <v>131</v>
      </c>
      <c r="AO59" s="46">
        <v>144</v>
      </c>
      <c r="AP59" s="65">
        <v>505</v>
      </c>
      <c r="AQ59" s="66">
        <v>1142</v>
      </c>
      <c r="AR59" s="64">
        <v>160</v>
      </c>
      <c r="AS59" s="46">
        <v>106</v>
      </c>
      <c r="AT59" s="65">
        <v>777</v>
      </c>
      <c r="AU59" s="66">
        <v>951</v>
      </c>
      <c r="AV59" s="64">
        <v>71</v>
      </c>
      <c r="AW59" s="46">
        <v>53</v>
      </c>
      <c r="AX59" s="65">
        <v>487</v>
      </c>
      <c r="AY59" s="66">
        <v>575</v>
      </c>
      <c r="AZ59" s="64">
        <v>16</v>
      </c>
      <c r="BA59" s="46">
        <v>18</v>
      </c>
      <c r="BB59" s="65">
        <v>188</v>
      </c>
      <c r="BC59" s="66">
        <v>215</v>
      </c>
      <c r="BD59" s="64"/>
      <c r="BE59" s="46"/>
      <c r="BF59" s="65"/>
      <c r="BG59" s="133"/>
      <c r="BH59" s="65"/>
      <c r="BI59" s="22" t="s">
        <v>73</v>
      </c>
      <c r="BJ59" s="101">
        <f t="shared" si="4"/>
        <v>513</v>
      </c>
      <c r="BK59" s="101">
        <f t="shared" si="5"/>
        <v>478</v>
      </c>
      <c r="BL59" s="101">
        <f t="shared" si="6"/>
        <v>2979</v>
      </c>
      <c r="BM59" s="101">
        <f t="shared" si="7"/>
        <v>4437</v>
      </c>
      <c r="BO59" t="s">
        <v>214</v>
      </c>
      <c r="BP59">
        <v>513</v>
      </c>
      <c r="BQ59">
        <v>478</v>
      </c>
      <c r="BR59">
        <v>2979</v>
      </c>
      <c r="BS59">
        <v>4437</v>
      </c>
      <c r="BT59">
        <f t="shared" si="8"/>
        <v>991</v>
      </c>
      <c r="BU59">
        <f t="shared" si="9"/>
        <v>10177</v>
      </c>
      <c r="BV59">
        <f t="shared" si="11"/>
        <v>8407</v>
      </c>
      <c r="BW59" s="148">
        <f t="shared" si="10"/>
        <v>0.11787795884382063</v>
      </c>
    </row>
    <row r="60" spans="1:75" x14ac:dyDescent="0.25">
      <c r="A60" s="63">
        <v>42</v>
      </c>
      <c r="B60" s="23" t="s">
        <v>74</v>
      </c>
      <c r="C60" s="24"/>
      <c r="D60" s="64">
        <v>106</v>
      </c>
      <c r="E60" s="46">
        <v>80</v>
      </c>
      <c r="F60" s="65">
        <v>106</v>
      </c>
      <c r="G60" s="46">
        <v>86</v>
      </c>
      <c r="H60" s="64">
        <v>71</v>
      </c>
      <c r="I60" s="46">
        <v>66</v>
      </c>
      <c r="J60" s="65">
        <v>66</v>
      </c>
      <c r="K60" s="46">
        <v>63</v>
      </c>
      <c r="L60" s="64">
        <v>85</v>
      </c>
      <c r="M60" s="46">
        <v>86</v>
      </c>
      <c r="N60" s="65">
        <v>84</v>
      </c>
      <c r="O60" s="46">
        <v>70</v>
      </c>
      <c r="P60" s="64">
        <v>98</v>
      </c>
      <c r="Q60" s="46">
        <v>85</v>
      </c>
      <c r="R60" s="65">
        <v>81</v>
      </c>
      <c r="S60" s="46">
        <v>86</v>
      </c>
      <c r="T60" s="64">
        <v>86</v>
      </c>
      <c r="U60" s="46">
        <v>95</v>
      </c>
      <c r="V60" s="65">
        <v>97</v>
      </c>
      <c r="W60" s="46">
        <v>81</v>
      </c>
      <c r="X60" s="64">
        <v>433</v>
      </c>
      <c r="Y60" s="46">
        <v>425</v>
      </c>
      <c r="Z60" s="65">
        <v>372</v>
      </c>
      <c r="AA60" s="46">
        <v>337</v>
      </c>
      <c r="AB60" s="64">
        <v>363</v>
      </c>
      <c r="AC60" s="46">
        <v>354</v>
      </c>
      <c r="AD60" s="65">
        <v>313</v>
      </c>
      <c r="AE60" s="66">
        <v>293</v>
      </c>
      <c r="AF60" s="64">
        <v>321</v>
      </c>
      <c r="AG60" s="46">
        <v>318</v>
      </c>
      <c r="AH60" s="65">
        <v>233</v>
      </c>
      <c r="AI60" s="66">
        <v>218</v>
      </c>
      <c r="AJ60" s="64">
        <v>338</v>
      </c>
      <c r="AK60" s="46">
        <v>288</v>
      </c>
      <c r="AL60" s="65">
        <v>237</v>
      </c>
      <c r="AM60" s="66">
        <v>232</v>
      </c>
      <c r="AN60" s="64">
        <v>467</v>
      </c>
      <c r="AO60" s="46">
        <v>428</v>
      </c>
      <c r="AP60" s="65">
        <v>362</v>
      </c>
      <c r="AQ60" s="66">
        <v>306</v>
      </c>
      <c r="AR60" s="64">
        <v>449</v>
      </c>
      <c r="AS60" s="46">
        <v>379</v>
      </c>
      <c r="AT60" s="65">
        <v>331</v>
      </c>
      <c r="AU60" s="66">
        <v>279</v>
      </c>
      <c r="AV60" s="64">
        <v>280</v>
      </c>
      <c r="AW60" s="46">
        <v>229</v>
      </c>
      <c r="AX60" s="65">
        <v>229</v>
      </c>
      <c r="AY60" s="66">
        <v>203</v>
      </c>
      <c r="AZ60" s="64">
        <v>62</v>
      </c>
      <c r="BA60" s="46">
        <v>51</v>
      </c>
      <c r="BB60" s="65">
        <v>72</v>
      </c>
      <c r="BC60" s="66">
        <v>59</v>
      </c>
      <c r="BD60" s="64"/>
      <c r="BE60" s="46">
        <v>1</v>
      </c>
      <c r="BF60" s="65"/>
      <c r="BG60" s="133"/>
      <c r="BH60" s="65"/>
      <c r="BI60" s="22" t="s">
        <v>74</v>
      </c>
      <c r="BJ60" s="101">
        <f t="shared" si="4"/>
        <v>1917</v>
      </c>
      <c r="BK60" s="101">
        <f t="shared" si="5"/>
        <v>1693</v>
      </c>
      <c r="BL60" s="101">
        <f t="shared" si="6"/>
        <v>1464</v>
      </c>
      <c r="BM60" s="101">
        <f t="shared" si="7"/>
        <v>1297</v>
      </c>
      <c r="BO60" t="s">
        <v>215</v>
      </c>
      <c r="BP60">
        <v>1917</v>
      </c>
      <c r="BQ60">
        <v>1693</v>
      </c>
      <c r="BR60">
        <v>1464</v>
      </c>
      <c r="BS60">
        <v>1297</v>
      </c>
      <c r="BT60">
        <f t="shared" si="8"/>
        <v>3610</v>
      </c>
      <c r="BU60">
        <f t="shared" si="9"/>
        <v>4289</v>
      </c>
      <c r="BV60">
        <f t="shared" si="11"/>
        <v>6371</v>
      </c>
      <c r="BW60" s="148">
        <f t="shared" si="10"/>
        <v>0.56663004237953229</v>
      </c>
    </row>
    <row r="61" spans="1:75" ht="15.75" x14ac:dyDescent="0.25">
      <c r="A61" s="78">
        <v>43</v>
      </c>
      <c r="B61" s="50" t="s">
        <v>75</v>
      </c>
      <c r="C61" s="67"/>
      <c r="D61" s="44">
        <v>44</v>
      </c>
      <c r="E61" s="45">
        <v>61</v>
      </c>
      <c r="F61" s="46">
        <v>43</v>
      </c>
      <c r="G61" s="45">
        <v>31</v>
      </c>
      <c r="H61" s="44">
        <v>46</v>
      </c>
      <c r="I61" s="45">
        <v>55</v>
      </c>
      <c r="J61" s="46">
        <v>27</v>
      </c>
      <c r="K61" s="45">
        <v>32</v>
      </c>
      <c r="L61" s="44">
        <v>44</v>
      </c>
      <c r="M61" s="45">
        <v>68</v>
      </c>
      <c r="N61" s="46">
        <v>36</v>
      </c>
      <c r="O61" s="45">
        <v>39</v>
      </c>
      <c r="P61" s="44">
        <v>52</v>
      </c>
      <c r="Q61" s="45">
        <v>47</v>
      </c>
      <c r="R61" s="46">
        <v>38</v>
      </c>
      <c r="S61" s="45">
        <v>41</v>
      </c>
      <c r="T61" s="44">
        <v>59</v>
      </c>
      <c r="U61" s="45">
        <v>44</v>
      </c>
      <c r="V61" s="46">
        <v>45</v>
      </c>
      <c r="W61" s="45">
        <v>33</v>
      </c>
      <c r="X61" s="44">
        <v>222</v>
      </c>
      <c r="Y61" s="45">
        <v>224</v>
      </c>
      <c r="Z61" s="46">
        <v>170</v>
      </c>
      <c r="AA61" s="45">
        <v>166</v>
      </c>
      <c r="AB61" s="44">
        <v>182</v>
      </c>
      <c r="AC61" s="45">
        <v>217</v>
      </c>
      <c r="AD61" s="46">
        <v>164</v>
      </c>
      <c r="AE61" s="47">
        <v>121</v>
      </c>
      <c r="AF61" s="44">
        <v>190</v>
      </c>
      <c r="AG61" s="45">
        <v>178</v>
      </c>
      <c r="AH61" s="46">
        <v>131</v>
      </c>
      <c r="AI61" s="47">
        <v>122</v>
      </c>
      <c r="AJ61" s="44">
        <v>173</v>
      </c>
      <c r="AK61" s="45">
        <v>181</v>
      </c>
      <c r="AL61" s="46">
        <v>140</v>
      </c>
      <c r="AM61" s="47">
        <v>112</v>
      </c>
      <c r="AN61" s="44">
        <v>295</v>
      </c>
      <c r="AO61" s="45">
        <v>214</v>
      </c>
      <c r="AP61" s="46">
        <v>225</v>
      </c>
      <c r="AQ61" s="47">
        <v>169</v>
      </c>
      <c r="AR61" s="44">
        <v>232</v>
      </c>
      <c r="AS61" s="45">
        <v>223</v>
      </c>
      <c r="AT61" s="46">
        <v>237</v>
      </c>
      <c r="AU61" s="47">
        <v>156</v>
      </c>
      <c r="AV61" s="44">
        <v>161</v>
      </c>
      <c r="AW61" s="45">
        <v>128</v>
      </c>
      <c r="AX61" s="46">
        <v>110</v>
      </c>
      <c r="AY61" s="47">
        <v>66</v>
      </c>
      <c r="AZ61" s="44">
        <v>23</v>
      </c>
      <c r="BA61" s="45">
        <v>24</v>
      </c>
      <c r="BB61" s="46">
        <v>40</v>
      </c>
      <c r="BC61" s="47">
        <v>20</v>
      </c>
      <c r="BD61" s="44"/>
      <c r="BE61" s="45"/>
      <c r="BF61" s="46"/>
      <c r="BG61" s="130"/>
      <c r="BH61" s="101"/>
      <c r="BI61" s="49" t="s">
        <v>75</v>
      </c>
      <c r="BJ61" s="101">
        <f t="shared" si="4"/>
        <v>1074</v>
      </c>
      <c r="BK61" s="101">
        <f t="shared" si="5"/>
        <v>948</v>
      </c>
      <c r="BL61" s="101">
        <f t="shared" si="6"/>
        <v>883</v>
      </c>
      <c r="BM61" s="101">
        <f t="shared" si="7"/>
        <v>645</v>
      </c>
      <c r="BO61" t="s">
        <v>216</v>
      </c>
      <c r="BP61">
        <v>1074</v>
      </c>
      <c r="BQ61">
        <v>948</v>
      </c>
      <c r="BR61">
        <v>883</v>
      </c>
      <c r="BS61">
        <v>645</v>
      </c>
      <c r="BT61">
        <f t="shared" si="8"/>
        <v>2022</v>
      </c>
      <c r="BU61">
        <f t="shared" si="9"/>
        <v>11417</v>
      </c>
      <c r="BV61">
        <f t="shared" si="11"/>
        <v>3550</v>
      </c>
      <c r="BW61" s="148">
        <f t="shared" si="10"/>
        <v>0.56957746478873239</v>
      </c>
    </row>
    <row r="62" spans="1:75" x14ac:dyDescent="0.25">
      <c r="A62" s="78">
        <v>44</v>
      </c>
      <c r="B62" s="50" t="s">
        <v>76</v>
      </c>
      <c r="C62" s="39"/>
      <c r="D62" s="64">
        <v>198</v>
      </c>
      <c r="E62" s="46">
        <v>175</v>
      </c>
      <c r="F62" s="65">
        <v>295</v>
      </c>
      <c r="G62" s="46">
        <v>292</v>
      </c>
      <c r="H62" s="64">
        <v>161</v>
      </c>
      <c r="I62" s="46">
        <v>149</v>
      </c>
      <c r="J62" s="65">
        <v>278</v>
      </c>
      <c r="K62" s="46">
        <v>244</v>
      </c>
      <c r="L62" s="64">
        <v>204</v>
      </c>
      <c r="M62" s="46">
        <v>209</v>
      </c>
      <c r="N62" s="65">
        <v>255</v>
      </c>
      <c r="O62" s="46">
        <v>299</v>
      </c>
      <c r="P62" s="64">
        <v>196</v>
      </c>
      <c r="Q62" s="46">
        <v>206</v>
      </c>
      <c r="R62" s="65">
        <v>291</v>
      </c>
      <c r="S62" s="46">
        <v>267</v>
      </c>
      <c r="T62" s="64">
        <v>226</v>
      </c>
      <c r="U62" s="46">
        <v>179</v>
      </c>
      <c r="V62" s="65">
        <v>282</v>
      </c>
      <c r="W62" s="46">
        <v>314</v>
      </c>
      <c r="X62" s="64">
        <v>967</v>
      </c>
      <c r="Y62" s="46">
        <v>874</v>
      </c>
      <c r="Z62" s="65">
        <v>1346</v>
      </c>
      <c r="AA62" s="46">
        <v>1220</v>
      </c>
      <c r="AB62" s="64">
        <v>949</v>
      </c>
      <c r="AC62" s="46">
        <v>861</v>
      </c>
      <c r="AD62" s="65">
        <v>1261</v>
      </c>
      <c r="AE62" s="66">
        <v>1017</v>
      </c>
      <c r="AF62" s="64">
        <v>760</v>
      </c>
      <c r="AG62" s="46">
        <v>737</v>
      </c>
      <c r="AH62" s="65">
        <v>1008</v>
      </c>
      <c r="AI62" s="66">
        <v>854</v>
      </c>
      <c r="AJ62" s="64">
        <v>626</v>
      </c>
      <c r="AK62" s="46">
        <v>634</v>
      </c>
      <c r="AL62" s="65">
        <v>730</v>
      </c>
      <c r="AM62" s="66">
        <v>668</v>
      </c>
      <c r="AN62" s="64">
        <v>1053</v>
      </c>
      <c r="AO62" s="46">
        <v>948</v>
      </c>
      <c r="AP62" s="65">
        <v>1254</v>
      </c>
      <c r="AQ62" s="66">
        <v>1116</v>
      </c>
      <c r="AR62" s="64">
        <v>1090</v>
      </c>
      <c r="AS62" s="46">
        <v>981</v>
      </c>
      <c r="AT62" s="65">
        <v>1304</v>
      </c>
      <c r="AU62" s="66">
        <v>1065</v>
      </c>
      <c r="AV62" s="64">
        <v>765</v>
      </c>
      <c r="AW62" s="46">
        <v>617</v>
      </c>
      <c r="AX62" s="65">
        <v>912</v>
      </c>
      <c r="AY62" s="66">
        <v>671</v>
      </c>
      <c r="AZ62" s="64">
        <v>114</v>
      </c>
      <c r="BA62" s="46">
        <v>117</v>
      </c>
      <c r="BB62" s="65">
        <v>162</v>
      </c>
      <c r="BC62" s="66">
        <v>145</v>
      </c>
      <c r="BD62" s="64"/>
      <c r="BE62" s="46"/>
      <c r="BF62" s="65"/>
      <c r="BG62" s="133"/>
      <c r="BH62" s="65"/>
      <c r="BI62" s="49" t="s">
        <v>76</v>
      </c>
      <c r="BJ62" s="101">
        <f t="shared" si="4"/>
        <v>4408</v>
      </c>
      <c r="BK62" s="101">
        <f t="shared" si="5"/>
        <v>4034</v>
      </c>
      <c r="BL62" s="101">
        <f t="shared" si="6"/>
        <v>5370</v>
      </c>
      <c r="BM62" s="101">
        <f t="shared" si="7"/>
        <v>4519</v>
      </c>
      <c r="BO62" t="s">
        <v>217</v>
      </c>
      <c r="BP62">
        <v>4408</v>
      </c>
      <c r="BQ62">
        <v>4034</v>
      </c>
      <c r="BR62">
        <v>5370</v>
      </c>
      <c r="BS62">
        <v>4519</v>
      </c>
      <c r="BT62">
        <f t="shared" si="8"/>
        <v>8442</v>
      </c>
      <c r="BU62">
        <f t="shared" si="9"/>
        <v>14665</v>
      </c>
      <c r="BV62">
        <f t="shared" si="11"/>
        <v>18331</v>
      </c>
      <c r="BW62" s="148">
        <f t="shared" si="10"/>
        <v>0.4605313403524085</v>
      </c>
    </row>
    <row r="63" spans="1:75" x14ac:dyDescent="0.25">
      <c r="A63" s="78">
        <v>45</v>
      </c>
      <c r="B63" s="50" t="s">
        <v>77</v>
      </c>
      <c r="C63" s="24"/>
      <c r="D63" s="64">
        <v>69</v>
      </c>
      <c r="E63" s="46">
        <v>56</v>
      </c>
      <c r="F63" s="65">
        <v>168</v>
      </c>
      <c r="G63" s="46">
        <v>193</v>
      </c>
      <c r="H63" s="64">
        <v>55</v>
      </c>
      <c r="I63" s="46">
        <v>61</v>
      </c>
      <c r="J63" s="65">
        <v>123</v>
      </c>
      <c r="K63" s="46">
        <v>117</v>
      </c>
      <c r="L63" s="64">
        <v>54</v>
      </c>
      <c r="M63" s="46">
        <v>63</v>
      </c>
      <c r="N63" s="65">
        <v>120</v>
      </c>
      <c r="O63" s="46">
        <v>142</v>
      </c>
      <c r="P63" s="64">
        <v>66</v>
      </c>
      <c r="Q63" s="46">
        <v>60</v>
      </c>
      <c r="R63" s="65">
        <v>142</v>
      </c>
      <c r="S63" s="46">
        <v>146</v>
      </c>
      <c r="T63" s="64">
        <v>62</v>
      </c>
      <c r="U63" s="46">
        <v>81</v>
      </c>
      <c r="V63" s="65">
        <v>156</v>
      </c>
      <c r="W63" s="46">
        <v>139</v>
      </c>
      <c r="X63" s="64">
        <v>261</v>
      </c>
      <c r="Y63" s="46">
        <v>301</v>
      </c>
      <c r="Z63" s="65">
        <v>523</v>
      </c>
      <c r="AA63" s="46">
        <v>499</v>
      </c>
      <c r="AB63" s="64">
        <v>242</v>
      </c>
      <c r="AC63" s="46">
        <v>251</v>
      </c>
      <c r="AD63" s="65">
        <v>472</v>
      </c>
      <c r="AE63" s="66">
        <v>405</v>
      </c>
      <c r="AF63" s="64">
        <v>250</v>
      </c>
      <c r="AG63" s="46">
        <v>254</v>
      </c>
      <c r="AH63" s="65">
        <v>360</v>
      </c>
      <c r="AI63" s="66">
        <v>388</v>
      </c>
      <c r="AJ63" s="64">
        <v>247</v>
      </c>
      <c r="AK63" s="46">
        <v>242</v>
      </c>
      <c r="AL63" s="65">
        <v>261</v>
      </c>
      <c r="AM63" s="66">
        <v>326</v>
      </c>
      <c r="AN63" s="64">
        <v>407</v>
      </c>
      <c r="AO63" s="46">
        <v>349</v>
      </c>
      <c r="AP63" s="65">
        <v>525</v>
      </c>
      <c r="AQ63" s="66">
        <v>654</v>
      </c>
      <c r="AR63" s="64">
        <v>395</v>
      </c>
      <c r="AS63" s="46">
        <v>357</v>
      </c>
      <c r="AT63" s="65">
        <v>733</v>
      </c>
      <c r="AU63" s="66">
        <v>611</v>
      </c>
      <c r="AV63" s="64">
        <v>287</v>
      </c>
      <c r="AW63" s="46">
        <v>246</v>
      </c>
      <c r="AX63" s="65">
        <v>423</v>
      </c>
      <c r="AY63" s="66">
        <v>322</v>
      </c>
      <c r="AZ63" s="64">
        <v>59</v>
      </c>
      <c r="BA63" s="46">
        <v>50</v>
      </c>
      <c r="BB63" s="65">
        <v>92</v>
      </c>
      <c r="BC63" s="66">
        <v>81</v>
      </c>
      <c r="BD63" s="64"/>
      <c r="BE63" s="46">
        <v>1</v>
      </c>
      <c r="BF63" s="65"/>
      <c r="BG63" s="133">
        <v>1</v>
      </c>
      <c r="BH63" s="65"/>
      <c r="BI63" s="49" t="s">
        <v>77</v>
      </c>
      <c r="BJ63" s="101">
        <f t="shared" si="4"/>
        <v>1645</v>
      </c>
      <c r="BK63" s="101">
        <f t="shared" si="5"/>
        <v>1498</v>
      </c>
      <c r="BL63" s="101">
        <f t="shared" si="6"/>
        <v>2394</v>
      </c>
      <c r="BM63" s="101">
        <f t="shared" si="7"/>
        <v>2382</v>
      </c>
      <c r="BO63" t="s">
        <v>218</v>
      </c>
      <c r="BP63">
        <v>1645</v>
      </c>
      <c r="BQ63">
        <v>1498</v>
      </c>
      <c r="BR63">
        <v>2394</v>
      </c>
      <c r="BS63">
        <v>2382</v>
      </c>
      <c r="BT63">
        <f t="shared" si="8"/>
        <v>3143</v>
      </c>
      <c r="BU63">
        <f t="shared" si="9"/>
        <v>7846</v>
      </c>
      <c r="BV63">
        <f t="shared" si="11"/>
        <v>7919</v>
      </c>
      <c r="BW63" s="148">
        <f t="shared" si="10"/>
        <v>0.3968935471650461</v>
      </c>
    </row>
    <row r="64" spans="1:75" x14ac:dyDescent="0.25">
      <c r="A64" s="78">
        <v>46</v>
      </c>
      <c r="B64" s="50" t="s">
        <v>78</v>
      </c>
      <c r="C64" s="24"/>
      <c r="D64" s="64">
        <v>62</v>
      </c>
      <c r="E64" s="46">
        <v>41</v>
      </c>
      <c r="F64" s="65">
        <v>96</v>
      </c>
      <c r="G64" s="46">
        <v>135</v>
      </c>
      <c r="H64" s="64">
        <v>44</v>
      </c>
      <c r="I64" s="46">
        <v>33</v>
      </c>
      <c r="J64" s="65">
        <v>72</v>
      </c>
      <c r="K64" s="46">
        <v>77</v>
      </c>
      <c r="L64" s="64">
        <v>35</v>
      </c>
      <c r="M64" s="46">
        <v>43</v>
      </c>
      <c r="N64" s="65">
        <v>86</v>
      </c>
      <c r="O64" s="46">
        <v>81</v>
      </c>
      <c r="P64" s="64">
        <v>37</v>
      </c>
      <c r="Q64" s="46">
        <v>52</v>
      </c>
      <c r="R64" s="65">
        <v>91</v>
      </c>
      <c r="S64" s="46">
        <v>90</v>
      </c>
      <c r="T64" s="64">
        <v>44</v>
      </c>
      <c r="U64" s="46">
        <v>51</v>
      </c>
      <c r="V64" s="65">
        <v>98</v>
      </c>
      <c r="W64" s="46">
        <v>70</v>
      </c>
      <c r="X64" s="64">
        <v>193</v>
      </c>
      <c r="Y64" s="46">
        <v>187</v>
      </c>
      <c r="Z64" s="65">
        <v>321</v>
      </c>
      <c r="AA64" s="46">
        <v>326</v>
      </c>
      <c r="AB64" s="64">
        <v>178</v>
      </c>
      <c r="AC64" s="46">
        <v>181</v>
      </c>
      <c r="AD64" s="65">
        <v>277</v>
      </c>
      <c r="AE64" s="66">
        <v>287</v>
      </c>
      <c r="AF64" s="64">
        <v>150</v>
      </c>
      <c r="AG64" s="46">
        <v>148</v>
      </c>
      <c r="AH64" s="65">
        <v>203</v>
      </c>
      <c r="AI64" s="66">
        <v>241</v>
      </c>
      <c r="AJ64" s="64">
        <v>147</v>
      </c>
      <c r="AK64" s="46">
        <v>160</v>
      </c>
      <c r="AL64" s="65">
        <v>141</v>
      </c>
      <c r="AM64" s="66">
        <v>176</v>
      </c>
      <c r="AN64" s="64">
        <v>205</v>
      </c>
      <c r="AO64" s="46">
        <v>211</v>
      </c>
      <c r="AP64" s="65">
        <v>364</v>
      </c>
      <c r="AQ64" s="66">
        <v>443</v>
      </c>
      <c r="AR64" s="64">
        <v>259</v>
      </c>
      <c r="AS64" s="46">
        <v>222</v>
      </c>
      <c r="AT64" s="65">
        <v>564</v>
      </c>
      <c r="AU64" s="66">
        <v>414</v>
      </c>
      <c r="AV64" s="64">
        <v>148</v>
      </c>
      <c r="AW64" s="46">
        <v>117</v>
      </c>
      <c r="AX64" s="65">
        <v>240</v>
      </c>
      <c r="AY64" s="66">
        <v>206</v>
      </c>
      <c r="AZ64" s="64">
        <v>28</v>
      </c>
      <c r="BA64" s="46">
        <v>17</v>
      </c>
      <c r="BB64" s="65">
        <v>50</v>
      </c>
      <c r="BC64" s="66">
        <v>28</v>
      </c>
      <c r="BD64" s="64"/>
      <c r="BE64" s="46"/>
      <c r="BF64" s="65">
        <v>1</v>
      </c>
      <c r="BG64" s="133"/>
      <c r="BH64" s="65"/>
      <c r="BI64" s="49" t="s">
        <v>78</v>
      </c>
      <c r="BJ64" s="101">
        <f t="shared" si="4"/>
        <v>937</v>
      </c>
      <c r="BK64" s="101">
        <f t="shared" si="5"/>
        <v>875</v>
      </c>
      <c r="BL64" s="101">
        <f t="shared" si="6"/>
        <v>1562</v>
      </c>
      <c r="BM64" s="101">
        <f t="shared" si="7"/>
        <v>1508</v>
      </c>
      <c r="BO64" t="s">
        <v>219</v>
      </c>
      <c r="BP64">
        <v>937</v>
      </c>
      <c r="BQ64">
        <v>875</v>
      </c>
      <c r="BR64">
        <v>1562</v>
      </c>
      <c r="BS64">
        <v>1508</v>
      </c>
      <c r="BT64">
        <f t="shared" si="8"/>
        <v>1812</v>
      </c>
      <c r="BU64">
        <f t="shared" si="9"/>
        <v>4700</v>
      </c>
      <c r="BV64">
        <f t="shared" si="11"/>
        <v>4882</v>
      </c>
      <c r="BW64" s="148">
        <f t="shared" si="10"/>
        <v>0.37115936091765672</v>
      </c>
    </row>
    <row r="65" spans="1:75" x14ac:dyDescent="0.25">
      <c r="A65" s="78">
        <v>47</v>
      </c>
      <c r="B65" s="50" t="s">
        <v>79</v>
      </c>
      <c r="C65" s="24"/>
      <c r="D65" s="64">
        <v>55</v>
      </c>
      <c r="E65" s="46">
        <v>52</v>
      </c>
      <c r="F65" s="65">
        <v>42</v>
      </c>
      <c r="G65" s="46">
        <v>49</v>
      </c>
      <c r="H65" s="64">
        <v>31</v>
      </c>
      <c r="I65" s="46">
        <v>51</v>
      </c>
      <c r="J65" s="65">
        <v>29</v>
      </c>
      <c r="K65" s="46">
        <v>25</v>
      </c>
      <c r="L65" s="64">
        <v>57</v>
      </c>
      <c r="M65" s="46">
        <v>50</v>
      </c>
      <c r="N65" s="65">
        <v>50</v>
      </c>
      <c r="O65" s="46">
        <v>44</v>
      </c>
      <c r="P65" s="64">
        <v>63</v>
      </c>
      <c r="Q65" s="46">
        <v>53</v>
      </c>
      <c r="R65" s="65">
        <v>40</v>
      </c>
      <c r="S65" s="46">
        <v>40</v>
      </c>
      <c r="T65" s="64">
        <v>56</v>
      </c>
      <c r="U65" s="46">
        <v>51</v>
      </c>
      <c r="V65" s="65">
        <v>47</v>
      </c>
      <c r="W65" s="46">
        <v>50</v>
      </c>
      <c r="X65" s="64">
        <v>252</v>
      </c>
      <c r="Y65" s="46">
        <v>263</v>
      </c>
      <c r="Z65" s="65">
        <v>218</v>
      </c>
      <c r="AA65" s="46">
        <v>203</v>
      </c>
      <c r="AB65" s="64">
        <v>210</v>
      </c>
      <c r="AC65" s="46">
        <v>237</v>
      </c>
      <c r="AD65" s="65">
        <v>180</v>
      </c>
      <c r="AE65" s="66">
        <v>160</v>
      </c>
      <c r="AF65" s="64">
        <v>226</v>
      </c>
      <c r="AG65" s="46">
        <v>195</v>
      </c>
      <c r="AH65" s="65">
        <v>153</v>
      </c>
      <c r="AI65" s="66">
        <v>121</v>
      </c>
      <c r="AJ65" s="64">
        <v>172</v>
      </c>
      <c r="AK65" s="46">
        <v>178</v>
      </c>
      <c r="AL65" s="65">
        <v>132</v>
      </c>
      <c r="AM65" s="66">
        <v>128</v>
      </c>
      <c r="AN65" s="64">
        <v>275</v>
      </c>
      <c r="AO65" s="46">
        <v>246</v>
      </c>
      <c r="AP65" s="65">
        <v>227</v>
      </c>
      <c r="AQ65" s="66">
        <v>197</v>
      </c>
      <c r="AR65" s="64">
        <v>258</v>
      </c>
      <c r="AS65" s="46">
        <v>265</v>
      </c>
      <c r="AT65" s="65">
        <v>228</v>
      </c>
      <c r="AU65" s="66">
        <v>175</v>
      </c>
      <c r="AV65" s="64">
        <v>177</v>
      </c>
      <c r="AW65" s="46">
        <v>170</v>
      </c>
      <c r="AX65" s="65">
        <v>131</v>
      </c>
      <c r="AY65" s="66">
        <v>94</v>
      </c>
      <c r="AZ65" s="64">
        <v>31</v>
      </c>
      <c r="BA65" s="46">
        <v>34</v>
      </c>
      <c r="BB65" s="65">
        <v>25</v>
      </c>
      <c r="BC65" s="66">
        <v>19</v>
      </c>
      <c r="BD65" s="64"/>
      <c r="BE65" s="46"/>
      <c r="BF65" s="65"/>
      <c r="BG65" s="133"/>
      <c r="BH65" s="65"/>
      <c r="BI65" s="49" t="s">
        <v>79</v>
      </c>
      <c r="BJ65" s="101">
        <f t="shared" si="4"/>
        <v>1139</v>
      </c>
      <c r="BK65" s="101">
        <f t="shared" si="5"/>
        <v>1088</v>
      </c>
      <c r="BL65" s="101">
        <f t="shared" si="6"/>
        <v>896</v>
      </c>
      <c r="BM65" s="101">
        <f t="shared" si="7"/>
        <v>734</v>
      </c>
      <c r="BO65" t="s">
        <v>220</v>
      </c>
      <c r="BP65">
        <v>1139</v>
      </c>
      <c r="BQ65">
        <v>1088</v>
      </c>
      <c r="BR65">
        <v>896</v>
      </c>
      <c r="BS65">
        <v>734</v>
      </c>
      <c r="BT65">
        <f t="shared" si="8"/>
        <v>2227</v>
      </c>
      <c r="BU65">
        <f t="shared" si="9"/>
        <v>4958</v>
      </c>
      <c r="BV65">
        <f t="shared" si="11"/>
        <v>3857</v>
      </c>
      <c r="BW65" s="148">
        <f t="shared" si="10"/>
        <v>0.57739175525019448</v>
      </c>
    </row>
    <row r="66" spans="1:75" x14ac:dyDescent="0.25">
      <c r="A66" s="78">
        <v>48</v>
      </c>
      <c r="B66" s="50" t="s">
        <v>80</v>
      </c>
      <c r="C66" s="24"/>
      <c r="D66" s="64">
        <v>120</v>
      </c>
      <c r="E66" s="46">
        <v>81</v>
      </c>
      <c r="F66" s="65">
        <v>116</v>
      </c>
      <c r="G66" s="46">
        <v>88</v>
      </c>
      <c r="H66" s="64">
        <v>59</v>
      </c>
      <c r="I66" s="46">
        <v>65</v>
      </c>
      <c r="J66" s="65">
        <v>65</v>
      </c>
      <c r="K66" s="46">
        <v>62</v>
      </c>
      <c r="L66" s="64">
        <v>92</v>
      </c>
      <c r="M66" s="46">
        <v>86</v>
      </c>
      <c r="N66" s="65">
        <v>79</v>
      </c>
      <c r="O66" s="46">
        <v>99</v>
      </c>
      <c r="P66" s="64">
        <v>102</v>
      </c>
      <c r="Q66" s="46">
        <v>102</v>
      </c>
      <c r="R66" s="65">
        <v>85</v>
      </c>
      <c r="S66" s="46">
        <v>121</v>
      </c>
      <c r="T66" s="64">
        <v>102</v>
      </c>
      <c r="U66" s="46">
        <v>101</v>
      </c>
      <c r="V66" s="65">
        <v>77</v>
      </c>
      <c r="W66" s="46">
        <v>103</v>
      </c>
      <c r="X66" s="64">
        <v>454</v>
      </c>
      <c r="Y66" s="46">
        <v>429</v>
      </c>
      <c r="Z66" s="65">
        <v>406</v>
      </c>
      <c r="AA66" s="46">
        <v>380</v>
      </c>
      <c r="AB66" s="64">
        <v>355</v>
      </c>
      <c r="AC66" s="46">
        <v>351</v>
      </c>
      <c r="AD66" s="65">
        <v>353</v>
      </c>
      <c r="AE66" s="66">
        <v>354</v>
      </c>
      <c r="AF66" s="64">
        <v>281</v>
      </c>
      <c r="AG66" s="46">
        <v>330</v>
      </c>
      <c r="AH66" s="65">
        <v>302</v>
      </c>
      <c r="AI66" s="66">
        <v>351</v>
      </c>
      <c r="AJ66" s="64">
        <v>269</v>
      </c>
      <c r="AK66" s="46">
        <v>257</v>
      </c>
      <c r="AL66" s="65">
        <v>290</v>
      </c>
      <c r="AM66" s="66">
        <v>334</v>
      </c>
      <c r="AN66" s="64">
        <v>459</v>
      </c>
      <c r="AO66" s="46">
        <v>424</v>
      </c>
      <c r="AP66" s="65">
        <v>425</v>
      </c>
      <c r="AQ66" s="66">
        <v>388</v>
      </c>
      <c r="AR66" s="64">
        <v>411</v>
      </c>
      <c r="AS66" s="46">
        <v>389</v>
      </c>
      <c r="AT66" s="65">
        <v>355</v>
      </c>
      <c r="AU66" s="66">
        <v>321</v>
      </c>
      <c r="AV66" s="64">
        <v>291</v>
      </c>
      <c r="AW66" s="46">
        <v>247</v>
      </c>
      <c r="AX66" s="65">
        <v>254</v>
      </c>
      <c r="AY66" s="66">
        <v>204</v>
      </c>
      <c r="AZ66" s="64">
        <v>60</v>
      </c>
      <c r="BA66" s="46">
        <v>48</v>
      </c>
      <c r="BB66" s="65">
        <v>57</v>
      </c>
      <c r="BC66" s="66">
        <v>47</v>
      </c>
      <c r="BD66" s="64"/>
      <c r="BE66" s="46"/>
      <c r="BF66" s="65"/>
      <c r="BG66" s="133"/>
      <c r="BH66" s="65"/>
      <c r="BI66" s="49" t="s">
        <v>80</v>
      </c>
      <c r="BJ66" s="101">
        <f t="shared" si="4"/>
        <v>1771</v>
      </c>
      <c r="BK66" s="101">
        <f t="shared" si="5"/>
        <v>1695</v>
      </c>
      <c r="BL66" s="101">
        <f t="shared" si="6"/>
        <v>1683</v>
      </c>
      <c r="BM66" s="101">
        <f t="shared" si="7"/>
        <v>1645</v>
      </c>
      <c r="BO66" t="s">
        <v>221</v>
      </c>
      <c r="BP66">
        <v>1771</v>
      </c>
      <c r="BQ66">
        <v>1695</v>
      </c>
      <c r="BR66">
        <v>1683</v>
      </c>
      <c r="BS66">
        <v>1645</v>
      </c>
      <c r="BT66">
        <f t="shared" si="8"/>
        <v>3466</v>
      </c>
      <c r="BU66">
        <f t="shared" si="9"/>
        <v>5088</v>
      </c>
      <c r="BV66">
        <f t="shared" si="11"/>
        <v>6794</v>
      </c>
      <c r="BW66" s="148">
        <f t="shared" si="10"/>
        <v>0.51015602001766269</v>
      </c>
    </row>
    <row r="67" spans="1:75" ht="15.75" x14ac:dyDescent="0.25">
      <c r="A67" s="78">
        <v>49</v>
      </c>
      <c r="B67" s="50" t="s">
        <v>81</v>
      </c>
      <c r="C67" s="67"/>
      <c r="D67" s="44">
        <v>25</v>
      </c>
      <c r="E67" s="45">
        <v>21</v>
      </c>
      <c r="F67" s="46">
        <v>54</v>
      </c>
      <c r="G67" s="45">
        <v>68</v>
      </c>
      <c r="H67" s="44">
        <v>19</v>
      </c>
      <c r="I67" s="45">
        <v>15</v>
      </c>
      <c r="J67" s="46">
        <v>50</v>
      </c>
      <c r="K67" s="45">
        <v>49</v>
      </c>
      <c r="L67" s="44">
        <v>18</v>
      </c>
      <c r="M67" s="45">
        <v>15</v>
      </c>
      <c r="N67" s="46">
        <v>50</v>
      </c>
      <c r="O67" s="45">
        <v>54</v>
      </c>
      <c r="P67" s="44">
        <v>24</v>
      </c>
      <c r="Q67" s="45">
        <v>15</v>
      </c>
      <c r="R67" s="46">
        <v>57</v>
      </c>
      <c r="S67" s="45">
        <v>61</v>
      </c>
      <c r="T67" s="44">
        <v>20</v>
      </c>
      <c r="U67" s="45">
        <v>21</v>
      </c>
      <c r="V67" s="46">
        <v>44</v>
      </c>
      <c r="W67" s="45">
        <v>56</v>
      </c>
      <c r="X67" s="44">
        <v>87</v>
      </c>
      <c r="Y67" s="45">
        <v>80</v>
      </c>
      <c r="Z67" s="46">
        <v>249</v>
      </c>
      <c r="AA67" s="45">
        <v>205</v>
      </c>
      <c r="AB67" s="44">
        <v>81</v>
      </c>
      <c r="AC67" s="45">
        <v>80</v>
      </c>
      <c r="AD67" s="46">
        <v>183</v>
      </c>
      <c r="AE67" s="47">
        <v>182</v>
      </c>
      <c r="AF67" s="44">
        <v>91</v>
      </c>
      <c r="AG67" s="45">
        <v>72</v>
      </c>
      <c r="AH67" s="46">
        <v>132</v>
      </c>
      <c r="AI67" s="47">
        <v>118</v>
      </c>
      <c r="AJ67" s="44">
        <v>76</v>
      </c>
      <c r="AK67" s="45">
        <v>78</v>
      </c>
      <c r="AL67" s="46">
        <v>115</v>
      </c>
      <c r="AM67" s="47">
        <v>118</v>
      </c>
      <c r="AN67" s="44">
        <v>115</v>
      </c>
      <c r="AO67" s="45">
        <v>124</v>
      </c>
      <c r="AP67" s="46">
        <v>203</v>
      </c>
      <c r="AQ67" s="47">
        <v>219</v>
      </c>
      <c r="AR67" s="44">
        <v>132</v>
      </c>
      <c r="AS67" s="45">
        <v>142</v>
      </c>
      <c r="AT67" s="46">
        <v>286</v>
      </c>
      <c r="AU67" s="47">
        <v>212</v>
      </c>
      <c r="AV67" s="44">
        <v>107</v>
      </c>
      <c r="AW67" s="45">
        <v>98</v>
      </c>
      <c r="AX67" s="46">
        <v>197</v>
      </c>
      <c r="AY67" s="47">
        <v>95</v>
      </c>
      <c r="AZ67" s="44">
        <v>25</v>
      </c>
      <c r="BA67" s="45">
        <v>20</v>
      </c>
      <c r="BB67" s="46">
        <v>34</v>
      </c>
      <c r="BC67" s="47">
        <v>31</v>
      </c>
      <c r="BD67" s="44"/>
      <c r="BE67" s="45"/>
      <c r="BF67" s="46"/>
      <c r="BG67" s="130"/>
      <c r="BH67" s="101"/>
      <c r="BI67" s="49" t="s">
        <v>81</v>
      </c>
      <c r="BJ67" s="101">
        <f t="shared" si="4"/>
        <v>546</v>
      </c>
      <c r="BK67" s="101">
        <f t="shared" si="5"/>
        <v>534</v>
      </c>
      <c r="BL67" s="101">
        <f t="shared" si="6"/>
        <v>967</v>
      </c>
      <c r="BM67" s="101">
        <f t="shared" si="7"/>
        <v>793</v>
      </c>
      <c r="BO67" t="s">
        <v>222</v>
      </c>
      <c r="BP67">
        <v>546</v>
      </c>
      <c r="BQ67">
        <v>534</v>
      </c>
      <c r="BR67">
        <v>967</v>
      </c>
      <c r="BS67">
        <v>793</v>
      </c>
      <c r="BT67">
        <f t="shared" si="8"/>
        <v>1080</v>
      </c>
      <c r="BU67">
        <f t="shared" si="9"/>
        <v>11065</v>
      </c>
      <c r="BV67">
        <f t="shared" si="11"/>
        <v>2840</v>
      </c>
      <c r="BW67" s="148">
        <f t="shared" si="10"/>
        <v>0.38028169014084506</v>
      </c>
    </row>
    <row r="68" spans="1:75" x14ac:dyDescent="0.25">
      <c r="A68" s="78">
        <v>50</v>
      </c>
      <c r="B68" s="50" t="s">
        <v>82</v>
      </c>
      <c r="C68" s="39"/>
      <c r="D68" s="64">
        <v>93</v>
      </c>
      <c r="E68" s="46">
        <v>82</v>
      </c>
      <c r="F68" s="65">
        <v>243</v>
      </c>
      <c r="G68" s="46">
        <v>279</v>
      </c>
      <c r="H68" s="64">
        <v>88</v>
      </c>
      <c r="I68" s="46">
        <v>63</v>
      </c>
      <c r="J68" s="65">
        <v>144</v>
      </c>
      <c r="K68" s="46">
        <v>185</v>
      </c>
      <c r="L68" s="64">
        <v>83</v>
      </c>
      <c r="M68" s="46">
        <v>68</v>
      </c>
      <c r="N68" s="65">
        <v>240</v>
      </c>
      <c r="O68" s="46">
        <v>245</v>
      </c>
      <c r="P68" s="64">
        <v>74</v>
      </c>
      <c r="Q68" s="46">
        <v>77</v>
      </c>
      <c r="R68" s="65">
        <v>219</v>
      </c>
      <c r="S68" s="46">
        <v>237</v>
      </c>
      <c r="T68" s="64">
        <v>95</v>
      </c>
      <c r="U68" s="46">
        <v>81</v>
      </c>
      <c r="V68" s="65">
        <v>234</v>
      </c>
      <c r="W68" s="46">
        <v>228</v>
      </c>
      <c r="X68" s="64">
        <v>363</v>
      </c>
      <c r="Y68" s="46">
        <v>314</v>
      </c>
      <c r="Z68" s="65">
        <v>1045</v>
      </c>
      <c r="AA68" s="46">
        <v>1095</v>
      </c>
      <c r="AB68" s="64">
        <v>285</v>
      </c>
      <c r="AC68" s="46">
        <v>280</v>
      </c>
      <c r="AD68" s="65">
        <v>938</v>
      </c>
      <c r="AE68" s="66">
        <v>890</v>
      </c>
      <c r="AF68" s="64">
        <v>254</v>
      </c>
      <c r="AG68" s="46">
        <v>227</v>
      </c>
      <c r="AH68" s="65">
        <v>802</v>
      </c>
      <c r="AI68" s="66">
        <v>834</v>
      </c>
      <c r="AJ68" s="64">
        <v>246</v>
      </c>
      <c r="AK68" s="46">
        <v>215</v>
      </c>
      <c r="AL68" s="65">
        <v>667</v>
      </c>
      <c r="AM68" s="66">
        <v>820</v>
      </c>
      <c r="AN68" s="64">
        <v>429</v>
      </c>
      <c r="AO68" s="46">
        <v>311</v>
      </c>
      <c r="AP68" s="65">
        <v>1050</v>
      </c>
      <c r="AQ68" s="66">
        <v>1083</v>
      </c>
      <c r="AR68" s="64">
        <v>386</v>
      </c>
      <c r="AS68" s="46">
        <v>263</v>
      </c>
      <c r="AT68" s="65">
        <v>1084</v>
      </c>
      <c r="AU68" s="66">
        <v>1081</v>
      </c>
      <c r="AV68" s="64">
        <v>220</v>
      </c>
      <c r="AW68" s="46">
        <v>167</v>
      </c>
      <c r="AX68" s="65">
        <v>775</v>
      </c>
      <c r="AY68" s="66">
        <v>685</v>
      </c>
      <c r="AZ68" s="64">
        <v>52</v>
      </c>
      <c r="BA68" s="46">
        <v>31</v>
      </c>
      <c r="BB68" s="65">
        <v>225</v>
      </c>
      <c r="BC68" s="66">
        <v>199</v>
      </c>
      <c r="BD68" s="70"/>
      <c r="BE68" s="71"/>
      <c r="BF68" s="72"/>
      <c r="BG68" s="134">
        <v>1</v>
      </c>
      <c r="BH68" s="72"/>
      <c r="BI68" s="49" t="s">
        <v>82</v>
      </c>
      <c r="BJ68" s="101">
        <f t="shared" si="4"/>
        <v>1587</v>
      </c>
      <c r="BK68" s="101">
        <f t="shared" si="5"/>
        <v>1214</v>
      </c>
      <c r="BL68" s="101">
        <f t="shared" si="6"/>
        <v>4603</v>
      </c>
      <c r="BM68" s="101">
        <f t="shared" si="7"/>
        <v>4702</v>
      </c>
      <c r="BO68" t="s">
        <v>223</v>
      </c>
      <c r="BP68">
        <v>1587</v>
      </c>
      <c r="BQ68">
        <v>1214</v>
      </c>
      <c r="BR68">
        <v>4603</v>
      </c>
      <c r="BS68">
        <v>4702</v>
      </c>
      <c r="BT68">
        <f t="shared" si="8"/>
        <v>2801</v>
      </c>
      <c r="BU68">
        <f t="shared" si="9"/>
        <v>19963</v>
      </c>
      <c r="BV68">
        <f t="shared" si="11"/>
        <v>12106</v>
      </c>
      <c r="BW68" s="148">
        <f t="shared" si="10"/>
        <v>0.23137287295555922</v>
      </c>
    </row>
    <row r="69" spans="1:75" s="74" customFormat="1" x14ac:dyDescent="0.25">
      <c r="A69" s="79">
        <v>51</v>
      </c>
      <c r="B69" s="50" t="s">
        <v>83</v>
      </c>
      <c r="C69" s="69" t="s">
        <v>84</v>
      </c>
      <c r="D69" s="70">
        <v>345</v>
      </c>
      <c r="E69" s="71">
        <v>331</v>
      </c>
      <c r="F69" s="72">
        <v>359</v>
      </c>
      <c r="G69" s="71">
        <v>341</v>
      </c>
      <c r="H69" s="70">
        <v>225</v>
      </c>
      <c r="I69" s="71">
        <v>251</v>
      </c>
      <c r="J69" s="72">
        <v>249</v>
      </c>
      <c r="K69" s="71">
        <v>245</v>
      </c>
      <c r="L69" s="70">
        <v>300</v>
      </c>
      <c r="M69" s="71">
        <v>285</v>
      </c>
      <c r="N69" s="72">
        <v>274</v>
      </c>
      <c r="O69" s="71">
        <v>284</v>
      </c>
      <c r="P69" s="70">
        <v>346</v>
      </c>
      <c r="Q69" s="71">
        <v>292</v>
      </c>
      <c r="R69" s="72">
        <v>335</v>
      </c>
      <c r="S69" s="71">
        <v>285</v>
      </c>
      <c r="T69" s="70">
        <v>288</v>
      </c>
      <c r="U69" s="71">
        <v>307</v>
      </c>
      <c r="V69" s="72">
        <v>317</v>
      </c>
      <c r="W69" s="71">
        <v>306</v>
      </c>
      <c r="X69" s="70">
        <v>1422</v>
      </c>
      <c r="Y69" s="71">
        <v>1281</v>
      </c>
      <c r="Z69" s="72">
        <v>1335</v>
      </c>
      <c r="AA69" s="71">
        <v>1297</v>
      </c>
      <c r="AB69" s="70">
        <v>1165</v>
      </c>
      <c r="AC69" s="71">
        <v>1039</v>
      </c>
      <c r="AD69" s="72">
        <v>1079</v>
      </c>
      <c r="AE69" s="73">
        <v>1006</v>
      </c>
      <c r="AF69" s="70">
        <v>919</v>
      </c>
      <c r="AG69" s="71">
        <v>1046</v>
      </c>
      <c r="AH69" s="72">
        <v>857</v>
      </c>
      <c r="AI69" s="73">
        <v>1070</v>
      </c>
      <c r="AJ69" s="70">
        <v>862</v>
      </c>
      <c r="AK69" s="71">
        <v>904</v>
      </c>
      <c r="AL69" s="72">
        <v>839</v>
      </c>
      <c r="AM69" s="73">
        <v>1056</v>
      </c>
      <c r="AN69" s="70">
        <v>1430</v>
      </c>
      <c r="AO69" s="71">
        <v>1289</v>
      </c>
      <c r="AP69" s="72">
        <v>1365</v>
      </c>
      <c r="AQ69" s="73">
        <v>1344</v>
      </c>
      <c r="AR69" s="70">
        <v>1306</v>
      </c>
      <c r="AS69" s="71">
        <v>1167</v>
      </c>
      <c r="AT69" s="72">
        <v>1267</v>
      </c>
      <c r="AU69" s="73">
        <v>1131</v>
      </c>
      <c r="AV69" s="70">
        <v>757</v>
      </c>
      <c r="AW69" s="71">
        <v>689</v>
      </c>
      <c r="AX69" s="72">
        <v>813</v>
      </c>
      <c r="AY69" s="73">
        <v>628</v>
      </c>
      <c r="AZ69" s="70">
        <v>123</v>
      </c>
      <c r="BA69" s="71">
        <v>127</v>
      </c>
      <c r="BB69" s="72">
        <v>167</v>
      </c>
      <c r="BC69" s="73">
        <v>121</v>
      </c>
      <c r="BD69" s="70"/>
      <c r="BE69" s="71"/>
      <c r="BF69" s="72"/>
      <c r="BG69" s="134"/>
      <c r="BH69" s="72"/>
      <c r="BI69" s="49" t="s">
        <v>83</v>
      </c>
      <c r="BJ69" s="101">
        <f t="shared" si="4"/>
        <v>5397</v>
      </c>
      <c r="BK69" s="101">
        <f t="shared" si="5"/>
        <v>5222</v>
      </c>
      <c r="BL69" s="101">
        <f t="shared" si="6"/>
        <v>5308</v>
      </c>
      <c r="BM69" s="101">
        <f t="shared" si="7"/>
        <v>5350</v>
      </c>
      <c r="BO69" t="s">
        <v>224</v>
      </c>
      <c r="BP69" s="74">
        <v>5397</v>
      </c>
      <c r="BQ69" s="74">
        <v>5222</v>
      </c>
      <c r="BR69" s="74">
        <v>5308</v>
      </c>
      <c r="BS69" s="74">
        <v>5350</v>
      </c>
      <c r="BT69">
        <f t="shared" si="8"/>
        <v>10619</v>
      </c>
      <c r="BU69">
        <f t="shared" si="9"/>
        <v>21283</v>
      </c>
      <c r="BV69">
        <f t="shared" si="11"/>
        <v>21277</v>
      </c>
      <c r="BW69" s="148">
        <f t="shared" si="10"/>
        <v>0.49908351741316914</v>
      </c>
    </row>
    <row r="70" spans="1:75" x14ac:dyDescent="0.25">
      <c r="A70" s="79">
        <v>52</v>
      </c>
      <c r="B70" s="50" t="s">
        <v>85</v>
      </c>
      <c r="C70" s="24"/>
      <c r="D70" s="64">
        <v>125</v>
      </c>
      <c r="E70" s="46">
        <v>127</v>
      </c>
      <c r="F70" s="65">
        <v>328</v>
      </c>
      <c r="G70" s="46">
        <v>383</v>
      </c>
      <c r="H70" s="64">
        <v>106</v>
      </c>
      <c r="I70" s="46">
        <v>96</v>
      </c>
      <c r="J70" s="65">
        <v>205</v>
      </c>
      <c r="K70" s="46">
        <v>256</v>
      </c>
      <c r="L70" s="64">
        <v>152</v>
      </c>
      <c r="M70" s="46">
        <v>113</v>
      </c>
      <c r="N70" s="65">
        <v>281</v>
      </c>
      <c r="O70" s="46">
        <v>304</v>
      </c>
      <c r="P70" s="64">
        <v>147</v>
      </c>
      <c r="Q70" s="46">
        <v>112</v>
      </c>
      <c r="R70" s="65">
        <v>339</v>
      </c>
      <c r="S70" s="46">
        <v>342</v>
      </c>
      <c r="T70" s="64">
        <v>138</v>
      </c>
      <c r="U70" s="46">
        <v>121</v>
      </c>
      <c r="V70" s="65">
        <v>341</v>
      </c>
      <c r="W70" s="46">
        <v>292</v>
      </c>
      <c r="X70" s="64">
        <v>623</v>
      </c>
      <c r="Y70" s="46">
        <v>597</v>
      </c>
      <c r="Z70" s="65">
        <v>1396</v>
      </c>
      <c r="AA70" s="46">
        <v>1401</v>
      </c>
      <c r="AB70" s="64">
        <v>666</v>
      </c>
      <c r="AC70" s="46">
        <v>611</v>
      </c>
      <c r="AD70" s="65">
        <v>1247</v>
      </c>
      <c r="AE70" s="66">
        <v>1160</v>
      </c>
      <c r="AF70" s="64">
        <v>872</v>
      </c>
      <c r="AG70" s="46">
        <v>870</v>
      </c>
      <c r="AH70" s="65">
        <v>977</v>
      </c>
      <c r="AI70" s="66">
        <v>939</v>
      </c>
      <c r="AJ70" s="64">
        <v>479</v>
      </c>
      <c r="AK70" s="46">
        <v>532</v>
      </c>
      <c r="AL70" s="65">
        <v>706</v>
      </c>
      <c r="AM70" s="66">
        <v>845</v>
      </c>
      <c r="AN70" s="64">
        <v>744</v>
      </c>
      <c r="AO70" s="46">
        <v>833</v>
      </c>
      <c r="AP70" s="65">
        <v>1336</v>
      </c>
      <c r="AQ70" s="66">
        <v>1324</v>
      </c>
      <c r="AR70" s="64">
        <v>846</v>
      </c>
      <c r="AS70" s="46">
        <v>969</v>
      </c>
      <c r="AT70" s="65">
        <v>1351</v>
      </c>
      <c r="AU70" s="66">
        <v>1223</v>
      </c>
      <c r="AV70" s="64">
        <v>645</v>
      </c>
      <c r="AW70" s="46">
        <v>709</v>
      </c>
      <c r="AX70" s="65">
        <v>834</v>
      </c>
      <c r="AY70" s="66">
        <v>770</v>
      </c>
      <c r="AZ70" s="64">
        <v>138</v>
      </c>
      <c r="BA70" s="46">
        <v>139</v>
      </c>
      <c r="BB70" s="65">
        <v>141</v>
      </c>
      <c r="BC70" s="66">
        <v>179</v>
      </c>
      <c r="BD70" s="64">
        <v>1</v>
      </c>
      <c r="BE70" s="46"/>
      <c r="BF70" s="65">
        <v>1</v>
      </c>
      <c r="BG70" s="133">
        <v>1</v>
      </c>
      <c r="BH70" s="65"/>
      <c r="BI70" s="49" t="s">
        <v>85</v>
      </c>
      <c r="BJ70" s="101">
        <f t="shared" si="4"/>
        <v>3724</v>
      </c>
      <c r="BK70" s="101">
        <f t="shared" si="5"/>
        <v>4052</v>
      </c>
      <c r="BL70" s="101">
        <f t="shared" si="6"/>
        <v>5345</v>
      </c>
      <c r="BM70" s="101">
        <f t="shared" si="7"/>
        <v>5280</v>
      </c>
      <c r="BO70" t="s">
        <v>225</v>
      </c>
      <c r="BP70">
        <v>3724</v>
      </c>
      <c r="BQ70">
        <v>4052</v>
      </c>
      <c r="BR70">
        <v>5345</v>
      </c>
      <c r="BS70">
        <v>5280</v>
      </c>
      <c r="BT70">
        <f t="shared" si="8"/>
        <v>7776</v>
      </c>
      <c r="BU70">
        <f t="shared" si="9"/>
        <v>20552</v>
      </c>
      <c r="BV70">
        <f t="shared" si="11"/>
        <v>18401</v>
      </c>
      <c r="BW70" s="148">
        <f t="shared" si="10"/>
        <v>0.42258572903646541</v>
      </c>
    </row>
    <row r="71" spans="1:75" x14ac:dyDescent="0.25">
      <c r="A71" s="79">
        <v>53</v>
      </c>
      <c r="B71" s="50" t="s">
        <v>86</v>
      </c>
      <c r="C71" s="24"/>
      <c r="D71" s="64">
        <v>28</v>
      </c>
      <c r="E71" s="46">
        <v>24</v>
      </c>
      <c r="F71" s="65">
        <v>384</v>
      </c>
      <c r="G71" s="46">
        <v>439</v>
      </c>
      <c r="H71" s="64">
        <v>20</v>
      </c>
      <c r="I71" s="46">
        <v>15</v>
      </c>
      <c r="J71" s="65">
        <v>203</v>
      </c>
      <c r="K71" s="46">
        <v>222</v>
      </c>
      <c r="L71" s="64">
        <v>24</v>
      </c>
      <c r="M71" s="46">
        <v>28</v>
      </c>
      <c r="N71" s="65">
        <v>341</v>
      </c>
      <c r="O71" s="46">
        <v>435</v>
      </c>
      <c r="P71" s="64">
        <v>17</v>
      </c>
      <c r="Q71" s="46">
        <v>21</v>
      </c>
      <c r="R71" s="65">
        <v>355</v>
      </c>
      <c r="S71" s="46">
        <v>393</v>
      </c>
      <c r="T71" s="64">
        <v>24</v>
      </c>
      <c r="U71" s="46">
        <v>17</v>
      </c>
      <c r="V71" s="65">
        <v>404</v>
      </c>
      <c r="W71" s="46">
        <v>418</v>
      </c>
      <c r="X71" s="64">
        <v>99</v>
      </c>
      <c r="Y71" s="46">
        <v>103</v>
      </c>
      <c r="Z71" s="65">
        <v>1568</v>
      </c>
      <c r="AA71" s="46">
        <v>1517</v>
      </c>
      <c r="AB71" s="64">
        <v>95</v>
      </c>
      <c r="AC71" s="46">
        <v>84</v>
      </c>
      <c r="AD71" s="65">
        <v>1380</v>
      </c>
      <c r="AE71" s="66">
        <v>1377</v>
      </c>
      <c r="AF71" s="64">
        <v>83</v>
      </c>
      <c r="AG71" s="46">
        <v>84</v>
      </c>
      <c r="AH71" s="65">
        <v>906</v>
      </c>
      <c r="AI71" s="66">
        <v>1199</v>
      </c>
      <c r="AJ71" s="64">
        <v>81</v>
      </c>
      <c r="AK71" s="46">
        <v>64</v>
      </c>
      <c r="AL71" s="65">
        <v>557</v>
      </c>
      <c r="AM71" s="66">
        <v>945</v>
      </c>
      <c r="AN71" s="64">
        <v>129</v>
      </c>
      <c r="AO71" s="46">
        <v>105</v>
      </c>
      <c r="AP71" s="65">
        <v>811</v>
      </c>
      <c r="AQ71" s="66">
        <v>1461</v>
      </c>
      <c r="AR71" s="64">
        <v>123</v>
      </c>
      <c r="AS71" s="46">
        <v>112</v>
      </c>
      <c r="AT71" s="65">
        <v>925</v>
      </c>
      <c r="AU71" s="66">
        <v>1160</v>
      </c>
      <c r="AV71" s="64">
        <v>92</v>
      </c>
      <c r="AW71" s="46">
        <v>72</v>
      </c>
      <c r="AX71" s="65">
        <v>652</v>
      </c>
      <c r="AY71" s="66">
        <v>752</v>
      </c>
      <c r="AZ71" s="64">
        <v>22</v>
      </c>
      <c r="BA71" s="46">
        <v>17</v>
      </c>
      <c r="BB71" s="65">
        <v>250</v>
      </c>
      <c r="BC71" s="66">
        <v>309</v>
      </c>
      <c r="BD71" s="64"/>
      <c r="BE71" s="46"/>
      <c r="BF71" s="65"/>
      <c r="BG71" s="133"/>
      <c r="BH71" s="65"/>
      <c r="BI71" s="49" t="s">
        <v>86</v>
      </c>
      <c r="BJ71" s="101">
        <f t="shared" si="4"/>
        <v>530</v>
      </c>
      <c r="BK71" s="101">
        <f t="shared" si="5"/>
        <v>454</v>
      </c>
      <c r="BL71" s="101">
        <f t="shared" si="6"/>
        <v>4101</v>
      </c>
      <c r="BM71" s="101">
        <f t="shared" si="7"/>
        <v>5826</v>
      </c>
      <c r="BO71" t="s">
        <v>226</v>
      </c>
      <c r="BP71">
        <v>530</v>
      </c>
      <c r="BQ71">
        <v>454</v>
      </c>
      <c r="BR71">
        <v>4101</v>
      </c>
      <c r="BS71">
        <v>5826</v>
      </c>
      <c r="BT71">
        <f t="shared" si="8"/>
        <v>984</v>
      </c>
      <c r="BU71">
        <f t="shared" si="9"/>
        <v>11591</v>
      </c>
      <c r="BV71">
        <f t="shared" si="11"/>
        <v>10911</v>
      </c>
      <c r="BW71" s="148">
        <f t="shared" si="10"/>
        <v>9.0184217761891672E-2</v>
      </c>
    </row>
    <row r="72" spans="1:75" x14ac:dyDescent="0.25">
      <c r="A72" s="79">
        <v>54</v>
      </c>
      <c r="B72" s="50" t="s">
        <v>87</v>
      </c>
      <c r="C72" s="24"/>
      <c r="D72" s="64">
        <v>45</v>
      </c>
      <c r="E72" s="46">
        <v>41</v>
      </c>
      <c r="F72" s="65">
        <v>48</v>
      </c>
      <c r="G72" s="46">
        <v>59</v>
      </c>
      <c r="H72" s="64">
        <v>27</v>
      </c>
      <c r="I72" s="46">
        <v>30</v>
      </c>
      <c r="J72" s="65">
        <v>31</v>
      </c>
      <c r="K72" s="46">
        <v>33</v>
      </c>
      <c r="L72" s="64">
        <v>35</v>
      </c>
      <c r="M72" s="46">
        <v>36</v>
      </c>
      <c r="N72" s="65">
        <v>38</v>
      </c>
      <c r="O72" s="46">
        <v>60</v>
      </c>
      <c r="P72" s="64">
        <v>33</v>
      </c>
      <c r="Q72" s="46">
        <v>41</v>
      </c>
      <c r="R72" s="65">
        <v>49</v>
      </c>
      <c r="S72" s="46">
        <v>54</v>
      </c>
      <c r="T72" s="64">
        <v>40</v>
      </c>
      <c r="U72" s="46">
        <v>32</v>
      </c>
      <c r="V72" s="65">
        <v>40</v>
      </c>
      <c r="W72" s="46">
        <v>49</v>
      </c>
      <c r="X72" s="64">
        <v>162</v>
      </c>
      <c r="Y72" s="46">
        <v>175</v>
      </c>
      <c r="Z72" s="65">
        <v>179</v>
      </c>
      <c r="AA72" s="46">
        <v>170</v>
      </c>
      <c r="AB72" s="64">
        <v>154</v>
      </c>
      <c r="AC72" s="46">
        <v>161</v>
      </c>
      <c r="AD72" s="65">
        <v>169</v>
      </c>
      <c r="AE72" s="66">
        <v>142</v>
      </c>
      <c r="AF72" s="64">
        <v>134</v>
      </c>
      <c r="AG72" s="46">
        <v>154</v>
      </c>
      <c r="AH72" s="65">
        <v>129</v>
      </c>
      <c r="AI72" s="66">
        <v>102</v>
      </c>
      <c r="AJ72" s="64">
        <v>114</v>
      </c>
      <c r="AK72" s="46">
        <v>149</v>
      </c>
      <c r="AL72" s="65">
        <v>104</v>
      </c>
      <c r="AM72" s="66">
        <v>104</v>
      </c>
      <c r="AN72" s="64">
        <v>200</v>
      </c>
      <c r="AO72" s="46">
        <v>189</v>
      </c>
      <c r="AP72" s="65">
        <v>180</v>
      </c>
      <c r="AQ72" s="66">
        <v>220</v>
      </c>
      <c r="AR72" s="64">
        <v>217</v>
      </c>
      <c r="AS72" s="46">
        <v>206</v>
      </c>
      <c r="AT72" s="65">
        <v>283</v>
      </c>
      <c r="AU72" s="66">
        <v>206</v>
      </c>
      <c r="AV72" s="64">
        <v>148</v>
      </c>
      <c r="AW72" s="46">
        <v>122</v>
      </c>
      <c r="AX72" s="65">
        <v>178</v>
      </c>
      <c r="AY72" s="66">
        <v>101</v>
      </c>
      <c r="AZ72" s="64">
        <v>33</v>
      </c>
      <c r="BA72" s="46">
        <v>21</v>
      </c>
      <c r="BB72" s="65">
        <v>37</v>
      </c>
      <c r="BC72" s="66">
        <v>20</v>
      </c>
      <c r="BD72" s="64"/>
      <c r="BE72" s="46"/>
      <c r="BF72" s="65"/>
      <c r="BG72" s="133"/>
      <c r="BH72" s="65"/>
      <c r="BI72" s="49" t="s">
        <v>87</v>
      </c>
      <c r="BJ72" s="101">
        <f t="shared" si="4"/>
        <v>846</v>
      </c>
      <c r="BK72" s="101">
        <f t="shared" si="5"/>
        <v>841</v>
      </c>
      <c r="BL72" s="101">
        <f t="shared" si="6"/>
        <v>911</v>
      </c>
      <c r="BM72" s="101">
        <f t="shared" si="7"/>
        <v>753</v>
      </c>
      <c r="BO72" t="s">
        <v>227</v>
      </c>
      <c r="BP72">
        <v>846</v>
      </c>
      <c r="BQ72">
        <v>841</v>
      </c>
      <c r="BR72">
        <v>911</v>
      </c>
      <c r="BS72">
        <v>753</v>
      </c>
      <c r="BT72">
        <f t="shared" si="8"/>
        <v>1687</v>
      </c>
      <c r="BU72">
        <f t="shared" si="9"/>
        <v>5555</v>
      </c>
      <c r="BV72">
        <f t="shared" si="11"/>
        <v>3351</v>
      </c>
      <c r="BW72" s="148">
        <f t="shared" si="10"/>
        <v>0.50343181139958226</v>
      </c>
    </row>
    <row r="73" spans="1:75" x14ac:dyDescent="0.25">
      <c r="A73" s="79">
        <v>55</v>
      </c>
      <c r="B73" s="50" t="s">
        <v>88</v>
      </c>
      <c r="C73" s="24"/>
      <c r="D73" s="44">
        <v>139</v>
      </c>
      <c r="E73" s="71">
        <v>128</v>
      </c>
      <c r="F73" s="45">
        <v>101</v>
      </c>
      <c r="G73" s="71">
        <v>89</v>
      </c>
      <c r="H73" s="44">
        <v>150</v>
      </c>
      <c r="I73" s="71">
        <v>148</v>
      </c>
      <c r="J73" s="45">
        <v>127</v>
      </c>
      <c r="K73" s="71">
        <v>141</v>
      </c>
      <c r="L73" s="44">
        <v>181</v>
      </c>
      <c r="M73" s="71">
        <v>162</v>
      </c>
      <c r="N73" s="45">
        <v>118</v>
      </c>
      <c r="O73" s="71">
        <v>117</v>
      </c>
      <c r="P73" s="44">
        <v>164</v>
      </c>
      <c r="Q73" s="71">
        <v>175</v>
      </c>
      <c r="R73" s="45">
        <v>118</v>
      </c>
      <c r="S73" s="71">
        <v>102</v>
      </c>
      <c r="T73" s="44">
        <v>195</v>
      </c>
      <c r="U73" s="71">
        <v>172</v>
      </c>
      <c r="V73" s="45">
        <v>104</v>
      </c>
      <c r="W73" s="71">
        <v>104</v>
      </c>
      <c r="X73" s="44">
        <v>781</v>
      </c>
      <c r="Y73" s="71">
        <v>773</v>
      </c>
      <c r="Z73" s="45">
        <v>509</v>
      </c>
      <c r="AA73" s="71">
        <v>500</v>
      </c>
      <c r="AB73" s="44">
        <v>735</v>
      </c>
      <c r="AC73" s="71">
        <v>752</v>
      </c>
      <c r="AD73" s="45">
        <v>489</v>
      </c>
      <c r="AE73" s="73">
        <v>417</v>
      </c>
      <c r="AF73" s="44">
        <v>568</v>
      </c>
      <c r="AG73" s="71">
        <v>586</v>
      </c>
      <c r="AH73" s="45">
        <v>331</v>
      </c>
      <c r="AI73" s="73">
        <v>333</v>
      </c>
      <c r="AJ73" s="44">
        <v>489</v>
      </c>
      <c r="AK73" s="71">
        <v>442</v>
      </c>
      <c r="AL73" s="45">
        <v>289</v>
      </c>
      <c r="AM73" s="73">
        <v>299</v>
      </c>
      <c r="AN73" s="44">
        <v>742</v>
      </c>
      <c r="AO73" s="71">
        <v>691</v>
      </c>
      <c r="AP73" s="45">
        <v>501</v>
      </c>
      <c r="AQ73" s="73">
        <v>500</v>
      </c>
      <c r="AR73" s="44">
        <v>724</v>
      </c>
      <c r="AS73" s="71">
        <v>688</v>
      </c>
      <c r="AT73" s="45">
        <v>483</v>
      </c>
      <c r="AU73" s="73">
        <v>394</v>
      </c>
      <c r="AV73" s="44">
        <v>485</v>
      </c>
      <c r="AW73" s="71">
        <v>423</v>
      </c>
      <c r="AX73" s="45">
        <v>344</v>
      </c>
      <c r="AY73" s="73">
        <v>274</v>
      </c>
      <c r="AZ73" s="44">
        <v>87</v>
      </c>
      <c r="BA73" s="71">
        <v>88</v>
      </c>
      <c r="BB73" s="45">
        <v>85</v>
      </c>
      <c r="BC73" s="73">
        <v>58</v>
      </c>
      <c r="BD73" s="44"/>
      <c r="BE73" s="71"/>
      <c r="BF73" s="45"/>
      <c r="BG73" s="134"/>
      <c r="BH73" s="72"/>
      <c r="BI73" s="49" t="s">
        <v>88</v>
      </c>
      <c r="BJ73" s="101">
        <f t="shared" si="4"/>
        <v>3095</v>
      </c>
      <c r="BK73" s="101">
        <f t="shared" si="5"/>
        <v>2918</v>
      </c>
      <c r="BL73" s="101">
        <f t="shared" si="6"/>
        <v>2033</v>
      </c>
      <c r="BM73" s="101">
        <f t="shared" si="7"/>
        <v>1858</v>
      </c>
      <c r="BO73" t="s">
        <v>228</v>
      </c>
      <c r="BP73">
        <v>3095</v>
      </c>
      <c r="BQ73">
        <v>2918</v>
      </c>
      <c r="BR73">
        <v>2033</v>
      </c>
      <c r="BS73">
        <v>1858</v>
      </c>
      <c r="BT73">
        <f t="shared" si="8"/>
        <v>6013</v>
      </c>
      <c r="BU73">
        <f t="shared" si="9"/>
        <v>19689</v>
      </c>
      <c r="BV73">
        <f t="shared" si="11"/>
        <v>9904</v>
      </c>
      <c r="BW73" s="148">
        <f t="shared" si="10"/>
        <v>0.6071284329563813</v>
      </c>
    </row>
    <row r="74" spans="1:75" ht="15.75" x14ac:dyDescent="0.25">
      <c r="A74" s="79">
        <v>56</v>
      </c>
      <c r="B74" s="50" t="s">
        <v>89</v>
      </c>
      <c r="C74" s="67"/>
      <c r="D74" s="44">
        <v>270</v>
      </c>
      <c r="E74" s="45">
        <v>247</v>
      </c>
      <c r="F74" s="46">
        <v>434</v>
      </c>
      <c r="G74" s="45">
        <v>443</v>
      </c>
      <c r="H74" s="44">
        <v>250</v>
      </c>
      <c r="I74" s="45">
        <v>224</v>
      </c>
      <c r="J74" s="46">
        <v>256</v>
      </c>
      <c r="K74" s="45">
        <v>286</v>
      </c>
      <c r="L74" s="44">
        <v>248</v>
      </c>
      <c r="M74" s="45">
        <v>277</v>
      </c>
      <c r="N74" s="46">
        <v>330</v>
      </c>
      <c r="O74" s="45">
        <v>312</v>
      </c>
      <c r="P74" s="44">
        <v>294</v>
      </c>
      <c r="Q74" s="45">
        <v>270</v>
      </c>
      <c r="R74" s="46">
        <v>267</v>
      </c>
      <c r="S74" s="45">
        <v>271</v>
      </c>
      <c r="T74" s="44">
        <v>258</v>
      </c>
      <c r="U74" s="45">
        <v>245</v>
      </c>
      <c r="V74" s="46">
        <v>299</v>
      </c>
      <c r="W74" s="45">
        <v>284</v>
      </c>
      <c r="X74" s="44">
        <v>1176</v>
      </c>
      <c r="Y74" s="45">
        <v>1182</v>
      </c>
      <c r="Z74" s="46">
        <v>1181</v>
      </c>
      <c r="AA74" s="45">
        <v>1241</v>
      </c>
      <c r="AB74" s="44">
        <v>975</v>
      </c>
      <c r="AC74" s="45">
        <v>1040</v>
      </c>
      <c r="AD74" s="46">
        <v>977</v>
      </c>
      <c r="AE74" s="47">
        <v>967</v>
      </c>
      <c r="AF74" s="44">
        <v>995</v>
      </c>
      <c r="AG74" s="45">
        <v>976</v>
      </c>
      <c r="AH74" s="46">
        <v>1003</v>
      </c>
      <c r="AI74" s="47">
        <v>1085</v>
      </c>
      <c r="AJ74" s="44">
        <v>844</v>
      </c>
      <c r="AK74" s="45">
        <v>942</v>
      </c>
      <c r="AL74" s="46">
        <v>1110</v>
      </c>
      <c r="AM74" s="47">
        <v>1384</v>
      </c>
      <c r="AN74" s="44">
        <v>1801</v>
      </c>
      <c r="AO74" s="45">
        <v>1738</v>
      </c>
      <c r="AP74" s="46">
        <v>2795</v>
      </c>
      <c r="AQ74" s="47">
        <v>2096</v>
      </c>
      <c r="AR74" s="44">
        <v>2091</v>
      </c>
      <c r="AS74" s="45">
        <v>1841</v>
      </c>
      <c r="AT74" s="46">
        <v>2543</v>
      </c>
      <c r="AU74" s="47">
        <v>1708</v>
      </c>
      <c r="AV74" s="44">
        <v>1119</v>
      </c>
      <c r="AW74" s="45">
        <v>1054</v>
      </c>
      <c r="AX74" s="46">
        <v>929</v>
      </c>
      <c r="AY74" s="47">
        <v>793</v>
      </c>
      <c r="AZ74" s="44">
        <v>179</v>
      </c>
      <c r="BA74" s="45">
        <v>218</v>
      </c>
      <c r="BB74" s="46">
        <v>171</v>
      </c>
      <c r="BC74" s="47">
        <v>181</v>
      </c>
      <c r="BD74" s="44"/>
      <c r="BE74" s="45">
        <v>1</v>
      </c>
      <c r="BF74" s="46"/>
      <c r="BG74" s="130"/>
      <c r="BH74" s="101"/>
      <c r="BI74" s="49" t="s">
        <v>89</v>
      </c>
      <c r="BJ74" s="101">
        <f t="shared" si="4"/>
        <v>7029</v>
      </c>
      <c r="BK74" s="101">
        <f t="shared" si="5"/>
        <v>6769</v>
      </c>
      <c r="BL74" s="101">
        <f t="shared" si="6"/>
        <v>8551</v>
      </c>
      <c r="BM74" s="101">
        <f t="shared" si="7"/>
        <v>7247</v>
      </c>
      <c r="BO74" t="s">
        <v>229</v>
      </c>
      <c r="BP74">
        <v>7029</v>
      </c>
      <c r="BQ74">
        <v>6769</v>
      </c>
      <c r="BR74">
        <v>8551</v>
      </c>
      <c r="BS74">
        <v>7247</v>
      </c>
      <c r="BT74">
        <f t="shared" si="8"/>
        <v>13798</v>
      </c>
      <c r="BU74">
        <f t="shared" si="9"/>
        <v>17196</v>
      </c>
      <c r="BV74">
        <f t="shared" si="11"/>
        <v>29596</v>
      </c>
      <c r="BW74" s="148">
        <f t="shared" si="10"/>
        <v>0.46621165022300309</v>
      </c>
    </row>
    <row r="75" spans="1:75" x14ac:dyDescent="0.25">
      <c r="A75" s="79">
        <v>57</v>
      </c>
      <c r="B75" s="50" t="s">
        <v>90</v>
      </c>
      <c r="C75" s="39"/>
      <c r="D75" s="64">
        <v>7</v>
      </c>
      <c r="E75" s="46">
        <v>9</v>
      </c>
      <c r="F75" s="65">
        <v>30</v>
      </c>
      <c r="G75" s="46">
        <v>55</v>
      </c>
      <c r="H75" s="64">
        <v>11</v>
      </c>
      <c r="I75" s="46">
        <v>10</v>
      </c>
      <c r="J75" s="65">
        <v>32</v>
      </c>
      <c r="K75" s="46">
        <v>25</v>
      </c>
      <c r="L75" s="64">
        <v>6</v>
      </c>
      <c r="M75" s="46">
        <v>8</v>
      </c>
      <c r="N75" s="65">
        <v>27</v>
      </c>
      <c r="O75" s="46">
        <v>29</v>
      </c>
      <c r="P75" s="64">
        <v>8</v>
      </c>
      <c r="Q75" s="46">
        <v>7</v>
      </c>
      <c r="R75" s="65">
        <v>34</v>
      </c>
      <c r="S75" s="46">
        <v>36</v>
      </c>
      <c r="T75" s="64">
        <v>7</v>
      </c>
      <c r="U75" s="46">
        <v>10</v>
      </c>
      <c r="V75" s="65">
        <v>21</v>
      </c>
      <c r="W75" s="46">
        <v>33</v>
      </c>
      <c r="X75" s="64">
        <v>38</v>
      </c>
      <c r="Y75" s="46">
        <v>38</v>
      </c>
      <c r="Z75" s="65">
        <v>111</v>
      </c>
      <c r="AA75" s="46">
        <v>121</v>
      </c>
      <c r="AB75" s="64">
        <v>26</v>
      </c>
      <c r="AC75" s="46">
        <v>29</v>
      </c>
      <c r="AD75" s="65">
        <v>133</v>
      </c>
      <c r="AE75" s="66">
        <v>107</v>
      </c>
      <c r="AF75" s="64">
        <v>41</v>
      </c>
      <c r="AG75" s="46">
        <v>18</v>
      </c>
      <c r="AH75" s="65">
        <v>98</v>
      </c>
      <c r="AI75" s="66">
        <v>98</v>
      </c>
      <c r="AJ75" s="64">
        <v>33</v>
      </c>
      <c r="AK75" s="46">
        <v>15</v>
      </c>
      <c r="AL75" s="65">
        <v>89</v>
      </c>
      <c r="AM75" s="66">
        <v>109</v>
      </c>
      <c r="AN75" s="64">
        <v>76</v>
      </c>
      <c r="AO75" s="46">
        <v>40</v>
      </c>
      <c r="AP75" s="65">
        <v>165</v>
      </c>
      <c r="AQ75" s="66">
        <v>191</v>
      </c>
      <c r="AR75" s="64">
        <v>108</v>
      </c>
      <c r="AS75" s="46">
        <v>34</v>
      </c>
      <c r="AT75" s="65">
        <v>171</v>
      </c>
      <c r="AU75" s="66">
        <v>164</v>
      </c>
      <c r="AV75" s="64">
        <v>39</v>
      </c>
      <c r="AW75" s="46">
        <v>21</v>
      </c>
      <c r="AX75" s="65">
        <v>133</v>
      </c>
      <c r="AY75" s="66">
        <v>126</v>
      </c>
      <c r="AZ75" s="64">
        <v>2</v>
      </c>
      <c r="BA75" s="46">
        <v>1</v>
      </c>
      <c r="BB75" s="65">
        <v>30</v>
      </c>
      <c r="BC75" s="66">
        <v>24</v>
      </c>
      <c r="BD75" s="64"/>
      <c r="BE75" s="46"/>
      <c r="BF75" s="65"/>
      <c r="BG75" s="133"/>
      <c r="BH75" s="65"/>
      <c r="BI75" s="49" t="s">
        <v>90</v>
      </c>
      <c r="BJ75" s="101">
        <f t="shared" si="4"/>
        <v>299</v>
      </c>
      <c r="BK75" s="101">
        <f t="shared" si="5"/>
        <v>129</v>
      </c>
      <c r="BL75" s="101">
        <f t="shared" si="6"/>
        <v>686</v>
      </c>
      <c r="BM75" s="101">
        <f t="shared" si="7"/>
        <v>712</v>
      </c>
      <c r="BO75" t="s">
        <v>230</v>
      </c>
      <c r="BP75">
        <v>299</v>
      </c>
      <c r="BQ75">
        <v>129</v>
      </c>
      <c r="BR75">
        <v>686</v>
      </c>
      <c r="BS75">
        <v>712</v>
      </c>
      <c r="BT75">
        <f t="shared" si="8"/>
        <v>428</v>
      </c>
      <c r="BU75">
        <f t="shared" si="9"/>
        <v>3794</v>
      </c>
      <c r="BV75">
        <f t="shared" si="11"/>
        <v>1826</v>
      </c>
      <c r="BW75" s="148">
        <f t="shared" si="10"/>
        <v>0.23439211391018619</v>
      </c>
    </row>
    <row r="76" spans="1:75" x14ac:dyDescent="0.25">
      <c r="A76" s="79">
        <v>58</v>
      </c>
      <c r="B76" s="50" t="s">
        <v>91</v>
      </c>
      <c r="C76" s="24"/>
      <c r="D76" s="64">
        <v>70</v>
      </c>
      <c r="E76" s="46">
        <v>57</v>
      </c>
      <c r="F76" s="65">
        <v>68</v>
      </c>
      <c r="G76" s="46">
        <v>70</v>
      </c>
      <c r="H76" s="64">
        <v>61</v>
      </c>
      <c r="I76" s="46">
        <v>57</v>
      </c>
      <c r="J76" s="65">
        <v>66</v>
      </c>
      <c r="K76" s="46">
        <v>78</v>
      </c>
      <c r="L76" s="64">
        <v>52</v>
      </c>
      <c r="M76" s="46">
        <v>57</v>
      </c>
      <c r="N76" s="65">
        <v>71</v>
      </c>
      <c r="O76" s="46">
        <v>63</v>
      </c>
      <c r="P76" s="64">
        <v>61</v>
      </c>
      <c r="Q76" s="46">
        <v>62</v>
      </c>
      <c r="R76" s="65">
        <v>73</v>
      </c>
      <c r="S76" s="46">
        <v>65</v>
      </c>
      <c r="T76" s="64">
        <v>53</v>
      </c>
      <c r="U76" s="46">
        <v>56</v>
      </c>
      <c r="V76" s="65">
        <v>74</v>
      </c>
      <c r="W76" s="46">
        <v>68</v>
      </c>
      <c r="X76" s="64">
        <v>215</v>
      </c>
      <c r="Y76" s="46">
        <v>249</v>
      </c>
      <c r="Z76" s="65">
        <v>287</v>
      </c>
      <c r="AA76" s="46">
        <v>220</v>
      </c>
      <c r="AB76" s="64">
        <v>190</v>
      </c>
      <c r="AC76" s="46">
        <v>220</v>
      </c>
      <c r="AD76" s="65">
        <v>231</v>
      </c>
      <c r="AE76" s="66">
        <v>198</v>
      </c>
      <c r="AF76" s="64">
        <v>205</v>
      </c>
      <c r="AG76" s="46">
        <v>180</v>
      </c>
      <c r="AH76" s="65">
        <v>203</v>
      </c>
      <c r="AI76" s="66">
        <v>201</v>
      </c>
      <c r="AJ76" s="64">
        <v>183</v>
      </c>
      <c r="AK76" s="46">
        <v>179</v>
      </c>
      <c r="AL76" s="65">
        <v>165</v>
      </c>
      <c r="AM76" s="66">
        <v>188</v>
      </c>
      <c r="AN76" s="64">
        <v>302</v>
      </c>
      <c r="AO76" s="46">
        <v>223</v>
      </c>
      <c r="AP76" s="65">
        <v>285</v>
      </c>
      <c r="AQ76" s="66">
        <v>281</v>
      </c>
      <c r="AR76" s="64">
        <v>287</v>
      </c>
      <c r="AS76" s="46">
        <v>233</v>
      </c>
      <c r="AT76" s="65">
        <v>354</v>
      </c>
      <c r="AU76" s="66">
        <v>258</v>
      </c>
      <c r="AV76" s="64">
        <v>147</v>
      </c>
      <c r="AW76" s="46">
        <v>102</v>
      </c>
      <c r="AX76" s="65">
        <v>206</v>
      </c>
      <c r="AY76" s="66">
        <v>163</v>
      </c>
      <c r="AZ76" s="64">
        <v>35</v>
      </c>
      <c r="BA76" s="46">
        <v>29</v>
      </c>
      <c r="BB76" s="65">
        <v>47</v>
      </c>
      <c r="BC76" s="66">
        <v>45</v>
      </c>
      <c r="BD76" s="64"/>
      <c r="BE76" s="46"/>
      <c r="BF76" s="65"/>
      <c r="BG76" s="133"/>
      <c r="BH76" s="65"/>
      <c r="BI76" s="49" t="s">
        <v>91</v>
      </c>
      <c r="BJ76" s="101">
        <f t="shared" si="4"/>
        <v>1159</v>
      </c>
      <c r="BK76" s="101">
        <f t="shared" si="5"/>
        <v>946</v>
      </c>
      <c r="BL76" s="101">
        <f t="shared" si="6"/>
        <v>1260</v>
      </c>
      <c r="BM76" s="101">
        <f t="shared" si="7"/>
        <v>1136</v>
      </c>
      <c r="BO76" t="s">
        <v>231</v>
      </c>
      <c r="BP76">
        <v>1159</v>
      </c>
      <c r="BQ76">
        <v>946</v>
      </c>
      <c r="BR76">
        <v>1260</v>
      </c>
      <c r="BS76">
        <v>1136</v>
      </c>
      <c r="BT76">
        <f t="shared" si="8"/>
        <v>2105</v>
      </c>
      <c r="BU76">
        <f t="shared" si="9"/>
        <v>4128</v>
      </c>
      <c r="BV76">
        <f t="shared" si="11"/>
        <v>4501</v>
      </c>
      <c r="BW76" s="148">
        <f t="shared" si="10"/>
        <v>0.46767385025549879</v>
      </c>
    </row>
    <row r="77" spans="1:75" x14ac:dyDescent="0.25">
      <c r="A77" s="79">
        <v>59</v>
      </c>
      <c r="B77" s="50" t="s">
        <v>92</v>
      </c>
      <c r="C77" s="39"/>
      <c r="D77" s="64">
        <v>82</v>
      </c>
      <c r="E77" s="46">
        <v>58</v>
      </c>
      <c r="F77" s="65">
        <v>64</v>
      </c>
      <c r="G77" s="46">
        <v>64</v>
      </c>
      <c r="H77" s="64">
        <v>40</v>
      </c>
      <c r="I77" s="46">
        <v>42</v>
      </c>
      <c r="J77" s="65">
        <v>38</v>
      </c>
      <c r="K77" s="46">
        <v>38</v>
      </c>
      <c r="L77" s="64">
        <v>48</v>
      </c>
      <c r="M77" s="46">
        <v>58</v>
      </c>
      <c r="N77" s="65">
        <v>40</v>
      </c>
      <c r="O77" s="46">
        <v>58</v>
      </c>
      <c r="P77" s="64">
        <v>49</v>
      </c>
      <c r="Q77" s="46">
        <v>57</v>
      </c>
      <c r="R77" s="65">
        <v>49</v>
      </c>
      <c r="S77" s="46">
        <v>57</v>
      </c>
      <c r="T77" s="64">
        <v>63</v>
      </c>
      <c r="U77" s="46">
        <v>49</v>
      </c>
      <c r="V77" s="65">
        <v>44</v>
      </c>
      <c r="W77" s="46">
        <v>51</v>
      </c>
      <c r="X77" s="64">
        <v>245</v>
      </c>
      <c r="Y77" s="46">
        <v>268</v>
      </c>
      <c r="Z77" s="65">
        <v>238</v>
      </c>
      <c r="AA77" s="46">
        <v>212</v>
      </c>
      <c r="AB77" s="64">
        <v>258</v>
      </c>
      <c r="AC77" s="46">
        <v>226</v>
      </c>
      <c r="AD77" s="65">
        <v>192</v>
      </c>
      <c r="AE77" s="66">
        <v>170</v>
      </c>
      <c r="AF77" s="64">
        <v>189</v>
      </c>
      <c r="AG77" s="46">
        <v>204</v>
      </c>
      <c r="AH77" s="65">
        <v>124</v>
      </c>
      <c r="AI77" s="66">
        <v>132</v>
      </c>
      <c r="AJ77" s="64">
        <v>164</v>
      </c>
      <c r="AK77" s="46">
        <v>174</v>
      </c>
      <c r="AL77" s="65">
        <v>116</v>
      </c>
      <c r="AM77" s="66">
        <v>130</v>
      </c>
      <c r="AN77" s="64">
        <v>305</v>
      </c>
      <c r="AO77" s="46">
        <v>258</v>
      </c>
      <c r="AP77" s="65">
        <v>219</v>
      </c>
      <c r="AQ77" s="66">
        <v>216</v>
      </c>
      <c r="AR77" s="64">
        <v>262</v>
      </c>
      <c r="AS77" s="46">
        <v>243</v>
      </c>
      <c r="AT77" s="65">
        <v>251</v>
      </c>
      <c r="AU77" s="66">
        <v>187</v>
      </c>
      <c r="AV77" s="64">
        <v>193</v>
      </c>
      <c r="AW77" s="46">
        <v>154</v>
      </c>
      <c r="AX77" s="65">
        <v>169</v>
      </c>
      <c r="AY77" s="66">
        <v>106</v>
      </c>
      <c r="AZ77" s="64">
        <v>33</v>
      </c>
      <c r="BA77" s="46">
        <v>28</v>
      </c>
      <c r="BB77" s="65">
        <v>48</v>
      </c>
      <c r="BC77" s="66">
        <v>34</v>
      </c>
      <c r="BD77" s="64"/>
      <c r="BE77" s="46"/>
      <c r="BF77" s="65"/>
      <c r="BG77" s="133"/>
      <c r="BH77" s="65"/>
      <c r="BI77" s="49" t="s">
        <v>92</v>
      </c>
      <c r="BJ77" s="101">
        <f t="shared" si="4"/>
        <v>1146</v>
      </c>
      <c r="BK77" s="101">
        <f t="shared" si="5"/>
        <v>1061</v>
      </c>
      <c r="BL77" s="101">
        <f t="shared" si="6"/>
        <v>927</v>
      </c>
      <c r="BM77" s="101">
        <f t="shared" si="7"/>
        <v>805</v>
      </c>
      <c r="BO77" t="s">
        <v>232</v>
      </c>
      <c r="BP77">
        <v>1146</v>
      </c>
      <c r="BQ77">
        <v>1061</v>
      </c>
      <c r="BR77">
        <v>927</v>
      </c>
      <c r="BS77">
        <v>805</v>
      </c>
      <c r="BT77">
        <f t="shared" si="8"/>
        <v>2207</v>
      </c>
      <c r="BU77">
        <f t="shared" si="9"/>
        <v>15823</v>
      </c>
      <c r="BV77">
        <f t="shared" si="11"/>
        <v>3939</v>
      </c>
      <c r="BW77" s="148">
        <f t="shared" si="10"/>
        <v>0.56029449098756035</v>
      </c>
    </row>
    <row r="78" spans="1:75" x14ac:dyDescent="0.25">
      <c r="A78" s="79">
        <v>60</v>
      </c>
      <c r="B78" s="50" t="s">
        <v>93</v>
      </c>
      <c r="C78" s="24"/>
      <c r="D78" s="64">
        <v>122</v>
      </c>
      <c r="E78" s="46">
        <v>94</v>
      </c>
      <c r="F78" s="65">
        <v>560</v>
      </c>
      <c r="G78" s="46">
        <v>621</v>
      </c>
      <c r="H78" s="64">
        <v>79</v>
      </c>
      <c r="I78" s="46">
        <v>97</v>
      </c>
      <c r="J78" s="65">
        <v>307</v>
      </c>
      <c r="K78" s="46">
        <v>320</v>
      </c>
      <c r="L78" s="64">
        <v>113</v>
      </c>
      <c r="M78" s="46">
        <v>100</v>
      </c>
      <c r="N78" s="65">
        <v>445</v>
      </c>
      <c r="O78" s="46">
        <v>451</v>
      </c>
      <c r="P78" s="64">
        <v>99</v>
      </c>
      <c r="Q78" s="46">
        <v>116</v>
      </c>
      <c r="R78" s="65">
        <v>475</v>
      </c>
      <c r="S78" s="46">
        <v>505</v>
      </c>
      <c r="T78" s="64">
        <v>92</v>
      </c>
      <c r="U78" s="46">
        <v>94</v>
      </c>
      <c r="V78" s="65">
        <v>442</v>
      </c>
      <c r="W78" s="46">
        <v>470</v>
      </c>
      <c r="X78" s="64">
        <v>460</v>
      </c>
      <c r="Y78" s="46">
        <v>454</v>
      </c>
      <c r="Z78" s="65">
        <v>1884</v>
      </c>
      <c r="AA78" s="46">
        <v>1828</v>
      </c>
      <c r="AB78" s="64">
        <v>400</v>
      </c>
      <c r="AC78" s="46">
        <v>399</v>
      </c>
      <c r="AD78" s="65">
        <v>1614</v>
      </c>
      <c r="AE78" s="66">
        <v>1606</v>
      </c>
      <c r="AF78" s="64">
        <v>359</v>
      </c>
      <c r="AG78" s="46">
        <v>421</v>
      </c>
      <c r="AH78" s="65">
        <v>1117</v>
      </c>
      <c r="AI78" s="66">
        <v>1285</v>
      </c>
      <c r="AJ78" s="64">
        <v>265</v>
      </c>
      <c r="AK78" s="46">
        <v>354</v>
      </c>
      <c r="AL78" s="65">
        <v>689</v>
      </c>
      <c r="AM78" s="66">
        <v>1144</v>
      </c>
      <c r="AN78" s="64">
        <v>548</v>
      </c>
      <c r="AO78" s="46">
        <v>573</v>
      </c>
      <c r="AP78" s="65">
        <v>1347</v>
      </c>
      <c r="AQ78" s="66">
        <v>2142</v>
      </c>
      <c r="AR78" s="64">
        <v>626</v>
      </c>
      <c r="AS78" s="46">
        <v>596</v>
      </c>
      <c r="AT78" s="65">
        <v>1779</v>
      </c>
      <c r="AU78" s="66">
        <v>1853</v>
      </c>
      <c r="AV78" s="64">
        <v>358</v>
      </c>
      <c r="AW78" s="46">
        <v>316</v>
      </c>
      <c r="AX78" s="65">
        <v>1003</v>
      </c>
      <c r="AY78" s="66">
        <v>1050</v>
      </c>
      <c r="AZ78" s="64">
        <v>76</v>
      </c>
      <c r="BA78" s="46">
        <v>74</v>
      </c>
      <c r="BB78" s="65">
        <v>319</v>
      </c>
      <c r="BC78" s="66">
        <v>363</v>
      </c>
      <c r="BD78" s="64"/>
      <c r="BE78" s="46"/>
      <c r="BF78" s="65"/>
      <c r="BG78" s="133">
        <v>1</v>
      </c>
      <c r="BH78" s="65"/>
      <c r="BI78" s="49" t="s">
        <v>93</v>
      </c>
      <c r="BJ78" s="101">
        <f t="shared" si="4"/>
        <v>2232</v>
      </c>
      <c r="BK78" s="101">
        <f t="shared" si="5"/>
        <v>2334</v>
      </c>
      <c r="BL78" s="101">
        <f t="shared" si="6"/>
        <v>6254</v>
      </c>
      <c r="BM78" s="101">
        <f t="shared" si="7"/>
        <v>7837</v>
      </c>
      <c r="BO78" t="s">
        <v>233</v>
      </c>
      <c r="BP78">
        <v>2232</v>
      </c>
      <c r="BQ78">
        <v>2334</v>
      </c>
      <c r="BR78">
        <v>6254</v>
      </c>
      <c r="BS78">
        <v>7837</v>
      </c>
      <c r="BT78">
        <f t="shared" si="8"/>
        <v>4566</v>
      </c>
      <c r="BU78">
        <f t="shared" si="9"/>
        <v>16072</v>
      </c>
      <c r="BV78">
        <f t="shared" si="11"/>
        <v>18657</v>
      </c>
      <c r="BW78" s="148">
        <f t="shared" si="10"/>
        <v>0.24473388004502331</v>
      </c>
    </row>
    <row r="79" spans="1:75" x14ac:dyDescent="0.25">
      <c r="A79" s="79">
        <v>61</v>
      </c>
      <c r="B79" s="50" t="s">
        <v>94</v>
      </c>
      <c r="C79" s="24"/>
      <c r="D79" s="64">
        <v>26</v>
      </c>
      <c r="E79" s="46">
        <v>29</v>
      </c>
      <c r="F79" s="65">
        <v>67</v>
      </c>
      <c r="G79" s="46">
        <v>55</v>
      </c>
      <c r="H79" s="64">
        <v>26</v>
      </c>
      <c r="I79" s="46">
        <v>24</v>
      </c>
      <c r="J79" s="65">
        <v>48</v>
      </c>
      <c r="K79" s="46">
        <v>32</v>
      </c>
      <c r="L79" s="64">
        <v>21</v>
      </c>
      <c r="M79" s="46">
        <v>36</v>
      </c>
      <c r="N79" s="65">
        <v>53</v>
      </c>
      <c r="O79" s="46">
        <v>56</v>
      </c>
      <c r="P79" s="64">
        <v>27</v>
      </c>
      <c r="Q79" s="46">
        <v>22</v>
      </c>
      <c r="R79" s="65">
        <v>44</v>
      </c>
      <c r="S79" s="46">
        <v>55</v>
      </c>
      <c r="T79" s="64">
        <v>34</v>
      </c>
      <c r="U79" s="46">
        <v>24</v>
      </c>
      <c r="V79" s="65">
        <v>52</v>
      </c>
      <c r="W79" s="46">
        <v>50</v>
      </c>
      <c r="X79" s="64">
        <v>123</v>
      </c>
      <c r="Y79" s="46">
        <v>111</v>
      </c>
      <c r="Z79" s="65">
        <v>231</v>
      </c>
      <c r="AA79" s="46">
        <v>219</v>
      </c>
      <c r="AB79" s="64">
        <v>106</v>
      </c>
      <c r="AC79" s="46">
        <v>102</v>
      </c>
      <c r="AD79" s="65">
        <v>197</v>
      </c>
      <c r="AE79" s="66">
        <v>159</v>
      </c>
      <c r="AF79" s="64">
        <v>98</v>
      </c>
      <c r="AG79" s="46">
        <v>94</v>
      </c>
      <c r="AH79" s="65">
        <v>150</v>
      </c>
      <c r="AI79" s="66">
        <v>143</v>
      </c>
      <c r="AJ79" s="64">
        <v>91</v>
      </c>
      <c r="AK79" s="46">
        <v>94</v>
      </c>
      <c r="AL79" s="65">
        <v>146</v>
      </c>
      <c r="AM79" s="66">
        <v>115</v>
      </c>
      <c r="AN79" s="64">
        <v>151</v>
      </c>
      <c r="AO79" s="46">
        <v>146</v>
      </c>
      <c r="AP79" s="65">
        <v>230</v>
      </c>
      <c r="AQ79" s="66">
        <v>224</v>
      </c>
      <c r="AR79" s="64">
        <v>185</v>
      </c>
      <c r="AS79" s="46">
        <v>166</v>
      </c>
      <c r="AT79" s="65">
        <v>308</v>
      </c>
      <c r="AU79" s="66">
        <v>235</v>
      </c>
      <c r="AV79" s="64">
        <v>117</v>
      </c>
      <c r="AW79" s="46">
        <v>98</v>
      </c>
      <c r="AX79" s="65">
        <v>210</v>
      </c>
      <c r="AY79" s="66">
        <v>134</v>
      </c>
      <c r="AZ79" s="64">
        <v>24</v>
      </c>
      <c r="BA79" s="46">
        <v>21</v>
      </c>
      <c r="BB79" s="65">
        <v>55</v>
      </c>
      <c r="BC79" s="66">
        <v>31</v>
      </c>
      <c r="BD79" s="64"/>
      <c r="BE79" s="46"/>
      <c r="BF79" s="65"/>
      <c r="BG79" s="133"/>
      <c r="BH79" s="65"/>
      <c r="BI79" s="49" t="s">
        <v>94</v>
      </c>
      <c r="BJ79" s="101">
        <f t="shared" si="4"/>
        <v>666</v>
      </c>
      <c r="BK79" s="101">
        <f t="shared" si="5"/>
        <v>619</v>
      </c>
      <c r="BL79" s="101">
        <f t="shared" si="6"/>
        <v>1099</v>
      </c>
      <c r="BM79" s="101">
        <f t="shared" si="7"/>
        <v>882</v>
      </c>
      <c r="BO79" t="s">
        <v>234</v>
      </c>
      <c r="BP79">
        <v>666</v>
      </c>
      <c r="BQ79">
        <v>619</v>
      </c>
      <c r="BR79">
        <v>1099</v>
      </c>
      <c r="BS79">
        <v>882</v>
      </c>
      <c r="BT79">
        <f t="shared" si="8"/>
        <v>1285</v>
      </c>
      <c r="BU79">
        <f t="shared" si="9"/>
        <v>5447</v>
      </c>
      <c r="BV79">
        <f t="shared" si="11"/>
        <v>3266</v>
      </c>
      <c r="BW79" s="148">
        <f t="shared" si="10"/>
        <v>0.39344764237599511</v>
      </c>
    </row>
    <row r="80" spans="1:75" ht="15.75" x14ac:dyDescent="0.25">
      <c r="A80" s="79">
        <v>62</v>
      </c>
      <c r="B80" s="50" t="s">
        <v>95</v>
      </c>
      <c r="C80" s="67"/>
      <c r="D80" s="44">
        <v>133</v>
      </c>
      <c r="E80" s="46">
        <v>130</v>
      </c>
      <c r="F80" s="46">
        <v>116</v>
      </c>
      <c r="G80" s="45">
        <v>106</v>
      </c>
      <c r="H80" s="44">
        <v>120</v>
      </c>
      <c r="I80" s="46">
        <v>106</v>
      </c>
      <c r="J80" s="46">
        <v>80</v>
      </c>
      <c r="K80" s="45">
        <v>87</v>
      </c>
      <c r="L80" s="44">
        <v>146</v>
      </c>
      <c r="M80" s="46">
        <v>145</v>
      </c>
      <c r="N80" s="46">
        <v>99</v>
      </c>
      <c r="O80" s="45">
        <v>93</v>
      </c>
      <c r="P80" s="44">
        <v>125</v>
      </c>
      <c r="Q80" s="46">
        <v>135</v>
      </c>
      <c r="R80" s="46">
        <v>110</v>
      </c>
      <c r="S80" s="45">
        <v>105</v>
      </c>
      <c r="T80" s="44">
        <v>143</v>
      </c>
      <c r="U80" s="46">
        <v>130</v>
      </c>
      <c r="V80" s="46">
        <v>85</v>
      </c>
      <c r="W80" s="45">
        <v>90</v>
      </c>
      <c r="X80" s="44">
        <v>657</v>
      </c>
      <c r="Y80" s="46">
        <v>596</v>
      </c>
      <c r="Z80" s="46">
        <v>490</v>
      </c>
      <c r="AA80" s="45">
        <v>441</v>
      </c>
      <c r="AB80" s="44">
        <v>565</v>
      </c>
      <c r="AC80" s="46">
        <v>541</v>
      </c>
      <c r="AD80" s="46">
        <v>433</v>
      </c>
      <c r="AE80" s="47">
        <v>365</v>
      </c>
      <c r="AF80" s="44">
        <v>478</v>
      </c>
      <c r="AG80" s="46">
        <v>481</v>
      </c>
      <c r="AH80" s="46">
        <v>339</v>
      </c>
      <c r="AI80" s="47">
        <v>350</v>
      </c>
      <c r="AJ80" s="44">
        <v>438</v>
      </c>
      <c r="AK80" s="46">
        <v>460</v>
      </c>
      <c r="AL80" s="46">
        <v>331</v>
      </c>
      <c r="AM80" s="47">
        <v>304</v>
      </c>
      <c r="AN80" s="44">
        <v>685</v>
      </c>
      <c r="AO80" s="46">
        <v>641</v>
      </c>
      <c r="AP80" s="46">
        <v>405</v>
      </c>
      <c r="AQ80" s="47">
        <v>389</v>
      </c>
      <c r="AR80" s="44">
        <v>585</v>
      </c>
      <c r="AS80" s="46">
        <v>512</v>
      </c>
      <c r="AT80" s="46">
        <v>318</v>
      </c>
      <c r="AU80" s="47">
        <v>384</v>
      </c>
      <c r="AV80" s="44">
        <v>422</v>
      </c>
      <c r="AW80" s="46">
        <v>390</v>
      </c>
      <c r="AX80" s="46">
        <v>291</v>
      </c>
      <c r="AY80" s="47">
        <v>239</v>
      </c>
      <c r="AZ80" s="44">
        <v>82</v>
      </c>
      <c r="BA80" s="46">
        <v>91</v>
      </c>
      <c r="BB80" s="46">
        <v>67</v>
      </c>
      <c r="BC80" s="47">
        <v>49</v>
      </c>
      <c r="BD80" s="44"/>
      <c r="BE80" s="46"/>
      <c r="BF80" s="46"/>
      <c r="BG80" s="130"/>
      <c r="BH80" s="101"/>
      <c r="BI80" s="49" t="s">
        <v>95</v>
      </c>
      <c r="BJ80" s="101">
        <f t="shared" si="4"/>
        <v>2690</v>
      </c>
      <c r="BK80" s="101">
        <f t="shared" si="5"/>
        <v>2575</v>
      </c>
      <c r="BL80" s="101">
        <f t="shared" si="6"/>
        <v>1751</v>
      </c>
      <c r="BM80" s="101">
        <f t="shared" si="7"/>
        <v>1715</v>
      </c>
      <c r="BO80" t="s">
        <v>235</v>
      </c>
      <c r="BP80">
        <v>2690</v>
      </c>
      <c r="BQ80">
        <v>2575</v>
      </c>
      <c r="BR80">
        <v>1751</v>
      </c>
      <c r="BS80">
        <v>1715</v>
      </c>
      <c r="BT80">
        <f t="shared" si="8"/>
        <v>5265</v>
      </c>
      <c r="BU80">
        <f t="shared" si="9"/>
        <v>6527</v>
      </c>
      <c r="BV80">
        <f t="shared" si="11"/>
        <v>8731</v>
      </c>
      <c r="BW80" s="148">
        <f t="shared" si="10"/>
        <v>0.60302370862444166</v>
      </c>
    </row>
    <row r="81" spans="1:75" x14ac:dyDescent="0.25">
      <c r="A81" s="79">
        <v>63</v>
      </c>
      <c r="B81" s="50" t="s">
        <v>96</v>
      </c>
      <c r="C81" s="39"/>
      <c r="D81" s="64">
        <v>80</v>
      </c>
      <c r="E81" s="46">
        <v>81</v>
      </c>
      <c r="F81" s="65">
        <v>104</v>
      </c>
      <c r="G81" s="46">
        <v>110</v>
      </c>
      <c r="H81" s="64">
        <v>69</v>
      </c>
      <c r="I81" s="46">
        <v>69</v>
      </c>
      <c r="J81" s="65">
        <v>74</v>
      </c>
      <c r="K81" s="46">
        <v>81</v>
      </c>
      <c r="L81" s="64">
        <v>81</v>
      </c>
      <c r="M81" s="46">
        <v>68</v>
      </c>
      <c r="N81" s="65">
        <v>97</v>
      </c>
      <c r="O81" s="46">
        <v>90</v>
      </c>
      <c r="P81" s="64">
        <v>97</v>
      </c>
      <c r="Q81" s="46">
        <v>87</v>
      </c>
      <c r="R81" s="65">
        <v>86</v>
      </c>
      <c r="S81" s="46">
        <v>87</v>
      </c>
      <c r="T81" s="64">
        <v>77</v>
      </c>
      <c r="U81" s="46">
        <v>72</v>
      </c>
      <c r="V81" s="65">
        <v>108</v>
      </c>
      <c r="W81" s="46">
        <v>77</v>
      </c>
      <c r="X81" s="64">
        <v>411</v>
      </c>
      <c r="Y81" s="46">
        <v>394</v>
      </c>
      <c r="Z81" s="65">
        <v>378</v>
      </c>
      <c r="AA81" s="46">
        <v>351</v>
      </c>
      <c r="AB81" s="64">
        <v>357</v>
      </c>
      <c r="AC81" s="46">
        <v>326</v>
      </c>
      <c r="AD81" s="65">
        <v>320</v>
      </c>
      <c r="AE81" s="66">
        <v>325</v>
      </c>
      <c r="AF81" s="64">
        <v>351</v>
      </c>
      <c r="AG81" s="46">
        <v>320</v>
      </c>
      <c r="AH81" s="65">
        <v>258</v>
      </c>
      <c r="AI81" s="66">
        <v>263</v>
      </c>
      <c r="AJ81" s="64">
        <v>280</v>
      </c>
      <c r="AK81" s="46">
        <v>293</v>
      </c>
      <c r="AL81" s="65">
        <v>273</v>
      </c>
      <c r="AM81" s="66">
        <v>266</v>
      </c>
      <c r="AN81" s="64">
        <v>407</v>
      </c>
      <c r="AO81" s="46">
        <v>392</v>
      </c>
      <c r="AP81" s="65">
        <v>372</v>
      </c>
      <c r="AQ81" s="66">
        <v>347</v>
      </c>
      <c r="AR81" s="64">
        <v>402</v>
      </c>
      <c r="AS81" s="46">
        <v>404</v>
      </c>
      <c r="AT81" s="65">
        <v>372</v>
      </c>
      <c r="AU81" s="66">
        <v>322</v>
      </c>
      <c r="AV81" s="64">
        <v>281</v>
      </c>
      <c r="AW81" s="46">
        <v>268</v>
      </c>
      <c r="AX81" s="65">
        <v>258</v>
      </c>
      <c r="AY81" s="66">
        <v>227</v>
      </c>
      <c r="AZ81" s="64">
        <v>57</v>
      </c>
      <c r="BA81" s="46">
        <v>47</v>
      </c>
      <c r="BB81" s="65">
        <v>52</v>
      </c>
      <c r="BC81" s="66">
        <v>51</v>
      </c>
      <c r="BD81" s="64"/>
      <c r="BE81" s="46"/>
      <c r="BF81" s="65"/>
      <c r="BG81" s="133"/>
      <c r="BH81" s="65"/>
      <c r="BI81" s="49" t="s">
        <v>96</v>
      </c>
      <c r="BJ81" s="101">
        <f t="shared" si="4"/>
        <v>1778</v>
      </c>
      <c r="BK81" s="101">
        <f t="shared" si="5"/>
        <v>1724</v>
      </c>
      <c r="BL81" s="101">
        <f t="shared" si="6"/>
        <v>1585</v>
      </c>
      <c r="BM81" s="101">
        <f t="shared" si="7"/>
        <v>1476</v>
      </c>
      <c r="BO81" t="s">
        <v>236</v>
      </c>
      <c r="BP81">
        <v>1778</v>
      </c>
      <c r="BQ81">
        <v>1724</v>
      </c>
      <c r="BR81">
        <v>1585</v>
      </c>
      <c r="BS81">
        <v>1476</v>
      </c>
      <c r="BT81">
        <f t="shared" si="8"/>
        <v>3502</v>
      </c>
      <c r="BU81">
        <f t="shared" si="9"/>
        <v>5615</v>
      </c>
      <c r="BV81">
        <f t="shared" si="11"/>
        <v>6563</v>
      </c>
      <c r="BW81" s="148">
        <f t="shared" si="10"/>
        <v>0.53359744019503275</v>
      </c>
    </row>
    <row r="82" spans="1:75" x14ac:dyDescent="0.25">
      <c r="A82" s="79">
        <v>64</v>
      </c>
      <c r="B82" s="50" t="s">
        <v>97</v>
      </c>
      <c r="C82" s="24"/>
      <c r="D82" s="64">
        <v>54</v>
      </c>
      <c r="E82" s="46">
        <v>55</v>
      </c>
      <c r="F82" s="65">
        <v>83</v>
      </c>
      <c r="G82" s="46">
        <v>64</v>
      </c>
      <c r="H82" s="64">
        <v>43</v>
      </c>
      <c r="I82" s="46">
        <v>50</v>
      </c>
      <c r="J82" s="65">
        <v>48</v>
      </c>
      <c r="K82" s="46">
        <v>47</v>
      </c>
      <c r="L82" s="64">
        <v>67</v>
      </c>
      <c r="M82" s="46">
        <v>58</v>
      </c>
      <c r="N82" s="65">
        <v>69</v>
      </c>
      <c r="O82" s="46">
        <v>44</v>
      </c>
      <c r="P82" s="64">
        <v>47</v>
      </c>
      <c r="Q82" s="46">
        <v>57</v>
      </c>
      <c r="R82" s="65">
        <v>60</v>
      </c>
      <c r="S82" s="46">
        <v>53</v>
      </c>
      <c r="T82" s="64">
        <v>54</v>
      </c>
      <c r="U82" s="46">
        <v>61</v>
      </c>
      <c r="V82" s="65">
        <v>83</v>
      </c>
      <c r="W82" s="46">
        <v>73</v>
      </c>
      <c r="X82" s="64">
        <v>222</v>
      </c>
      <c r="Y82" s="46">
        <v>278</v>
      </c>
      <c r="Z82" s="65">
        <v>259</v>
      </c>
      <c r="AA82" s="46">
        <v>268</v>
      </c>
      <c r="AB82" s="64">
        <v>162</v>
      </c>
      <c r="AC82" s="46">
        <v>171</v>
      </c>
      <c r="AD82" s="65">
        <v>227</v>
      </c>
      <c r="AE82" s="66">
        <v>242</v>
      </c>
      <c r="AF82" s="64">
        <v>299</v>
      </c>
      <c r="AG82" s="46">
        <v>179</v>
      </c>
      <c r="AH82" s="65">
        <v>188</v>
      </c>
      <c r="AI82" s="66">
        <v>225</v>
      </c>
      <c r="AJ82" s="64">
        <v>558</v>
      </c>
      <c r="AK82" s="46">
        <v>196</v>
      </c>
      <c r="AL82" s="65">
        <v>212</v>
      </c>
      <c r="AM82" s="66">
        <v>234</v>
      </c>
      <c r="AN82" s="64">
        <v>797</v>
      </c>
      <c r="AO82" s="46">
        <v>396</v>
      </c>
      <c r="AP82" s="65">
        <v>442</v>
      </c>
      <c r="AQ82" s="66">
        <v>323</v>
      </c>
      <c r="AR82" s="64">
        <v>593</v>
      </c>
      <c r="AS82" s="46">
        <v>328</v>
      </c>
      <c r="AT82" s="65">
        <v>336</v>
      </c>
      <c r="AU82" s="66">
        <v>257</v>
      </c>
      <c r="AV82" s="64">
        <v>215</v>
      </c>
      <c r="AW82" s="46">
        <v>209</v>
      </c>
      <c r="AX82" s="65">
        <v>161</v>
      </c>
      <c r="AY82" s="66">
        <v>125</v>
      </c>
      <c r="AZ82" s="64">
        <v>27</v>
      </c>
      <c r="BA82" s="46">
        <v>33</v>
      </c>
      <c r="BB82" s="65">
        <v>20</v>
      </c>
      <c r="BC82" s="66">
        <v>31</v>
      </c>
      <c r="BD82" s="64">
        <v>16</v>
      </c>
      <c r="BE82" s="46"/>
      <c r="BF82" s="65">
        <v>23</v>
      </c>
      <c r="BG82" s="133"/>
      <c r="BH82" s="65"/>
      <c r="BI82" s="49" t="s">
        <v>97</v>
      </c>
      <c r="BJ82" s="101">
        <f t="shared" si="4"/>
        <v>2489</v>
      </c>
      <c r="BK82" s="101">
        <f t="shared" si="5"/>
        <v>1341</v>
      </c>
      <c r="BL82" s="101">
        <f t="shared" si="6"/>
        <v>1359</v>
      </c>
      <c r="BM82" s="101">
        <f t="shared" si="7"/>
        <v>1195</v>
      </c>
      <c r="BO82" t="s">
        <v>237</v>
      </c>
      <c r="BP82">
        <v>2489</v>
      </c>
      <c r="BQ82">
        <v>1341</v>
      </c>
      <c r="BR82">
        <v>1359</v>
      </c>
      <c r="BS82">
        <v>1195</v>
      </c>
      <c r="BT82">
        <f t="shared" si="8"/>
        <v>3830</v>
      </c>
      <c r="BU82">
        <f t="shared" si="9"/>
        <v>10705</v>
      </c>
      <c r="BV82">
        <f t="shared" si="11"/>
        <v>6384</v>
      </c>
      <c r="BW82" s="148">
        <f t="shared" si="10"/>
        <v>0.59993734335839599</v>
      </c>
    </row>
    <row r="83" spans="1:75" x14ac:dyDescent="0.25">
      <c r="A83" s="79">
        <v>65</v>
      </c>
      <c r="B83" s="50" t="s">
        <v>98</v>
      </c>
      <c r="C83" s="24"/>
      <c r="D83" s="64">
        <v>114</v>
      </c>
      <c r="E83" s="46">
        <v>115</v>
      </c>
      <c r="F83" s="65">
        <v>338</v>
      </c>
      <c r="G83" s="46">
        <v>334</v>
      </c>
      <c r="H83" s="64">
        <v>87</v>
      </c>
      <c r="I83" s="46">
        <v>86</v>
      </c>
      <c r="J83" s="65">
        <v>199</v>
      </c>
      <c r="K83" s="46">
        <v>214</v>
      </c>
      <c r="L83" s="64">
        <v>113</v>
      </c>
      <c r="M83" s="46">
        <v>96</v>
      </c>
      <c r="N83" s="65">
        <v>266</v>
      </c>
      <c r="O83" s="46">
        <v>259</v>
      </c>
      <c r="P83" s="64">
        <v>111</v>
      </c>
      <c r="Q83" s="46">
        <v>109</v>
      </c>
      <c r="R83" s="65">
        <v>252</v>
      </c>
      <c r="S83" s="46">
        <v>266</v>
      </c>
      <c r="T83" s="64">
        <v>99</v>
      </c>
      <c r="U83" s="46">
        <v>108</v>
      </c>
      <c r="V83" s="65">
        <v>262</v>
      </c>
      <c r="W83" s="46">
        <v>254</v>
      </c>
      <c r="X83" s="64">
        <v>477</v>
      </c>
      <c r="Y83" s="46">
        <v>499</v>
      </c>
      <c r="Z83" s="65">
        <v>1042</v>
      </c>
      <c r="AA83" s="46">
        <v>1095</v>
      </c>
      <c r="AB83" s="64">
        <v>425</v>
      </c>
      <c r="AC83" s="46">
        <v>456</v>
      </c>
      <c r="AD83" s="65">
        <v>949</v>
      </c>
      <c r="AE83" s="66">
        <v>959</v>
      </c>
      <c r="AF83" s="64">
        <v>376</v>
      </c>
      <c r="AG83" s="46">
        <v>390</v>
      </c>
      <c r="AH83" s="65">
        <v>769</v>
      </c>
      <c r="AI83" s="66">
        <v>714</v>
      </c>
      <c r="AJ83" s="64">
        <v>349</v>
      </c>
      <c r="AK83" s="46">
        <v>345</v>
      </c>
      <c r="AL83" s="65">
        <v>499</v>
      </c>
      <c r="AM83" s="66">
        <v>611</v>
      </c>
      <c r="AN83" s="64">
        <v>561</v>
      </c>
      <c r="AO83" s="46">
        <v>508</v>
      </c>
      <c r="AP83" s="65">
        <v>764</v>
      </c>
      <c r="AQ83" s="66">
        <v>986</v>
      </c>
      <c r="AR83" s="64">
        <v>621</v>
      </c>
      <c r="AS83" s="46">
        <v>500</v>
      </c>
      <c r="AT83" s="65">
        <v>1094</v>
      </c>
      <c r="AU83" s="66">
        <v>1050</v>
      </c>
      <c r="AV83" s="64">
        <v>403</v>
      </c>
      <c r="AW83" s="46">
        <v>334</v>
      </c>
      <c r="AX83" s="65">
        <v>737</v>
      </c>
      <c r="AY83" s="66">
        <v>538</v>
      </c>
      <c r="AZ83" s="64">
        <v>76</v>
      </c>
      <c r="BA83" s="46">
        <v>84</v>
      </c>
      <c r="BB83" s="65">
        <v>208</v>
      </c>
      <c r="BC83" s="66">
        <v>181</v>
      </c>
      <c r="BD83" s="64"/>
      <c r="BE83" s="46"/>
      <c r="BF83" s="65">
        <v>1</v>
      </c>
      <c r="BG83" s="133"/>
      <c r="BH83" s="65"/>
      <c r="BI83" s="49" t="s">
        <v>98</v>
      </c>
      <c r="BJ83" s="101">
        <f t="shared" si="4"/>
        <v>2386</v>
      </c>
      <c r="BK83" s="101">
        <f t="shared" si="5"/>
        <v>2161</v>
      </c>
      <c r="BL83" s="101">
        <f t="shared" si="6"/>
        <v>4071</v>
      </c>
      <c r="BM83" s="101">
        <f t="shared" si="7"/>
        <v>4080</v>
      </c>
      <c r="BO83" t="s">
        <v>238</v>
      </c>
      <c r="BP83">
        <v>2386</v>
      </c>
      <c r="BQ83">
        <v>2161</v>
      </c>
      <c r="BR83">
        <v>4071</v>
      </c>
      <c r="BS83">
        <v>4080</v>
      </c>
      <c r="BT83">
        <f t="shared" si="8"/>
        <v>4547</v>
      </c>
      <c r="BU83">
        <f t="shared" si="9"/>
        <v>15923</v>
      </c>
      <c r="BV83">
        <f t="shared" ref="BV83:BV114" si="12">SUM(BP83:BS83)</f>
        <v>12698</v>
      </c>
      <c r="BW83" s="148">
        <f t="shared" si="10"/>
        <v>0.35808788785635531</v>
      </c>
    </row>
    <row r="84" spans="1:75" x14ac:dyDescent="0.25">
      <c r="A84" s="79">
        <v>66</v>
      </c>
      <c r="B84" s="50" t="s">
        <v>99</v>
      </c>
      <c r="C84" s="24"/>
      <c r="D84" s="64">
        <v>106</v>
      </c>
      <c r="E84" s="46">
        <v>97</v>
      </c>
      <c r="F84" s="65">
        <v>274</v>
      </c>
      <c r="G84" s="46">
        <v>259</v>
      </c>
      <c r="H84" s="64">
        <v>82</v>
      </c>
      <c r="I84" s="46">
        <v>70</v>
      </c>
      <c r="J84" s="65">
        <v>167</v>
      </c>
      <c r="K84" s="46">
        <v>170</v>
      </c>
      <c r="L84" s="64">
        <v>105</v>
      </c>
      <c r="M84" s="46">
        <v>102</v>
      </c>
      <c r="N84" s="65">
        <v>195</v>
      </c>
      <c r="O84" s="46">
        <v>214</v>
      </c>
      <c r="P84" s="64">
        <v>111</v>
      </c>
      <c r="Q84" s="46">
        <v>100</v>
      </c>
      <c r="R84" s="65">
        <v>236</v>
      </c>
      <c r="S84" s="46">
        <v>234</v>
      </c>
      <c r="T84" s="64">
        <v>95</v>
      </c>
      <c r="U84" s="46">
        <v>100</v>
      </c>
      <c r="V84" s="65">
        <v>238</v>
      </c>
      <c r="W84" s="46">
        <v>247</v>
      </c>
      <c r="X84" s="64">
        <v>444</v>
      </c>
      <c r="Y84" s="46">
        <v>424</v>
      </c>
      <c r="Z84" s="65">
        <v>968</v>
      </c>
      <c r="AA84" s="46">
        <v>978</v>
      </c>
      <c r="AB84" s="64">
        <v>391</v>
      </c>
      <c r="AC84" s="46">
        <v>397</v>
      </c>
      <c r="AD84" s="65">
        <v>831</v>
      </c>
      <c r="AE84" s="66">
        <v>812</v>
      </c>
      <c r="AF84" s="64">
        <v>551</v>
      </c>
      <c r="AG84" s="46">
        <v>619</v>
      </c>
      <c r="AH84" s="65">
        <v>593</v>
      </c>
      <c r="AI84" s="66">
        <v>645</v>
      </c>
      <c r="AJ84" s="64">
        <v>482</v>
      </c>
      <c r="AK84" s="46">
        <v>375</v>
      </c>
      <c r="AL84" s="65">
        <v>545</v>
      </c>
      <c r="AM84" s="66">
        <v>595</v>
      </c>
      <c r="AN84" s="64">
        <v>676</v>
      </c>
      <c r="AO84" s="46">
        <v>591</v>
      </c>
      <c r="AP84" s="65">
        <v>1187</v>
      </c>
      <c r="AQ84" s="66">
        <v>918</v>
      </c>
      <c r="AR84" s="64">
        <v>679</v>
      </c>
      <c r="AS84" s="46">
        <v>662</v>
      </c>
      <c r="AT84" s="65">
        <v>1053</v>
      </c>
      <c r="AU84" s="66">
        <v>869</v>
      </c>
      <c r="AV84" s="64">
        <v>424</v>
      </c>
      <c r="AW84" s="46">
        <v>451</v>
      </c>
      <c r="AX84" s="65">
        <v>583</v>
      </c>
      <c r="AY84" s="66">
        <v>555</v>
      </c>
      <c r="AZ84" s="64">
        <v>74</v>
      </c>
      <c r="BA84" s="46">
        <v>97</v>
      </c>
      <c r="BB84" s="65">
        <v>98</v>
      </c>
      <c r="BC84" s="66">
        <v>131</v>
      </c>
      <c r="BD84" s="64"/>
      <c r="BE84" s="46"/>
      <c r="BF84" s="65"/>
      <c r="BG84" s="133"/>
      <c r="BH84" s="65"/>
      <c r="BI84" s="49" t="s">
        <v>99</v>
      </c>
      <c r="BJ84" s="101">
        <f t="shared" ref="BJ84:BJ100" si="13">SUM(AZ84,AV84,AR84,AN84,AJ84,AF84)</f>
        <v>2886</v>
      </c>
      <c r="BK84" s="101">
        <f t="shared" ref="BK84:BK100" si="14">SUM(BA84,AW84,AS84,AO84,AK84,AG84)</f>
        <v>2795</v>
      </c>
      <c r="BL84" s="101">
        <f t="shared" ref="BL84:BL100" si="15">SUM(BB84,AX84,AT84,AP84,AL84,AH84)</f>
        <v>4059</v>
      </c>
      <c r="BM84" s="101">
        <f t="shared" ref="BM84:BM100" si="16">SUM(BC84,AY84,AU84,AQ84,AM84,AI84)</f>
        <v>3713</v>
      </c>
      <c r="BO84" t="s">
        <v>239</v>
      </c>
      <c r="BP84">
        <v>2886</v>
      </c>
      <c r="BQ84">
        <v>2795</v>
      </c>
      <c r="BR84">
        <v>4059</v>
      </c>
      <c r="BS84">
        <v>3713</v>
      </c>
      <c r="BT84">
        <f t="shared" ref="BT84:BT135" si="17">SUM(BP84:BQ84)</f>
        <v>5681</v>
      </c>
      <c r="BU84">
        <f t="shared" ref="BU84:BU135" si="18">SUM(BR84:BS85)</f>
        <v>9525</v>
      </c>
      <c r="BV84">
        <f t="shared" si="12"/>
        <v>13453</v>
      </c>
      <c r="BW84" s="148">
        <f t="shared" ref="BW84:BW135" si="19">BT84/BV84</f>
        <v>0.42228499219504945</v>
      </c>
    </row>
    <row r="85" spans="1:75" x14ac:dyDescent="0.25">
      <c r="A85" s="79">
        <v>67</v>
      </c>
      <c r="B85" s="50" t="s">
        <v>100</v>
      </c>
      <c r="C85" s="24"/>
      <c r="D85" s="64">
        <v>36</v>
      </c>
      <c r="E85" s="46">
        <v>34</v>
      </c>
      <c r="F85" s="65">
        <v>74</v>
      </c>
      <c r="G85" s="46">
        <v>85</v>
      </c>
      <c r="H85" s="64">
        <v>27</v>
      </c>
      <c r="I85" s="46">
        <v>40</v>
      </c>
      <c r="J85" s="65">
        <v>55</v>
      </c>
      <c r="K85" s="46">
        <v>45</v>
      </c>
      <c r="L85" s="64">
        <v>30</v>
      </c>
      <c r="M85" s="46">
        <v>44</v>
      </c>
      <c r="N85" s="65">
        <v>44</v>
      </c>
      <c r="O85" s="46">
        <v>63</v>
      </c>
      <c r="P85" s="64">
        <v>29</v>
      </c>
      <c r="Q85" s="46">
        <v>40</v>
      </c>
      <c r="R85" s="65">
        <v>50</v>
      </c>
      <c r="S85" s="46">
        <v>60</v>
      </c>
      <c r="T85" s="64">
        <v>54</v>
      </c>
      <c r="U85" s="46">
        <v>39</v>
      </c>
      <c r="V85" s="65">
        <v>51</v>
      </c>
      <c r="W85" s="46">
        <v>56</v>
      </c>
      <c r="X85" s="64">
        <v>177</v>
      </c>
      <c r="Y85" s="46">
        <v>145</v>
      </c>
      <c r="Z85" s="65">
        <v>222</v>
      </c>
      <c r="AA85" s="46">
        <v>192</v>
      </c>
      <c r="AB85" s="64">
        <v>145</v>
      </c>
      <c r="AC85" s="46">
        <v>152</v>
      </c>
      <c r="AD85" s="65">
        <v>166</v>
      </c>
      <c r="AE85" s="66">
        <v>188</v>
      </c>
      <c r="AF85" s="64">
        <v>145</v>
      </c>
      <c r="AG85" s="46">
        <v>135</v>
      </c>
      <c r="AH85" s="65">
        <v>146</v>
      </c>
      <c r="AI85" s="66">
        <v>123</v>
      </c>
      <c r="AJ85" s="64">
        <v>112</v>
      </c>
      <c r="AK85" s="46">
        <v>119</v>
      </c>
      <c r="AL85" s="65">
        <v>90</v>
      </c>
      <c r="AM85" s="66">
        <v>109</v>
      </c>
      <c r="AN85" s="64">
        <v>184</v>
      </c>
      <c r="AO85" s="46">
        <v>197</v>
      </c>
      <c r="AP85" s="65">
        <v>236</v>
      </c>
      <c r="AQ85" s="66">
        <v>292</v>
      </c>
      <c r="AR85" s="64">
        <v>208</v>
      </c>
      <c r="AS85" s="46">
        <v>167</v>
      </c>
      <c r="AT85" s="65">
        <v>297</v>
      </c>
      <c r="AU85" s="66">
        <v>181</v>
      </c>
      <c r="AV85" s="64">
        <v>114</v>
      </c>
      <c r="AW85" s="46">
        <v>110</v>
      </c>
      <c r="AX85" s="65">
        <v>126</v>
      </c>
      <c r="AY85" s="66">
        <v>98</v>
      </c>
      <c r="AZ85" s="64">
        <v>16</v>
      </c>
      <c r="BA85" s="46">
        <v>15</v>
      </c>
      <c r="BB85" s="65">
        <v>29</v>
      </c>
      <c r="BC85" s="66">
        <v>26</v>
      </c>
      <c r="BD85" s="64"/>
      <c r="BE85" s="46"/>
      <c r="BF85" s="65">
        <v>3</v>
      </c>
      <c r="BG85" s="133">
        <v>4</v>
      </c>
      <c r="BH85" s="65"/>
      <c r="BI85" s="49" t="s">
        <v>100</v>
      </c>
      <c r="BJ85" s="101">
        <f t="shared" si="13"/>
        <v>779</v>
      </c>
      <c r="BK85" s="101">
        <f t="shared" si="14"/>
        <v>743</v>
      </c>
      <c r="BL85" s="101">
        <f t="shared" si="15"/>
        <v>924</v>
      </c>
      <c r="BM85" s="101">
        <f t="shared" si="16"/>
        <v>829</v>
      </c>
      <c r="BO85" t="s">
        <v>240</v>
      </c>
      <c r="BP85">
        <v>779</v>
      </c>
      <c r="BQ85">
        <v>743</v>
      </c>
      <c r="BR85">
        <v>924</v>
      </c>
      <c r="BS85">
        <v>829</v>
      </c>
      <c r="BT85">
        <f t="shared" si="17"/>
        <v>1522</v>
      </c>
      <c r="BU85">
        <f t="shared" si="18"/>
        <v>3759</v>
      </c>
      <c r="BV85">
        <f t="shared" si="12"/>
        <v>3275</v>
      </c>
      <c r="BW85" s="148">
        <f t="shared" si="19"/>
        <v>0.46473282442748093</v>
      </c>
    </row>
    <row r="86" spans="1:75" ht="15.75" x14ac:dyDescent="0.25">
      <c r="A86" s="79">
        <v>68</v>
      </c>
      <c r="B86" s="50" t="s">
        <v>101</v>
      </c>
      <c r="C86" s="67"/>
      <c r="D86" s="44">
        <v>60</v>
      </c>
      <c r="E86" s="46">
        <v>41</v>
      </c>
      <c r="F86" s="46">
        <v>65</v>
      </c>
      <c r="G86" s="45">
        <v>66</v>
      </c>
      <c r="H86" s="44">
        <v>56</v>
      </c>
      <c r="I86" s="46">
        <v>56</v>
      </c>
      <c r="J86" s="46">
        <v>73</v>
      </c>
      <c r="K86" s="45">
        <v>81</v>
      </c>
      <c r="L86" s="44">
        <v>57</v>
      </c>
      <c r="M86" s="46">
        <v>54</v>
      </c>
      <c r="N86" s="46">
        <v>58</v>
      </c>
      <c r="O86" s="45">
        <v>71</v>
      </c>
      <c r="P86" s="44">
        <v>59</v>
      </c>
      <c r="Q86" s="46">
        <v>47</v>
      </c>
      <c r="R86" s="46">
        <v>70</v>
      </c>
      <c r="S86" s="45">
        <v>57</v>
      </c>
      <c r="T86" s="44">
        <v>56</v>
      </c>
      <c r="U86" s="46">
        <v>62</v>
      </c>
      <c r="V86" s="46">
        <v>70</v>
      </c>
      <c r="W86" s="45">
        <v>54</v>
      </c>
      <c r="X86" s="44">
        <v>243</v>
      </c>
      <c r="Y86" s="46">
        <v>225</v>
      </c>
      <c r="Z86" s="46">
        <v>290</v>
      </c>
      <c r="AA86" s="45">
        <v>255</v>
      </c>
      <c r="AB86" s="44">
        <v>207</v>
      </c>
      <c r="AC86" s="46">
        <v>191</v>
      </c>
      <c r="AD86" s="46">
        <v>221</v>
      </c>
      <c r="AE86" s="47">
        <v>214</v>
      </c>
      <c r="AF86" s="44">
        <v>174</v>
      </c>
      <c r="AG86" s="46">
        <v>192</v>
      </c>
      <c r="AH86" s="46">
        <v>194</v>
      </c>
      <c r="AI86" s="47">
        <v>174</v>
      </c>
      <c r="AJ86" s="44">
        <v>150</v>
      </c>
      <c r="AK86" s="46">
        <v>138</v>
      </c>
      <c r="AL86" s="46">
        <v>143</v>
      </c>
      <c r="AM86" s="47">
        <v>166</v>
      </c>
      <c r="AN86" s="44">
        <v>253</v>
      </c>
      <c r="AO86" s="46">
        <v>217</v>
      </c>
      <c r="AP86" s="46">
        <v>246</v>
      </c>
      <c r="AQ86" s="47">
        <v>260</v>
      </c>
      <c r="AR86" s="44">
        <v>233</v>
      </c>
      <c r="AS86" s="46">
        <v>219</v>
      </c>
      <c r="AT86" s="46">
        <v>286</v>
      </c>
      <c r="AU86" s="47">
        <v>199</v>
      </c>
      <c r="AV86" s="44">
        <v>123</v>
      </c>
      <c r="AW86" s="46">
        <v>121</v>
      </c>
      <c r="AX86" s="46">
        <v>158</v>
      </c>
      <c r="AY86" s="47">
        <v>123</v>
      </c>
      <c r="AZ86" s="44">
        <v>32</v>
      </c>
      <c r="BA86" s="46">
        <v>17</v>
      </c>
      <c r="BB86" s="46">
        <v>30</v>
      </c>
      <c r="BC86" s="47">
        <v>27</v>
      </c>
      <c r="BD86" s="44"/>
      <c r="BE86" s="46"/>
      <c r="BF86" s="46"/>
      <c r="BG86" s="130"/>
      <c r="BH86" s="101"/>
      <c r="BI86" s="49" t="s">
        <v>101</v>
      </c>
      <c r="BJ86" s="101">
        <f t="shared" si="13"/>
        <v>965</v>
      </c>
      <c r="BK86" s="101">
        <f t="shared" si="14"/>
        <v>904</v>
      </c>
      <c r="BL86" s="101">
        <f t="shared" si="15"/>
        <v>1057</v>
      </c>
      <c r="BM86" s="101">
        <f t="shared" si="16"/>
        <v>949</v>
      </c>
      <c r="BO86" t="s">
        <v>241</v>
      </c>
      <c r="BP86">
        <v>965</v>
      </c>
      <c r="BQ86">
        <v>904</v>
      </c>
      <c r="BR86">
        <v>1057</v>
      </c>
      <c r="BS86">
        <v>949</v>
      </c>
      <c r="BT86">
        <f t="shared" si="17"/>
        <v>1869</v>
      </c>
      <c r="BU86">
        <f t="shared" si="18"/>
        <v>6846</v>
      </c>
      <c r="BV86">
        <f t="shared" si="12"/>
        <v>3875</v>
      </c>
      <c r="BW86" s="148">
        <f t="shared" si="19"/>
        <v>0.48232258064516131</v>
      </c>
    </row>
    <row r="87" spans="1:75" x14ac:dyDescent="0.25">
      <c r="A87" s="79">
        <v>69</v>
      </c>
      <c r="B87" s="50" t="s">
        <v>102</v>
      </c>
      <c r="C87" s="39"/>
      <c r="D87" s="64">
        <v>33</v>
      </c>
      <c r="E87" s="46">
        <v>32</v>
      </c>
      <c r="F87" s="65">
        <v>151</v>
      </c>
      <c r="G87" s="46">
        <v>170</v>
      </c>
      <c r="H87" s="64">
        <v>27</v>
      </c>
      <c r="I87" s="46">
        <v>23</v>
      </c>
      <c r="J87" s="65">
        <v>101</v>
      </c>
      <c r="K87" s="46">
        <v>114</v>
      </c>
      <c r="L87" s="64">
        <v>28</v>
      </c>
      <c r="M87" s="46">
        <v>23</v>
      </c>
      <c r="N87" s="65">
        <v>140</v>
      </c>
      <c r="O87" s="46">
        <v>140</v>
      </c>
      <c r="P87" s="64">
        <v>23</v>
      </c>
      <c r="Q87" s="46">
        <v>31</v>
      </c>
      <c r="R87" s="65">
        <v>122</v>
      </c>
      <c r="S87" s="46">
        <v>133</v>
      </c>
      <c r="T87" s="64">
        <v>32</v>
      </c>
      <c r="U87" s="46">
        <v>27</v>
      </c>
      <c r="V87" s="65">
        <v>144</v>
      </c>
      <c r="W87" s="46">
        <v>164</v>
      </c>
      <c r="X87" s="64">
        <v>139</v>
      </c>
      <c r="Y87" s="46">
        <v>135</v>
      </c>
      <c r="Z87" s="65">
        <v>618</v>
      </c>
      <c r="AA87" s="46">
        <v>580</v>
      </c>
      <c r="AB87" s="64">
        <v>126</v>
      </c>
      <c r="AC87" s="46">
        <v>113</v>
      </c>
      <c r="AD87" s="65">
        <v>612</v>
      </c>
      <c r="AE87" s="66">
        <v>582</v>
      </c>
      <c r="AF87" s="64">
        <v>106</v>
      </c>
      <c r="AG87" s="46">
        <v>114</v>
      </c>
      <c r="AH87" s="65">
        <v>448</v>
      </c>
      <c r="AI87" s="66">
        <v>531</v>
      </c>
      <c r="AJ87" s="64">
        <v>99</v>
      </c>
      <c r="AK87" s="46">
        <v>100</v>
      </c>
      <c r="AL87" s="65">
        <v>263</v>
      </c>
      <c r="AM87" s="66">
        <v>369</v>
      </c>
      <c r="AN87" s="64">
        <v>170</v>
      </c>
      <c r="AO87" s="46">
        <v>117</v>
      </c>
      <c r="AP87" s="65">
        <v>410</v>
      </c>
      <c r="AQ87" s="66">
        <v>632</v>
      </c>
      <c r="AR87" s="64">
        <v>160</v>
      </c>
      <c r="AS87" s="46">
        <v>144</v>
      </c>
      <c r="AT87" s="65">
        <v>514</v>
      </c>
      <c r="AU87" s="66">
        <v>598</v>
      </c>
      <c r="AV87" s="64">
        <v>103</v>
      </c>
      <c r="AW87" s="46">
        <v>86</v>
      </c>
      <c r="AX87" s="65">
        <v>396</v>
      </c>
      <c r="AY87" s="66">
        <v>398</v>
      </c>
      <c r="AZ87" s="64">
        <v>21</v>
      </c>
      <c r="BA87" s="46">
        <v>15</v>
      </c>
      <c r="BB87" s="65">
        <v>126</v>
      </c>
      <c r="BC87" s="66">
        <v>155</v>
      </c>
      <c r="BD87" s="70">
        <v>2</v>
      </c>
      <c r="BE87" s="71">
        <v>1</v>
      </c>
      <c r="BF87" s="72"/>
      <c r="BG87" s="134"/>
      <c r="BH87" s="72"/>
      <c r="BI87" s="49" t="s">
        <v>102</v>
      </c>
      <c r="BJ87" s="101">
        <f t="shared" si="13"/>
        <v>659</v>
      </c>
      <c r="BK87" s="101">
        <f t="shared" si="14"/>
        <v>576</v>
      </c>
      <c r="BL87" s="101">
        <f t="shared" si="15"/>
        <v>2157</v>
      </c>
      <c r="BM87" s="101">
        <f t="shared" si="16"/>
        <v>2683</v>
      </c>
      <c r="BO87" t="s">
        <v>242</v>
      </c>
      <c r="BP87">
        <v>659</v>
      </c>
      <c r="BQ87">
        <v>576</v>
      </c>
      <c r="BR87">
        <v>2157</v>
      </c>
      <c r="BS87">
        <v>2683</v>
      </c>
      <c r="BT87">
        <f t="shared" si="17"/>
        <v>1235</v>
      </c>
      <c r="BU87">
        <f t="shared" si="18"/>
        <v>10525</v>
      </c>
      <c r="BV87">
        <f t="shared" si="12"/>
        <v>6075</v>
      </c>
      <c r="BW87" s="148">
        <f t="shared" si="19"/>
        <v>0.20329218106995886</v>
      </c>
    </row>
    <row r="88" spans="1:75" s="74" customFormat="1" x14ac:dyDescent="0.25">
      <c r="A88" s="79">
        <v>70</v>
      </c>
      <c r="B88" s="50" t="s">
        <v>103</v>
      </c>
      <c r="C88" s="69" t="s">
        <v>104</v>
      </c>
      <c r="D88" s="70">
        <v>46</v>
      </c>
      <c r="E88" s="71">
        <v>42</v>
      </c>
      <c r="F88" s="72">
        <v>240</v>
      </c>
      <c r="G88" s="71">
        <v>214</v>
      </c>
      <c r="H88" s="70">
        <v>31</v>
      </c>
      <c r="I88" s="71">
        <v>27</v>
      </c>
      <c r="J88" s="72">
        <v>127</v>
      </c>
      <c r="K88" s="71">
        <v>141</v>
      </c>
      <c r="L88" s="70">
        <v>45</v>
      </c>
      <c r="M88" s="71">
        <v>30</v>
      </c>
      <c r="N88" s="72">
        <v>209</v>
      </c>
      <c r="O88" s="71">
        <v>193</v>
      </c>
      <c r="P88" s="70">
        <v>50</v>
      </c>
      <c r="Q88" s="71">
        <v>46</v>
      </c>
      <c r="R88" s="72">
        <v>194</v>
      </c>
      <c r="S88" s="71">
        <v>210</v>
      </c>
      <c r="T88" s="70">
        <v>32</v>
      </c>
      <c r="U88" s="71">
        <v>37</v>
      </c>
      <c r="V88" s="72">
        <v>180</v>
      </c>
      <c r="W88" s="71">
        <v>224</v>
      </c>
      <c r="X88" s="70">
        <v>171</v>
      </c>
      <c r="Y88" s="71">
        <v>166</v>
      </c>
      <c r="Z88" s="72">
        <v>837</v>
      </c>
      <c r="AA88" s="71">
        <v>808</v>
      </c>
      <c r="AB88" s="70">
        <v>143</v>
      </c>
      <c r="AC88" s="71">
        <v>159</v>
      </c>
      <c r="AD88" s="72">
        <v>816</v>
      </c>
      <c r="AE88" s="73">
        <v>761</v>
      </c>
      <c r="AF88" s="70">
        <v>111</v>
      </c>
      <c r="AG88" s="71">
        <v>124</v>
      </c>
      <c r="AH88" s="72">
        <v>515</v>
      </c>
      <c r="AI88" s="73">
        <v>685</v>
      </c>
      <c r="AJ88" s="70">
        <v>104</v>
      </c>
      <c r="AK88" s="71">
        <v>127</v>
      </c>
      <c r="AL88" s="72">
        <v>277</v>
      </c>
      <c r="AM88" s="73">
        <v>468</v>
      </c>
      <c r="AN88" s="70">
        <v>183</v>
      </c>
      <c r="AO88" s="71">
        <v>165</v>
      </c>
      <c r="AP88" s="72">
        <v>477</v>
      </c>
      <c r="AQ88" s="73">
        <v>786</v>
      </c>
      <c r="AR88" s="70">
        <v>197</v>
      </c>
      <c r="AS88" s="71">
        <v>174</v>
      </c>
      <c r="AT88" s="72">
        <v>652</v>
      </c>
      <c r="AU88" s="73">
        <v>682</v>
      </c>
      <c r="AV88" s="70">
        <v>125</v>
      </c>
      <c r="AW88" s="71">
        <v>79</v>
      </c>
      <c r="AX88" s="72">
        <v>445</v>
      </c>
      <c r="AY88" s="73">
        <v>404</v>
      </c>
      <c r="AZ88" s="70">
        <v>20</v>
      </c>
      <c r="BA88" s="71">
        <v>32</v>
      </c>
      <c r="BB88" s="72">
        <v>124</v>
      </c>
      <c r="BC88" s="73">
        <v>170</v>
      </c>
      <c r="BD88" s="70"/>
      <c r="BE88" s="71"/>
      <c r="BF88" s="72"/>
      <c r="BG88" s="134"/>
      <c r="BH88" s="72"/>
      <c r="BI88" s="49" t="s">
        <v>103</v>
      </c>
      <c r="BJ88" s="101">
        <f t="shared" si="13"/>
        <v>740</v>
      </c>
      <c r="BK88" s="101">
        <f t="shared" si="14"/>
        <v>701</v>
      </c>
      <c r="BL88" s="101">
        <f t="shared" si="15"/>
        <v>2490</v>
      </c>
      <c r="BM88" s="101">
        <f t="shared" si="16"/>
        <v>3195</v>
      </c>
      <c r="BO88" t="s">
        <v>243</v>
      </c>
      <c r="BP88" s="74">
        <v>740</v>
      </c>
      <c r="BQ88" s="74">
        <v>701</v>
      </c>
      <c r="BR88" s="74">
        <v>2490</v>
      </c>
      <c r="BS88" s="74">
        <v>3195</v>
      </c>
      <c r="BT88">
        <f t="shared" si="17"/>
        <v>1441</v>
      </c>
      <c r="BU88">
        <f t="shared" si="18"/>
        <v>6597</v>
      </c>
      <c r="BV88">
        <f t="shared" si="12"/>
        <v>7126</v>
      </c>
      <c r="BW88" s="148">
        <f t="shared" si="19"/>
        <v>0.20221723266909908</v>
      </c>
    </row>
    <row r="89" spans="1:75" x14ac:dyDescent="0.25">
      <c r="A89" s="79">
        <v>71</v>
      </c>
      <c r="B89" s="50" t="s">
        <v>105</v>
      </c>
      <c r="C89" s="24"/>
      <c r="D89" s="64">
        <v>37</v>
      </c>
      <c r="E89" s="46">
        <v>28</v>
      </c>
      <c r="F89" s="65">
        <v>17</v>
      </c>
      <c r="G89" s="46">
        <v>26</v>
      </c>
      <c r="H89" s="64">
        <v>45</v>
      </c>
      <c r="I89" s="46">
        <v>18</v>
      </c>
      <c r="J89" s="65">
        <v>23</v>
      </c>
      <c r="K89" s="46">
        <v>26</v>
      </c>
      <c r="L89" s="64">
        <v>27</v>
      </c>
      <c r="M89" s="46">
        <v>35</v>
      </c>
      <c r="N89" s="65">
        <v>39</v>
      </c>
      <c r="O89" s="46">
        <v>24</v>
      </c>
      <c r="P89" s="64">
        <v>41</v>
      </c>
      <c r="Q89" s="46">
        <v>36</v>
      </c>
      <c r="R89" s="65">
        <v>25</v>
      </c>
      <c r="S89" s="46">
        <v>25</v>
      </c>
      <c r="T89" s="64">
        <v>36</v>
      </c>
      <c r="U89" s="46">
        <v>28</v>
      </c>
      <c r="V89" s="65">
        <v>18</v>
      </c>
      <c r="W89" s="46">
        <v>25</v>
      </c>
      <c r="X89" s="64">
        <v>144</v>
      </c>
      <c r="Y89" s="46">
        <v>148</v>
      </c>
      <c r="Z89" s="65">
        <v>100</v>
      </c>
      <c r="AA89" s="46">
        <v>120</v>
      </c>
      <c r="AB89" s="64">
        <v>137</v>
      </c>
      <c r="AC89" s="46">
        <v>127</v>
      </c>
      <c r="AD89" s="65">
        <v>74</v>
      </c>
      <c r="AE89" s="66">
        <v>89</v>
      </c>
      <c r="AF89" s="64">
        <v>128</v>
      </c>
      <c r="AG89" s="46">
        <v>122</v>
      </c>
      <c r="AH89" s="65">
        <v>71</v>
      </c>
      <c r="AI89" s="66">
        <v>82</v>
      </c>
      <c r="AJ89" s="64">
        <v>137</v>
      </c>
      <c r="AK89" s="46">
        <v>125</v>
      </c>
      <c r="AL89" s="65">
        <v>55</v>
      </c>
      <c r="AM89" s="66">
        <v>61</v>
      </c>
      <c r="AN89" s="64">
        <v>208</v>
      </c>
      <c r="AO89" s="46">
        <v>151</v>
      </c>
      <c r="AP89" s="65">
        <v>111</v>
      </c>
      <c r="AQ89" s="66">
        <v>116</v>
      </c>
      <c r="AR89" s="64">
        <v>162</v>
      </c>
      <c r="AS89" s="46">
        <v>157</v>
      </c>
      <c r="AT89" s="65">
        <v>121</v>
      </c>
      <c r="AU89" s="66">
        <v>111</v>
      </c>
      <c r="AV89" s="64">
        <v>108</v>
      </c>
      <c r="AW89" s="46">
        <v>81</v>
      </c>
      <c r="AX89" s="65">
        <v>91</v>
      </c>
      <c r="AY89" s="66">
        <v>52</v>
      </c>
      <c r="AZ89" s="64">
        <v>17</v>
      </c>
      <c r="BA89" s="46">
        <v>15</v>
      </c>
      <c r="BB89" s="65">
        <v>32</v>
      </c>
      <c r="BC89" s="66">
        <v>9</v>
      </c>
      <c r="BD89" s="64"/>
      <c r="BE89" s="46"/>
      <c r="BF89" s="65"/>
      <c r="BG89" s="133"/>
      <c r="BH89" s="65"/>
      <c r="BI89" s="49" t="s">
        <v>105</v>
      </c>
      <c r="BJ89" s="101">
        <f t="shared" si="13"/>
        <v>760</v>
      </c>
      <c r="BK89" s="101">
        <f t="shared" si="14"/>
        <v>651</v>
      </c>
      <c r="BL89" s="101">
        <f t="shared" si="15"/>
        <v>481</v>
      </c>
      <c r="BM89" s="101">
        <f t="shared" si="16"/>
        <v>431</v>
      </c>
      <c r="BO89" t="s">
        <v>244</v>
      </c>
      <c r="BP89">
        <v>760</v>
      </c>
      <c r="BQ89">
        <v>651</v>
      </c>
      <c r="BR89">
        <v>481</v>
      </c>
      <c r="BS89">
        <v>431</v>
      </c>
      <c r="BT89">
        <f t="shared" si="17"/>
        <v>1411</v>
      </c>
      <c r="BU89">
        <f t="shared" si="18"/>
        <v>5245</v>
      </c>
      <c r="BV89">
        <f t="shared" si="12"/>
        <v>2323</v>
      </c>
      <c r="BW89" s="148">
        <f t="shared" si="19"/>
        <v>0.60740421868273786</v>
      </c>
    </row>
    <row r="90" spans="1:75" x14ac:dyDescent="0.25">
      <c r="A90" s="79">
        <v>72</v>
      </c>
      <c r="B90" s="50" t="s">
        <v>106</v>
      </c>
      <c r="C90" s="24"/>
      <c r="D90" s="64">
        <v>133</v>
      </c>
      <c r="E90" s="46">
        <v>109</v>
      </c>
      <c r="F90" s="65">
        <v>136</v>
      </c>
      <c r="G90" s="46">
        <v>119</v>
      </c>
      <c r="H90" s="64">
        <v>104</v>
      </c>
      <c r="I90" s="46">
        <v>103</v>
      </c>
      <c r="J90" s="65">
        <v>96</v>
      </c>
      <c r="K90" s="46">
        <v>90</v>
      </c>
      <c r="L90" s="64">
        <v>131</v>
      </c>
      <c r="M90" s="46">
        <v>128</v>
      </c>
      <c r="N90" s="65">
        <v>107</v>
      </c>
      <c r="O90" s="46">
        <v>122</v>
      </c>
      <c r="P90" s="64">
        <v>132</v>
      </c>
      <c r="Q90" s="46">
        <v>132</v>
      </c>
      <c r="R90" s="65">
        <v>119</v>
      </c>
      <c r="S90" s="46">
        <v>113</v>
      </c>
      <c r="T90" s="64">
        <v>113</v>
      </c>
      <c r="U90" s="46">
        <v>129</v>
      </c>
      <c r="V90" s="65">
        <v>115</v>
      </c>
      <c r="W90" s="46">
        <v>102</v>
      </c>
      <c r="X90" s="64">
        <v>572</v>
      </c>
      <c r="Y90" s="46">
        <v>571</v>
      </c>
      <c r="Z90" s="65">
        <v>557</v>
      </c>
      <c r="AA90" s="46">
        <v>538</v>
      </c>
      <c r="AB90" s="64">
        <v>555</v>
      </c>
      <c r="AC90" s="46">
        <v>476</v>
      </c>
      <c r="AD90" s="65">
        <v>441</v>
      </c>
      <c r="AE90" s="66">
        <v>429</v>
      </c>
      <c r="AF90" s="64">
        <v>461</v>
      </c>
      <c r="AG90" s="46">
        <v>419</v>
      </c>
      <c r="AH90" s="65">
        <v>429</v>
      </c>
      <c r="AI90" s="66">
        <v>428</v>
      </c>
      <c r="AJ90" s="64">
        <v>366</v>
      </c>
      <c r="AK90" s="46">
        <v>394</v>
      </c>
      <c r="AL90" s="65">
        <v>368</v>
      </c>
      <c r="AM90" s="66">
        <v>367</v>
      </c>
      <c r="AN90" s="64">
        <v>643</v>
      </c>
      <c r="AO90" s="46">
        <v>563</v>
      </c>
      <c r="AP90" s="65">
        <v>471</v>
      </c>
      <c r="AQ90" s="66">
        <v>447</v>
      </c>
      <c r="AR90" s="64">
        <v>629</v>
      </c>
      <c r="AS90" s="46">
        <v>584</v>
      </c>
      <c r="AT90" s="65">
        <v>473</v>
      </c>
      <c r="AU90" s="66">
        <v>496</v>
      </c>
      <c r="AV90" s="64">
        <v>412</v>
      </c>
      <c r="AW90" s="46">
        <v>375</v>
      </c>
      <c r="AX90" s="65">
        <v>389</v>
      </c>
      <c r="AY90" s="66">
        <v>312</v>
      </c>
      <c r="AZ90" s="64">
        <v>79</v>
      </c>
      <c r="BA90" s="46">
        <v>79</v>
      </c>
      <c r="BB90" s="65">
        <v>85</v>
      </c>
      <c r="BC90" s="66">
        <v>68</v>
      </c>
      <c r="BD90" s="64"/>
      <c r="BE90" s="46"/>
      <c r="BF90" s="65"/>
      <c r="BG90" s="133"/>
      <c r="BH90" s="65"/>
      <c r="BI90" s="49" t="s">
        <v>106</v>
      </c>
      <c r="BJ90" s="101">
        <f t="shared" si="13"/>
        <v>2590</v>
      </c>
      <c r="BK90" s="101">
        <f t="shared" si="14"/>
        <v>2414</v>
      </c>
      <c r="BL90" s="101">
        <f t="shared" si="15"/>
        <v>2215</v>
      </c>
      <c r="BM90" s="101">
        <f t="shared" si="16"/>
        <v>2118</v>
      </c>
      <c r="BO90" t="s">
        <v>245</v>
      </c>
      <c r="BP90">
        <v>2590</v>
      </c>
      <c r="BQ90">
        <v>2414</v>
      </c>
      <c r="BR90">
        <v>2215</v>
      </c>
      <c r="BS90">
        <v>2118</v>
      </c>
      <c r="BT90">
        <f t="shared" si="17"/>
        <v>5004</v>
      </c>
      <c r="BU90">
        <f t="shared" si="18"/>
        <v>8074</v>
      </c>
      <c r="BV90">
        <f t="shared" si="12"/>
        <v>9337</v>
      </c>
      <c r="BW90" s="148">
        <f t="shared" si="19"/>
        <v>0.53593231230587979</v>
      </c>
    </row>
    <row r="91" spans="1:75" x14ac:dyDescent="0.25">
      <c r="A91" s="79">
        <v>73</v>
      </c>
      <c r="B91" s="50" t="s">
        <v>107</v>
      </c>
      <c r="C91" s="24"/>
      <c r="D91" s="64">
        <v>39</v>
      </c>
      <c r="E91" s="46">
        <v>34</v>
      </c>
      <c r="F91" s="65">
        <v>177</v>
      </c>
      <c r="G91" s="46">
        <v>156</v>
      </c>
      <c r="H91" s="64">
        <v>38</v>
      </c>
      <c r="I91" s="46">
        <v>35</v>
      </c>
      <c r="J91" s="65">
        <v>125</v>
      </c>
      <c r="K91" s="46">
        <v>113</v>
      </c>
      <c r="L91" s="64">
        <v>34</v>
      </c>
      <c r="M91" s="46">
        <v>18</v>
      </c>
      <c r="N91" s="65">
        <v>120</v>
      </c>
      <c r="O91" s="46">
        <v>130</v>
      </c>
      <c r="P91" s="64">
        <v>26</v>
      </c>
      <c r="Q91" s="46">
        <v>49</v>
      </c>
      <c r="R91" s="65">
        <v>123</v>
      </c>
      <c r="S91" s="46">
        <v>154</v>
      </c>
      <c r="T91" s="64">
        <v>26</v>
      </c>
      <c r="U91" s="46">
        <v>46</v>
      </c>
      <c r="V91" s="65">
        <v>110</v>
      </c>
      <c r="W91" s="46">
        <v>130</v>
      </c>
      <c r="X91" s="64">
        <v>202</v>
      </c>
      <c r="Y91" s="46">
        <v>166</v>
      </c>
      <c r="Z91" s="65">
        <v>486</v>
      </c>
      <c r="AA91" s="46">
        <v>481</v>
      </c>
      <c r="AB91" s="64">
        <v>141</v>
      </c>
      <c r="AC91" s="46">
        <v>149</v>
      </c>
      <c r="AD91" s="65">
        <v>402</v>
      </c>
      <c r="AE91" s="66">
        <v>361</v>
      </c>
      <c r="AF91" s="64">
        <v>139</v>
      </c>
      <c r="AG91" s="46">
        <v>150</v>
      </c>
      <c r="AH91" s="65">
        <v>293</v>
      </c>
      <c r="AI91" s="66">
        <v>303</v>
      </c>
      <c r="AJ91" s="64">
        <v>139</v>
      </c>
      <c r="AK91" s="46">
        <v>150</v>
      </c>
      <c r="AL91" s="65">
        <v>181</v>
      </c>
      <c r="AM91" s="66">
        <v>293</v>
      </c>
      <c r="AN91" s="64">
        <v>207</v>
      </c>
      <c r="AO91" s="46">
        <v>224</v>
      </c>
      <c r="AP91" s="65">
        <v>414</v>
      </c>
      <c r="AQ91" s="66">
        <v>552</v>
      </c>
      <c r="AR91" s="64">
        <v>249</v>
      </c>
      <c r="AS91" s="46">
        <v>200</v>
      </c>
      <c r="AT91" s="65">
        <v>580</v>
      </c>
      <c r="AU91" s="66">
        <v>459</v>
      </c>
      <c r="AV91" s="64">
        <v>145</v>
      </c>
      <c r="AW91" s="46">
        <v>129</v>
      </c>
      <c r="AX91" s="65">
        <v>312</v>
      </c>
      <c r="AY91" s="66">
        <v>212</v>
      </c>
      <c r="AZ91" s="64">
        <v>25</v>
      </c>
      <c r="BA91" s="46">
        <v>27</v>
      </c>
      <c r="BB91" s="65">
        <v>65</v>
      </c>
      <c r="BC91" s="66">
        <v>77</v>
      </c>
      <c r="BD91" s="64"/>
      <c r="BE91" s="46"/>
      <c r="BF91" s="65"/>
      <c r="BG91" s="133"/>
      <c r="BH91" s="65"/>
      <c r="BI91" s="49" t="s">
        <v>107</v>
      </c>
      <c r="BJ91" s="101">
        <f t="shared" si="13"/>
        <v>904</v>
      </c>
      <c r="BK91" s="101">
        <f t="shared" si="14"/>
        <v>880</v>
      </c>
      <c r="BL91" s="101">
        <f t="shared" si="15"/>
        <v>1845</v>
      </c>
      <c r="BM91" s="101">
        <f t="shared" si="16"/>
        <v>1896</v>
      </c>
      <c r="BO91" t="s">
        <v>246</v>
      </c>
      <c r="BP91">
        <v>904</v>
      </c>
      <c r="BQ91">
        <v>880</v>
      </c>
      <c r="BR91">
        <v>1845</v>
      </c>
      <c r="BS91">
        <v>1896</v>
      </c>
      <c r="BT91">
        <f t="shared" si="17"/>
        <v>1784</v>
      </c>
      <c r="BU91">
        <f t="shared" si="18"/>
        <v>6858</v>
      </c>
      <c r="BV91">
        <f t="shared" si="12"/>
        <v>5525</v>
      </c>
      <c r="BW91" s="148">
        <f t="shared" si="19"/>
        <v>0.32289592760180996</v>
      </c>
    </row>
    <row r="92" spans="1:75" ht="15.75" x14ac:dyDescent="0.25">
      <c r="A92" s="79">
        <v>74</v>
      </c>
      <c r="B92" s="50" t="s">
        <v>108</v>
      </c>
      <c r="C92" s="67"/>
      <c r="D92" s="44">
        <v>31</v>
      </c>
      <c r="E92" s="46">
        <v>31</v>
      </c>
      <c r="F92" s="46">
        <v>81</v>
      </c>
      <c r="G92" s="45">
        <v>87</v>
      </c>
      <c r="H92" s="44">
        <v>30</v>
      </c>
      <c r="I92" s="46">
        <v>21</v>
      </c>
      <c r="J92" s="46">
        <v>73</v>
      </c>
      <c r="K92" s="45">
        <v>69</v>
      </c>
      <c r="L92" s="44">
        <v>25</v>
      </c>
      <c r="M92" s="46">
        <v>32</v>
      </c>
      <c r="N92" s="46">
        <v>69</v>
      </c>
      <c r="O92" s="45">
        <v>82</v>
      </c>
      <c r="P92" s="44">
        <v>31</v>
      </c>
      <c r="Q92" s="46">
        <v>29</v>
      </c>
      <c r="R92" s="46">
        <v>77</v>
      </c>
      <c r="S92" s="45">
        <v>68</v>
      </c>
      <c r="T92" s="44">
        <v>21</v>
      </c>
      <c r="U92" s="46">
        <v>37</v>
      </c>
      <c r="V92" s="46">
        <v>77</v>
      </c>
      <c r="W92" s="45">
        <v>74</v>
      </c>
      <c r="X92" s="44">
        <v>153</v>
      </c>
      <c r="Y92" s="46">
        <v>129</v>
      </c>
      <c r="Z92" s="46">
        <v>373</v>
      </c>
      <c r="AA92" s="45">
        <v>348</v>
      </c>
      <c r="AB92" s="44">
        <v>125</v>
      </c>
      <c r="AC92" s="46">
        <v>103</v>
      </c>
      <c r="AD92" s="46">
        <v>297</v>
      </c>
      <c r="AE92" s="47">
        <v>321</v>
      </c>
      <c r="AF92" s="44">
        <v>122</v>
      </c>
      <c r="AG92" s="46">
        <v>109</v>
      </c>
      <c r="AH92" s="46">
        <v>307</v>
      </c>
      <c r="AI92" s="47">
        <v>222</v>
      </c>
      <c r="AJ92" s="44">
        <v>105</v>
      </c>
      <c r="AK92" s="46">
        <v>99</v>
      </c>
      <c r="AL92" s="46">
        <v>239</v>
      </c>
      <c r="AM92" s="47">
        <v>186</v>
      </c>
      <c r="AN92" s="44">
        <v>190</v>
      </c>
      <c r="AO92" s="46">
        <v>183</v>
      </c>
      <c r="AP92" s="46">
        <v>375</v>
      </c>
      <c r="AQ92" s="47">
        <v>313</v>
      </c>
      <c r="AR92" s="44">
        <v>192</v>
      </c>
      <c r="AS92" s="46">
        <v>155</v>
      </c>
      <c r="AT92" s="46">
        <v>431</v>
      </c>
      <c r="AU92" s="47">
        <v>342</v>
      </c>
      <c r="AV92" s="44">
        <v>163</v>
      </c>
      <c r="AW92" s="46">
        <v>144</v>
      </c>
      <c r="AX92" s="46">
        <v>304</v>
      </c>
      <c r="AY92" s="47">
        <v>281</v>
      </c>
      <c r="AZ92" s="44">
        <v>24</v>
      </c>
      <c r="BA92" s="46">
        <v>32</v>
      </c>
      <c r="BB92" s="46">
        <v>65</v>
      </c>
      <c r="BC92" s="47">
        <v>52</v>
      </c>
      <c r="BD92" s="44"/>
      <c r="BE92" s="46"/>
      <c r="BF92" s="46"/>
      <c r="BG92" s="130">
        <v>1</v>
      </c>
      <c r="BH92" s="101"/>
      <c r="BI92" s="49" t="s">
        <v>108</v>
      </c>
      <c r="BJ92" s="101">
        <f t="shared" si="13"/>
        <v>796</v>
      </c>
      <c r="BK92" s="101">
        <f t="shared" si="14"/>
        <v>722</v>
      </c>
      <c r="BL92" s="101">
        <f t="shared" si="15"/>
        <v>1721</v>
      </c>
      <c r="BM92" s="101">
        <f t="shared" si="16"/>
        <v>1396</v>
      </c>
      <c r="BO92" t="s">
        <v>247</v>
      </c>
      <c r="BP92">
        <v>796</v>
      </c>
      <c r="BQ92">
        <v>722</v>
      </c>
      <c r="BR92">
        <v>1721</v>
      </c>
      <c r="BS92">
        <v>1396</v>
      </c>
      <c r="BT92">
        <f t="shared" si="17"/>
        <v>1518</v>
      </c>
      <c r="BU92">
        <f t="shared" si="18"/>
        <v>13410</v>
      </c>
      <c r="BV92">
        <f t="shared" si="12"/>
        <v>4635</v>
      </c>
      <c r="BW92" s="148">
        <f t="shared" si="19"/>
        <v>0.32750809061488673</v>
      </c>
    </row>
    <row r="93" spans="1:75" x14ac:dyDescent="0.25">
      <c r="A93" s="79">
        <v>75</v>
      </c>
      <c r="B93" s="50" t="s">
        <v>109</v>
      </c>
      <c r="C93" s="39"/>
      <c r="D93" s="64">
        <v>196</v>
      </c>
      <c r="E93" s="46">
        <v>149</v>
      </c>
      <c r="F93" s="65">
        <v>345</v>
      </c>
      <c r="G93" s="46">
        <v>375</v>
      </c>
      <c r="H93" s="64">
        <v>149</v>
      </c>
      <c r="I93" s="46">
        <v>130</v>
      </c>
      <c r="J93" s="65">
        <v>220</v>
      </c>
      <c r="K93" s="46">
        <v>187</v>
      </c>
      <c r="L93" s="64">
        <v>167</v>
      </c>
      <c r="M93" s="46">
        <v>179</v>
      </c>
      <c r="N93" s="65">
        <v>339</v>
      </c>
      <c r="O93" s="46">
        <v>315</v>
      </c>
      <c r="P93" s="64">
        <v>183</v>
      </c>
      <c r="Q93" s="46">
        <v>170</v>
      </c>
      <c r="R93" s="65">
        <v>277</v>
      </c>
      <c r="S93" s="46">
        <v>307</v>
      </c>
      <c r="T93" s="64">
        <v>168</v>
      </c>
      <c r="U93" s="46">
        <v>189</v>
      </c>
      <c r="V93" s="65">
        <v>307</v>
      </c>
      <c r="W93" s="46">
        <v>335</v>
      </c>
      <c r="X93" s="64">
        <v>774</v>
      </c>
      <c r="Y93" s="46">
        <v>799</v>
      </c>
      <c r="Z93" s="65">
        <v>1255</v>
      </c>
      <c r="AA93" s="46">
        <v>1291</v>
      </c>
      <c r="AB93" s="64">
        <v>755</v>
      </c>
      <c r="AC93" s="46">
        <v>669</v>
      </c>
      <c r="AD93" s="65">
        <v>1188</v>
      </c>
      <c r="AE93" s="66">
        <v>1053</v>
      </c>
      <c r="AF93" s="64">
        <v>727</v>
      </c>
      <c r="AG93" s="46">
        <v>621</v>
      </c>
      <c r="AH93" s="65">
        <v>878</v>
      </c>
      <c r="AI93" s="66">
        <v>893</v>
      </c>
      <c r="AJ93" s="64">
        <v>525</v>
      </c>
      <c r="AK93" s="46">
        <v>507</v>
      </c>
      <c r="AL93" s="65">
        <v>649</v>
      </c>
      <c r="AM93" s="66">
        <v>762</v>
      </c>
      <c r="AN93" s="64">
        <v>861</v>
      </c>
      <c r="AO93" s="46">
        <v>813</v>
      </c>
      <c r="AP93" s="65">
        <v>1185</v>
      </c>
      <c r="AQ93" s="66">
        <v>1312</v>
      </c>
      <c r="AR93" s="64">
        <v>935</v>
      </c>
      <c r="AS93" s="46">
        <v>785</v>
      </c>
      <c r="AT93" s="65">
        <v>1353</v>
      </c>
      <c r="AU93" s="66">
        <v>1143</v>
      </c>
      <c r="AV93" s="64">
        <v>626</v>
      </c>
      <c r="AW93" s="46">
        <v>525</v>
      </c>
      <c r="AX93" s="65">
        <v>912</v>
      </c>
      <c r="AY93" s="66">
        <v>737</v>
      </c>
      <c r="AZ93" s="64">
        <v>81</v>
      </c>
      <c r="BA93" s="46">
        <v>94</v>
      </c>
      <c r="BB93" s="65">
        <v>247</v>
      </c>
      <c r="BC93" s="66">
        <v>222</v>
      </c>
      <c r="BD93" s="64"/>
      <c r="BE93" s="46">
        <v>1</v>
      </c>
      <c r="BF93" s="65"/>
      <c r="BG93" s="133"/>
      <c r="BH93" s="65"/>
      <c r="BI93" s="49" t="s">
        <v>109</v>
      </c>
      <c r="BJ93" s="101">
        <f t="shared" si="13"/>
        <v>3755</v>
      </c>
      <c r="BK93" s="101">
        <f t="shared" si="14"/>
        <v>3345</v>
      </c>
      <c r="BL93" s="101">
        <f t="shared" si="15"/>
        <v>5224</v>
      </c>
      <c r="BM93" s="101">
        <f t="shared" si="16"/>
        <v>5069</v>
      </c>
      <c r="BO93" t="s">
        <v>248</v>
      </c>
      <c r="BP93">
        <v>3755</v>
      </c>
      <c r="BQ93">
        <v>3345</v>
      </c>
      <c r="BR93">
        <v>5224</v>
      </c>
      <c r="BS93">
        <v>5069</v>
      </c>
      <c r="BT93">
        <f t="shared" si="17"/>
        <v>7100</v>
      </c>
      <c r="BU93">
        <f t="shared" si="18"/>
        <v>13534</v>
      </c>
      <c r="BV93">
        <f t="shared" si="12"/>
        <v>17393</v>
      </c>
      <c r="BW93" s="148">
        <f t="shared" si="19"/>
        <v>0.40821019950554821</v>
      </c>
    </row>
    <row r="94" spans="1:75" x14ac:dyDescent="0.25">
      <c r="A94" s="79">
        <v>76</v>
      </c>
      <c r="B94" s="50" t="s">
        <v>110</v>
      </c>
      <c r="C94" s="24"/>
      <c r="D94" s="64">
        <v>82</v>
      </c>
      <c r="E94" s="46">
        <v>91</v>
      </c>
      <c r="F94" s="65">
        <v>100</v>
      </c>
      <c r="G94" s="46">
        <v>106</v>
      </c>
      <c r="H94" s="64">
        <v>91</v>
      </c>
      <c r="I94" s="46">
        <v>74</v>
      </c>
      <c r="J94" s="65">
        <v>78</v>
      </c>
      <c r="K94" s="46">
        <v>81</v>
      </c>
      <c r="L94" s="64">
        <v>100</v>
      </c>
      <c r="M94" s="46">
        <v>98</v>
      </c>
      <c r="N94" s="65">
        <v>89</v>
      </c>
      <c r="O94" s="46">
        <v>105</v>
      </c>
      <c r="P94" s="64">
        <v>108</v>
      </c>
      <c r="Q94" s="46">
        <v>95</v>
      </c>
      <c r="R94" s="65">
        <v>112</v>
      </c>
      <c r="S94" s="46">
        <v>97</v>
      </c>
      <c r="T94" s="64">
        <v>81</v>
      </c>
      <c r="U94" s="46">
        <v>89</v>
      </c>
      <c r="V94" s="65">
        <v>80</v>
      </c>
      <c r="W94" s="46">
        <v>120</v>
      </c>
      <c r="X94" s="64">
        <v>414</v>
      </c>
      <c r="Y94" s="46">
        <v>412</v>
      </c>
      <c r="Z94" s="65">
        <v>424</v>
      </c>
      <c r="AA94" s="46">
        <v>444</v>
      </c>
      <c r="AB94" s="70">
        <v>355</v>
      </c>
      <c r="AC94" s="71">
        <v>363</v>
      </c>
      <c r="AD94" s="72">
        <v>381</v>
      </c>
      <c r="AE94" s="73">
        <v>355</v>
      </c>
      <c r="AF94" s="64">
        <v>330</v>
      </c>
      <c r="AG94" s="46">
        <v>309</v>
      </c>
      <c r="AH94" s="65">
        <v>320</v>
      </c>
      <c r="AI94" s="66">
        <v>329</v>
      </c>
      <c r="AJ94" s="64">
        <v>255</v>
      </c>
      <c r="AK94" s="46">
        <v>286</v>
      </c>
      <c r="AL94" s="65">
        <v>245</v>
      </c>
      <c r="AM94" s="66">
        <v>262</v>
      </c>
      <c r="AN94" s="64">
        <v>431</v>
      </c>
      <c r="AO94" s="46">
        <v>429</v>
      </c>
      <c r="AP94" s="65">
        <v>366</v>
      </c>
      <c r="AQ94" s="66">
        <v>383</v>
      </c>
      <c r="AR94" s="64">
        <v>391</v>
      </c>
      <c r="AS94" s="46">
        <v>339</v>
      </c>
      <c r="AT94" s="65">
        <v>416</v>
      </c>
      <c r="AU94" s="66">
        <v>327</v>
      </c>
      <c r="AV94" s="64">
        <v>296</v>
      </c>
      <c r="AW94" s="46">
        <v>224</v>
      </c>
      <c r="AX94" s="65">
        <v>278</v>
      </c>
      <c r="AY94" s="66">
        <v>185</v>
      </c>
      <c r="AZ94" s="64">
        <v>41</v>
      </c>
      <c r="BA94" s="46">
        <v>38</v>
      </c>
      <c r="BB94" s="65">
        <v>73</v>
      </c>
      <c r="BC94" s="66">
        <v>57</v>
      </c>
      <c r="BD94" s="64">
        <v>1</v>
      </c>
      <c r="BE94" s="46"/>
      <c r="BF94" s="65"/>
      <c r="BG94" s="133"/>
      <c r="BH94" s="65"/>
      <c r="BI94" s="49" t="s">
        <v>110</v>
      </c>
      <c r="BJ94" s="101">
        <f t="shared" si="13"/>
        <v>1744</v>
      </c>
      <c r="BK94" s="101">
        <f t="shared" si="14"/>
        <v>1625</v>
      </c>
      <c r="BL94" s="101">
        <f t="shared" si="15"/>
        <v>1698</v>
      </c>
      <c r="BM94" s="101">
        <f t="shared" si="16"/>
        <v>1543</v>
      </c>
      <c r="BO94" t="s">
        <v>249</v>
      </c>
      <c r="BP94">
        <v>1744</v>
      </c>
      <c r="BQ94">
        <v>1625</v>
      </c>
      <c r="BR94">
        <v>1698</v>
      </c>
      <c r="BS94">
        <v>1543</v>
      </c>
      <c r="BT94">
        <f t="shared" si="17"/>
        <v>3369</v>
      </c>
      <c r="BU94">
        <f t="shared" si="18"/>
        <v>4899</v>
      </c>
      <c r="BV94">
        <f t="shared" si="12"/>
        <v>6610</v>
      </c>
      <c r="BW94" s="148">
        <f t="shared" si="19"/>
        <v>0.50968229954614219</v>
      </c>
    </row>
    <row r="95" spans="1:75" x14ac:dyDescent="0.25">
      <c r="A95" s="79">
        <v>77</v>
      </c>
      <c r="B95" s="50" t="s">
        <v>111</v>
      </c>
      <c r="C95" s="24"/>
      <c r="D95" s="64">
        <v>55</v>
      </c>
      <c r="E95" s="46">
        <v>55</v>
      </c>
      <c r="F95" s="65">
        <v>59</v>
      </c>
      <c r="G95" s="46">
        <v>40</v>
      </c>
      <c r="H95" s="64">
        <v>49</v>
      </c>
      <c r="I95" s="46">
        <v>54</v>
      </c>
      <c r="J95" s="65">
        <v>38</v>
      </c>
      <c r="K95" s="46">
        <v>36</v>
      </c>
      <c r="L95" s="64">
        <v>65</v>
      </c>
      <c r="M95" s="46">
        <v>61</v>
      </c>
      <c r="N95" s="65">
        <v>44</v>
      </c>
      <c r="O95" s="46">
        <v>48</v>
      </c>
      <c r="P95" s="64">
        <v>58</v>
      </c>
      <c r="Q95" s="46">
        <v>45</v>
      </c>
      <c r="R95" s="65">
        <v>41</v>
      </c>
      <c r="S95" s="46">
        <v>38</v>
      </c>
      <c r="T95" s="64">
        <v>58</v>
      </c>
      <c r="U95" s="46">
        <v>76</v>
      </c>
      <c r="V95" s="65">
        <v>39</v>
      </c>
      <c r="W95" s="46">
        <v>42</v>
      </c>
      <c r="X95" s="64">
        <v>252</v>
      </c>
      <c r="Y95" s="46">
        <v>245</v>
      </c>
      <c r="Z95" s="65">
        <v>208</v>
      </c>
      <c r="AA95" s="46">
        <v>202</v>
      </c>
      <c r="AB95" s="64">
        <v>204</v>
      </c>
      <c r="AC95" s="46">
        <v>214</v>
      </c>
      <c r="AD95" s="65">
        <v>152</v>
      </c>
      <c r="AE95" s="66">
        <v>149</v>
      </c>
      <c r="AF95" s="64">
        <v>168</v>
      </c>
      <c r="AG95" s="46">
        <v>166</v>
      </c>
      <c r="AH95" s="65">
        <v>141</v>
      </c>
      <c r="AI95" s="66">
        <v>142</v>
      </c>
      <c r="AJ95" s="64">
        <v>149</v>
      </c>
      <c r="AK95" s="46">
        <v>145</v>
      </c>
      <c r="AL95" s="65">
        <v>125</v>
      </c>
      <c r="AM95" s="66">
        <v>135</v>
      </c>
      <c r="AN95" s="64">
        <v>219</v>
      </c>
      <c r="AO95" s="46">
        <v>216</v>
      </c>
      <c r="AP95" s="65">
        <v>206</v>
      </c>
      <c r="AQ95" s="66">
        <v>188</v>
      </c>
      <c r="AR95" s="64">
        <v>210</v>
      </c>
      <c r="AS95" s="46">
        <v>170</v>
      </c>
      <c r="AT95" s="65">
        <v>183</v>
      </c>
      <c r="AU95" s="66">
        <v>176</v>
      </c>
      <c r="AV95" s="64">
        <v>150</v>
      </c>
      <c r="AW95" s="46">
        <v>114</v>
      </c>
      <c r="AX95" s="65">
        <v>162</v>
      </c>
      <c r="AY95" s="66">
        <v>130</v>
      </c>
      <c r="AZ95" s="64">
        <v>31</v>
      </c>
      <c r="BA95" s="46">
        <v>24</v>
      </c>
      <c r="BB95" s="65">
        <v>38</v>
      </c>
      <c r="BC95" s="66">
        <v>32</v>
      </c>
      <c r="BD95" s="64"/>
      <c r="BE95" s="46"/>
      <c r="BF95" s="65"/>
      <c r="BG95" s="133"/>
      <c r="BH95" s="65"/>
      <c r="BI95" s="49" t="s">
        <v>111</v>
      </c>
      <c r="BJ95" s="101">
        <f t="shared" si="13"/>
        <v>927</v>
      </c>
      <c r="BK95" s="101">
        <f t="shared" si="14"/>
        <v>835</v>
      </c>
      <c r="BL95" s="101">
        <f t="shared" si="15"/>
        <v>855</v>
      </c>
      <c r="BM95" s="101">
        <f t="shared" si="16"/>
        <v>803</v>
      </c>
      <c r="BO95" t="s">
        <v>250</v>
      </c>
      <c r="BP95">
        <v>927</v>
      </c>
      <c r="BQ95">
        <v>835</v>
      </c>
      <c r="BR95">
        <v>855</v>
      </c>
      <c r="BS95">
        <v>803</v>
      </c>
      <c r="BT95">
        <f t="shared" si="17"/>
        <v>1762</v>
      </c>
      <c r="BU95">
        <f t="shared" si="18"/>
        <v>9911</v>
      </c>
      <c r="BV95">
        <f t="shared" si="12"/>
        <v>3420</v>
      </c>
      <c r="BW95" s="148">
        <f t="shared" si="19"/>
        <v>0.51520467836257311</v>
      </c>
    </row>
    <row r="96" spans="1:75" x14ac:dyDescent="0.25">
      <c r="A96" s="79">
        <v>78</v>
      </c>
      <c r="B96" s="50" t="s">
        <v>112</v>
      </c>
      <c r="C96" s="24"/>
      <c r="D96" s="64">
        <v>21</v>
      </c>
      <c r="E96" s="46">
        <v>22</v>
      </c>
      <c r="F96" s="65">
        <v>266</v>
      </c>
      <c r="G96" s="46">
        <v>259</v>
      </c>
      <c r="H96" s="64">
        <v>19</v>
      </c>
      <c r="I96" s="46">
        <v>19</v>
      </c>
      <c r="J96" s="65">
        <v>209</v>
      </c>
      <c r="K96" s="46">
        <v>201</v>
      </c>
      <c r="L96" s="64">
        <v>17</v>
      </c>
      <c r="M96" s="46">
        <v>14</v>
      </c>
      <c r="N96" s="65">
        <v>234</v>
      </c>
      <c r="O96" s="46">
        <v>268</v>
      </c>
      <c r="P96" s="64">
        <v>13</v>
      </c>
      <c r="Q96" s="46">
        <v>27</v>
      </c>
      <c r="R96" s="65">
        <v>276</v>
      </c>
      <c r="S96" s="46">
        <v>255</v>
      </c>
      <c r="T96" s="64">
        <v>16</v>
      </c>
      <c r="U96" s="46">
        <v>17</v>
      </c>
      <c r="V96" s="65">
        <v>252</v>
      </c>
      <c r="W96" s="46">
        <v>265</v>
      </c>
      <c r="X96" s="64">
        <v>97</v>
      </c>
      <c r="Y96" s="46">
        <v>88</v>
      </c>
      <c r="Z96" s="65">
        <v>1046</v>
      </c>
      <c r="AA96" s="46">
        <v>1019</v>
      </c>
      <c r="AB96" s="64">
        <v>94</v>
      </c>
      <c r="AC96" s="46">
        <v>67</v>
      </c>
      <c r="AD96" s="65">
        <v>1032</v>
      </c>
      <c r="AE96" s="66">
        <v>1001</v>
      </c>
      <c r="AF96" s="64">
        <v>69</v>
      </c>
      <c r="AG96" s="46">
        <v>77</v>
      </c>
      <c r="AH96" s="65">
        <v>867</v>
      </c>
      <c r="AI96" s="66">
        <v>1044</v>
      </c>
      <c r="AJ96" s="64">
        <v>69</v>
      </c>
      <c r="AK96" s="46">
        <v>70</v>
      </c>
      <c r="AL96" s="65">
        <v>539</v>
      </c>
      <c r="AM96" s="66">
        <v>739</v>
      </c>
      <c r="AN96" s="64">
        <v>96</v>
      </c>
      <c r="AO96" s="46">
        <v>101</v>
      </c>
      <c r="AP96" s="65">
        <v>635</v>
      </c>
      <c r="AQ96" s="66">
        <v>1177</v>
      </c>
      <c r="AR96" s="64">
        <v>113</v>
      </c>
      <c r="AS96" s="46">
        <v>115</v>
      </c>
      <c r="AT96" s="65">
        <v>671</v>
      </c>
      <c r="AU96" s="66">
        <v>956</v>
      </c>
      <c r="AV96" s="64">
        <v>88</v>
      </c>
      <c r="AW96" s="46">
        <v>71</v>
      </c>
      <c r="AX96" s="65">
        <v>546</v>
      </c>
      <c r="AY96" s="66">
        <v>641</v>
      </c>
      <c r="AZ96" s="64">
        <v>21</v>
      </c>
      <c r="BA96" s="46">
        <v>18</v>
      </c>
      <c r="BB96" s="65">
        <v>181</v>
      </c>
      <c r="BC96" s="66">
        <v>257</v>
      </c>
      <c r="BD96" s="64"/>
      <c r="BE96" s="46"/>
      <c r="BF96" s="65"/>
      <c r="BG96" s="133"/>
      <c r="BH96" s="65"/>
      <c r="BI96" s="49" t="s">
        <v>112</v>
      </c>
      <c r="BJ96" s="101">
        <f t="shared" si="13"/>
        <v>456</v>
      </c>
      <c r="BK96" s="101">
        <f t="shared" si="14"/>
        <v>452</v>
      </c>
      <c r="BL96" s="101">
        <f t="shared" si="15"/>
        <v>3439</v>
      </c>
      <c r="BM96" s="101">
        <f t="shared" si="16"/>
        <v>4814</v>
      </c>
      <c r="BO96" t="s">
        <v>251</v>
      </c>
      <c r="BP96">
        <v>456</v>
      </c>
      <c r="BQ96">
        <v>452</v>
      </c>
      <c r="BR96">
        <v>3439</v>
      </c>
      <c r="BS96">
        <v>4814</v>
      </c>
      <c r="BT96">
        <f t="shared" si="17"/>
        <v>908</v>
      </c>
      <c r="BU96">
        <f t="shared" si="18"/>
        <v>10851</v>
      </c>
      <c r="BV96">
        <f t="shared" si="12"/>
        <v>9161</v>
      </c>
      <c r="BW96" s="148">
        <f t="shared" si="19"/>
        <v>9.9115817050540331E-2</v>
      </c>
    </row>
    <row r="97" spans="1:75" x14ac:dyDescent="0.25">
      <c r="A97" s="79">
        <v>79</v>
      </c>
      <c r="B97" s="50" t="s">
        <v>113</v>
      </c>
      <c r="C97" s="24"/>
      <c r="D97" s="64">
        <v>54</v>
      </c>
      <c r="E97" s="46">
        <v>42</v>
      </c>
      <c r="F97" s="65">
        <v>87</v>
      </c>
      <c r="G97" s="46">
        <v>89</v>
      </c>
      <c r="H97" s="64">
        <v>26</v>
      </c>
      <c r="I97" s="46">
        <v>28</v>
      </c>
      <c r="J97" s="65">
        <v>57</v>
      </c>
      <c r="K97" s="46">
        <v>54</v>
      </c>
      <c r="L97" s="64">
        <v>47</v>
      </c>
      <c r="M97" s="46">
        <v>46</v>
      </c>
      <c r="N97" s="65">
        <v>75</v>
      </c>
      <c r="O97" s="46">
        <v>59</v>
      </c>
      <c r="P97" s="64">
        <v>40</v>
      </c>
      <c r="Q97" s="46">
        <v>46</v>
      </c>
      <c r="R97" s="65">
        <v>72</v>
      </c>
      <c r="S97" s="46">
        <v>80</v>
      </c>
      <c r="T97" s="64">
        <v>56</v>
      </c>
      <c r="U97" s="46">
        <v>49</v>
      </c>
      <c r="V97" s="65">
        <v>59</v>
      </c>
      <c r="W97" s="46">
        <v>56</v>
      </c>
      <c r="X97" s="64">
        <v>211</v>
      </c>
      <c r="Y97" s="46">
        <v>177</v>
      </c>
      <c r="Z97" s="65">
        <v>262</v>
      </c>
      <c r="AA97" s="46">
        <v>243</v>
      </c>
      <c r="AB97" s="64">
        <v>191</v>
      </c>
      <c r="AC97" s="46">
        <v>213</v>
      </c>
      <c r="AD97" s="65">
        <v>196</v>
      </c>
      <c r="AE97" s="66">
        <v>205</v>
      </c>
      <c r="AF97" s="64">
        <v>187</v>
      </c>
      <c r="AG97" s="46">
        <v>171</v>
      </c>
      <c r="AH97" s="65">
        <v>190</v>
      </c>
      <c r="AI97" s="66">
        <v>211</v>
      </c>
      <c r="AJ97" s="64">
        <v>146</v>
      </c>
      <c r="AK97" s="46">
        <v>153</v>
      </c>
      <c r="AL97" s="65">
        <v>187</v>
      </c>
      <c r="AM97" s="66">
        <v>182</v>
      </c>
      <c r="AN97" s="64">
        <v>245</v>
      </c>
      <c r="AO97" s="46">
        <v>242</v>
      </c>
      <c r="AP97" s="65">
        <v>288</v>
      </c>
      <c r="AQ97" s="66">
        <v>311</v>
      </c>
      <c r="AR97" s="64">
        <v>299</v>
      </c>
      <c r="AS97" s="46">
        <v>263</v>
      </c>
      <c r="AT97" s="65">
        <v>417</v>
      </c>
      <c r="AU97" s="66">
        <v>311</v>
      </c>
      <c r="AV97" s="64">
        <v>173</v>
      </c>
      <c r="AW97" s="46">
        <v>153</v>
      </c>
      <c r="AX97" s="65">
        <v>258</v>
      </c>
      <c r="AY97" s="66">
        <v>148</v>
      </c>
      <c r="AZ97" s="64">
        <v>32</v>
      </c>
      <c r="BA97" s="46">
        <v>27</v>
      </c>
      <c r="BB97" s="65">
        <v>61</v>
      </c>
      <c r="BC97" s="66">
        <v>34</v>
      </c>
      <c r="BD97" s="64"/>
      <c r="BE97" s="46"/>
      <c r="BF97" s="65">
        <v>4</v>
      </c>
      <c r="BG97" s="133">
        <v>1</v>
      </c>
      <c r="BH97" s="65"/>
      <c r="BI97" s="49" t="s">
        <v>113</v>
      </c>
      <c r="BJ97" s="101">
        <f t="shared" si="13"/>
        <v>1082</v>
      </c>
      <c r="BK97" s="101">
        <f t="shared" si="14"/>
        <v>1009</v>
      </c>
      <c r="BL97" s="101">
        <f t="shared" si="15"/>
        <v>1401</v>
      </c>
      <c r="BM97" s="101">
        <f t="shared" si="16"/>
        <v>1197</v>
      </c>
      <c r="BO97" t="s">
        <v>252</v>
      </c>
      <c r="BP97">
        <v>1082</v>
      </c>
      <c r="BQ97">
        <v>1009</v>
      </c>
      <c r="BR97">
        <v>1401</v>
      </c>
      <c r="BS97">
        <v>1197</v>
      </c>
      <c r="BT97">
        <f t="shared" si="17"/>
        <v>2091</v>
      </c>
      <c r="BU97">
        <f t="shared" si="18"/>
        <v>5320</v>
      </c>
      <c r="BV97">
        <f t="shared" si="12"/>
        <v>4689</v>
      </c>
      <c r="BW97" s="148">
        <f t="shared" si="19"/>
        <v>0.44593730006397952</v>
      </c>
    </row>
    <row r="98" spans="1:75" ht="15.75" x14ac:dyDescent="0.25">
      <c r="A98" s="79">
        <v>80</v>
      </c>
      <c r="B98" s="50" t="s">
        <v>114</v>
      </c>
      <c r="C98" s="67"/>
      <c r="D98" s="44">
        <v>76</v>
      </c>
      <c r="E98" s="46">
        <v>79</v>
      </c>
      <c r="F98" s="46">
        <v>88</v>
      </c>
      <c r="G98" s="45">
        <v>96</v>
      </c>
      <c r="H98" s="44">
        <v>73</v>
      </c>
      <c r="I98" s="46">
        <v>62</v>
      </c>
      <c r="J98" s="46">
        <v>59</v>
      </c>
      <c r="K98" s="45">
        <v>58</v>
      </c>
      <c r="L98" s="44">
        <v>89</v>
      </c>
      <c r="M98" s="46">
        <v>76</v>
      </c>
      <c r="N98" s="46">
        <v>80</v>
      </c>
      <c r="O98" s="45">
        <v>89</v>
      </c>
      <c r="P98" s="44">
        <v>75</v>
      </c>
      <c r="Q98" s="46">
        <v>78</v>
      </c>
      <c r="R98" s="46">
        <v>88</v>
      </c>
      <c r="S98" s="45">
        <v>72</v>
      </c>
      <c r="T98" s="44">
        <v>67</v>
      </c>
      <c r="U98" s="46">
        <v>87</v>
      </c>
      <c r="V98" s="46">
        <v>98</v>
      </c>
      <c r="W98" s="45">
        <v>73</v>
      </c>
      <c r="X98" s="44">
        <v>363</v>
      </c>
      <c r="Y98" s="46">
        <v>315</v>
      </c>
      <c r="Z98" s="46">
        <v>343</v>
      </c>
      <c r="AA98" s="45">
        <v>385</v>
      </c>
      <c r="AB98" s="64">
        <v>301</v>
      </c>
      <c r="AC98" s="46">
        <v>285</v>
      </c>
      <c r="AD98" s="65">
        <v>274</v>
      </c>
      <c r="AE98" s="66">
        <v>321</v>
      </c>
      <c r="AF98" s="44">
        <v>258</v>
      </c>
      <c r="AG98" s="46">
        <v>245</v>
      </c>
      <c r="AH98" s="46">
        <v>277</v>
      </c>
      <c r="AI98" s="47">
        <v>256</v>
      </c>
      <c r="AJ98" s="44">
        <v>234</v>
      </c>
      <c r="AK98" s="46">
        <v>240</v>
      </c>
      <c r="AL98" s="46">
        <v>226</v>
      </c>
      <c r="AM98" s="47">
        <v>220</v>
      </c>
      <c r="AN98" s="44">
        <v>376</v>
      </c>
      <c r="AO98" s="46">
        <v>327</v>
      </c>
      <c r="AP98" s="46">
        <v>348</v>
      </c>
      <c r="AQ98" s="47">
        <v>325</v>
      </c>
      <c r="AR98" s="44">
        <v>339</v>
      </c>
      <c r="AS98" s="46">
        <v>303</v>
      </c>
      <c r="AT98" s="46">
        <v>374</v>
      </c>
      <c r="AU98" s="47">
        <v>281</v>
      </c>
      <c r="AV98" s="44">
        <v>197</v>
      </c>
      <c r="AW98" s="46">
        <v>172</v>
      </c>
      <c r="AX98" s="46">
        <v>206</v>
      </c>
      <c r="AY98" s="47">
        <v>131</v>
      </c>
      <c r="AZ98" s="44">
        <v>45</v>
      </c>
      <c r="BA98" s="46">
        <v>27</v>
      </c>
      <c r="BB98" s="46">
        <v>46</v>
      </c>
      <c r="BC98" s="47">
        <v>32</v>
      </c>
      <c r="BD98" s="44"/>
      <c r="BE98" s="46"/>
      <c r="BF98" s="46"/>
      <c r="BG98" s="130"/>
      <c r="BH98" s="101"/>
      <c r="BI98" s="49" t="s">
        <v>114</v>
      </c>
      <c r="BJ98" s="101">
        <f t="shared" si="13"/>
        <v>1449</v>
      </c>
      <c r="BK98" s="101">
        <f t="shared" si="14"/>
        <v>1314</v>
      </c>
      <c r="BL98" s="101">
        <f t="shared" si="15"/>
        <v>1477</v>
      </c>
      <c r="BM98" s="101">
        <f t="shared" si="16"/>
        <v>1245</v>
      </c>
      <c r="BO98" t="s">
        <v>253</v>
      </c>
      <c r="BP98">
        <v>1449</v>
      </c>
      <c r="BQ98">
        <v>1314</v>
      </c>
      <c r="BR98">
        <v>1477</v>
      </c>
      <c r="BS98">
        <v>1245</v>
      </c>
      <c r="BT98">
        <f t="shared" si="17"/>
        <v>2763</v>
      </c>
      <c r="BU98">
        <f t="shared" si="18"/>
        <v>11405</v>
      </c>
      <c r="BV98">
        <f t="shared" si="12"/>
        <v>5485</v>
      </c>
      <c r="BW98" s="148">
        <f t="shared" si="19"/>
        <v>0.50373746581586143</v>
      </c>
    </row>
    <row r="99" spans="1:75" x14ac:dyDescent="0.25">
      <c r="A99" s="79">
        <v>81</v>
      </c>
      <c r="B99" s="50" t="s">
        <v>115</v>
      </c>
      <c r="C99" s="39"/>
      <c r="D99" s="64">
        <v>138</v>
      </c>
      <c r="E99" s="46">
        <v>137</v>
      </c>
      <c r="F99" s="65">
        <v>291</v>
      </c>
      <c r="G99" s="46">
        <v>354</v>
      </c>
      <c r="H99" s="64">
        <v>101</v>
      </c>
      <c r="I99" s="46">
        <v>97</v>
      </c>
      <c r="J99" s="65">
        <v>182</v>
      </c>
      <c r="K99" s="46">
        <v>194</v>
      </c>
      <c r="L99" s="64">
        <v>124</v>
      </c>
      <c r="M99" s="46">
        <v>103</v>
      </c>
      <c r="N99" s="65">
        <v>252</v>
      </c>
      <c r="O99" s="46">
        <v>287</v>
      </c>
      <c r="P99" s="64">
        <v>119</v>
      </c>
      <c r="Q99" s="46">
        <v>123</v>
      </c>
      <c r="R99" s="65">
        <v>302</v>
      </c>
      <c r="S99" s="46">
        <v>265</v>
      </c>
      <c r="T99" s="64">
        <v>113</v>
      </c>
      <c r="U99" s="46">
        <v>137</v>
      </c>
      <c r="V99" s="65">
        <v>242</v>
      </c>
      <c r="W99" s="46">
        <v>256</v>
      </c>
      <c r="X99" s="64">
        <v>521</v>
      </c>
      <c r="Y99" s="46">
        <v>472</v>
      </c>
      <c r="Z99" s="65">
        <v>1050</v>
      </c>
      <c r="AA99" s="46">
        <v>1059</v>
      </c>
      <c r="AB99" s="44">
        <v>463</v>
      </c>
      <c r="AC99" s="46">
        <v>438</v>
      </c>
      <c r="AD99" s="46">
        <v>977</v>
      </c>
      <c r="AE99" s="47">
        <v>958</v>
      </c>
      <c r="AF99" s="64">
        <v>419</v>
      </c>
      <c r="AG99" s="46">
        <v>425</v>
      </c>
      <c r="AH99" s="65">
        <v>812</v>
      </c>
      <c r="AI99" s="66">
        <v>800</v>
      </c>
      <c r="AJ99" s="64">
        <v>348</v>
      </c>
      <c r="AK99" s="46">
        <v>352</v>
      </c>
      <c r="AL99" s="65">
        <v>554</v>
      </c>
      <c r="AM99" s="66">
        <v>607</v>
      </c>
      <c r="AN99" s="64">
        <v>573</v>
      </c>
      <c r="AO99" s="46">
        <v>530</v>
      </c>
      <c r="AP99" s="65">
        <v>1034</v>
      </c>
      <c r="AQ99" s="66">
        <v>1303</v>
      </c>
      <c r="AR99" s="64">
        <v>569</v>
      </c>
      <c r="AS99" s="46">
        <v>504</v>
      </c>
      <c r="AT99" s="65">
        <v>1211</v>
      </c>
      <c r="AU99" s="66">
        <v>978</v>
      </c>
      <c r="AV99" s="64">
        <v>345</v>
      </c>
      <c r="AW99" s="46">
        <v>254</v>
      </c>
      <c r="AX99" s="65">
        <v>565</v>
      </c>
      <c r="AY99" s="66">
        <v>523</v>
      </c>
      <c r="AZ99" s="64">
        <v>47</v>
      </c>
      <c r="BA99" s="46">
        <v>48</v>
      </c>
      <c r="BB99" s="65">
        <v>139</v>
      </c>
      <c r="BC99" s="66">
        <v>157</v>
      </c>
      <c r="BD99" s="64"/>
      <c r="BE99" s="46"/>
      <c r="BF99" s="65">
        <v>2</v>
      </c>
      <c r="BG99" s="133"/>
      <c r="BH99" s="65"/>
      <c r="BI99" s="49" t="s">
        <v>115</v>
      </c>
      <c r="BJ99" s="101">
        <f t="shared" si="13"/>
        <v>2301</v>
      </c>
      <c r="BK99" s="101">
        <f t="shared" si="14"/>
        <v>2113</v>
      </c>
      <c r="BL99" s="101">
        <f t="shared" si="15"/>
        <v>4315</v>
      </c>
      <c r="BM99" s="101">
        <f t="shared" si="16"/>
        <v>4368</v>
      </c>
      <c r="BO99" t="s">
        <v>254</v>
      </c>
      <c r="BP99">
        <v>2301</v>
      </c>
      <c r="BQ99">
        <v>2113</v>
      </c>
      <c r="BR99">
        <v>4315</v>
      </c>
      <c r="BS99">
        <v>4368</v>
      </c>
      <c r="BT99">
        <f t="shared" si="17"/>
        <v>4414</v>
      </c>
      <c r="BU99">
        <f t="shared" si="18"/>
        <v>16056</v>
      </c>
      <c r="BV99">
        <f t="shared" si="12"/>
        <v>13097</v>
      </c>
      <c r="BW99" s="148">
        <f t="shared" si="19"/>
        <v>0.3370237458960067</v>
      </c>
    </row>
    <row r="100" spans="1:75" x14ac:dyDescent="0.25">
      <c r="A100" s="79">
        <v>82</v>
      </c>
      <c r="B100" s="50" t="s">
        <v>116</v>
      </c>
      <c r="C100" s="24"/>
      <c r="D100" s="64">
        <v>89</v>
      </c>
      <c r="E100" s="46">
        <v>97</v>
      </c>
      <c r="F100" s="65">
        <v>184</v>
      </c>
      <c r="G100" s="46">
        <v>215</v>
      </c>
      <c r="H100" s="64">
        <v>86</v>
      </c>
      <c r="I100" s="46">
        <v>81</v>
      </c>
      <c r="J100" s="65">
        <v>116</v>
      </c>
      <c r="K100" s="46">
        <v>137</v>
      </c>
      <c r="L100" s="64">
        <v>107</v>
      </c>
      <c r="M100" s="46">
        <v>94</v>
      </c>
      <c r="N100" s="65">
        <v>166</v>
      </c>
      <c r="O100" s="46">
        <v>162</v>
      </c>
      <c r="P100" s="64">
        <v>110</v>
      </c>
      <c r="Q100" s="46">
        <v>99</v>
      </c>
      <c r="R100" s="65">
        <v>172</v>
      </c>
      <c r="S100" s="46">
        <v>177</v>
      </c>
      <c r="T100" s="64">
        <v>107</v>
      </c>
      <c r="U100" s="46">
        <v>113</v>
      </c>
      <c r="V100" s="65">
        <v>192</v>
      </c>
      <c r="W100" s="46">
        <v>180</v>
      </c>
      <c r="X100" s="64">
        <v>461</v>
      </c>
      <c r="Y100" s="46">
        <v>446</v>
      </c>
      <c r="Z100" s="65">
        <v>746</v>
      </c>
      <c r="AA100" s="46">
        <v>757</v>
      </c>
      <c r="AB100" s="64">
        <v>386</v>
      </c>
      <c r="AC100" s="46">
        <v>429</v>
      </c>
      <c r="AD100" s="65">
        <v>592</v>
      </c>
      <c r="AE100" s="66">
        <v>580</v>
      </c>
      <c r="AF100" s="64">
        <v>388</v>
      </c>
      <c r="AG100" s="46">
        <v>434</v>
      </c>
      <c r="AH100" s="65">
        <v>598</v>
      </c>
      <c r="AI100" s="66">
        <v>526</v>
      </c>
      <c r="AJ100" s="64">
        <v>318</v>
      </c>
      <c r="AK100" s="46">
        <v>308</v>
      </c>
      <c r="AL100" s="65">
        <v>630</v>
      </c>
      <c r="AM100" s="66">
        <v>521</v>
      </c>
      <c r="AN100" s="64">
        <v>601</v>
      </c>
      <c r="AO100" s="46">
        <v>583</v>
      </c>
      <c r="AP100" s="65">
        <v>1078</v>
      </c>
      <c r="AQ100" s="66">
        <v>773</v>
      </c>
      <c r="AR100" s="64">
        <v>592</v>
      </c>
      <c r="AS100" s="46">
        <v>600</v>
      </c>
      <c r="AT100" s="65">
        <v>1101</v>
      </c>
      <c r="AU100" s="66">
        <v>789</v>
      </c>
      <c r="AV100" s="64">
        <v>365</v>
      </c>
      <c r="AW100" s="46">
        <v>349</v>
      </c>
      <c r="AX100" s="65">
        <v>602</v>
      </c>
      <c r="AY100" s="66">
        <v>480</v>
      </c>
      <c r="AZ100" s="64">
        <v>63</v>
      </c>
      <c r="BA100" s="46">
        <v>74</v>
      </c>
      <c r="BB100" s="65">
        <v>157</v>
      </c>
      <c r="BC100" s="66">
        <v>118</v>
      </c>
      <c r="BD100" s="64">
        <v>1</v>
      </c>
      <c r="BE100" s="46"/>
      <c r="BF100" s="65"/>
      <c r="BG100" s="133"/>
      <c r="BH100" s="65"/>
      <c r="BI100" s="49" t="s">
        <v>116</v>
      </c>
      <c r="BJ100" s="101">
        <f t="shared" si="13"/>
        <v>2327</v>
      </c>
      <c r="BK100" s="101">
        <f t="shared" si="14"/>
        <v>2348</v>
      </c>
      <c r="BL100" s="101">
        <f t="shared" si="15"/>
        <v>4166</v>
      </c>
      <c r="BM100" s="101">
        <f t="shared" si="16"/>
        <v>3207</v>
      </c>
      <c r="BO100" t="s">
        <v>255</v>
      </c>
      <c r="BP100">
        <v>2327</v>
      </c>
      <c r="BQ100">
        <v>2348</v>
      </c>
      <c r="BR100">
        <v>4166</v>
      </c>
      <c r="BS100">
        <v>3207</v>
      </c>
      <c r="BT100">
        <f t="shared" si="17"/>
        <v>4675</v>
      </c>
      <c r="BU100">
        <f t="shared" si="18"/>
        <v>12751</v>
      </c>
      <c r="BV100">
        <f t="shared" si="12"/>
        <v>12048</v>
      </c>
      <c r="BW100" s="148">
        <f t="shared" si="19"/>
        <v>0.38803120849933598</v>
      </c>
    </row>
    <row r="101" spans="1:75" x14ac:dyDescent="0.25">
      <c r="A101" s="80"/>
      <c r="B101" s="81"/>
      <c r="C101" s="82"/>
      <c r="D101" s="59"/>
      <c r="E101" s="61"/>
      <c r="F101" s="83"/>
      <c r="G101" s="61"/>
      <c r="H101" s="59"/>
      <c r="I101" s="61"/>
      <c r="J101" s="83"/>
      <c r="K101" s="61"/>
      <c r="L101" s="59"/>
      <c r="M101" s="61"/>
      <c r="N101" s="83"/>
      <c r="O101" s="61"/>
      <c r="P101" s="59"/>
      <c r="Q101" s="61"/>
      <c r="R101" s="83"/>
      <c r="S101" s="61"/>
      <c r="T101" s="59"/>
      <c r="U101" s="61"/>
      <c r="V101" s="83"/>
      <c r="W101" s="61"/>
      <c r="X101" s="59"/>
      <c r="Y101" s="61"/>
      <c r="Z101" s="83"/>
      <c r="AA101" s="61"/>
      <c r="AB101" s="59"/>
      <c r="AC101" s="61"/>
      <c r="AD101" s="83"/>
      <c r="AE101" s="84"/>
      <c r="AF101" s="59"/>
      <c r="AG101" s="61"/>
      <c r="AH101" s="83"/>
      <c r="AI101" s="84"/>
      <c r="AJ101" s="59"/>
      <c r="AK101" s="61"/>
      <c r="AL101" s="83"/>
      <c r="AM101" s="84"/>
      <c r="AN101" s="59"/>
      <c r="AO101" s="61"/>
      <c r="AP101" s="83"/>
      <c r="AQ101" s="84"/>
      <c r="AR101" s="59"/>
      <c r="AS101" s="61"/>
      <c r="AT101" s="83"/>
      <c r="AU101" s="84"/>
      <c r="AV101" s="59"/>
      <c r="AW101" s="61"/>
      <c r="AX101" s="83"/>
      <c r="AY101" s="84"/>
      <c r="AZ101" s="59"/>
      <c r="BA101" s="61"/>
      <c r="BB101" s="83"/>
      <c r="BC101" s="84"/>
      <c r="BD101" s="59"/>
      <c r="BE101" s="61"/>
      <c r="BF101" s="83"/>
      <c r="BG101" s="136"/>
      <c r="BH101" s="65"/>
      <c r="BI101" s="49"/>
      <c r="BJ101" s="101">
        <f t="shared" ref="BJ101:BJ156" si="20">SUM(AZ101,AV101,AR101,AN101,AJ101,AF101)</f>
        <v>0</v>
      </c>
      <c r="BK101" s="101">
        <f t="shared" ref="BK101:BK156" si="21">SUM(BA101,AW101,AS101,AO101,AK101,AG101)</f>
        <v>0</v>
      </c>
      <c r="BL101" s="101">
        <f t="shared" ref="BL101:BL156" si="22">SUM(BB101,AX101,AT101,AP101,AL101,AH101)</f>
        <v>0</v>
      </c>
      <c r="BM101" s="101">
        <f t="shared" ref="BM101:BM156" si="23">SUM(BC101,AY101,AU101,AQ101,AM101,AI101)</f>
        <v>0</v>
      </c>
      <c r="BO101" t="s">
        <v>256</v>
      </c>
      <c r="BP101">
        <v>1096</v>
      </c>
      <c r="BQ101">
        <v>806</v>
      </c>
      <c r="BR101">
        <v>2621</v>
      </c>
      <c r="BS101">
        <v>2757</v>
      </c>
      <c r="BT101">
        <f t="shared" si="17"/>
        <v>1902</v>
      </c>
      <c r="BU101">
        <f t="shared" si="18"/>
        <v>12954</v>
      </c>
      <c r="BV101">
        <f t="shared" si="12"/>
        <v>7280</v>
      </c>
      <c r="BW101" s="148">
        <f t="shared" si="19"/>
        <v>0.26126373626373628</v>
      </c>
    </row>
    <row r="102" spans="1:75" ht="15.75" x14ac:dyDescent="0.25">
      <c r="A102" s="85" t="s">
        <v>117</v>
      </c>
      <c r="B102" s="86"/>
      <c r="C102" s="24"/>
      <c r="D102" s="87">
        <f>SUM(D19:D101)</f>
        <v>8081</v>
      </c>
      <c r="E102" s="46">
        <f t="shared" ref="E102:BG102" si="24">SUM(E19:E101)</f>
        <v>7481</v>
      </c>
      <c r="F102" s="46">
        <f t="shared" si="24"/>
        <v>18492</v>
      </c>
      <c r="G102" s="88">
        <f t="shared" si="24"/>
        <v>19199</v>
      </c>
      <c r="H102" s="87">
        <f t="shared" si="24"/>
        <v>6623</v>
      </c>
      <c r="I102" s="46">
        <f t="shared" si="24"/>
        <v>6337</v>
      </c>
      <c r="J102" s="46">
        <f t="shared" si="24"/>
        <v>11927</v>
      </c>
      <c r="K102" s="88">
        <f t="shared" si="24"/>
        <v>12212</v>
      </c>
      <c r="L102" s="87">
        <f t="shared" si="24"/>
        <v>7729</v>
      </c>
      <c r="M102" s="46">
        <f t="shared" si="24"/>
        <v>7423</v>
      </c>
      <c r="N102" s="46">
        <f t="shared" si="24"/>
        <v>16298</v>
      </c>
      <c r="O102" s="88">
        <f t="shared" si="24"/>
        <v>16555</v>
      </c>
      <c r="P102" s="87">
        <f t="shared" si="24"/>
        <v>7994</v>
      </c>
      <c r="Q102" s="46">
        <f t="shared" si="24"/>
        <v>7781</v>
      </c>
      <c r="R102" s="46">
        <f t="shared" si="24"/>
        <v>16816</v>
      </c>
      <c r="S102" s="88">
        <f t="shared" si="24"/>
        <v>17203</v>
      </c>
      <c r="T102" s="87">
        <f t="shared" si="24"/>
        <v>7867</v>
      </c>
      <c r="U102" s="46">
        <f t="shared" si="24"/>
        <v>7744</v>
      </c>
      <c r="V102" s="46">
        <f t="shared" si="24"/>
        <v>16250</v>
      </c>
      <c r="W102" s="88">
        <f t="shared" si="24"/>
        <v>16750</v>
      </c>
      <c r="X102" s="87">
        <f t="shared" si="24"/>
        <v>35108</v>
      </c>
      <c r="Y102" s="46">
        <f t="shared" si="24"/>
        <v>34332</v>
      </c>
      <c r="Z102" s="46">
        <f t="shared" si="24"/>
        <v>68082</v>
      </c>
      <c r="AA102" s="88">
        <f t="shared" si="24"/>
        <v>67034</v>
      </c>
      <c r="AB102" s="89">
        <f t="shared" si="24"/>
        <v>30751</v>
      </c>
      <c r="AC102" s="71">
        <f t="shared" si="24"/>
        <v>30256</v>
      </c>
      <c r="AD102" s="71">
        <f t="shared" si="24"/>
        <v>61505</v>
      </c>
      <c r="AE102" s="90">
        <f t="shared" si="24"/>
        <v>59099</v>
      </c>
      <c r="AF102" s="87">
        <f t="shared" si="24"/>
        <v>28897</v>
      </c>
      <c r="AG102" s="46">
        <f t="shared" si="24"/>
        <v>28589</v>
      </c>
      <c r="AH102" s="46">
        <f t="shared" si="24"/>
        <v>50147</v>
      </c>
      <c r="AI102" s="88">
        <f t="shared" si="24"/>
        <v>53759</v>
      </c>
      <c r="AJ102" s="87">
        <f t="shared" si="24"/>
        <v>25074</v>
      </c>
      <c r="AK102" s="46">
        <f t="shared" si="24"/>
        <v>25511</v>
      </c>
      <c r="AL102" s="46">
        <f t="shared" si="24"/>
        <v>40647</v>
      </c>
      <c r="AM102" s="88">
        <f t="shared" si="24"/>
        <v>45875</v>
      </c>
      <c r="AN102" s="87">
        <f t="shared" si="24"/>
        <v>44157</v>
      </c>
      <c r="AO102" s="46">
        <f t="shared" si="24"/>
        <v>39972</v>
      </c>
      <c r="AP102" s="46">
        <f t="shared" si="24"/>
        <v>74823</v>
      </c>
      <c r="AQ102" s="88">
        <f t="shared" si="24"/>
        <v>77167</v>
      </c>
      <c r="AR102" s="87">
        <f t="shared" si="24"/>
        <v>46730</v>
      </c>
      <c r="AS102" s="46">
        <f t="shared" si="24"/>
        <v>40250</v>
      </c>
      <c r="AT102" s="46">
        <f t="shared" si="24"/>
        <v>76561</v>
      </c>
      <c r="AU102" s="88">
        <f t="shared" si="24"/>
        <v>65169</v>
      </c>
      <c r="AV102" s="87">
        <f t="shared" si="24"/>
        <v>27597</v>
      </c>
      <c r="AW102" s="46">
        <f t="shared" si="24"/>
        <v>24290</v>
      </c>
      <c r="AX102" s="46">
        <f t="shared" si="24"/>
        <v>43863</v>
      </c>
      <c r="AY102" s="88">
        <f t="shared" si="24"/>
        <v>39252</v>
      </c>
      <c r="AZ102" s="87">
        <f t="shared" si="24"/>
        <v>4740</v>
      </c>
      <c r="BA102" s="46">
        <f t="shared" si="24"/>
        <v>4808</v>
      </c>
      <c r="BB102" s="46">
        <f t="shared" si="24"/>
        <v>11328</v>
      </c>
      <c r="BC102" s="88">
        <f t="shared" si="24"/>
        <v>11298</v>
      </c>
      <c r="BD102" s="87">
        <f t="shared" si="24"/>
        <v>31</v>
      </c>
      <c r="BE102" s="46">
        <f t="shared" si="24"/>
        <v>9</v>
      </c>
      <c r="BF102" s="46">
        <f t="shared" si="24"/>
        <v>112</v>
      </c>
      <c r="BG102" s="133">
        <f t="shared" si="24"/>
        <v>45</v>
      </c>
      <c r="BH102" s="65"/>
      <c r="BI102" s="141"/>
      <c r="BJ102" s="101">
        <f t="shared" si="20"/>
        <v>177195</v>
      </c>
      <c r="BK102" s="101">
        <f t="shared" si="21"/>
        <v>163420</v>
      </c>
      <c r="BL102" s="101">
        <f t="shared" si="22"/>
        <v>297369</v>
      </c>
      <c r="BM102" s="101">
        <f t="shared" si="23"/>
        <v>292520</v>
      </c>
      <c r="BO102" t="s">
        <v>257</v>
      </c>
      <c r="BP102">
        <v>1209</v>
      </c>
      <c r="BQ102">
        <v>897</v>
      </c>
      <c r="BR102">
        <v>3266</v>
      </c>
      <c r="BS102">
        <v>4310</v>
      </c>
      <c r="BT102">
        <f t="shared" si="17"/>
        <v>2106</v>
      </c>
      <c r="BU102">
        <f t="shared" si="18"/>
        <v>19594</v>
      </c>
      <c r="BV102">
        <f t="shared" si="12"/>
        <v>9682</v>
      </c>
      <c r="BW102" s="148">
        <f t="shared" si="19"/>
        <v>0.21751704193348481</v>
      </c>
    </row>
    <row r="103" spans="1:75" ht="15.75" x14ac:dyDescent="0.25">
      <c r="A103" s="91" t="s">
        <v>118</v>
      </c>
      <c r="B103" s="86"/>
      <c r="C103" s="24"/>
      <c r="D103" s="87"/>
      <c r="E103" s="46"/>
      <c r="F103" s="46"/>
      <c r="G103" s="88"/>
      <c r="H103" s="87"/>
      <c r="I103" s="46"/>
      <c r="J103" s="46"/>
      <c r="K103" s="88"/>
      <c r="L103" s="87"/>
      <c r="M103" s="46"/>
      <c r="N103" s="46"/>
      <c r="O103" s="88"/>
      <c r="P103" s="87"/>
      <c r="Q103" s="46"/>
      <c r="R103" s="46"/>
      <c r="S103" s="88"/>
      <c r="T103" s="87"/>
      <c r="U103" s="46"/>
      <c r="V103" s="46"/>
      <c r="W103" s="88"/>
      <c r="X103" s="87"/>
      <c r="Y103" s="46"/>
      <c r="Z103" s="46"/>
      <c r="AA103" s="88"/>
      <c r="AB103" s="87"/>
      <c r="AC103" s="46"/>
      <c r="AD103" s="46"/>
      <c r="AE103" s="65"/>
      <c r="AF103" s="87"/>
      <c r="AG103" s="46"/>
      <c r="AH103" s="46"/>
      <c r="AI103" s="65"/>
      <c r="AJ103" s="87"/>
      <c r="AK103" s="46"/>
      <c r="AL103" s="46"/>
      <c r="AM103" s="65"/>
      <c r="AN103" s="87"/>
      <c r="AO103" s="46"/>
      <c r="AP103" s="46"/>
      <c r="AQ103" s="65"/>
      <c r="AR103" s="87"/>
      <c r="AS103" s="46"/>
      <c r="AT103" s="46"/>
      <c r="AU103" s="65"/>
      <c r="AV103" s="87"/>
      <c r="AW103" s="46"/>
      <c r="AX103" s="46"/>
      <c r="AY103" s="65"/>
      <c r="AZ103" s="87"/>
      <c r="BA103" s="46"/>
      <c r="BB103" s="46"/>
      <c r="BC103" s="65"/>
      <c r="BD103" s="87"/>
      <c r="BE103" s="46"/>
      <c r="BF103" s="65"/>
      <c r="BG103" s="133"/>
      <c r="BH103" s="65"/>
      <c r="BI103" s="141"/>
      <c r="BJ103" s="101">
        <f t="shared" si="20"/>
        <v>0</v>
      </c>
      <c r="BK103" s="101">
        <f t="shared" si="21"/>
        <v>0</v>
      </c>
      <c r="BL103" s="101">
        <f t="shared" si="22"/>
        <v>0</v>
      </c>
      <c r="BM103" s="101">
        <f t="shared" si="23"/>
        <v>0</v>
      </c>
      <c r="BO103" t="s">
        <v>258</v>
      </c>
      <c r="BP103">
        <v>863</v>
      </c>
      <c r="BQ103">
        <v>747</v>
      </c>
      <c r="BR103">
        <v>5022</v>
      </c>
      <c r="BS103">
        <v>6996</v>
      </c>
      <c r="BT103">
        <f t="shared" si="17"/>
        <v>1610</v>
      </c>
      <c r="BU103">
        <f t="shared" si="18"/>
        <v>22802</v>
      </c>
      <c r="BV103">
        <f t="shared" si="12"/>
        <v>13628</v>
      </c>
      <c r="BW103" s="148">
        <f t="shared" si="19"/>
        <v>0.11813912533020253</v>
      </c>
    </row>
    <row r="104" spans="1:75" ht="16.5" thickBot="1" x14ac:dyDescent="0.3">
      <c r="A104" s="92"/>
      <c r="B104" s="93"/>
      <c r="C104" s="94"/>
      <c r="D104" s="95"/>
      <c r="E104" s="96"/>
      <c r="F104" s="97"/>
      <c r="G104" s="96"/>
      <c r="H104" s="95"/>
      <c r="I104" s="96"/>
      <c r="J104" s="97"/>
      <c r="K104" s="96"/>
      <c r="L104" s="95"/>
      <c r="M104" s="96"/>
      <c r="N104" s="97"/>
      <c r="O104" s="96"/>
      <c r="P104" s="95"/>
      <c r="Q104" s="96"/>
      <c r="R104" s="97"/>
      <c r="S104" s="96"/>
      <c r="T104" s="95"/>
      <c r="U104" s="96"/>
      <c r="V104" s="97"/>
      <c r="W104" s="96"/>
      <c r="X104" s="95"/>
      <c r="Y104" s="96"/>
      <c r="Z104" s="97"/>
      <c r="AA104" s="96"/>
      <c r="AB104" s="95"/>
      <c r="AC104" s="96"/>
      <c r="AD104" s="97"/>
      <c r="AE104" s="98"/>
      <c r="AF104" s="95"/>
      <c r="AG104" s="96"/>
      <c r="AH104" s="97"/>
      <c r="AI104" s="98"/>
      <c r="AJ104" s="95"/>
      <c r="AK104" s="96"/>
      <c r="AL104" s="97"/>
      <c r="AM104" s="98"/>
      <c r="AN104" s="95"/>
      <c r="AO104" s="96"/>
      <c r="AP104" s="97"/>
      <c r="AQ104" s="98"/>
      <c r="AR104" s="95"/>
      <c r="AS104" s="96"/>
      <c r="AT104" s="97"/>
      <c r="AU104" s="98"/>
      <c r="AV104" s="95"/>
      <c r="AW104" s="96"/>
      <c r="AX104" s="97"/>
      <c r="AY104" s="98"/>
      <c r="AZ104" s="95"/>
      <c r="BA104" s="96"/>
      <c r="BB104" s="97"/>
      <c r="BC104" s="98"/>
      <c r="BD104" s="95"/>
      <c r="BE104" s="96"/>
      <c r="BF104" s="97"/>
      <c r="BG104" s="137"/>
      <c r="BH104" s="65"/>
      <c r="BI104" s="141"/>
      <c r="BJ104" s="101">
        <f t="shared" si="20"/>
        <v>0</v>
      </c>
      <c r="BK104" s="101">
        <f t="shared" si="21"/>
        <v>0</v>
      </c>
      <c r="BL104" s="101">
        <f t="shared" si="22"/>
        <v>0</v>
      </c>
      <c r="BM104" s="101">
        <f t="shared" si="23"/>
        <v>0</v>
      </c>
      <c r="BO104" t="s">
        <v>259</v>
      </c>
      <c r="BP104">
        <v>250</v>
      </c>
      <c r="BQ104">
        <v>169</v>
      </c>
      <c r="BR104">
        <v>4115</v>
      </c>
      <c r="BS104">
        <v>6669</v>
      </c>
      <c r="BT104">
        <f t="shared" si="17"/>
        <v>419</v>
      </c>
      <c r="BU104">
        <f t="shared" si="18"/>
        <v>19777</v>
      </c>
      <c r="BV104">
        <f t="shared" si="12"/>
        <v>11203</v>
      </c>
      <c r="BW104" s="148">
        <f t="shared" si="19"/>
        <v>3.7400696242078015E-2</v>
      </c>
    </row>
    <row r="105" spans="1:75" ht="15.75" thickTop="1" x14ac:dyDescent="0.25">
      <c r="A105" s="99" t="s">
        <v>119</v>
      </c>
      <c r="B105" s="100"/>
      <c r="C105" s="24"/>
      <c r="D105" s="44"/>
      <c r="E105" s="101"/>
      <c r="F105" s="45"/>
      <c r="G105" s="101"/>
      <c r="H105" s="44"/>
      <c r="I105" s="101"/>
      <c r="J105" s="45"/>
      <c r="K105" s="101"/>
      <c r="L105" s="44"/>
      <c r="M105" s="101"/>
      <c r="N105" s="45"/>
      <c r="O105" s="101"/>
      <c r="P105" s="44"/>
      <c r="Q105" s="101"/>
      <c r="R105" s="45"/>
      <c r="S105" s="101"/>
      <c r="T105" s="44"/>
      <c r="U105" s="101"/>
      <c r="V105" s="45"/>
      <c r="W105" s="101"/>
      <c r="X105" s="44"/>
      <c r="Y105" s="101"/>
      <c r="Z105" s="45"/>
      <c r="AA105" s="101"/>
      <c r="AB105" s="44"/>
      <c r="AC105" s="101"/>
      <c r="AD105" s="45"/>
      <c r="AE105" s="102"/>
      <c r="AF105" s="44"/>
      <c r="AG105" s="101"/>
      <c r="AH105" s="45"/>
      <c r="AI105" s="102"/>
      <c r="AJ105" s="44"/>
      <c r="AK105" s="101"/>
      <c r="AL105" s="45"/>
      <c r="AM105" s="102"/>
      <c r="AN105" s="44"/>
      <c r="AO105" s="101"/>
      <c r="AP105" s="45"/>
      <c r="AQ105" s="102"/>
      <c r="AR105" s="44"/>
      <c r="AS105" s="101"/>
      <c r="AT105" s="45"/>
      <c r="AU105" s="102"/>
      <c r="AV105" s="44"/>
      <c r="AW105" s="101"/>
      <c r="AX105" s="45"/>
      <c r="AY105" s="102"/>
      <c r="AZ105" s="44"/>
      <c r="BA105" s="101"/>
      <c r="BB105" s="45"/>
      <c r="BC105" s="102"/>
      <c r="BD105" s="44"/>
      <c r="BE105" s="101"/>
      <c r="BF105" s="45"/>
      <c r="BG105" s="101"/>
      <c r="BH105" s="101"/>
      <c r="BI105" s="142"/>
      <c r="BJ105" s="101">
        <f t="shared" si="20"/>
        <v>0</v>
      </c>
      <c r="BK105" s="101">
        <f t="shared" si="21"/>
        <v>0</v>
      </c>
      <c r="BL105" s="101">
        <f t="shared" si="22"/>
        <v>0</v>
      </c>
      <c r="BM105" s="101">
        <f t="shared" si="23"/>
        <v>0</v>
      </c>
      <c r="BO105" t="s">
        <v>260</v>
      </c>
      <c r="BP105">
        <v>1364</v>
      </c>
      <c r="BQ105">
        <v>1134</v>
      </c>
      <c r="BR105">
        <v>3876</v>
      </c>
      <c r="BS105">
        <v>5117</v>
      </c>
      <c r="BT105">
        <f t="shared" si="17"/>
        <v>2498</v>
      </c>
      <c r="BU105">
        <f t="shared" si="18"/>
        <v>11870</v>
      </c>
      <c r="BV105">
        <f t="shared" si="12"/>
        <v>11491</v>
      </c>
      <c r="BW105" s="148">
        <f t="shared" si="19"/>
        <v>0.21738752066834915</v>
      </c>
    </row>
    <row r="106" spans="1:75" x14ac:dyDescent="0.25">
      <c r="A106" s="29">
        <v>83</v>
      </c>
      <c r="B106" s="23" t="s">
        <v>120</v>
      </c>
      <c r="C106" s="103" t="s">
        <v>121</v>
      </c>
      <c r="D106" s="44">
        <v>73</v>
      </c>
      <c r="E106" s="45">
        <v>64</v>
      </c>
      <c r="F106" s="45">
        <v>165</v>
      </c>
      <c r="G106" s="104">
        <v>161</v>
      </c>
      <c r="H106" s="44">
        <v>39</v>
      </c>
      <c r="I106" s="45">
        <v>39</v>
      </c>
      <c r="J106" s="46">
        <v>107</v>
      </c>
      <c r="K106" s="45">
        <v>96</v>
      </c>
      <c r="L106" s="44">
        <v>51</v>
      </c>
      <c r="M106" s="45">
        <v>67</v>
      </c>
      <c r="N106" s="46">
        <v>143</v>
      </c>
      <c r="O106" s="45">
        <v>148</v>
      </c>
      <c r="P106" s="44">
        <v>58</v>
      </c>
      <c r="Q106" s="45">
        <v>51</v>
      </c>
      <c r="R106" s="46">
        <v>142</v>
      </c>
      <c r="S106" s="45">
        <v>154</v>
      </c>
      <c r="T106" s="44">
        <v>53</v>
      </c>
      <c r="U106" s="45">
        <v>55</v>
      </c>
      <c r="V106" s="46">
        <v>159</v>
      </c>
      <c r="W106" s="45">
        <v>166</v>
      </c>
      <c r="X106" s="44">
        <v>253</v>
      </c>
      <c r="Y106" s="45">
        <v>237</v>
      </c>
      <c r="Z106" s="46">
        <v>680</v>
      </c>
      <c r="AA106" s="45">
        <v>615</v>
      </c>
      <c r="AB106" s="44">
        <v>210</v>
      </c>
      <c r="AC106" s="45">
        <v>198</v>
      </c>
      <c r="AD106" s="46">
        <v>598</v>
      </c>
      <c r="AE106" s="47">
        <v>511</v>
      </c>
      <c r="AF106" s="44">
        <v>170</v>
      </c>
      <c r="AG106" s="45">
        <v>182</v>
      </c>
      <c r="AH106" s="46">
        <v>457</v>
      </c>
      <c r="AI106" s="47">
        <v>531</v>
      </c>
      <c r="AJ106" s="44">
        <v>170</v>
      </c>
      <c r="AK106" s="45">
        <v>149</v>
      </c>
      <c r="AL106" s="46">
        <v>364</v>
      </c>
      <c r="AM106" s="47">
        <v>445</v>
      </c>
      <c r="AN106" s="44">
        <v>337</v>
      </c>
      <c r="AO106" s="45">
        <v>219</v>
      </c>
      <c r="AP106" s="46">
        <v>696</v>
      </c>
      <c r="AQ106" s="47">
        <v>698</v>
      </c>
      <c r="AR106" s="44">
        <v>257</v>
      </c>
      <c r="AS106" s="45">
        <v>175</v>
      </c>
      <c r="AT106" s="46">
        <v>598</v>
      </c>
      <c r="AU106" s="47">
        <v>596</v>
      </c>
      <c r="AV106" s="44">
        <v>146</v>
      </c>
      <c r="AW106" s="45">
        <v>69</v>
      </c>
      <c r="AX106" s="46">
        <v>422</v>
      </c>
      <c r="AY106" s="47">
        <v>402</v>
      </c>
      <c r="AZ106" s="44">
        <v>16</v>
      </c>
      <c r="BA106" s="45">
        <v>12</v>
      </c>
      <c r="BB106" s="46">
        <v>84</v>
      </c>
      <c r="BC106" s="47">
        <v>85</v>
      </c>
      <c r="BD106" s="44"/>
      <c r="BE106" s="45"/>
      <c r="BF106" s="46">
        <v>201</v>
      </c>
      <c r="BG106" s="130">
        <v>250</v>
      </c>
      <c r="BH106" s="101"/>
      <c r="BI106" s="22" t="s">
        <v>120</v>
      </c>
      <c r="BJ106" s="101">
        <f t="shared" si="20"/>
        <v>1096</v>
      </c>
      <c r="BK106" s="101">
        <f t="shared" si="21"/>
        <v>806</v>
      </c>
      <c r="BL106" s="101">
        <f t="shared" si="22"/>
        <v>2621</v>
      </c>
      <c r="BM106" s="101">
        <f t="shared" si="23"/>
        <v>2757</v>
      </c>
      <c r="BO106" t="s">
        <v>261</v>
      </c>
      <c r="BP106" s="74">
        <v>671</v>
      </c>
      <c r="BQ106" s="74">
        <v>589</v>
      </c>
      <c r="BR106" s="74">
        <v>1529</v>
      </c>
      <c r="BS106" s="74">
        <v>1348</v>
      </c>
      <c r="BT106">
        <f t="shared" si="17"/>
        <v>1260</v>
      </c>
      <c r="BU106">
        <f t="shared" si="18"/>
        <v>22473</v>
      </c>
      <c r="BV106">
        <f t="shared" si="12"/>
        <v>4137</v>
      </c>
      <c r="BW106" s="148">
        <f t="shared" si="19"/>
        <v>0.30456852791878175</v>
      </c>
    </row>
    <row r="107" spans="1:75" x14ac:dyDescent="0.25">
      <c r="A107" s="29">
        <v>84</v>
      </c>
      <c r="B107" s="23" t="s">
        <v>122</v>
      </c>
      <c r="C107" s="39"/>
      <c r="D107" s="44">
        <v>70</v>
      </c>
      <c r="E107" s="45">
        <v>78</v>
      </c>
      <c r="F107" s="46">
        <v>300</v>
      </c>
      <c r="G107" s="45">
        <v>307</v>
      </c>
      <c r="H107" s="64">
        <v>54</v>
      </c>
      <c r="I107" s="46">
        <v>69</v>
      </c>
      <c r="J107" s="65">
        <v>143</v>
      </c>
      <c r="K107" s="46">
        <v>102</v>
      </c>
      <c r="L107" s="64">
        <v>77</v>
      </c>
      <c r="M107" s="46">
        <v>70</v>
      </c>
      <c r="N107" s="65">
        <v>216</v>
      </c>
      <c r="O107" s="46">
        <v>236</v>
      </c>
      <c r="P107" s="64">
        <v>84</v>
      </c>
      <c r="Q107" s="46">
        <v>64</v>
      </c>
      <c r="R107" s="65">
        <v>231</v>
      </c>
      <c r="S107" s="46">
        <v>247</v>
      </c>
      <c r="T107" s="64">
        <v>59</v>
      </c>
      <c r="U107" s="46">
        <v>77</v>
      </c>
      <c r="V107" s="65">
        <v>292</v>
      </c>
      <c r="W107" s="46">
        <v>266</v>
      </c>
      <c r="X107" s="64">
        <v>294</v>
      </c>
      <c r="Y107" s="46">
        <v>287</v>
      </c>
      <c r="Z107" s="65">
        <v>1010</v>
      </c>
      <c r="AA107" s="46">
        <v>985</v>
      </c>
      <c r="AB107" s="64">
        <v>213</v>
      </c>
      <c r="AC107" s="46">
        <v>232</v>
      </c>
      <c r="AD107" s="65">
        <v>966</v>
      </c>
      <c r="AE107" s="66">
        <v>813</v>
      </c>
      <c r="AF107" s="64">
        <v>225</v>
      </c>
      <c r="AG107" s="46">
        <v>213</v>
      </c>
      <c r="AH107" s="65">
        <v>704</v>
      </c>
      <c r="AI107" s="66">
        <v>809</v>
      </c>
      <c r="AJ107" s="64">
        <v>171</v>
      </c>
      <c r="AK107" s="46">
        <v>148</v>
      </c>
      <c r="AL107" s="65">
        <v>441</v>
      </c>
      <c r="AM107" s="66">
        <v>691</v>
      </c>
      <c r="AN107" s="64">
        <v>330</v>
      </c>
      <c r="AO107" s="46">
        <v>229</v>
      </c>
      <c r="AP107" s="65">
        <v>640</v>
      </c>
      <c r="AQ107" s="66">
        <v>992</v>
      </c>
      <c r="AR107" s="64">
        <v>312</v>
      </c>
      <c r="AS107" s="46">
        <v>208</v>
      </c>
      <c r="AT107" s="65">
        <v>754</v>
      </c>
      <c r="AU107" s="66">
        <v>1007</v>
      </c>
      <c r="AV107" s="64">
        <v>154</v>
      </c>
      <c r="AW107" s="46">
        <v>88</v>
      </c>
      <c r="AX107" s="65">
        <v>545</v>
      </c>
      <c r="AY107" s="66">
        <v>606</v>
      </c>
      <c r="AZ107" s="64">
        <v>17</v>
      </c>
      <c r="BA107" s="46">
        <v>11</v>
      </c>
      <c r="BB107" s="65">
        <v>182</v>
      </c>
      <c r="BC107" s="66">
        <v>205</v>
      </c>
      <c r="BD107" s="64"/>
      <c r="BE107" s="46"/>
      <c r="BF107" s="65"/>
      <c r="BG107" s="133"/>
      <c r="BH107" s="65"/>
      <c r="BI107" s="22" t="s">
        <v>122</v>
      </c>
      <c r="BJ107" s="101">
        <f t="shared" si="20"/>
        <v>1209</v>
      </c>
      <c r="BK107" s="101">
        <f t="shared" si="21"/>
        <v>897</v>
      </c>
      <c r="BL107" s="101">
        <f t="shared" si="22"/>
        <v>3266</v>
      </c>
      <c r="BM107" s="101">
        <f t="shared" si="23"/>
        <v>4310</v>
      </c>
      <c r="BO107" t="s">
        <v>262</v>
      </c>
      <c r="BP107">
        <v>601</v>
      </c>
      <c r="BQ107">
        <v>479</v>
      </c>
      <c r="BR107">
        <v>8465</v>
      </c>
      <c r="BS107">
        <v>11131</v>
      </c>
      <c r="BT107">
        <f t="shared" si="17"/>
        <v>1080</v>
      </c>
      <c r="BU107">
        <f t="shared" si="18"/>
        <v>29170</v>
      </c>
      <c r="BV107">
        <f t="shared" si="12"/>
        <v>20676</v>
      </c>
      <c r="BW107" s="148">
        <f t="shared" si="19"/>
        <v>5.2234474753337201E-2</v>
      </c>
    </row>
    <row r="108" spans="1:75" x14ac:dyDescent="0.25">
      <c r="A108" s="29">
        <v>85</v>
      </c>
      <c r="B108" s="23" t="s">
        <v>123</v>
      </c>
      <c r="C108" s="24"/>
      <c r="D108" s="64">
        <v>44</v>
      </c>
      <c r="E108" s="46">
        <v>40</v>
      </c>
      <c r="F108" s="65">
        <v>354</v>
      </c>
      <c r="G108" s="46">
        <v>399</v>
      </c>
      <c r="H108" s="64">
        <v>46</v>
      </c>
      <c r="I108" s="46">
        <v>41</v>
      </c>
      <c r="J108" s="65">
        <v>226</v>
      </c>
      <c r="K108" s="46">
        <v>247</v>
      </c>
      <c r="L108" s="64">
        <v>49</v>
      </c>
      <c r="M108" s="46">
        <v>54</v>
      </c>
      <c r="N108" s="65">
        <v>398</v>
      </c>
      <c r="O108" s="46">
        <v>389</v>
      </c>
      <c r="P108" s="64">
        <v>41</v>
      </c>
      <c r="Q108" s="46">
        <v>46</v>
      </c>
      <c r="R108" s="65">
        <v>459</v>
      </c>
      <c r="S108" s="46">
        <v>407</v>
      </c>
      <c r="T108" s="64">
        <v>46</v>
      </c>
      <c r="U108" s="46">
        <v>46</v>
      </c>
      <c r="V108" s="65">
        <v>413</v>
      </c>
      <c r="W108" s="46">
        <v>418</v>
      </c>
      <c r="X108" s="64">
        <v>210</v>
      </c>
      <c r="Y108" s="46">
        <v>170</v>
      </c>
      <c r="Z108" s="65">
        <v>1727</v>
      </c>
      <c r="AA108" s="46">
        <v>1733</v>
      </c>
      <c r="AB108" s="64">
        <v>138</v>
      </c>
      <c r="AC108" s="46">
        <v>156</v>
      </c>
      <c r="AD108" s="65">
        <v>1397</v>
      </c>
      <c r="AE108" s="66">
        <v>1242</v>
      </c>
      <c r="AF108" s="64">
        <v>122</v>
      </c>
      <c r="AG108" s="46">
        <v>145</v>
      </c>
      <c r="AH108" s="65">
        <v>948</v>
      </c>
      <c r="AI108" s="66">
        <v>1253</v>
      </c>
      <c r="AJ108" s="64">
        <v>114</v>
      </c>
      <c r="AK108" s="46">
        <v>122</v>
      </c>
      <c r="AL108" s="65">
        <v>506</v>
      </c>
      <c r="AM108" s="66">
        <v>1037</v>
      </c>
      <c r="AN108" s="64">
        <v>254</v>
      </c>
      <c r="AO108" s="46">
        <v>187</v>
      </c>
      <c r="AP108" s="65">
        <v>966</v>
      </c>
      <c r="AQ108" s="66">
        <v>1898</v>
      </c>
      <c r="AR108" s="64">
        <v>254</v>
      </c>
      <c r="AS108" s="46">
        <v>205</v>
      </c>
      <c r="AT108" s="65">
        <v>1399</v>
      </c>
      <c r="AU108" s="66">
        <v>1540</v>
      </c>
      <c r="AV108" s="64">
        <v>100</v>
      </c>
      <c r="AW108" s="46">
        <v>76</v>
      </c>
      <c r="AX108" s="65">
        <v>934</v>
      </c>
      <c r="AY108" s="66">
        <v>968</v>
      </c>
      <c r="AZ108" s="64">
        <v>19</v>
      </c>
      <c r="BA108" s="46">
        <v>12</v>
      </c>
      <c r="BB108" s="65">
        <v>269</v>
      </c>
      <c r="BC108" s="66">
        <v>300</v>
      </c>
      <c r="BD108" s="64">
        <v>1</v>
      </c>
      <c r="BE108" s="46">
        <v>3</v>
      </c>
      <c r="BF108" s="65">
        <v>10</v>
      </c>
      <c r="BG108" s="133"/>
      <c r="BH108" s="65"/>
      <c r="BI108" s="22" t="s">
        <v>123</v>
      </c>
      <c r="BJ108" s="101">
        <f t="shared" si="20"/>
        <v>863</v>
      </c>
      <c r="BK108" s="101">
        <f t="shared" si="21"/>
        <v>747</v>
      </c>
      <c r="BL108" s="101">
        <f t="shared" si="22"/>
        <v>5022</v>
      </c>
      <c r="BM108" s="101">
        <f t="shared" si="23"/>
        <v>6996</v>
      </c>
      <c r="BO108" t="s">
        <v>263</v>
      </c>
      <c r="BP108">
        <v>92</v>
      </c>
      <c r="BQ108">
        <v>65</v>
      </c>
      <c r="BR108">
        <v>3958</v>
      </c>
      <c r="BS108">
        <v>5616</v>
      </c>
      <c r="BT108">
        <f t="shared" si="17"/>
        <v>157</v>
      </c>
      <c r="BU108">
        <f t="shared" si="18"/>
        <v>17111</v>
      </c>
      <c r="BV108">
        <f t="shared" si="12"/>
        <v>9731</v>
      </c>
      <c r="BW108" s="148">
        <f t="shared" si="19"/>
        <v>1.613400472716062E-2</v>
      </c>
    </row>
    <row r="109" spans="1:75" x14ac:dyDescent="0.25">
      <c r="A109" s="29">
        <v>86</v>
      </c>
      <c r="B109" s="23" t="s">
        <v>124</v>
      </c>
      <c r="C109" s="24"/>
      <c r="D109" s="64">
        <v>9</v>
      </c>
      <c r="E109" s="46">
        <v>11</v>
      </c>
      <c r="F109" s="65">
        <v>390</v>
      </c>
      <c r="G109" s="46">
        <v>472</v>
      </c>
      <c r="H109" s="64">
        <v>16</v>
      </c>
      <c r="I109" s="46">
        <v>4</v>
      </c>
      <c r="J109" s="65">
        <v>214</v>
      </c>
      <c r="K109" s="46">
        <v>242</v>
      </c>
      <c r="L109" s="64">
        <v>11</v>
      </c>
      <c r="M109" s="46">
        <v>6</v>
      </c>
      <c r="N109" s="65">
        <v>392</v>
      </c>
      <c r="O109" s="46">
        <v>431</v>
      </c>
      <c r="P109" s="64">
        <v>9</v>
      </c>
      <c r="Q109" s="46">
        <v>11</v>
      </c>
      <c r="R109" s="65">
        <v>401</v>
      </c>
      <c r="S109" s="46">
        <v>469</v>
      </c>
      <c r="T109" s="64">
        <v>14</v>
      </c>
      <c r="U109" s="46">
        <v>9</v>
      </c>
      <c r="V109" s="65">
        <v>424</v>
      </c>
      <c r="W109" s="46">
        <v>478</v>
      </c>
      <c r="X109" s="64">
        <v>31</v>
      </c>
      <c r="Y109" s="46">
        <v>57</v>
      </c>
      <c r="Z109" s="65">
        <v>1848</v>
      </c>
      <c r="AA109" s="46">
        <v>2067</v>
      </c>
      <c r="AB109" s="64">
        <v>42</v>
      </c>
      <c r="AC109" s="46">
        <v>47</v>
      </c>
      <c r="AD109" s="65">
        <v>1681</v>
      </c>
      <c r="AE109" s="66">
        <v>1820</v>
      </c>
      <c r="AF109" s="64">
        <v>32</v>
      </c>
      <c r="AG109" s="46">
        <v>23</v>
      </c>
      <c r="AH109" s="65">
        <v>1051</v>
      </c>
      <c r="AI109" s="66">
        <v>1377</v>
      </c>
      <c r="AJ109" s="64">
        <v>40</v>
      </c>
      <c r="AK109" s="46">
        <v>26</v>
      </c>
      <c r="AL109" s="65">
        <v>373</v>
      </c>
      <c r="AM109" s="66">
        <v>809</v>
      </c>
      <c r="AN109" s="64">
        <v>53</v>
      </c>
      <c r="AO109" s="46">
        <v>37</v>
      </c>
      <c r="AP109" s="65">
        <v>601</v>
      </c>
      <c r="AQ109" s="66">
        <v>1660</v>
      </c>
      <c r="AR109" s="64">
        <v>76</v>
      </c>
      <c r="AS109" s="46">
        <v>56</v>
      </c>
      <c r="AT109" s="65">
        <v>959</v>
      </c>
      <c r="AU109" s="66">
        <v>1732</v>
      </c>
      <c r="AV109" s="64">
        <v>44</v>
      </c>
      <c r="AW109" s="46">
        <v>25</v>
      </c>
      <c r="AX109" s="65">
        <v>970</v>
      </c>
      <c r="AY109" s="66">
        <v>923</v>
      </c>
      <c r="AZ109" s="64">
        <v>5</v>
      </c>
      <c r="BA109" s="46">
        <v>2</v>
      </c>
      <c r="BB109" s="65">
        <v>161</v>
      </c>
      <c r="BC109" s="66">
        <v>168</v>
      </c>
      <c r="BD109" s="64"/>
      <c r="BE109" s="46"/>
      <c r="BF109" s="65"/>
      <c r="BG109" s="133"/>
      <c r="BH109" s="65"/>
      <c r="BI109" s="22" t="s">
        <v>124</v>
      </c>
      <c r="BJ109" s="101">
        <f t="shared" si="20"/>
        <v>250</v>
      </c>
      <c r="BK109" s="101">
        <f t="shared" si="21"/>
        <v>169</v>
      </c>
      <c r="BL109" s="101">
        <f t="shared" si="22"/>
        <v>4115</v>
      </c>
      <c r="BM109" s="101">
        <f t="shared" si="23"/>
        <v>6669</v>
      </c>
      <c r="BO109" t="s">
        <v>264</v>
      </c>
      <c r="BP109">
        <v>735</v>
      </c>
      <c r="BQ109">
        <v>544</v>
      </c>
      <c r="BR109">
        <v>3788</v>
      </c>
      <c r="BS109">
        <v>3749</v>
      </c>
      <c r="BT109">
        <f t="shared" si="17"/>
        <v>1279</v>
      </c>
      <c r="BU109">
        <f t="shared" si="18"/>
        <v>20650</v>
      </c>
      <c r="BV109">
        <f t="shared" si="12"/>
        <v>8816</v>
      </c>
      <c r="BW109" s="148">
        <f t="shared" si="19"/>
        <v>0.14507713248638837</v>
      </c>
    </row>
    <row r="110" spans="1:75" x14ac:dyDescent="0.25">
      <c r="A110" s="29">
        <v>87</v>
      </c>
      <c r="B110" s="23" t="s">
        <v>125</v>
      </c>
      <c r="C110" s="24"/>
      <c r="D110" s="64">
        <v>74</v>
      </c>
      <c r="E110" s="46">
        <v>82</v>
      </c>
      <c r="F110" s="65">
        <v>379</v>
      </c>
      <c r="G110" s="46">
        <v>393</v>
      </c>
      <c r="H110" s="64">
        <v>56</v>
      </c>
      <c r="I110" s="46">
        <v>48</v>
      </c>
      <c r="J110" s="65">
        <v>206</v>
      </c>
      <c r="K110" s="46">
        <v>179</v>
      </c>
      <c r="L110" s="64">
        <v>72</v>
      </c>
      <c r="M110" s="46">
        <v>97</v>
      </c>
      <c r="N110" s="65">
        <v>362</v>
      </c>
      <c r="O110" s="46">
        <v>357</v>
      </c>
      <c r="P110" s="64">
        <v>72</v>
      </c>
      <c r="Q110" s="46">
        <v>90</v>
      </c>
      <c r="R110" s="65">
        <v>362</v>
      </c>
      <c r="S110" s="46">
        <v>376</v>
      </c>
      <c r="T110" s="64">
        <v>70</v>
      </c>
      <c r="U110" s="46">
        <v>69</v>
      </c>
      <c r="V110" s="65">
        <v>397</v>
      </c>
      <c r="W110" s="46">
        <v>395</v>
      </c>
      <c r="X110" s="64">
        <v>305</v>
      </c>
      <c r="Y110" s="46">
        <v>300</v>
      </c>
      <c r="Z110" s="65">
        <v>1359</v>
      </c>
      <c r="AA110" s="46">
        <v>1352</v>
      </c>
      <c r="AB110" s="64">
        <v>248</v>
      </c>
      <c r="AC110" s="46">
        <v>215</v>
      </c>
      <c r="AD110" s="65">
        <v>1204</v>
      </c>
      <c r="AE110" s="66">
        <v>1004</v>
      </c>
      <c r="AF110" s="64">
        <v>240</v>
      </c>
      <c r="AG110" s="46">
        <v>229</v>
      </c>
      <c r="AH110" s="65">
        <v>751</v>
      </c>
      <c r="AI110" s="66">
        <v>840</v>
      </c>
      <c r="AJ110" s="64">
        <v>200</v>
      </c>
      <c r="AK110" s="46">
        <v>200</v>
      </c>
      <c r="AL110" s="65">
        <v>509</v>
      </c>
      <c r="AM110" s="66">
        <v>729</v>
      </c>
      <c r="AN110" s="64">
        <v>348</v>
      </c>
      <c r="AO110" s="46">
        <v>277</v>
      </c>
      <c r="AP110" s="65">
        <v>770</v>
      </c>
      <c r="AQ110" s="66">
        <v>1410</v>
      </c>
      <c r="AR110" s="64">
        <v>325</v>
      </c>
      <c r="AS110" s="46">
        <v>266</v>
      </c>
      <c r="AT110" s="65">
        <v>1031</v>
      </c>
      <c r="AU110" s="66">
        <v>1219</v>
      </c>
      <c r="AV110" s="64">
        <v>210</v>
      </c>
      <c r="AW110" s="46">
        <v>144</v>
      </c>
      <c r="AX110" s="65">
        <v>661</v>
      </c>
      <c r="AY110" s="66">
        <v>720</v>
      </c>
      <c r="AZ110" s="64">
        <v>41</v>
      </c>
      <c r="BA110" s="46">
        <v>18</v>
      </c>
      <c r="BB110" s="65">
        <v>154</v>
      </c>
      <c r="BC110" s="66">
        <v>199</v>
      </c>
      <c r="BD110" s="64"/>
      <c r="BE110" s="46"/>
      <c r="BF110" s="65"/>
      <c r="BG110" s="133">
        <v>4</v>
      </c>
      <c r="BH110" s="65"/>
      <c r="BI110" s="22" t="s">
        <v>125</v>
      </c>
      <c r="BJ110" s="101">
        <f t="shared" si="20"/>
        <v>1364</v>
      </c>
      <c r="BK110" s="101">
        <f t="shared" si="21"/>
        <v>1134</v>
      </c>
      <c r="BL110" s="101">
        <f t="shared" si="22"/>
        <v>3876</v>
      </c>
      <c r="BM110" s="101">
        <f t="shared" si="23"/>
        <v>5117</v>
      </c>
      <c r="BO110" t="s">
        <v>265</v>
      </c>
      <c r="BP110">
        <v>93</v>
      </c>
      <c r="BQ110">
        <v>67</v>
      </c>
      <c r="BR110">
        <v>5409</v>
      </c>
      <c r="BS110">
        <v>7704</v>
      </c>
      <c r="BT110">
        <f t="shared" si="17"/>
        <v>160</v>
      </c>
      <c r="BU110">
        <f t="shared" si="18"/>
        <v>32282</v>
      </c>
      <c r="BV110">
        <f t="shared" si="12"/>
        <v>13273</v>
      </c>
      <c r="BW110" s="148">
        <f t="shared" si="19"/>
        <v>1.205454682438032E-2</v>
      </c>
    </row>
    <row r="111" spans="1:75" x14ac:dyDescent="0.25">
      <c r="A111" s="105"/>
      <c r="B111" s="106"/>
      <c r="C111" s="82"/>
      <c r="D111" s="59"/>
      <c r="E111" s="61"/>
      <c r="F111" s="83"/>
      <c r="G111" s="61"/>
      <c r="H111" s="59"/>
      <c r="I111" s="61"/>
      <c r="J111" s="83"/>
      <c r="K111" s="61"/>
      <c r="L111" s="59"/>
      <c r="M111" s="61"/>
      <c r="N111" s="83"/>
      <c r="O111" s="61"/>
      <c r="P111" s="59"/>
      <c r="Q111" s="61"/>
      <c r="R111" s="83"/>
      <c r="S111" s="61"/>
      <c r="T111" s="59"/>
      <c r="U111" s="61"/>
      <c r="V111" s="83"/>
      <c r="W111" s="61"/>
      <c r="X111" s="59"/>
      <c r="Y111" s="61"/>
      <c r="Z111" s="83"/>
      <c r="AA111" s="61"/>
      <c r="AB111" s="59"/>
      <c r="AC111" s="61"/>
      <c r="AD111" s="83"/>
      <c r="AE111" s="84"/>
      <c r="AF111" s="59"/>
      <c r="AG111" s="61"/>
      <c r="AH111" s="83"/>
      <c r="AI111" s="84"/>
      <c r="AJ111" s="59"/>
      <c r="AK111" s="61"/>
      <c r="AL111" s="83"/>
      <c r="AM111" s="84"/>
      <c r="AN111" s="59"/>
      <c r="AO111" s="61"/>
      <c r="AP111" s="83"/>
      <c r="AQ111" s="84"/>
      <c r="AR111" s="59"/>
      <c r="AS111" s="61"/>
      <c r="AT111" s="83"/>
      <c r="AU111" s="84"/>
      <c r="AV111" s="59"/>
      <c r="AW111" s="61"/>
      <c r="AX111" s="83"/>
      <c r="AY111" s="84"/>
      <c r="AZ111" s="59"/>
      <c r="BA111" s="61"/>
      <c r="BB111" s="83"/>
      <c r="BC111" s="84"/>
      <c r="BD111" s="59"/>
      <c r="BE111" s="61"/>
      <c r="BF111" s="83"/>
      <c r="BG111" s="136"/>
      <c r="BH111" s="65"/>
      <c r="BJ111" s="101">
        <f t="shared" si="20"/>
        <v>0</v>
      </c>
      <c r="BK111" s="101">
        <f t="shared" si="21"/>
        <v>0</v>
      </c>
      <c r="BL111" s="101">
        <f t="shared" si="22"/>
        <v>0</v>
      </c>
      <c r="BM111" s="101">
        <f t="shared" si="23"/>
        <v>0</v>
      </c>
      <c r="BO111" t="s">
        <v>266</v>
      </c>
      <c r="BP111">
        <v>124</v>
      </c>
      <c r="BQ111">
        <v>87</v>
      </c>
      <c r="BR111">
        <v>7512</v>
      </c>
      <c r="BS111">
        <v>11657</v>
      </c>
      <c r="BT111">
        <f t="shared" si="17"/>
        <v>211</v>
      </c>
      <c r="BU111">
        <f t="shared" si="18"/>
        <v>36659</v>
      </c>
      <c r="BV111">
        <f t="shared" si="12"/>
        <v>19380</v>
      </c>
      <c r="BW111" s="148">
        <f t="shared" si="19"/>
        <v>1.0887512899896801E-2</v>
      </c>
    </row>
    <row r="112" spans="1:75" ht="15.75" x14ac:dyDescent="0.25">
      <c r="A112" s="29" t="s">
        <v>126</v>
      </c>
      <c r="B112" s="23"/>
      <c r="C112" s="67"/>
      <c r="D112" s="64">
        <f>SUM(D106:D111)</f>
        <v>270</v>
      </c>
      <c r="E112" s="45">
        <f t="shared" ref="E112:BG112" si="25">SUM(E106:E111)</f>
        <v>275</v>
      </c>
      <c r="F112" s="45">
        <f t="shared" si="25"/>
        <v>1588</v>
      </c>
      <c r="G112" s="101">
        <f t="shared" si="25"/>
        <v>1732</v>
      </c>
      <c r="H112" s="64">
        <f t="shared" si="25"/>
        <v>211</v>
      </c>
      <c r="I112" s="45">
        <f t="shared" si="25"/>
        <v>201</v>
      </c>
      <c r="J112" s="45">
        <f t="shared" si="25"/>
        <v>896</v>
      </c>
      <c r="K112" s="101">
        <f t="shared" si="25"/>
        <v>866</v>
      </c>
      <c r="L112" s="64">
        <f t="shared" si="25"/>
        <v>260</v>
      </c>
      <c r="M112" s="45">
        <f t="shared" si="25"/>
        <v>294</v>
      </c>
      <c r="N112" s="45">
        <f t="shared" si="25"/>
        <v>1511</v>
      </c>
      <c r="O112" s="101">
        <f t="shared" si="25"/>
        <v>1561</v>
      </c>
      <c r="P112" s="64">
        <f t="shared" si="25"/>
        <v>264</v>
      </c>
      <c r="Q112" s="45">
        <f t="shared" si="25"/>
        <v>262</v>
      </c>
      <c r="R112" s="45">
        <f t="shared" si="25"/>
        <v>1595</v>
      </c>
      <c r="S112" s="101">
        <f t="shared" si="25"/>
        <v>1653</v>
      </c>
      <c r="T112" s="64">
        <f t="shared" si="25"/>
        <v>242</v>
      </c>
      <c r="U112" s="45">
        <f t="shared" si="25"/>
        <v>256</v>
      </c>
      <c r="V112" s="45">
        <f t="shared" si="25"/>
        <v>1685</v>
      </c>
      <c r="W112" s="101">
        <f t="shared" si="25"/>
        <v>1723</v>
      </c>
      <c r="X112" s="64">
        <f t="shared" si="25"/>
        <v>1093</v>
      </c>
      <c r="Y112" s="45">
        <f t="shared" si="25"/>
        <v>1051</v>
      </c>
      <c r="Z112" s="45">
        <f t="shared" si="25"/>
        <v>6624</v>
      </c>
      <c r="AA112" s="101">
        <f t="shared" si="25"/>
        <v>6752</v>
      </c>
      <c r="AB112" s="64">
        <f t="shared" si="25"/>
        <v>851</v>
      </c>
      <c r="AC112" s="45">
        <f t="shared" si="25"/>
        <v>848</v>
      </c>
      <c r="AD112" s="45">
        <f t="shared" si="25"/>
        <v>5846</v>
      </c>
      <c r="AE112" s="101">
        <f t="shared" si="25"/>
        <v>5390</v>
      </c>
      <c r="AF112" s="64">
        <f t="shared" si="25"/>
        <v>789</v>
      </c>
      <c r="AG112" s="45">
        <f t="shared" si="25"/>
        <v>792</v>
      </c>
      <c r="AH112" s="45">
        <f t="shared" si="25"/>
        <v>3911</v>
      </c>
      <c r="AI112" s="101">
        <f t="shared" si="25"/>
        <v>4810</v>
      </c>
      <c r="AJ112" s="64">
        <f t="shared" si="25"/>
        <v>695</v>
      </c>
      <c r="AK112" s="45">
        <f t="shared" si="25"/>
        <v>645</v>
      </c>
      <c r="AL112" s="45">
        <f t="shared" si="25"/>
        <v>2193</v>
      </c>
      <c r="AM112" s="101">
        <f t="shared" si="25"/>
        <v>3711</v>
      </c>
      <c r="AN112" s="64">
        <f t="shared" si="25"/>
        <v>1322</v>
      </c>
      <c r="AO112" s="45">
        <f t="shared" si="25"/>
        <v>949</v>
      </c>
      <c r="AP112" s="45">
        <f t="shared" si="25"/>
        <v>3673</v>
      </c>
      <c r="AQ112" s="101">
        <f t="shared" si="25"/>
        <v>6658</v>
      </c>
      <c r="AR112" s="64">
        <f t="shared" si="25"/>
        <v>1224</v>
      </c>
      <c r="AS112" s="45">
        <f t="shared" si="25"/>
        <v>910</v>
      </c>
      <c r="AT112" s="45">
        <f t="shared" si="25"/>
        <v>4741</v>
      </c>
      <c r="AU112" s="101">
        <f t="shared" si="25"/>
        <v>6094</v>
      </c>
      <c r="AV112" s="64">
        <f t="shared" si="25"/>
        <v>654</v>
      </c>
      <c r="AW112" s="45">
        <f t="shared" si="25"/>
        <v>402</v>
      </c>
      <c r="AX112" s="45">
        <f t="shared" si="25"/>
        <v>3532</v>
      </c>
      <c r="AY112" s="101">
        <f t="shared" si="25"/>
        <v>3619</v>
      </c>
      <c r="AZ112" s="64">
        <f t="shared" si="25"/>
        <v>98</v>
      </c>
      <c r="BA112" s="45">
        <f t="shared" si="25"/>
        <v>55</v>
      </c>
      <c r="BB112" s="45">
        <f t="shared" si="25"/>
        <v>850</v>
      </c>
      <c r="BC112" s="101">
        <f t="shared" si="25"/>
        <v>957</v>
      </c>
      <c r="BD112" s="64">
        <f t="shared" si="25"/>
        <v>1</v>
      </c>
      <c r="BE112" s="45">
        <f t="shared" si="25"/>
        <v>3</v>
      </c>
      <c r="BF112" s="45">
        <f t="shared" si="25"/>
        <v>211</v>
      </c>
      <c r="BG112" s="130">
        <f t="shared" si="25"/>
        <v>254</v>
      </c>
      <c r="BH112" s="101"/>
      <c r="BJ112" s="101">
        <f t="shared" si="20"/>
        <v>4782</v>
      </c>
      <c r="BK112" s="101">
        <f t="shared" si="21"/>
        <v>3753</v>
      </c>
      <c r="BL112" s="101">
        <f t="shared" si="22"/>
        <v>18900</v>
      </c>
      <c r="BM112" s="101">
        <f t="shared" si="23"/>
        <v>25849</v>
      </c>
      <c r="BO112" t="s">
        <v>267</v>
      </c>
      <c r="BP112">
        <v>91</v>
      </c>
      <c r="BQ112">
        <v>67</v>
      </c>
      <c r="BR112">
        <v>7185</v>
      </c>
      <c r="BS112">
        <v>10305</v>
      </c>
      <c r="BT112">
        <f t="shared" si="17"/>
        <v>158</v>
      </c>
      <c r="BU112">
        <f t="shared" si="18"/>
        <v>34902</v>
      </c>
      <c r="BV112">
        <f t="shared" si="12"/>
        <v>17648</v>
      </c>
      <c r="BW112" s="148">
        <f t="shared" si="19"/>
        <v>8.9528558476881237E-3</v>
      </c>
    </row>
    <row r="113" spans="1:75" ht="15.75" thickBot="1" x14ac:dyDescent="0.3">
      <c r="A113" s="107"/>
      <c r="B113" s="108"/>
      <c r="C113" s="109"/>
      <c r="D113" s="95"/>
      <c r="E113" s="96"/>
      <c r="F113" s="97"/>
      <c r="G113" s="96"/>
      <c r="H113" s="95"/>
      <c r="I113" s="96"/>
      <c r="J113" s="97"/>
      <c r="K113" s="96"/>
      <c r="L113" s="95"/>
      <c r="M113" s="96"/>
      <c r="N113" s="97"/>
      <c r="O113" s="96"/>
      <c r="P113" s="95"/>
      <c r="Q113" s="96"/>
      <c r="R113" s="97"/>
      <c r="S113" s="96"/>
      <c r="T113" s="95"/>
      <c r="U113" s="96"/>
      <c r="V113" s="97"/>
      <c r="W113" s="96"/>
      <c r="X113" s="95"/>
      <c r="Y113" s="96"/>
      <c r="Z113" s="97"/>
      <c r="AA113" s="96"/>
      <c r="AB113" s="95"/>
      <c r="AC113" s="96"/>
      <c r="AD113" s="97"/>
      <c r="AE113" s="98"/>
      <c r="AF113" s="95"/>
      <c r="AG113" s="96"/>
      <c r="AH113" s="97"/>
      <c r="AI113" s="98"/>
      <c r="AJ113" s="95"/>
      <c r="AK113" s="96"/>
      <c r="AL113" s="97"/>
      <c r="AM113" s="98"/>
      <c r="AN113" s="95"/>
      <c r="AO113" s="96"/>
      <c r="AP113" s="97"/>
      <c r="AQ113" s="98"/>
      <c r="AR113" s="95"/>
      <c r="AS113" s="96"/>
      <c r="AT113" s="97"/>
      <c r="AU113" s="98"/>
      <c r="AV113" s="95"/>
      <c r="AW113" s="96"/>
      <c r="AX113" s="97"/>
      <c r="AY113" s="98"/>
      <c r="AZ113" s="95"/>
      <c r="BA113" s="96"/>
      <c r="BB113" s="97"/>
      <c r="BC113" s="98"/>
      <c r="BD113" s="95"/>
      <c r="BE113" s="96"/>
      <c r="BF113" s="97"/>
      <c r="BG113" s="137"/>
      <c r="BH113" s="65"/>
      <c r="BJ113" s="101">
        <f t="shared" si="20"/>
        <v>0</v>
      </c>
      <c r="BK113" s="101">
        <f t="shared" si="21"/>
        <v>0</v>
      </c>
      <c r="BL113" s="101">
        <f t="shared" si="22"/>
        <v>0</v>
      </c>
      <c r="BM113" s="101">
        <f t="shared" si="23"/>
        <v>0</v>
      </c>
      <c r="BO113" t="s">
        <v>268</v>
      </c>
      <c r="BP113">
        <v>129</v>
      </c>
      <c r="BQ113">
        <v>87</v>
      </c>
      <c r="BR113">
        <v>7222</v>
      </c>
      <c r="BS113">
        <v>10190</v>
      </c>
      <c r="BT113">
        <f t="shared" si="17"/>
        <v>216</v>
      </c>
      <c r="BU113">
        <f t="shared" si="18"/>
        <v>37204</v>
      </c>
      <c r="BV113">
        <f t="shared" si="12"/>
        <v>17628</v>
      </c>
      <c r="BW113" s="148">
        <f t="shared" si="19"/>
        <v>1.2253233492171545E-2</v>
      </c>
    </row>
    <row r="114" spans="1:75" ht="15.75" thickTop="1" x14ac:dyDescent="0.25">
      <c r="A114" s="110" t="s">
        <v>127</v>
      </c>
      <c r="B114" s="111"/>
      <c r="C114" s="24"/>
      <c r="D114" s="64"/>
      <c r="E114" s="46"/>
      <c r="F114" s="65"/>
      <c r="G114" s="46"/>
      <c r="H114" s="64"/>
      <c r="I114" s="46"/>
      <c r="J114" s="65"/>
      <c r="K114" s="46"/>
      <c r="L114" s="64"/>
      <c r="M114" s="46"/>
      <c r="N114" s="65"/>
      <c r="O114" s="46"/>
      <c r="P114" s="64"/>
      <c r="Q114" s="46"/>
      <c r="R114" s="65"/>
      <c r="S114" s="46"/>
      <c r="T114" s="64"/>
      <c r="U114" s="46"/>
      <c r="V114" s="65"/>
      <c r="W114" s="46"/>
      <c r="X114" s="64"/>
      <c r="Y114" s="46"/>
      <c r="Z114" s="65"/>
      <c r="AA114" s="46"/>
      <c r="AB114" s="64"/>
      <c r="AC114" s="46"/>
      <c r="AD114" s="65"/>
      <c r="AE114" s="66"/>
      <c r="AF114" s="64"/>
      <c r="AG114" s="46"/>
      <c r="AH114" s="65"/>
      <c r="AI114" s="66"/>
      <c r="AJ114" s="64"/>
      <c r="AK114" s="46"/>
      <c r="AL114" s="65"/>
      <c r="AM114" s="66"/>
      <c r="AN114" s="64"/>
      <c r="AO114" s="46"/>
      <c r="AP114" s="65"/>
      <c r="AQ114" s="66"/>
      <c r="AR114" s="64"/>
      <c r="AS114" s="46"/>
      <c r="AT114" s="65"/>
      <c r="AU114" s="66"/>
      <c r="AV114" s="64"/>
      <c r="AW114" s="46"/>
      <c r="AX114" s="65"/>
      <c r="AY114" s="66"/>
      <c r="AZ114" s="64"/>
      <c r="BA114" s="46"/>
      <c r="BB114" s="65"/>
      <c r="BC114" s="66"/>
      <c r="BD114" s="64"/>
      <c r="BE114" s="46"/>
      <c r="BF114" s="65"/>
      <c r="BG114" s="133"/>
      <c r="BH114" s="65"/>
      <c r="BI114" s="143"/>
      <c r="BJ114" s="101">
        <f t="shared" si="20"/>
        <v>0</v>
      </c>
      <c r="BK114" s="101">
        <f t="shared" si="21"/>
        <v>0</v>
      </c>
      <c r="BL114" s="101">
        <f t="shared" si="22"/>
        <v>0</v>
      </c>
      <c r="BM114" s="101">
        <f t="shared" si="23"/>
        <v>0</v>
      </c>
      <c r="BO114" t="s">
        <v>269</v>
      </c>
      <c r="BP114">
        <v>319</v>
      </c>
      <c r="BQ114">
        <v>182</v>
      </c>
      <c r="BR114">
        <v>8444</v>
      </c>
      <c r="BS114">
        <v>11348</v>
      </c>
      <c r="BT114">
        <f t="shared" si="17"/>
        <v>501</v>
      </c>
      <c r="BU114">
        <f t="shared" si="18"/>
        <v>22248</v>
      </c>
      <c r="BV114">
        <f t="shared" si="12"/>
        <v>20293</v>
      </c>
      <c r="BW114" s="148">
        <f t="shared" si="19"/>
        <v>2.4688316168136794E-2</v>
      </c>
    </row>
    <row r="115" spans="1:75" x14ac:dyDescent="0.25">
      <c r="A115" s="99" t="s">
        <v>128</v>
      </c>
      <c r="B115" s="100"/>
      <c r="C115" s="24"/>
      <c r="D115" s="64"/>
      <c r="E115" s="46"/>
      <c r="F115" s="65"/>
      <c r="G115" s="46"/>
      <c r="H115" s="64"/>
      <c r="I115" s="46"/>
      <c r="J115" s="65"/>
      <c r="K115" s="46"/>
      <c r="L115" s="64"/>
      <c r="M115" s="46"/>
      <c r="N115" s="65"/>
      <c r="O115" s="46"/>
      <c r="P115" s="64"/>
      <c r="Q115" s="46"/>
      <c r="R115" s="65"/>
      <c r="S115" s="46"/>
      <c r="T115" s="64"/>
      <c r="U115" s="46"/>
      <c r="V115" s="65"/>
      <c r="W115" s="46"/>
      <c r="X115" s="64"/>
      <c r="Y115" s="46"/>
      <c r="Z115" s="65"/>
      <c r="AA115" s="46"/>
      <c r="AB115" s="64"/>
      <c r="AC115" s="46"/>
      <c r="AD115" s="65"/>
      <c r="AE115" s="66"/>
      <c r="AF115" s="64"/>
      <c r="AG115" s="46"/>
      <c r="AH115" s="65"/>
      <c r="AI115" s="66"/>
      <c r="AJ115" s="64"/>
      <c r="AK115" s="46"/>
      <c r="AL115" s="65"/>
      <c r="AM115" s="66"/>
      <c r="AN115" s="64"/>
      <c r="AO115" s="46"/>
      <c r="AP115" s="65"/>
      <c r="AQ115" s="66"/>
      <c r="AR115" s="64"/>
      <c r="AS115" s="46"/>
      <c r="AT115" s="65"/>
      <c r="AU115" s="66"/>
      <c r="AV115" s="64"/>
      <c r="AW115" s="46"/>
      <c r="AX115" s="65"/>
      <c r="AY115" s="66"/>
      <c r="AZ115" s="64"/>
      <c r="BA115" s="46"/>
      <c r="BB115" s="65"/>
      <c r="BC115" s="66"/>
      <c r="BD115" s="64"/>
      <c r="BE115" s="46"/>
      <c r="BF115" s="65"/>
      <c r="BG115" s="133"/>
      <c r="BH115" s="65"/>
      <c r="BI115" s="142"/>
      <c r="BJ115" s="101">
        <f t="shared" si="20"/>
        <v>0</v>
      </c>
      <c r="BK115" s="101">
        <f t="shared" si="21"/>
        <v>0</v>
      </c>
      <c r="BL115" s="101">
        <f t="shared" si="22"/>
        <v>0</v>
      </c>
      <c r="BM115" s="101">
        <f t="shared" si="23"/>
        <v>0</v>
      </c>
      <c r="BO115" t="s">
        <v>270</v>
      </c>
      <c r="BP115">
        <v>1232</v>
      </c>
      <c r="BQ115">
        <v>1100</v>
      </c>
      <c r="BR115">
        <v>1215</v>
      </c>
      <c r="BS115">
        <v>1241</v>
      </c>
      <c r="BT115">
        <f t="shared" si="17"/>
        <v>2332</v>
      </c>
      <c r="BU115">
        <f t="shared" si="18"/>
        <v>19048</v>
      </c>
      <c r="BV115">
        <f t="shared" ref="BV115:BV135" si="26">SUM(BP115:BS115)</f>
        <v>4788</v>
      </c>
      <c r="BW115" s="148">
        <f t="shared" si="19"/>
        <v>0.48705096073517123</v>
      </c>
    </row>
    <row r="116" spans="1:75" s="74" customFormat="1" x14ac:dyDescent="0.25">
      <c r="A116" s="79">
        <v>88</v>
      </c>
      <c r="B116" s="50" t="s">
        <v>129</v>
      </c>
      <c r="C116" s="51"/>
      <c r="D116" s="112">
        <v>39</v>
      </c>
      <c r="E116" s="71">
        <v>33</v>
      </c>
      <c r="F116" s="72">
        <v>98</v>
      </c>
      <c r="G116" s="71">
        <v>81</v>
      </c>
      <c r="H116" s="112">
        <v>38</v>
      </c>
      <c r="I116" s="71">
        <v>29</v>
      </c>
      <c r="J116" s="72">
        <v>61</v>
      </c>
      <c r="K116" s="71">
        <v>69</v>
      </c>
      <c r="L116" s="112">
        <v>44</v>
      </c>
      <c r="M116" s="71">
        <v>39</v>
      </c>
      <c r="N116" s="72">
        <v>91</v>
      </c>
      <c r="O116" s="71">
        <v>91</v>
      </c>
      <c r="P116" s="112">
        <v>38</v>
      </c>
      <c r="Q116" s="71">
        <v>46</v>
      </c>
      <c r="R116" s="72">
        <v>97</v>
      </c>
      <c r="S116" s="71">
        <v>97</v>
      </c>
      <c r="T116" s="112">
        <v>33</v>
      </c>
      <c r="U116" s="71">
        <v>38</v>
      </c>
      <c r="V116" s="72">
        <v>66</v>
      </c>
      <c r="W116" s="71">
        <v>81</v>
      </c>
      <c r="X116" s="112">
        <v>158</v>
      </c>
      <c r="Y116" s="71">
        <v>144</v>
      </c>
      <c r="Z116" s="72">
        <v>346</v>
      </c>
      <c r="AA116" s="71">
        <v>331</v>
      </c>
      <c r="AB116" s="112">
        <v>114</v>
      </c>
      <c r="AC116" s="71">
        <v>122</v>
      </c>
      <c r="AD116" s="72">
        <v>348</v>
      </c>
      <c r="AE116" s="73">
        <v>284</v>
      </c>
      <c r="AF116" s="112">
        <v>112</v>
      </c>
      <c r="AG116" s="71">
        <v>119</v>
      </c>
      <c r="AH116" s="72">
        <v>286</v>
      </c>
      <c r="AI116" s="73">
        <v>222</v>
      </c>
      <c r="AJ116" s="112">
        <v>111</v>
      </c>
      <c r="AK116" s="71">
        <v>106</v>
      </c>
      <c r="AL116" s="72">
        <v>244</v>
      </c>
      <c r="AM116" s="73">
        <v>218</v>
      </c>
      <c r="AN116" s="112">
        <v>180</v>
      </c>
      <c r="AO116" s="71">
        <v>153</v>
      </c>
      <c r="AP116" s="72">
        <v>438</v>
      </c>
      <c r="AQ116" s="73">
        <v>411</v>
      </c>
      <c r="AR116" s="112">
        <v>172</v>
      </c>
      <c r="AS116" s="71">
        <v>127</v>
      </c>
      <c r="AT116" s="72">
        <v>367</v>
      </c>
      <c r="AU116" s="73">
        <v>282</v>
      </c>
      <c r="AV116" s="112">
        <v>84</v>
      </c>
      <c r="AW116" s="71">
        <v>67</v>
      </c>
      <c r="AX116" s="72">
        <v>162</v>
      </c>
      <c r="AY116" s="73">
        <v>176</v>
      </c>
      <c r="AZ116" s="112">
        <v>12</v>
      </c>
      <c r="BA116" s="71">
        <v>17</v>
      </c>
      <c r="BB116" s="72">
        <v>32</v>
      </c>
      <c r="BC116" s="73">
        <v>39</v>
      </c>
      <c r="BD116" s="112"/>
      <c r="BE116" s="71"/>
      <c r="BF116" s="72"/>
      <c r="BG116" s="134"/>
      <c r="BH116" s="72"/>
      <c r="BI116" s="49" t="s">
        <v>129</v>
      </c>
      <c r="BJ116" s="101">
        <f t="shared" si="20"/>
        <v>671</v>
      </c>
      <c r="BK116" s="101">
        <f t="shared" si="21"/>
        <v>589</v>
      </c>
      <c r="BL116" s="101">
        <f t="shared" si="22"/>
        <v>1529</v>
      </c>
      <c r="BM116" s="101">
        <f t="shared" si="23"/>
        <v>1348</v>
      </c>
      <c r="BO116" t="s">
        <v>271</v>
      </c>
      <c r="BP116" s="74">
        <v>95</v>
      </c>
      <c r="BQ116" s="74">
        <v>53</v>
      </c>
      <c r="BR116" s="74">
        <v>7534</v>
      </c>
      <c r="BS116" s="74">
        <v>9058</v>
      </c>
      <c r="BT116">
        <f t="shared" si="17"/>
        <v>148</v>
      </c>
      <c r="BU116">
        <f t="shared" si="18"/>
        <v>50416</v>
      </c>
      <c r="BV116">
        <f t="shared" si="26"/>
        <v>16740</v>
      </c>
      <c r="BW116" s="148">
        <f t="shared" si="19"/>
        <v>8.8410991636798091E-3</v>
      </c>
    </row>
    <row r="117" spans="1:75" x14ac:dyDescent="0.25">
      <c r="A117" s="29">
        <v>89</v>
      </c>
      <c r="B117" s="23" t="s">
        <v>130</v>
      </c>
      <c r="C117" s="24"/>
      <c r="D117" s="113">
        <v>20</v>
      </c>
      <c r="E117" s="46">
        <v>32</v>
      </c>
      <c r="F117" s="65">
        <v>588</v>
      </c>
      <c r="G117" s="46">
        <v>680</v>
      </c>
      <c r="H117" s="113">
        <v>21</v>
      </c>
      <c r="I117" s="46">
        <v>19</v>
      </c>
      <c r="J117" s="65">
        <v>513</v>
      </c>
      <c r="K117" s="46">
        <v>569</v>
      </c>
      <c r="L117" s="113">
        <v>21</v>
      </c>
      <c r="M117" s="46">
        <v>22</v>
      </c>
      <c r="N117" s="65">
        <v>731</v>
      </c>
      <c r="O117" s="46">
        <v>765</v>
      </c>
      <c r="P117" s="113">
        <v>29</v>
      </c>
      <c r="Q117" s="46">
        <v>24</v>
      </c>
      <c r="R117" s="65">
        <v>778</v>
      </c>
      <c r="S117" s="46">
        <v>867</v>
      </c>
      <c r="T117" s="113">
        <v>29</v>
      </c>
      <c r="U117" s="46">
        <v>38</v>
      </c>
      <c r="V117" s="65">
        <v>664</v>
      </c>
      <c r="W117" s="46">
        <v>668</v>
      </c>
      <c r="X117" s="113">
        <v>98</v>
      </c>
      <c r="Y117" s="46">
        <v>98</v>
      </c>
      <c r="Z117" s="65">
        <v>2851</v>
      </c>
      <c r="AA117" s="46">
        <v>2832</v>
      </c>
      <c r="AB117" s="113">
        <v>94</v>
      </c>
      <c r="AC117" s="46">
        <v>76</v>
      </c>
      <c r="AD117" s="65">
        <v>2491</v>
      </c>
      <c r="AE117" s="66">
        <v>2581</v>
      </c>
      <c r="AF117" s="113">
        <v>70</v>
      </c>
      <c r="AG117" s="46">
        <v>90</v>
      </c>
      <c r="AH117" s="65">
        <v>1904</v>
      </c>
      <c r="AI117" s="66">
        <v>2039</v>
      </c>
      <c r="AJ117" s="113">
        <v>92</v>
      </c>
      <c r="AK117" s="46">
        <v>69</v>
      </c>
      <c r="AL117" s="65">
        <v>1245</v>
      </c>
      <c r="AM117" s="66">
        <v>1712</v>
      </c>
      <c r="AN117" s="113">
        <v>171</v>
      </c>
      <c r="AO117" s="46">
        <v>134</v>
      </c>
      <c r="AP117" s="65">
        <v>1998</v>
      </c>
      <c r="AQ117" s="66">
        <v>3226</v>
      </c>
      <c r="AR117" s="113">
        <v>151</v>
      </c>
      <c r="AS117" s="46">
        <v>117</v>
      </c>
      <c r="AT117" s="65">
        <v>1919</v>
      </c>
      <c r="AU117" s="66">
        <v>2421</v>
      </c>
      <c r="AV117" s="113">
        <v>107</v>
      </c>
      <c r="AW117" s="46">
        <v>59</v>
      </c>
      <c r="AX117" s="65">
        <v>1141</v>
      </c>
      <c r="AY117" s="66">
        <v>1374</v>
      </c>
      <c r="AZ117" s="113">
        <v>10</v>
      </c>
      <c r="BA117" s="46">
        <v>10</v>
      </c>
      <c r="BB117" s="65">
        <v>258</v>
      </c>
      <c r="BC117" s="66">
        <v>359</v>
      </c>
      <c r="BD117" s="113"/>
      <c r="BE117" s="46"/>
      <c r="BF117" s="65"/>
      <c r="BG117" s="133"/>
      <c r="BH117" s="65"/>
      <c r="BI117" s="22" t="s">
        <v>130</v>
      </c>
      <c r="BJ117" s="101">
        <f t="shared" si="20"/>
        <v>601</v>
      </c>
      <c r="BK117" s="101">
        <f t="shared" si="21"/>
        <v>479</v>
      </c>
      <c r="BL117" s="101">
        <f t="shared" si="22"/>
        <v>8465</v>
      </c>
      <c r="BM117" s="101">
        <f t="shared" si="23"/>
        <v>11131</v>
      </c>
      <c r="BO117" t="s">
        <v>272</v>
      </c>
      <c r="BP117" s="74">
        <v>220</v>
      </c>
      <c r="BQ117" s="74">
        <v>161</v>
      </c>
      <c r="BR117" s="74">
        <v>13957</v>
      </c>
      <c r="BS117" s="74">
        <v>19867</v>
      </c>
      <c r="BT117">
        <f t="shared" si="17"/>
        <v>381</v>
      </c>
      <c r="BU117">
        <f t="shared" si="18"/>
        <v>53714</v>
      </c>
      <c r="BV117">
        <f t="shared" si="26"/>
        <v>34205</v>
      </c>
      <c r="BW117" s="148">
        <f t="shared" si="19"/>
        <v>1.1138722409004532E-2</v>
      </c>
    </row>
    <row r="118" spans="1:75" ht="15.75" x14ac:dyDescent="0.25">
      <c r="A118" s="29">
        <v>90</v>
      </c>
      <c r="B118" s="23" t="s">
        <v>131</v>
      </c>
      <c r="C118" s="67"/>
      <c r="D118" s="114">
        <v>5</v>
      </c>
      <c r="E118" s="45">
        <v>4</v>
      </c>
      <c r="F118" s="104">
        <v>281</v>
      </c>
      <c r="G118" s="45">
        <v>328</v>
      </c>
      <c r="H118" s="114">
        <v>2</v>
      </c>
      <c r="I118" s="45">
        <v>2</v>
      </c>
      <c r="J118" s="104">
        <v>251</v>
      </c>
      <c r="K118" s="45">
        <v>255</v>
      </c>
      <c r="L118" s="114">
        <v>3</v>
      </c>
      <c r="M118" s="45">
        <v>4</v>
      </c>
      <c r="N118" s="104">
        <v>387</v>
      </c>
      <c r="O118" s="45">
        <v>405</v>
      </c>
      <c r="P118" s="114">
        <v>3</v>
      </c>
      <c r="Q118" s="45">
        <v>1</v>
      </c>
      <c r="R118" s="104">
        <v>335</v>
      </c>
      <c r="S118" s="45">
        <v>335</v>
      </c>
      <c r="T118" s="114">
        <v>1</v>
      </c>
      <c r="U118" s="45">
        <v>3</v>
      </c>
      <c r="V118" s="104">
        <v>420</v>
      </c>
      <c r="W118" s="45">
        <v>432</v>
      </c>
      <c r="X118" s="114">
        <v>15</v>
      </c>
      <c r="Y118" s="45">
        <v>17</v>
      </c>
      <c r="Z118" s="104">
        <v>1569</v>
      </c>
      <c r="AA118" s="45">
        <v>1562</v>
      </c>
      <c r="AB118" s="114">
        <v>11</v>
      </c>
      <c r="AC118" s="45">
        <v>14</v>
      </c>
      <c r="AD118" s="101">
        <v>1412</v>
      </c>
      <c r="AE118" s="47">
        <v>1424</v>
      </c>
      <c r="AF118" s="114">
        <v>14</v>
      </c>
      <c r="AG118" s="45">
        <v>11</v>
      </c>
      <c r="AH118" s="101">
        <v>862</v>
      </c>
      <c r="AI118" s="47">
        <v>921</v>
      </c>
      <c r="AJ118" s="114">
        <v>14</v>
      </c>
      <c r="AK118" s="45">
        <v>9</v>
      </c>
      <c r="AL118" s="101">
        <v>552</v>
      </c>
      <c r="AM118" s="47">
        <v>1004</v>
      </c>
      <c r="AN118" s="114">
        <v>21</v>
      </c>
      <c r="AO118" s="45">
        <v>15</v>
      </c>
      <c r="AP118" s="101">
        <v>843</v>
      </c>
      <c r="AQ118" s="47">
        <v>1482</v>
      </c>
      <c r="AR118" s="114">
        <v>19</v>
      </c>
      <c r="AS118" s="45">
        <v>20</v>
      </c>
      <c r="AT118" s="101">
        <v>961</v>
      </c>
      <c r="AU118" s="47">
        <v>1303</v>
      </c>
      <c r="AV118" s="114">
        <v>22</v>
      </c>
      <c r="AW118" s="45">
        <v>9</v>
      </c>
      <c r="AX118" s="101">
        <v>634</v>
      </c>
      <c r="AY118" s="47">
        <v>752</v>
      </c>
      <c r="AZ118" s="114">
        <v>2</v>
      </c>
      <c r="BA118" s="45">
        <v>1</v>
      </c>
      <c r="BB118" s="101">
        <v>106</v>
      </c>
      <c r="BC118" s="47">
        <v>154</v>
      </c>
      <c r="BD118" s="114"/>
      <c r="BE118" s="45"/>
      <c r="BF118" s="101"/>
      <c r="BG118" s="130"/>
      <c r="BH118" s="101"/>
      <c r="BI118" s="22" t="s">
        <v>131</v>
      </c>
      <c r="BJ118" s="101">
        <f t="shared" si="20"/>
        <v>92</v>
      </c>
      <c r="BK118" s="101">
        <f t="shared" si="21"/>
        <v>65</v>
      </c>
      <c r="BL118" s="101">
        <f t="shared" si="22"/>
        <v>3958</v>
      </c>
      <c r="BM118" s="101">
        <f t="shared" si="23"/>
        <v>5616</v>
      </c>
      <c r="BO118" t="s">
        <v>273</v>
      </c>
      <c r="BP118">
        <v>99</v>
      </c>
      <c r="BQ118">
        <v>61</v>
      </c>
      <c r="BR118">
        <v>8714</v>
      </c>
      <c r="BS118">
        <v>11176</v>
      </c>
      <c r="BT118">
        <f t="shared" si="17"/>
        <v>160</v>
      </c>
      <c r="BU118">
        <f t="shared" si="18"/>
        <v>40571</v>
      </c>
      <c r="BV118">
        <f t="shared" si="26"/>
        <v>20050</v>
      </c>
      <c r="BW118" s="148">
        <f t="shared" si="19"/>
        <v>7.9800498753117202E-3</v>
      </c>
    </row>
    <row r="119" spans="1:75" x14ac:dyDescent="0.25">
      <c r="A119" s="29">
        <v>91</v>
      </c>
      <c r="B119" s="23" t="s">
        <v>132</v>
      </c>
      <c r="C119" s="39"/>
      <c r="D119" s="113">
        <v>28</v>
      </c>
      <c r="E119" s="46">
        <v>28</v>
      </c>
      <c r="F119" s="72">
        <v>254</v>
      </c>
      <c r="G119" s="46">
        <v>298</v>
      </c>
      <c r="H119" s="113">
        <v>18</v>
      </c>
      <c r="I119" s="46">
        <v>22</v>
      </c>
      <c r="J119" s="72">
        <v>106</v>
      </c>
      <c r="K119" s="46">
        <v>131</v>
      </c>
      <c r="L119" s="113">
        <v>27</v>
      </c>
      <c r="M119" s="46">
        <v>21</v>
      </c>
      <c r="N119" s="72">
        <v>231</v>
      </c>
      <c r="O119" s="46">
        <v>236</v>
      </c>
      <c r="P119" s="113">
        <v>26</v>
      </c>
      <c r="Q119" s="46">
        <v>26</v>
      </c>
      <c r="R119" s="72">
        <v>202</v>
      </c>
      <c r="S119" s="46">
        <v>220</v>
      </c>
      <c r="T119" s="113">
        <v>22</v>
      </c>
      <c r="U119" s="46">
        <v>25</v>
      </c>
      <c r="V119" s="72">
        <v>249</v>
      </c>
      <c r="W119" s="46">
        <v>245</v>
      </c>
      <c r="X119" s="113">
        <v>107</v>
      </c>
      <c r="Y119" s="46">
        <v>112</v>
      </c>
      <c r="Z119" s="72">
        <v>930</v>
      </c>
      <c r="AA119" s="46">
        <v>936</v>
      </c>
      <c r="AB119" s="113">
        <v>106</v>
      </c>
      <c r="AC119" s="46">
        <v>113</v>
      </c>
      <c r="AD119" s="72">
        <v>880</v>
      </c>
      <c r="AE119" s="66">
        <v>746</v>
      </c>
      <c r="AF119" s="113">
        <v>97</v>
      </c>
      <c r="AG119" s="46">
        <v>96</v>
      </c>
      <c r="AH119" s="72">
        <v>789</v>
      </c>
      <c r="AI119" s="66">
        <v>634</v>
      </c>
      <c r="AJ119" s="113">
        <v>98</v>
      </c>
      <c r="AK119" s="46">
        <v>81</v>
      </c>
      <c r="AL119" s="72">
        <v>563</v>
      </c>
      <c r="AM119" s="66">
        <v>579</v>
      </c>
      <c r="AN119" s="113">
        <v>192</v>
      </c>
      <c r="AO119" s="46">
        <v>134</v>
      </c>
      <c r="AP119" s="72">
        <v>953</v>
      </c>
      <c r="AQ119" s="66">
        <v>1021</v>
      </c>
      <c r="AR119" s="113">
        <v>210</v>
      </c>
      <c r="AS119" s="46">
        <v>151</v>
      </c>
      <c r="AT119" s="72">
        <v>898</v>
      </c>
      <c r="AU119" s="66">
        <v>834</v>
      </c>
      <c r="AV119" s="113">
        <v>124</v>
      </c>
      <c r="AW119" s="46">
        <v>70</v>
      </c>
      <c r="AX119" s="72">
        <v>473</v>
      </c>
      <c r="AY119" s="66">
        <v>545</v>
      </c>
      <c r="AZ119" s="113">
        <v>14</v>
      </c>
      <c r="BA119" s="46">
        <v>12</v>
      </c>
      <c r="BB119" s="72">
        <v>112</v>
      </c>
      <c r="BC119" s="66">
        <v>136</v>
      </c>
      <c r="BD119" s="113"/>
      <c r="BE119" s="46"/>
      <c r="BF119" s="72"/>
      <c r="BG119" s="133"/>
      <c r="BH119" s="65"/>
      <c r="BI119" s="22" t="s">
        <v>132</v>
      </c>
      <c r="BJ119" s="101">
        <f t="shared" si="20"/>
        <v>735</v>
      </c>
      <c r="BK119" s="101">
        <f t="shared" si="21"/>
        <v>544</v>
      </c>
      <c r="BL119" s="101">
        <f t="shared" si="22"/>
        <v>3788</v>
      </c>
      <c r="BM119" s="101">
        <f t="shared" si="23"/>
        <v>3749</v>
      </c>
      <c r="BO119" t="s">
        <v>274</v>
      </c>
      <c r="BP119">
        <v>137</v>
      </c>
      <c r="BQ119">
        <v>113</v>
      </c>
      <c r="BR119">
        <v>8466</v>
      </c>
      <c r="BS119">
        <v>12215</v>
      </c>
      <c r="BT119">
        <f t="shared" si="17"/>
        <v>250</v>
      </c>
      <c r="BU119">
        <f t="shared" si="18"/>
        <v>44975</v>
      </c>
      <c r="BV119">
        <f t="shared" si="26"/>
        <v>20931</v>
      </c>
      <c r="BW119" s="148">
        <f t="shared" si="19"/>
        <v>1.1944006497539534E-2</v>
      </c>
    </row>
    <row r="120" spans="1:75" x14ac:dyDescent="0.25">
      <c r="A120" s="29">
        <v>92</v>
      </c>
      <c r="B120" s="23" t="s">
        <v>133</v>
      </c>
      <c r="C120" s="24"/>
      <c r="D120" s="113">
        <v>7</v>
      </c>
      <c r="E120" s="46">
        <v>6</v>
      </c>
      <c r="F120" s="46">
        <v>618</v>
      </c>
      <c r="G120" s="46">
        <v>544</v>
      </c>
      <c r="H120" s="113">
        <v>2</v>
      </c>
      <c r="I120" s="46">
        <v>4</v>
      </c>
      <c r="J120" s="46">
        <v>293</v>
      </c>
      <c r="K120" s="46">
        <v>314</v>
      </c>
      <c r="L120" s="113">
        <v>4</v>
      </c>
      <c r="M120" s="46">
        <v>4</v>
      </c>
      <c r="N120" s="46">
        <v>595</v>
      </c>
      <c r="O120" s="46">
        <v>601</v>
      </c>
      <c r="P120" s="113">
        <v>4</v>
      </c>
      <c r="Q120" s="46">
        <v>6</v>
      </c>
      <c r="R120" s="46">
        <v>556</v>
      </c>
      <c r="S120" s="46">
        <v>637</v>
      </c>
      <c r="T120" s="113">
        <v>5</v>
      </c>
      <c r="U120" s="46">
        <v>3</v>
      </c>
      <c r="V120" s="46">
        <v>560</v>
      </c>
      <c r="W120" s="46">
        <v>515</v>
      </c>
      <c r="X120" s="113">
        <v>21</v>
      </c>
      <c r="Y120" s="46">
        <v>20</v>
      </c>
      <c r="Z120" s="46">
        <v>1996</v>
      </c>
      <c r="AA120" s="46">
        <v>1977</v>
      </c>
      <c r="AB120" s="113">
        <v>14</v>
      </c>
      <c r="AC120" s="46">
        <v>13</v>
      </c>
      <c r="AD120" s="46">
        <v>1928</v>
      </c>
      <c r="AE120" s="66">
        <v>1706</v>
      </c>
      <c r="AF120" s="113">
        <v>10</v>
      </c>
      <c r="AG120" s="46">
        <v>8</v>
      </c>
      <c r="AH120" s="46">
        <v>1258</v>
      </c>
      <c r="AI120" s="66">
        <v>1505</v>
      </c>
      <c r="AJ120" s="113">
        <v>9</v>
      </c>
      <c r="AK120" s="46">
        <v>11</v>
      </c>
      <c r="AL120" s="46">
        <v>611</v>
      </c>
      <c r="AM120" s="66">
        <v>1207</v>
      </c>
      <c r="AN120" s="113">
        <v>35</v>
      </c>
      <c r="AO120" s="46">
        <v>28</v>
      </c>
      <c r="AP120" s="46">
        <v>1200</v>
      </c>
      <c r="AQ120" s="66">
        <v>2139</v>
      </c>
      <c r="AR120" s="113">
        <v>30</v>
      </c>
      <c r="AS120" s="46">
        <v>10</v>
      </c>
      <c r="AT120" s="46">
        <v>1304</v>
      </c>
      <c r="AU120" s="66">
        <v>1669</v>
      </c>
      <c r="AV120" s="113">
        <v>9</v>
      </c>
      <c r="AW120" s="46">
        <v>9</v>
      </c>
      <c r="AX120" s="46">
        <v>835</v>
      </c>
      <c r="AY120" s="66">
        <v>952</v>
      </c>
      <c r="AZ120" s="113"/>
      <c r="BA120" s="46">
        <v>1</v>
      </c>
      <c r="BB120" s="46">
        <v>201</v>
      </c>
      <c r="BC120" s="66">
        <v>232</v>
      </c>
      <c r="BD120" s="113"/>
      <c r="BE120" s="46"/>
      <c r="BF120" s="46"/>
      <c r="BG120" s="133"/>
      <c r="BH120" s="65"/>
      <c r="BI120" s="22" t="s">
        <v>133</v>
      </c>
      <c r="BJ120" s="101">
        <f t="shared" si="20"/>
        <v>93</v>
      </c>
      <c r="BK120" s="101">
        <f t="shared" si="21"/>
        <v>67</v>
      </c>
      <c r="BL120" s="101">
        <f t="shared" si="22"/>
        <v>5409</v>
      </c>
      <c r="BM120" s="101">
        <f t="shared" si="23"/>
        <v>7704</v>
      </c>
      <c r="BO120" t="s">
        <v>275</v>
      </c>
      <c r="BP120">
        <v>601</v>
      </c>
      <c r="BQ120">
        <v>480</v>
      </c>
      <c r="BR120">
        <v>10145</v>
      </c>
      <c r="BS120">
        <v>14149</v>
      </c>
      <c r="BT120">
        <f t="shared" si="17"/>
        <v>1081</v>
      </c>
      <c r="BU120">
        <f t="shared" si="18"/>
        <v>33083</v>
      </c>
      <c r="BV120">
        <f t="shared" si="26"/>
        <v>25375</v>
      </c>
      <c r="BW120" s="148">
        <f t="shared" si="19"/>
        <v>4.2600985221674874E-2</v>
      </c>
    </row>
    <row r="121" spans="1:75" x14ac:dyDescent="0.25">
      <c r="A121" s="29">
        <v>93</v>
      </c>
      <c r="B121" s="23" t="s">
        <v>134</v>
      </c>
      <c r="C121" s="24"/>
      <c r="D121" s="113">
        <v>8</v>
      </c>
      <c r="E121" s="46">
        <v>3</v>
      </c>
      <c r="F121" s="65">
        <v>718</v>
      </c>
      <c r="G121" s="46">
        <v>834</v>
      </c>
      <c r="H121" s="113">
        <v>4</v>
      </c>
      <c r="I121" s="46">
        <v>6</v>
      </c>
      <c r="J121" s="65">
        <v>539</v>
      </c>
      <c r="K121" s="46">
        <v>564</v>
      </c>
      <c r="L121" s="113">
        <v>4</v>
      </c>
      <c r="M121" s="46">
        <v>9</v>
      </c>
      <c r="N121" s="65">
        <v>870</v>
      </c>
      <c r="O121" s="46">
        <v>973</v>
      </c>
      <c r="P121" s="113">
        <v>2</v>
      </c>
      <c r="Q121" s="46">
        <v>6</v>
      </c>
      <c r="R121" s="65">
        <v>870</v>
      </c>
      <c r="S121" s="46">
        <v>965</v>
      </c>
      <c r="T121" s="113">
        <v>2</v>
      </c>
      <c r="U121" s="46">
        <v>3</v>
      </c>
      <c r="V121" s="65">
        <v>812</v>
      </c>
      <c r="W121" s="46">
        <v>868</v>
      </c>
      <c r="X121" s="113">
        <v>20</v>
      </c>
      <c r="Y121" s="46">
        <v>16</v>
      </c>
      <c r="Z121" s="65">
        <v>2871</v>
      </c>
      <c r="AA121" s="46">
        <v>2773</v>
      </c>
      <c r="AB121" s="113">
        <v>9</v>
      </c>
      <c r="AC121" s="46">
        <v>15</v>
      </c>
      <c r="AD121" s="65">
        <v>2588</v>
      </c>
      <c r="AE121" s="66">
        <v>2550</v>
      </c>
      <c r="AF121" s="113">
        <v>12</v>
      </c>
      <c r="AG121" s="46">
        <v>12</v>
      </c>
      <c r="AH121" s="65">
        <v>1587</v>
      </c>
      <c r="AI121" s="66">
        <v>1990</v>
      </c>
      <c r="AJ121" s="113">
        <v>20</v>
      </c>
      <c r="AK121" s="46">
        <v>15</v>
      </c>
      <c r="AL121" s="65">
        <v>987</v>
      </c>
      <c r="AM121" s="66">
        <v>2063</v>
      </c>
      <c r="AN121" s="113">
        <v>39</v>
      </c>
      <c r="AO121" s="46">
        <v>20</v>
      </c>
      <c r="AP121" s="65">
        <v>1780</v>
      </c>
      <c r="AQ121" s="66">
        <v>3251</v>
      </c>
      <c r="AR121" s="113">
        <v>33</v>
      </c>
      <c r="AS121" s="46">
        <v>29</v>
      </c>
      <c r="AT121" s="65">
        <v>1749</v>
      </c>
      <c r="AU121" s="66">
        <v>2449</v>
      </c>
      <c r="AV121" s="113">
        <v>16</v>
      </c>
      <c r="AW121" s="46">
        <v>9</v>
      </c>
      <c r="AX121" s="65">
        <v>1149</v>
      </c>
      <c r="AY121" s="66">
        <v>1545</v>
      </c>
      <c r="AZ121" s="113">
        <v>4</v>
      </c>
      <c r="BA121" s="46">
        <v>2</v>
      </c>
      <c r="BB121" s="65">
        <v>260</v>
      </c>
      <c r="BC121" s="66">
        <v>359</v>
      </c>
      <c r="BD121" s="113"/>
      <c r="BE121" s="46"/>
      <c r="BF121" s="65"/>
      <c r="BG121" s="133"/>
      <c r="BH121" s="65"/>
      <c r="BI121" s="22" t="s">
        <v>134</v>
      </c>
      <c r="BJ121" s="101">
        <f t="shared" si="20"/>
        <v>124</v>
      </c>
      <c r="BK121" s="101">
        <f t="shared" si="21"/>
        <v>87</v>
      </c>
      <c r="BL121" s="101">
        <f t="shared" si="22"/>
        <v>7512</v>
      </c>
      <c r="BM121" s="101">
        <f t="shared" si="23"/>
        <v>11657</v>
      </c>
      <c r="BO121" t="s">
        <v>276</v>
      </c>
      <c r="BP121">
        <v>265</v>
      </c>
      <c r="BQ121">
        <v>249</v>
      </c>
      <c r="BR121">
        <v>3869</v>
      </c>
      <c r="BS121">
        <v>4920</v>
      </c>
      <c r="BT121">
        <f t="shared" si="17"/>
        <v>514</v>
      </c>
      <c r="BU121">
        <f t="shared" si="18"/>
        <v>20398</v>
      </c>
      <c r="BV121">
        <f t="shared" si="26"/>
        <v>9303</v>
      </c>
      <c r="BW121" s="148">
        <f t="shared" si="19"/>
        <v>5.525099430291304E-2</v>
      </c>
    </row>
    <row r="122" spans="1:75" x14ac:dyDescent="0.25">
      <c r="A122" s="29">
        <v>94</v>
      </c>
      <c r="B122" s="23" t="s">
        <v>135</v>
      </c>
      <c r="C122" s="24"/>
      <c r="D122" s="113">
        <v>2</v>
      </c>
      <c r="E122" s="46">
        <v>4</v>
      </c>
      <c r="F122" s="65">
        <v>639</v>
      </c>
      <c r="G122" s="46">
        <v>638</v>
      </c>
      <c r="H122" s="113">
        <v>2</v>
      </c>
      <c r="I122" s="46">
        <v>2</v>
      </c>
      <c r="J122" s="65">
        <v>404</v>
      </c>
      <c r="K122" s="46">
        <v>428</v>
      </c>
      <c r="L122" s="113">
        <v>2</v>
      </c>
      <c r="M122" s="46">
        <v>4</v>
      </c>
      <c r="N122" s="65">
        <v>738</v>
      </c>
      <c r="O122" s="46">
        <v>749</v>
      </c>
      <c r="P122" s="113">
        <v>4</v>
      </c>
      <c r="Q122" s="46">
        <v>6</v>
      </c>
      <c r="R122" s="65">
        <v>789</v>
      </c>
      <c r="S122" s="46">
        <v>861</v>
      </c>
      <c r="T122" s="113">
        <v>4</v>
      </c>
      <c r="U122" s="46">
        <v>3</v>
      </c>
      <c r="V122" s="65">
        <v>665</v>
      </c>
      <c r="W122" s="46">
        <v>710</v>
      </c>
      <c r="X122" s="113">
        <v>9</v>
      </c>
      <c r="Y122" s="46">
        <v>17</v>
      </c>
      <c r="Z122" s="65">
        <v>2409</v>
      </c>
      <c r="AA122" s="46">
        <v>2440</v>
      </c>
      <c r="AB122" s="113">
        <v>12</v>
      </c>
      <c r="AC122" s="46">
        <v>11</v>
      </c>
      <c r="AD122" s="65">
        <v>2270</v>
      </c>
      <c r="AE122" s="66">
        <v>2261</v>
      </c>
      <c r="AF122" s="113">
        <v>6</v>
      </c>
      <c r="AG122" s="46">
        <v>9</v>
      </c>
      <c r="AH122" s="65">
        <v>1459</v>
      </c>
      <c r="AI122" s="66">
        <v>1750</v>
      </c>
      <c r="AJ122" s="113">
        <v>14</v>
      </c>
      <c r="AK122" s="46">
        <v>11</v>
      </c>
      <c r="AL122" s="65">
        <v>993</v>
      </c>
      <c r="AM122" s="66">
        <v>1679</v>
      </c>
      <c r="AN122" s="113">
        <v>28</v>
      </c>
      <c r="AO122" s="46">
        <v>16</v>
      </c>
      <c r="AP122" s="65">
        <v>1708</v>
      </c>
      <c r="AQ122" s="66">
        <v>3200</v>
      </c>
      <c r="AR122" s="113">
        <v>29</v>
      </c>
      <c r="AS122" s="46">
        <v>23</v>
      </c>
      <c r="AT122" s="65">
        <v>1740</v>
      </c>
      <c r="AU122" s="66">
        <v>1983</v>
      </c>
      <c r="AV122" s="113">
        <v>12</v>
      </c>
      <c r="AW122" s="46">
        <v>7</v>
      </c>
      <c r="AX122" s="65">
        <v>998</v>
      </c>
      <c r="AY122" s="66">
        <v>1369</v>
      </c>
      <c r="AZ122" s="113">
        <v>2</v>
      </c>
      <c r="BA122" s="46">
        <v>1</v>
      </c>
      <c r="BB122" s="65">
        <v>287</v>
      </c>
      <c r="BC122" s="66">
        <v>324</v>
      </c>
      <c r="BD122" s="113"/>
      <c r="BE122" s="46"/>
      <c r="BF122" s="65"/>
      <c r="BG122" s="133"/>
      <c r="BH122" s="65"/>
      <c r="BI122" s="22" t="s">
        <v>135</v>
      </c>
      <c r="BJ122" s="101">
        <f t="shared" si="20"/>
        <v>91</v>
      </c>
      <c r="BK122" s="101">
        <f t="shared" si="21"/>
        <v>67</v>
      </c>
      <c r="BL122" s="101">
        <f t="shared" si="22"/>
        <v>7185</v>
      </c>
      <c r="BM122" s="101">
        <f t="shared" si="23"/>
        <v>10305</v>
      </c>
      <c r="BO122" t="s">
        <v>277</v>
      </c>
      <c r="BP122">
        <v>277</v>
      </c>
      <c r="BQ122">
        <v>206</v>
      </c>
      <c r="BR122">
        <v>4700</v>
      </c>
      <c r="BS122">
        <v>6909</v>
      </c>
      <c r="BT122">
        <f t="shared" si="17"/>
        <v>483</v>
      </c>
      <c r="BU122">
        <f t="shared" si="18"/>
        <v>28458</v>
      </c>
      <c r="BV122">
        <f t="shared" si="26"/>
        <v>12092</v>
      </c>
      <c r="BW122" s="148">
        <f t="shared" si="19"/>
        <v>3.9943764472378435E-2</v>
      </c>
    </row>
    <row r="123" spans="1:75" x14ac:dyDescent="0.25">
      <c r="A123" s="29">
        <v>95</v>
      </c>
      <c r="B123" s="23" t="s">
        <v>136</v>
      </c>
      <c r="C123" s="24"/>
      <c r="D123" s="113">
        <v>8</v>
      </c>
      <c r="E123" s="46">
        <v>6</v>
      </c>
      <c r="F123" s="65">
        <v>681</v>
      </c>
      <c r="G123" s="46">
        <v>717</v>
      </c>
      <c r="H123" s="113">
        <v>2</v>
      </c>
      <c r="I123" s="46">
        <v>8</v>
      </c>
      <c r="J123" s="65">
        <v>312</v>
      </c>
      <c r="K123" s="46">
        <v>294</v>
      </c>
      <c r="L123" s="113">
        <v>3</v>
      </c>
      <c r="M123" s="46">
        <v>7</v>
      </c>
      <c r="N123" s="65">
        <v>575</v>
      </c>
      <c r="O123" s="46">
        <v>647</v>
      </c>
      <c r="P123" s="113">
        <v>6</v>
      </c>
      <c r="Q123" s="46">
        <v>6</v>
      </c>
      <c r="R123" s="65">
        <v>784</v>
      </c>
      <c r="S123" s="46">
        <v>800</v>
      </c>
      <c r="T123" s="113">
        <v>1</v>
      </c>
      <c r="U123" s="46">
        <v>4</v>
      </c>
      <c r="V123" s="65">
        <v>631</v>
      </c>
      <c r="W123" s="46">
        <v>660</v>
      </c>
      <c r="X123" s="113">
        <v>20</v>
      </c>
      <c r="Y123" s="46">
        <v>20</v>
      </c>
      <c r="Z123" s="65">
        <v>2426</v>
      </c>
      <c r="AA123" s="46">
        <v>2331</v>
      </c>
      <c r="AB123" s="113">
        <v>25</v>
      </c>
      <c r="AC123" s="46">
        <v>12</v>
      </c>
      <c r="AD123" s="65">
        <v>2298</v>
      </c>
      <c r="AE123" s="66">
        <v>2207</v>
      </c>
      <c r="AF123" s="113">
        <v>22</v>
      </c>
      <c r="AG123" s="46">
        <v>10</v>
      </c>
      <c r="AH123" s="65">
        <v>1476</v>
      </c>
      <c r="AI123" s="66">
        <v>1804</v>
      </c>
      <c r="AJ123" s="113">
        <v>23</v>
      </c>
      <c r="AK123" s="46">
        <v>16</v>
      </c>
      <c r="AL123" s="65">
        <v>775</v>
      </c>
      <c r="AM123" s="66">
        <v>1244</v>
      </c>
      <c r="AN123" s="113">
        <v>30</v>
      </c>
      <c r="AO123" s="46">
        <v>22</v>
      </c>
      <c r="AP123" s="65">
        <v>1780</v>
      </c>
      <c r="AQ123" s="66">
        <v>3255</v>
      </c>
      <c r="AR123" s="113">
        <v>35</v>
      </c>
      <c r="AS123" s="46">
        <v>25</v>
      </c>
      <c r="AT123" s="65">
        <v>1724</v>
      </c>
      <c r="AU123" s="66">
        <v>2202</v>
      </c>
      <c r="AV123" s="113">
        <v>16</v>
      </c>
      <c r="AW123" s="46">
        <v>12</v>
      </c>
      <c r="AX123" s="65">
        <v>1061</v>
      </c>
      <c r="AY123" s="66">
        <v>1278</v>
      </c>
      <c r="AZ123" s="113">
        <v>3</v>
      </c>
      <c r="BA123" s="46">
        <v>2</v>
      </c>
      <c r="BB123" s="65">
        <v>406</v>
      </c>
      <c r="BC123" s="66">
        <v>407</v>
      </c>
      <c r="BD123" s="113"/>
      <c r="BE123" s="46"/>
      <c r="BF123" s="65"/>
      <c r="BG123" s="133"/>
      <c r="BH123" s="65"/>
      <c r="BI123" s="22" t="s">
        <v>136</v>
      </c>
      <c r="BJ123" s="101">
        <f t="shared" si="20"/>
        <v>129</v>
      </c>
      <c r="BK123" s="101">
        <f t="shared" si="21"/>
        <v>87</v>
      </c>
      <c r="BL123" s="101">
        <f t="shared" si="22"/>
        <v>7222</v>
      </c>
      <c r="BM123" s="101">
        <f t="shared" si="23"/>
        <v>10190</v>
      </c>
      <c r="BO123" t="s">
        <v>278</v>
      </c>
      <c r="BP123">
        <v>159</v>
      </c>
      <c r="BQ123">
        <v>107</v>
      </c>
      <c r="BR123">
        <v>6565</v>
      </c>
      <c r="BS123">
        <v>10284</v>
      </c>
      <c r="BT123">
        <f t="shared" si="17"/>
        <v>266</v>
      </c>
      <c r="BU123">
        <f t="shared" si="18"/>
        <v>37017</v>
      </c>
      <c r="BV123">
        <f t="shared" si="26"/>
        <v>17115</v>
      </c>
      <c r="BW123" s="148">
        <f t="shared" si="19"/>
        <v>1.5541922290388548E-2</v>
      </c>
    </row>
    <row r="124" spans="1:75" ht="15.75" x14ac:dyDescent="0.25">
      <c r="A124" s="29">
        <v>96</v>
      </c>
      <c r="B124" s="23" t="s">
        <v>137</v>
      </c>
      <c r="C124" s="67"/>
      <c r="D124" s="114">
        <v>8</v>
      </c>
      <c r="E124" s="45">
        <v>11</v>
      </c>
      <c r="F124" s="65">
        <v>598</v>
      </c>
      <c r="G124" s="45">
        <v>624</v>
      </c>
      <c r="H124" s="114">
        <v>9</v>
      </c>
      <c r="I124" s="45">
        <v>11</v>
      </c>
      <c r="J124" s="65">
        <v>320</v>
      </c>
      <c r="K124" s="45">
        <v>349</v>
      </c>
      <c r="L124" s="114">
        <v>12</v>
      </c>
      <c r="M124" s="45">
        <v>7</v>
      </c>
      <c r="N124" s="65">
        <v>593</v>
      </c>
      <c r="O124" s="45">
        <v>654</v>
      </c>
      <c r="P124" s="114">
        <v>9</v>
      </c>
      <c r="Q124" s="45">
        <v>6</v>
      </c>
      <c r="R124" s="65">
        <v>464</v>
      </c>
      <c r="S124" s="45">
        <v>519</v>
      </c>
      <c r="T124" s="114">
        <v>9</v>
      </c>
      <c r="U124" s="45">
        <v>2</v>
      </c>
      <c r="V124" s="65">
        <v>646</v>
      </c>
      <c r="W124" s="45">
        <v>724</v>
      </c>
      <c r="X124" s="114">
        <v>32</v>
      </c>
      <c r="Y124" s="45">
        <v>35</v>
      </c>
      <c r="Z124" s="65">
        <v>2596</v>
      </c>
      <c r="AA124" s="45">
        <v>2768</v>
      </c>
      <c r="AB124" s="114">
        <v>24</v>
      </c>
      <c r="AC124" s="45">
        <v>21</v>
      </c>
      <c r="AD124" s="65">
        <v>3123</v>
      </c>
      <c r="AE124" s="47">
        <v>2822</v>
      </c>
      <c r="AF124" s="114">
        <v>34</v>
      </c>
      <c r="AG124" s="45">
        <v>18</v>
      </c>
      <c r="AH124" s="65">
        <v>1817</v>
      </c>
      <c r="AI124" s="47">
        <v>1797</v>
      </c>
      <c r="AJ124" s="114">
        <v>43</v>
      </c>
      <c r="AK124" s="45">
        <v>32</v>
      </c>
      <c r="AL124" s="65">
        <v>1199</v>
      </c>
      <c r="AM124" s="47">
        <v>1773</v>
      </c>
      <c r="AN124" s="114">
        <v>100</v>
      </c>
      <c r="AO124" s="45">
        <v>44</v>
      </c>
      <c r="AP124" s="65">
        <v>1911</v>
      </c>
      <c r="AQ124" s="47">
        <v>3013</v>
      </c>
      <c r="AR124" s="114">
        <v>95</v>
      </c>
      <c r="AS124" s="45">
        <v>56</v>
      </c>
      <c r="AT124" s="65">
        <v>2152</v>
      </c>
      <c r="AU124" s="47">
        <v>2904</v>
      </c>
      <c r="AV124" s="114">
        <v>42</v>
      </c>
      <c r="AW124" s="45">
        <v>25</v>
      </c>
      <c r="AX124" s="65">
        <v>1138</v>
      </c>
      <c r="AY124" s="47">
        <v>1463</v>
      </c>
      <c r="AZ124" s="114">
        <v>5</v>
      </c>
      <c r="BA124" s="45">
        <v>7</v>
      </c>
      <c r="BB124" s="65">
        <v>227</v>
      </c>
      <c r="BC124" s="47">
        <v>398</v>
      </c>
      <c r="BD124" s="114"/>
      <c r="BE124" s="45"/>
      <c r="BF124" s="65"/>
      <c r="BG124" s="130"/>
      <c r="BH124" s="101"/>
      <c r="BI124" s="22" t="s">
        <v>137</v>
      </c>
      <c r="BJ124" s="101">
        <f t="shared" si="20"/>
        <v>319</v>
      </c>
      <c r="BK124" s="101">
        <f t="shared" si="21"/>
        <v>182</v>
      </c>
      <c r="BL124" s="101">
        <f t="shared" si="22"/>
        <v>8444</v>
      </c>
      <c r="BM124" s="101">
        <f t="shared" si="23"/>
        <v>11348</v>
      </c>
      <c r="BO124" t="s">
        <v>279</v>
      </c>
      <c r="BP124">
        <v>95</v>
      </c>
      <c r="BQ124">
        <v>65</v>
      </c>
      <c r="BR124">
        <v>8144</v>
      </c>
      <c r="BS124">
        <v>12024</v>
      </c>
      <c r="BT124">
        <f t="shared" si="17"/>
        <v>160</v>
      </c>
      <c r="BU124">
        <f t="shared" si="18"/>
        <v>39284</v>
      </c>
      <c r="BV124">
        <f t="shared" si="26"/>
        <v>20328</v>
      </c>
      <c r="BW124" s="148">
        <f t="shared" si="19"/>
        <v>7.8709169618260532E-3</v>
      </c>
    </row>
    <row r="125" spans="1:75" x14ac:dyDescent="0.25">
      <c r="A125" s="99" t="s">
        <v>138</v>
      </c>
      <c r="B125" s="100"/>
      <c r="C125" s="39"/>
      <c r="D125" s="113"/>
      <c r="E125" s="46"/>
      <c r="F125" s="65"/>
      <c r="G125" s="46"/>
      <c r="H125" s="113"/>
      <c r="I125" s="46"/>
      <c r="J125" s="65"/>
      <c r="K125" s="46"/>
      <c r="L125" s="113"/>
      <c r="M125" s="46"/>
      <c r="N125" s="65"/>
      <c r="O125" s="46"/>
      <c r="P125" s="113"/>
      <c r="Q125" s="46"/>
      <c r="R125" s="65"/>
      <c r="S125" s="46"/>
      <c r="T125" s="113"/>
      <c r="U125" s="46"/>
      <c r="V125" s="65"/>
      <c r="W125" s="46"/>
      <c r="X125" s="113"/>
      <c r="Y125" s="46"/>
      <c r="Z125" s="65"/>
      <c r="AA125" s="46"/>
      <c r="AB125" s="113"/>
      <c r="AC125" s="46"/>
      <c r="AD125" s="65"/>
      <c r="AE125" s="66"/>
      <c r="AF125" s="113"/>
      <c r="AG125" s="46"/>
      <c r="AH125" s="65"/>
      <c r="AI125" s="66"/>
      <c r="AJ125" s="113"/>
      <c r="AK125" s="46"/>
      <c r="AL125" s="65"/>
      <c r="AM125" s="66"/>
      <c r="AN125" s="113"/>
      <c r="AO125" s="46"/>
      <c r="AP125" s="65"/>
      <c r="AQ125" s="66"/>
      <c r="AR125" s="113"/>
      <c r="AS125" s="46"/>
      <c r="AT125" s="65"/>
      <c r="AU125" s="66"/>
      <c r="AV125" s="113"/>
      <c r="AW125" s="46"/>
      <c r="AX125" s="65"/>
      <c r="AY125" s="66"/>
      <c r="AZ125" s="113"/>
      <c r="BA125" s="46"/>
      <c r="BB125" s="65"/>
      <c r="BC125" s="66"/>
      <c r="BD125" s="113"/>
      <c r="BE125" s="46"/>
      <c r="BF125" s="65"/>
      <c r="BG125" s="133"/>
      <c r="BH125" s="65"/>
      <c r="BI125" s="142"/>
      <c r="BJ125" s="101">
        <f t="shared" si="20"/>
        <v>0</v>
      </c>
      <c r="BK125" s="101">
        <f t="shared" si="21"/>
        <v>0</v>
      </c>
      <c r="BL125" s="101">
        <f t="shared" si="22"/>
        <v>0</v>
      </c>
      <c r="BM125" s="101">
        <f t="shared" si="23"/>
        <v>0</v>
      </c>
      <c r="BO125" t="s">
        <v>280</v>
      </c>
      <c r="BP125">
        <v>113</v>
      </c>
      <c r="BQ125">
        <v>94</v>
      </c>
      <c r="BR125">
        <v>7305</v>
      </c>
      <c r="BS125">
        <v>11811</v>
      </c>
      <c r="BT125">
        <f t="shared" si="17"/>
        <v>207</v>
      </c>
      <c r="BU125">
        <f t="shared" si="18"/>
        <v>29715</v>
      </c>
      <c r="BV125">
        <f t="shared" si="26"/>
        <v>19323</v>
      </c>
      <c r="BW125" s="148">
        <f t="shared" si="19"/>
        <v>1.0712622263623661E-2</v>
      </c>
    </row>
    <row r="126" spans="1:75" x14ac:dyDescent="0.25">
      <c r="A126" s="115">
        <v>97</v>
      </c>
      <c r="B126" s="116" t="s">
        <v>139</v>
      </c>
      <c r="C126" s="24"/>
      <c r="D126" s="113">
        <v>58</v>
      </c>
      <c r="E126" s="46">
        <v>64</v>
      </c>
      <c r="F126" s="65">
        <v>96</v>
      </c>
      <c r="G126" s="46">
        <v>116</v>
      </c>
      <c r="H126" s="113">
        <v>62</v>
      </c>
      <c r="I126" s="46">
        <v>57</v>
      </c>
      <c r="J126" s="65">
        <v>51</v>
      </c>
      <c r="K126" s="46">
        <v>70</v>
      </c>
      <c r="L126" s="113">
        <v>76</v>
      </c>
      <c r="M126" s="46">
        <v>66</v>
      </c>
      <c r="N126" s="65">
        <v>78</v>
      </c>
      <c r="O126" s="46">
        <v>80</v>
      </c>
      <c r="P126" s="113">
        <v>67</v>
      </c>
      <c r="Q126" s="46">
        <v>65</v>
      </c>
      <c r="R126" s="65">
        <v>78</v>
      </c>
      <c r="S126" s="46">
        <v>109</v>
      </c>
      <c r="T126" s="113">
        <v>60</v>
      </c>
      <c r="U126" s="46">
        <v>79</v>
      </c>
      <c r="V126" s="65">
        <v>66</v>
      </c>
      <c r="W126" s="46">
        <v>88</v>
      </c>
      <c r="X126" s="113">
        <v>287</v>
      </c>
      <c r="Y126" s="46">
        <v>305</v>
      </c>
      <c r="Z126" s="65">
        <v>335</v>
      </c>
      <c r="AA126" s="46">
        <v>326</v>
      </c>
      <c r="AB126" s="113">
        <v>269</v>
      </c>
      <c r="AC126" s="46">
        <v>258</v>
      </c>
      <c r="AD126" s="65">
        <v>293</v>
      </c>
      <c r="AE126" s="66">
        <v>307</v>
      </c>
      <c r="AF126" s="113">
        <v>221</v>
      </c>
      <c r="AG126" s="46">
        <v>203</v>
      </c>
      <c r="AH126" s="65">
        <v>239</v>
      </c>
      <c r="AI126" s="66">
        <v>206</v>
      </c>
      <c r="AJ126" s="113">
        <v>188</v>
      </c>
      <c r="AK126" s="46">
        <v>207</v>
      </c>
      <c r="AL126" s="65">
        <v>121</v>
      </c>
      <c r="AM126" s="66">
        <v>181</v>
      </c>
      <c r="AN126" s="113">
        <v>286</v>
      </c>
      <c r="AO126" s="46">
        <v>277</v>
      </c>
      <c r="AP126" s="65">
        <v>299</v>
      </c>
      <c r="AQ126" s="66">
        <v>393</v>
      </c>
      <c r="AR126" s="113">
        <v>304</v>
      </c>
      <c r="AS126" s="46">
        <v>242</v>
      </c>
      <c r="AT126" s="65">
        <v>358</v>
      </c>
      <c r="AU126" s="66">
        <v>281</v>
      </c>
      <c r="AV126" s="113">
        <v>193</v>
      </c>
      <c r="AW126" s="46">
        <v>144</v>
      </c>
      <c r="AX126" s="65">
        <v>166</v>
      </c>
      <c r="AY126" s="66">
        <v>132</v>
      </c>
      <c r="AZ126" s="113">
        <v>40</v>
      </c>
      <c r="BA126" s="46">
        <v>27</v>
      </c>
      <c r="BB126" s="65">
        <v>32</v>
      </c>
      <c r="BC126" s="66">
        <v>48</v>
      </c>
      <c r="BD126" s="113"/>
      <c r="BE126" s="46"/>
      <c r="BF126" s="65"/>
      <c r="BG126" s="133"/>
      <c r="BH126" s="65"/>
      <c r="BI126" s="144" t="s">
        <v>139</v>
      </c>
      <c r="BJ126" s="101">
        <f t="shared" si="20"/>
        <v>1232</v>
      </c>
      <c r="BK126" s="101">
        <f t="shared" si="21"/>
        <v>1100</v>
      </c>
      <c r="BL126" s="101">
        <f t="shared" si="22"/>
        <v>1215</v>
      </c>
      <c r="BM126" s="101">
        <f t="shared" si="23"/>
        <v>1241</v>
      </c>
      <c r="BO126" t="s">
        <v>281</v>
      </c>
      <c r="BP126">
        <v>75</v>
      </c>
      <c r="BQ126">
        <v>55</v>
      </c>
      <c r="BR126">
        <v>3854</v>
      </c>
      <c r="BS126">
        <v>6745</v>
      </c>
      <c r="BT126">
        <f t="shared" si="17"/>
        <v>130</v>
      </c>
      <c r="BU126">
        <f t="shared" si="18"/>
        <v>34028</v>
      </c>
      <c r="BV126">
        <f t="shared" si="26"/>
        <v>10729</v>
      </c>
      <c r="BW126" s="148">
        <f t="shared" si="19"/>
        <v>1.2116693074843881E-2</v>
      </c>
    </row>
    <row r="127" spans="1:75" s="74" customFormat="1" x14ac:dyDescent="0.25">
      <c r="A127" s="79">
        <v>98</v>
      </c>
      <c r="B127" s="50" t="s">
        <v>140</v>
      </c>
      <c r="C127" s="51"/>
      <c r="D127" s="112">
        <v>2</v>
      </c>
      <c r="E127" s="71">
        <v>7</v>
      </c>
      <c r="F127" s="72">
        <v>444</v>
      </c>
      <c r="G127" s="71">
        <v>500</v>
      </c>
      <c r="H127" s="112">
        <v>2</v>
      </c>
      <c r="I127" s="71">
        <v>4</v>
      </c>
      <c r="J127" s="72">
        <v>169</v>
      </c>
      <c r="K127" s="71">
        <v>186</v>
      </c>
      <c r="L127" s="112">
        <v>3</v>
      </c>
      <c r="M127" s="71">
        <v>3</v>
      </c>
      <c r="N127" s="72">
        <v>378</v>
      </c>
      <c r="O127" s="71">
        <v>406</v>
      </c>
      <c r="P127" s="112">
        <v>6</v>
      </c>
      <c r="Q127" s="71">
        <v>2</v>
      </c>
      <c r="R127" s="72">
        <v>537</v>
      </c>
      <c r="S127" s="71">
        <v>526</v>
      </c>
      <c r="T127" s="112">
        <v>2</v>
      </c>
      <c r="U127" s="71"/>
      <c r="V127" s="72">
        <v>447</v>
      </c>
      <c r="W127" s="71">
        <v>497</v>
      </c>
      <c r="X127" s="112">
        <v>10</v>
      </c>
      <c r="Y127" s="71">
        <v>13</v>
      </c>
      <c r="Z127" s="72">
        <v>1913</v>
      </c>
      <c r="AA127" s="71">
        <v>1855</v>
      </c>
      <c r="AB127" s="112">
        <v>7</v>
      </c>
      <c r="AC127" s="71">
        <v>4</v>
      </c>
      <c r="AD127" s="72">
        <v>1891</v>
      </c>
      <c r="AE127" s="73">
        <v>1767</v>
      </c>
      <c r="AF127" s="112">
        <v>4</v>
      </c>
      <c r="AG127" s="71">
        <v>7</v>
      </c>
      <c r="AH127" s="72">
        <v>1484</v>
      </c>
      <c r="AI127" s="73">
        <v>1347</v>
      </c>
      <c r="AJ127" s="112">
        <v>18</v>
      </c>
      <c r="AK127" s="71">
        <v>13</v>
      </c>
      <c r="AL127" s="72">
        <v>990</v>
      </c>
      <c r="AM127" s="73">
        <v>1177</v>
      </c>
      <c r="AN127" s="112">
        <v>37</v>
      </c>
      <c r="AO127" s="71">
        <v>15</v>
      </c>
      <c r="AP127" s="72">
        <v>1788</v>
      </c>
      <c r="AQ127" s="73">
        <v>2821</v>
      </c>
      <c r="AR127" s="112">
        <v>21</v>
      </c>
      <c r="AS127" s="71">
        <v>12</v>
      </c>
      <c r="AT127" s="72">
        <v>1732</v>
      </c>
      <c r="AU127" s="73">
        <v>2006</v>
      </c>
      <c r="AV127" s="112">
        <v>13</v>
      </c>
      <c r="AW127" s="71">
        <v>5</v>
      </c>
      <c r="AX127" s="72">
        <v>1320</v>
      </c>
      <c r="AY127" s="73">
        <v>1441</v>
      </c>
      <c r="AZ127" s="112">
        <v>2</v>
      </c>
      <c r="BA127" s="71">
        <v>1</v>
      </c>
      <c r="BB127" s="72">
        <v>220</v>
      </c>
      <c r="BC127" s="73">
        <v>266</v>
      </c>
      <c r="BD127" s="112"/>
      <c r="BE127" s="71"/>
      <c r="BF127" s="72"/>
      <c r="BG127" s="134"/>
      <c r="BH127" s="72"/>
      <c r="BI127" s="49" t="s">
        <v>140</v>
      </c>
      <c r="BJ127" s="101">
        <f t="shared" si="20"/>
        <v>95</v>
      </c>
      <c r="BK127" s="101">
        <f t="shared" si="21"/>
        <v>53</v>
      </c>
      <c r="BL127" s="101">
        <f t="shared" si="22"/>
        <v>7534</v>
      </c>
      <c r="BM127" s="101">
        <f t="shared" si="23"/>
        <v>9058</v>
      </c>
      <c r="BO127" t="s">
        <v>282</v>
      </c>
      <c r="BP127">
        <v>120</v>
      </c>
      <c r="BQ127">
        <v>68</v>
      </c>
      <c r="BR127">
        <v>9570</v>
      </c>
      <c r="BS127">
        <v>13859</v>
      </c>
      <c r="BT127">
        <f t="shared" si="17"/>
        <v>188</v>
      </c>
      <c r="BU127">
        <f t="shared" si="18"/>
        <v>46061</v>
      </c>
      <c r="BV127">
        <f t="shared" si="26"/>
        <v>23617</v>
      </c>
      <c r="BW127" s="148">
        <f t="shared" si="19"/>
        <v>7.9603675318626419E-3</v>
      </c>
    </row>
    <row r="128" spans="1:75" s="74" customFormat="1" x14ac:dyDescent="0.25">
      <c r="A128" s="79">
        <v>99</v>
      </c>
      <c r="B128" s="50" t="s">
        <v>141</v>
      </c>
      <c r="C128" s="69" t="s">
        <v>142</v>
      </c>
      <c r="D128" s="112">
        <v>9</v>
      </c>
      <c r="E128" s="71">
        <v>14</v>
      </c>
      <c r="F128" s="72">
        <v>895</v>
      </c>
      <c r="G128" s="71">
        <v>970</v>
      </c>
      <c r="H128" s="112">
        <v>4</v>
      </c>
      <c r="I128" s="71">
        <v>8</v>
      </c>
      <c r="J128" s="72">
        <v>758</v>
      </c>
      <c r="K128" s="71">
        <v>737</v>
      </c>
      <c r="L128" s="112">
        <v>8</v>
      </c>
      <c r="M128" s="71">
        <v>11</v>
      </c>
      <c r="N128" s="72">
        <v>1235</v>
      </c>
      <c r="O128" s="71">
        <v>1290</v>
      </c>
      <c r="P128" s="112">
        <v>14</v>
      </c>
      <c r="Q128" s="71">
        <v>13</v>
      </c>
      <c r="R128" s="72">
        <v>1492</v>
      </c>
      <c r="S128" s="71">
        <v>1475</v>
      </c>
      <c r="T128" s="112">
        <v>14</v>
      </c>
      <c r="U128" s="71">
        <v>11</v>
      </c>
      <c r="V128" s="72">
        <v>1186</v>
      </c>
      <c r="W128" s="71">
        <v>1244</v>
      </c>
      <c r="X128" s="112">
        <v>50</v>
      </c>
      <c r="Y128" s="71">
        <v>42</v>
      </c>
      <c r="Z128" s="72">
        <v>4347</v>
      </c>
      <c r="AA128" s="71">
        <v>4200</v>
      </c>
      <c r="AB128" s="112">
        <v>22</v>
      </c>
      <c r="AC128" s="71">
        <v>33</v>
      </c>
      <c r="AD128" s="72">
        <v>3902</v>
      </c>
      <c r="AE128" s="73">
        <v>3866</v>
      </c>
      <c r="AF128" s="112">
        <v>20</v>
      </c>
      <c r="AG128" s="71">
        <v>19</v>
      </c>
      <c r="AH128" s="72">
        <v>2706</v>
      </c>
      <c r="AI128" s="73">
        <v>3337</v>
      </c>
      <c r="AJ128" s="112">
        <v>36</v>
      </c>
      <c r="AK128" s="71">
        <v>23</v>
      </c>
      <c r="AL128" s="72">
        <v>2081</v>
      </c>
      <c r="AM128" s="73">
        <v>3001</v>
      </c>
      <c r="AN128" s="112">
        <v>57</v>
      </c>
      <c r="AO128" s="71">
        <v>53</v>
      </c>
      <c r="AP128" s="72">
        <v>3227</v>
      </c>
      <c r="AQ128" s="73">
        <v>6151</v>
      </c>
      <c r="AR128" s="112">
        <v>67</v>
      </c>
      <c r="AS128" s="71">
        <v>52</v>
      </c>
      <c r="AT128" s="72">
        <v>3139</v>
      </c>
      <c r="AU128" s="73">
        <v>3875</v>
      </c>
      <c r="AV128" s="112">
        <v>36</v>
      </c>
      <c r="AW128" s="71">
        <v>12</v>
      </c>
      <c r="AX128" s="72">
        <v>2154</v>
      </c>
      <c r="AY128" s="73">
        <v>2715</v>
      </c>
      <c r="AZ128" s="112">
        <v>4</v>
      </c>
      <c r="BA128" s="71">
        <v>2</v>
      </c>
      <c r="BB128" s="72">
        <v>650</v>
      </c>
      <c r="BC128" s="73">
        <v>788</v>
      </c>
      <c r="BD128" s="112"/>
      <c r="BE128" s="71"/>
      <c r="BF128" s="72"/>
      <c r="BG128" s="134"/>
      <c r="BH128" s="72"/>
      <c r="BI128" s="49" t="s">
        <v>141</v>
      </c>
      <c r="BJ128" s="101">
        <f t="shared" si="20"/>
        <v>220</v>
      </c>
      <c r="BK128" s="101">
        <f t="shared" si="21"/>
        <v>161</v>
      </c>
      <c r="BL128" s="101">
        <f t="shared" si="22"/>
        <v>13957</v>
      </c>
      <c r="BM128" s="101">
        <f t="shared" si="23"/>
        <v>19867</v>
      </c>
      <c r="BO128" t="s">
        <v>283</v>
      </c>
      <c r="BP128">
        <v>137</v>
      </c>
      <c r="BQ128">
        <v>43</v>
      </c>
      <c r="BR128">
        <v>9798</v>
      </c>
      <c r="BS128">
        <v>12834</v>
      </c>
      <c r="BT128">
        <f t="shared" si="17"/>
        <v>180</v>
      </c>
      <c r="BU128">
        <f t="shared" si="18"/>
        <v>38599</v>
      </c>
      <c r="BV128">
        <f t="shared" si="26"/>
        <v>22812</v>
      </c>
      <c r="BW128" s="148">
        <f t="shared" si="19"/>
        <v>7.8905839032088372E-3</v>
      </c>
    </row>
    <row r="129" spans="1:75" x14ac:dyDescent="0.25">
      <c r="A129" s="29">
        <v>100</v>
      </c>
      <c r="B129" s="23" t="s">
        <v>143</v>
      </c>
      <c r="C129" s="24"/>
      <c r="D129" s="113">
        <v>4</v>
      </c>
      <c r="E129" s="46">
        <v>4</v>
      </c>
      <c r="F129" s="65">
        <v>586</v>
      </c>
      <c r="G129" s="46">
        <v>668</v>
      </c>
      <c r="H129" s="113">
        <v>6</v>
      </c>
      <c r="I129" s="46">
        <v>2</v>
      </c>
      <c r="J129" s="65">
        <v>336</v>
      </c>
      <c r="K129" s="46">
        <v>366</v>
      </c>
      <c r="L129" s="113">
        <v>1</v>
      </c>
      <c r="M129" s="46">
        <v>7</v>
      </c>
      <c r="N129" s="65">
        <v>718</v>
      </c>
      <c r="O129" s="46">
        <v>714</v>
      </c>
      <c r="P129" s="113">
        <v>4</v>
      </c>
      <c r="Q129" s="46">
        <v>2</v>
      </c>
      <c r="R129" s="65">
        <v>840</v>
      </c>
      <c r="S129" s="46">
        <v>862</v>
      </c>
      <c r="T129" s="113">
        <v>2</v>
      </c>
      <c r="U129" s="46">
        <v>4</v>
      </c>
      <c r="V129" s="65">
        <v>695</v>
      </c>
      <c r="W129" s="46">
        <v>700</v>
      </c>
      <c r="X129" s="113">
        <v>20</v>
      </c>
      <c r="Y129" s="46">
        <v>18</v>
      </c>
      <c r="Z129" s="65">
        <v>2564</v>
      </c>
      <c r="AA129" s="46">
        <v>2359</v>
      </c>
      <c r="AB129" s="113">
        <v>12</v>
      </c>
      <c r="AC129" s="46">
        <v>11</v>
      </c>
      <c r="AD129" s="65">
        <v>2070</v>
      </c>
      <c r="AE129" s="66">
        <v>1870</v>
      </c>
      <c r="AF129" s="113">
        <v>11</v>
      </c>
      <c r="AG129" s="46">
        <v>9</v>
      </c>
      <c r="AH129" s="65">
        <v>1528</v>
      </c>
      <c r="AI129" s="66">
        <v>1597</v>
      </c>
      <c r="AJ129" s="113">
        <v>14</v>
      </c>
      <c r="AK129" s="46">
        <v>11</v>
      </c>
      <c r="AL129" s="65">
        <v>1198</v>
      </c>
      <c r="AM129" s="66">
        <v>1640</v>
      </c>
      <c r="AN129" s="113">
        <v>25</v>
      </c>
      <c r="AO129" s="46">
        <v>17</v>
      </c>
      <c r="AP129" s="65">
        <v>2017</v>
      </c>
      <c r="AQ129" s="66">
        <v>3262</v>
      </c>
      <c r="AR129" s="113">
        <v>28</v>
      </c>
      <c r="AS129" s="46">
        <v>14</v>
      </c>
      <c r="AT129" s="65">
        <v>2073</v>
      </c>
      <c r="AU129" s="66">
        <v>2601</v>
      </c>
      <c r="AV129" s="113">
        <v>19</v>
      </c>
      <c r="AW129" s="46">
        <v>10</v>
      </c>
      <c r="AX129" s="65">
        <v>1529</v>
      </c>
      <c r="AY129" s="66">
        <v>1704</v>
      </c>
      <c r="AZ129" s="113">
        <v>2</v>
      </c>
      <c r="BA129" s="46"/>
      <c r="BB129" s="65">
        <v>369</v>
      </c>
      <c r="BC129" s="66">
        <v>372</v>
      </c>
      <c r="BD129" s="113"/>
      <c r="BE129" s="46"/>
      <c r="BF129" s="65">
        <v>1</v>
      </c>
      <c r="BG129" s="133">
        <v>2</v>
      </c>
      <c r="BH129" s="65"/>
      <c r="BI129" s="22" t="s">
        <v>143</v>
      </c>
      <c r="BJ129" s="101">
        <f t="shared" si="20"/>
        <v>99</v>
      </c>
      <c r="BK129" s="101">
        <f t="shared" si="21"/>
        <v>61</v>
      </c>
      <c r="BL129" s="101">
        <f t="shared" si="22"/>
        <v>8714</v>
      </c>
      <c r="BM129" s="101">
        <f t="shared" si="23"/>
        <v>11176</v>
      </c>
      <c r="BO129" t="s">
        <v>284</v>
      </c>
      <c r="BP129">
        <v>106</v>
      </c>
      <c r="BQ129">
        <v>34</v>
      </c>
      <c r="BR129">
        <v>7076</v>
      </c>
      <c r="BS129">
        <v>8891</v>
      </c>
      <c r="BT129">
        <f t="shared" si="17"/>
        <v>140</v>
      </c>
      <c r="BU129">
        <f t="shared" si="18"/>
        <v>29950</v>
      </c>
      <c r="BV129">
        <f t="shared" si="26"/>
        <v>16107</v>
      </c>
      <c r="BW129" s="148">
        <f t="shared" si="19"/>
        <v>8.6918730986527588E-3</v>
      </c>
    </row>
    <row r="130" spans="1:75" ht="15.75" x14ac:dyDescent="0.25">
      <c r="A130" s="29">
        <v>101</v>
      </c>
      <c r="B130" s="23" t="s">
        <v>144</v>
      </c>
      <c r="C130" s="67"/>
      <c r="D130" s="114">
        <v>6</v>
      </c>
      <c r="E130" s="45">
        <v>10</v>
      </c>
      <c r="F130" s="46">
        <v>759</v>
      </c>
      <c r="G130" s="45">
        <v>827</v>
      </c>
      <c r="H130" s="114">
        <v>5</v>
      </c>
      <c r="I130" s="45">
        <v>3</v>
      </c>
      <c r="J130" s="46">
        <v>304</v>
      </c>
      <c r="K130" s="45">
        <v>298</v>
      </c>
      <c r="L130" s="114">
        <v>9</v>
      </c>
      <c r="M130" s="45">
        <v>8</v>
      </c>
      <c r="N130" s="46">
        <v>745</v>
      </c>
      <c r="O130" s="45">
        <v>836</v>
      </c>
      <c r="P130" s="114">
        <v>9</v>
      </c>
      <c r="Q130" s="45">
        <v>3</v>
      </c>
      <c r="R130" s="46">
        <v>817</v>
      </c>
      <c r="S130" s="45">
        <v>943</v>
      </c>
      <c r="T130" s="114">
        <v>6</v>
      </c>
      <c r="U130" s="45">
        <v>5</v>
      </c>
      <c r="V130" s="46">
        <v>774</v>
      </c>
      <c r="W130" s="45">
        <v>779</v>
      </c>
      <c r="X130" s="114">
        <v>18</v>
      </c>
      <c r="Y130" s="45">
        <v>18</v>
      </c>
      <c r="Z130" s="46">
        <v>2848</v>
      </c>
      <c r="AA130" s="45">
        <v>2916</v>
      </c>
      <c r="AB130" s="114">
        <v>23</v>
      </c>
      <c r="AC130" s="45">
        <v>19</v>
      </c>
      <c r="AD130" s="46">
        <v>2623</v>
      </c>
      <c r="AE130" s="47">
        <v>2499</v>
      </c>
      <c r="AF130" s="114">
        <v>21</v>
      </c>
      <c r="AG130" s="45">
        <v>17</v>
      </c>
      <c r="AH130" s="46">
        <v>1766</v>
      </c>
      <c r="AI130" s="47">
        <v>2155</v>
      </c>
      <c r="AJ130" s="114">
        <v>23</v>
      </c>
      <c r="AK130" s="45">
        <v>22</v>
      </c>
      <c r="AL130" s="46">
        <v>1246</v>
      </c>
      <c r="AM130" s="47">
        <v>1793</v>
      </c>
      <c r="AN130" s="114">
        <v>37</v>
      </c>
      <c r="AO130" s="45">
        <v>27</v>
      </c>
      <c r="AP130" s="46">
        <v>1706</v>
      </c>
      <c r="AQ130" s="47">
        <v>3403</v>
      </c>
      <c r="AR130" s="114">
        <v>36</v>
      </c>
      <c r="AS130" s="45">
        <v>27</v>
      </c>
      <c r="AT130" s="46">
        <v>1973</v>
      </c>
      <c r="AU130" s="47">
        <v>2546</v>
      </c>
      <c r="AV130" s="114">
        <v>18</v>
      </c>
      <c r="AW130" s="45">
        <v>18</v>
      </c>
      <c r="AX130" s="46">
        <v>1287</v>
      </c>
      <c r="AY130" s="47">
        <v>1801</v>
      </c>
      <c r="AZ130" s="114">
        <v>2</v>
      </c>
      <c r="BA130" s="45">
        <v>2</v>
      </c>
      <c r="BB130" s="46">
        <v>488</v>
      </c>
      <c r="BC130" s="47">
        <v>517</v>
      </c>
      <c r="BD130" s="114"/>
      <c r="BE130" s="45"/>
      <c r="BF130" s="46"/>
      <c r="BG130" s="130"/>
      <c r="BH130" s="101"/>
      <c r="BI130" s="22" t="s">
        <v>144</v>
      </c>
      <c r="BJ130" s="101">
        <f t="shared" si="20"/>
        <v>137</v>
      </c>
      <c r="BK130" s="101">
        <f t="shared" si="21"/>
        <v>113</v>
      </c>
      <c r="BL130" s="101">
        <f t="shared" si="22"/>
        <v>8466</v>
      </c>
      <c r="BM130" s="101">
        <f t="shared" si="23"/>
        <v>12215</v>
      </c>
      <c r="BO130" t="s">
        <v>285</v>
      </c>
      <c r="BP130">
        <v>61</v>
      </c>
      <c r="BQ130">
        <v>39</v>
      </c>
      <c r="BR130">
        <v>6264</v>
      </c>
      <c r="BS130">
        <v>7719</v>
      </c>
      <c r="BT130">
        <f t="shared" si="17"/>
        <v>100</v>
      </c>
      <c r="BU130">
        <f t="shared" si="18"/>
        <v>39120</v>
      </c>
      <c r="BV130">
        <f t="shared" si="26"/>
        <v>14083</v>
      </c>
      <c r="BW130" s="148">
        <f t="shared" si="19"/>
        <v>7.1007597812965985E-3</v>
      </c>
    </row>
    <row r="131" spans="1:75" x14ac:dyDescent="0.25">
      <c r="A131" s="29">
        <v>102</v>
      </c>
      <c r="B131" s="23" t="s">
        <v>145</v>
      </c>
      <c r="C131" s="39"/>
      <c r="D131" s="113">
        <v>23</v>
      </c>
      <c r="E131" s="46">
        <v>27</v>
      </c>
      <c r="F131" s="65">
        <v>708</v>
      </c>
      <c r="G131" s="46">
        <v>770</v>
      </c>
      <c r="H131" s="113">
        <v>9</v>
      </c>
      <c r="I131" s="46">
        <v>18</v>
      </c>
      <c r="J131" s="65">
        <v>323</v>
      </c>
      <c r="K131" s="46">
        <v>303</v>
      </c>
      <c r="L131" s="113">
        <v>26</v>
      </c>
      <c r="M131" s="46">
        <v>22</v>
      </c>
      <c r="N131" s="65">
        <v>791</v>
      </c>
      <c r="O131" s="46">
        <v>833</v>
      </c>
      <c r="P131" s="113">
        <v>24</v>
      </c>
      <c r="Q131" s="46">
        <v>21</v>
      </c>
      <c r="R131" s="65">
        <v>993</v>
      </c>
      <c r="S131" s="46">
        <v>1054</v>
      </c>
      <c r="T131" s="113">
        <v>19</v>
      </c>
      <c r="U131" s="46">
        <v>20</v>
      </c>
      <c r="V131" s="65">
        <v>825</v>
      </c>
      <c r="W131" s="46">
        <v>896</v>
      </c>
      <c r="X131" s="113">
        <v>95</v>
      </c>
      <c r="Y131" s="46">
        <v>112</v>
      </c>
      <c r="Z131" s="65">
        <v>3279</v>
      </c>
      <c r="AA131" s="46">
        <v>3192</v>
      </c>
      <c r="AB131" s="113">
        <v>103</v>
      </c>
      <c r="AC131" s="46">
        <v>108</v>
      </c>
      <c r="AD131" s="65">
        <v>2865</v>
      </c>
      <c r="AE131" s="66">
        <v>2844</v>
      </c>
      <c r="AF131" s="113">
        <v>123</v>
      </c>
      <c r="AG131" s="46">
        <v>84</v>
      </c>
      <c r="AH131" s="65">
        <v>2000</v>
      </c>
      <c r="AI131" s="66">
        <v>2354</v>
      </c>
      <c r="AJ131" s="113">
        <v>94</v>
      </c>
      <c r="AK131" s="46">
        <v>84</v>
      </c>
      <c r="AL131" s="65">
        <v>1313</v>
      </c>
      <c r="AM131" s="66">
        <v>1922</v>
      </c>
      <c r="AN131" s="113">
        <v>147</v>
      </c>
      <c r="AO131" s="46">
        <v>125</v>
      </c>
      <c r="AP131" s="65">
        <v>2420</v>
      </c>
      <c r="AQ131" s="66">
        <v>4531</v>
      </c>
      <c r="AR131" s="113">
        <v>138</v>
      </c>
      <c r="AS131" s="46">
        <v>121</v>
      </c>
      <c r="AT131" s="65">
        <v>2422</v>
      </c>
      <c r="AU131" s="66">
        <v>2842</v>
      </c>
      <c r="AV131" s="113">
        <v>85</v>
      </c>
      <c r="AW131" s="46">
        <v>53</v>
      </c>
      <c r="AX131" s="65">
        <v>1618</v>
      </c>
      <c r="AY131" s="66">
        <v>2099</v>
      </c>
      <c r="AZ131" s="113">
        <v>14</v>
      </c>
      <c r="BA131" s="46">
        <v>13</v>
      </c>
      <c r="BB131" s="65">
        <v>372</v>
      </c>
      <c r="BC131" s="66">
        <v>401</v>
      </c>
      <c r="BD131" s="113"/>
      <c r="BE131" s="46"/>
      <c r="BF131" s="65"/>
      <c r="BG131" s="133"/>
      <c r="BH131" s="65"/>
      <c r="BI131" s="22" t="s">
        <v>145</v>
      </c>
      <c r="BJ131" s="101">
        <f t="shared" si="20"/>
        <v>601</v>
      </c>
      <c r="BK131" s="101">
        <f t="shared" si="21"/>
        <v>480</v>
      </c>
      <c r="BL131" s="101">
        <f t="shared" si="22"/>
        <v>10145</v>
      </c>
      <c r="BM131" s="101">
        <f t="shared" si="23"/>
        <v>14149</v>
      </c>
      <c r="BO131" t="s">
        <v>286</v>
      </c>
      <c r="BP131">
        <v>121</v>
      </c>
      <c r="BQ131">
        <v>47</v>
      </c>
      <c r="BR131">
        <v>11858</v>
      </c>
      <c r="BS131">
        <v>13279</v>
      </c>
      <c r="BT131">
        <f t="shared" si="17"/>
        <v>168</v>
      </c>
      <c r="BU131">
        <f t="shared" si="18"/>
        <v>45536</v>
      </c>
      <c r="BV131">
        <f t="shared" si="26"/>
        <v>25305</v>
      </c>
      <c r="BW131" s="148">
        <f t="shared" si="19"/>
        <v>6.6390041493775932E-3</v>
      </c>
    </row>
    <row r="132" spans="1:75" x14ac:dyDescent="0.25">
      <c r="A132" s="29">
        <v>103</v>
      </c>
      <c r="B132" s="23" t="s">
        <v>146</v>
      </c>
      <c r="C132" s="24"/>
      <c r="D132" s="113">
        <v>8</v>
      </c>
      <c r="E132" s="46">
        <v>10</v>
      </c>
      <c r="F132" s="65">
        <v>282</v>
      </c>
      <c r="G132" s="46">
        <v>293</v>
      </c>
      <c r="H132" s="113">
        <v>12</v>
      </c>
      <c r="I132" s="46">
        <v>7</v>
      </c>
      <c r="J132" s="65">
        <v>180</v>
      </c>
      <c r="K132" s="46">
        <v>186</v>
      </c>
      <c r="L132" s="113">
        <v>16</v>
      </c>
      <c r="M132" s="46">
        <v>9</v>
      </c>
      <c r="N132" s="65">
        <v>280</v>
      </c>
      <c r="O132" s="46">
        <v>281</v>
      </c>
      <c r="P132" s="113">
        <v>9</v>
      </c>
      <c r="Q132" s="46">
        <v>9</v>
      </c>
      <c r="R132" s="65">
        <v>272</v>
      </c>
      <c r="S132" s="46">
        <v>286</v>
      </c>
      <c r="T132" s="113">
        <v>13</v>
      </c>
      <c r="U132" s="46">
        <v>12</v>
      </c>
      <c r="V132" s="65">
        <v>296</v>
      </c>
      <c r="W132" s="46">
        <v>248</v>
      </c>
      <c r="X132" s="113">
        <v>39</v>
      </c>
      <c r="Y132" s="46">
        <v>58</v>
      </c>
      <c r="Z132" s="65">
        <v>1148</v>
      </c>
      <c r="AA132" s="46">
        <v>1149</v>
      </c>
      <c r="AB132" s="113">
        <v>72</v>
      </c>
      <c r="AC132" s="46">
        <v>41</v>
      </c>
      <c r="AD132" s="65">
        <v>1188</v>
      </c>
      <c r="AE132" s="66">
        <v>1132</v>
      </c>
      <c r="AF132" s="113">
        <v>47</v>
      </c>
      <c r="AG132" s="46">
        <v>54</v>
      </c>
      <c r="AH132" s="65">
        <v>796</v>
      </c>
      <c r="AI132" s="66">
        <v>950</v>
      </c>
      <c r="AJ132" s="113">
        <v>37</v>
      </c>
      <c r="AK132" s="46">
        <v>38</v>
      </c>
      <c r="AL132" s="65">
        <v>522</v>
      </c>
      <c r="AM132" s="66">
        <v>815</v>
      </c>
      <c r="AN132" s="113">
        <v>66</v>
      </c>
      <c r="AO132" s="46">
        <v>66</v>
      </c>
      <c r="AP132" s="65">
        <v>910</v>
      </c>
      <c r="AQ132" s="66">
        <v>1379</v>
      </c>
      <c r="AR132" s="113">
        <v>55</v>
      </c>
      <c r="AS132" s="46">
        <v>52</v>
      </c>
      <c r="AT132" s="65">
        <v>883</v>
      </c>
      <c r="AU132" s="66">
        <v>920</v>
      </c>
      <c r="AV132" s="113">
        <v>49</v>
      </c>
      <c r="AW132" s="46">
        <v>34</v>
      </c>
      <c r="AX132" s="65">
        <v>598</v>
      </c>
      <c r="AY132" s="66">
        <v>679</v>
      </c>
      <c r="AZ132" s="113">
        <v>11</v>
      </c>
      <c r="BA132" s="46">
        <v>5</v>
      </c>
      <c r="BB132" s="65">
        <v>160</v>
      </c>
      <c r="BC132" s="66">
        <v>177</v>
      </c>
      <c r="BD132" s="113"/>
      <c r="BE132" s="46"/>
      <c r="BF132" s="65"/>
      <c r="BG132" s="133"/>
      <c r="BH132" s="65"/>
      <c r="BI132" s="22" t="s">
        <v>146</v>
      </c>
      <c r="BJ132" s="101">
        <f t="shared" si="20"/>
        <v>265</v>
      </c>
      <c r="BK132" s="101">
        <f t="shared" si="21"/>
        <v>249</v>
      </c>
      <c r="BL132" s="101">
        <f t="shared" si="22"/>
        <v>3869</v>
      </c>
      <c r="BM132" s="101">
        <f t="shared" si="23"/>
        <v>4920</v>
      </c>
      <c r="BO132" t="s">
        <v>287</v>
      </c>
      <c r="BP132">
        <v>83</v>
      </c>
      <c r="BQ132">
        <v>37</v>
      </c>
      <c r="BR132">
        <v>9026</v>
      </c>
      <c r="BS132">
        <v>11373</v>
      </c>
      <c r="BT132">
        <f t="shared" si="17"/>
        <v>120</v>
      </c>
      <c r="BU132">
        <f t="shared" si="18"/>
        <v>30881</v>
      </c>
      <c r="BV132">
        <f t="shared" si="26"/>
        <v>20519</v>
      </c>
      <c r="BW132" s="148">
        <f t="shared" si="19"/>
        <v>5.8482382182367563E-3</v>
      </c>
    </row>
    <row r="133" spans="1:75" x14ac:dyDescent="0.25">
      <c r="A133" s="99" t="s">
        <v>147</v>
      </c>
      <c r="B133" s="100"/>
      <c r="C133" s="24"/>
      <c r="D133" s="113"/>
      <c r="E133" s="46"/>
      <c r="F133" s="65"/>
      <c r="G133" s="46"/>
      <c r="H133" s="113"/>
      <c r="I133" s="46"/>
      <c r="J133" s="65"/>
      <c r="K133" s="46"/>
      <c r="L133" s="113"/>
      <c r="M133" s="46"/>
      <c r="N133" s="65"/>
      <c r="O133" s="46"/>
      <c r="P133" s="113"/>
      <c r="Q133" s="46"/>
      <c r="R133" s="65"/>
      <c r="S133" s="46"/>
      <c r="T133" s="113"/>
      <c r="U133" s="46"/>
      <c r="V133" s="65"/>
      <c r="W133" s="46"/>
      <c r="X133" s="113"/>
      <c r="Y133" s="46"/>
      <c r="Z133" s="65"/>
      <c r="AA133" s="46"/>
      <c r="AB133" s="113"/>
      <c r="AC133" s="46"/>
      <c r="AD133" s="65"/>
      <c r="AE133" s="66"/>
      <c r="AF133" s="113"/>
      <c r="AG133" s="46"/>
      <c r="AH133" s="65"/>
      <c r="AI133" s="66"/>
      <c r="AJ133" s="113"/>
      <c r="AK133" s="46"/>
      <c r="AL133" s="65"/>
      <c r="AM133" s="66"/>
      <c r="AN133" s="113"/>
      <c r="AO133" s="46"/>
      <c r="AP133" s="65"/>
      <c r="AQ133" s="66"/>
      <c r="AR133" s="113"/>
      <c r="AS133" s="46"/>
      <c r="AT133" s="65"/>
      <c r="AU133" s="66"/>
      <c r="AV133" s="113"/>
      <c r="AW133" s="46"/>
      <c r="AX133" s="65"/>
      <c r="AY133" s="66"/>
      <c r="AZ133" s="113"/>
      <c r="BA133" s="46"/>
      <c r="BB133" s="65"/>
      <c r="BC133" s="66"/>
      <c r="BD133" s="113"/>
      <c r="BE133" s="46"/>
      <c r="BF133" s="65"/>
      <c r="BG133" s="133"/>
      <c r="BH133" s="65"/>
      <c r="BI133" s="142"/>
      <c r="BJ133" s="101">
        <f t="shared" si="20"/>
        <v>0</v>
      </c>
      <c r="BK133" s="101">
        <f t="shared" si="21"/>
        <v>0</v>
      </c>
      <c r="BL133" s="101">
        <f t="shared" si="22"/>
        <v>0</v>
      </c>
      <c r="BM133" s="101">
        <f t="shared" si="23"/>
        <v>0</v>
      </c>
      <c r="BO133" t="s">
        <v>288</v>
      </c>
      <c r="BP133" s="74">
        <v>126</v>
      </c>
      <c r="BQ133" s="74">
        <v>90</v>
      </c>
      <c r="BR133" s="74">
        <v>4794</v>
      </c>
      <c r="BS133" s="74">
        <v>5688</v>
      </c>
      <c r="BT133">
        <f t="shared" si="17"/>
        <v>216</v>
      </c>
      <c r="BU133">
        <f t="shared" si="18"/>
        <v>30788</v>
      </c>
      <c r="BV133">
        <f t="shared" si="26"/>
        <v>10698</v>
      </c>
      <c r="BW133" s="148">
        <f t="shared" si="19"/>
        <v>2.0190689848569827E-2</v>
      </c>
    </row>
    <row r="134" spans="1:75" x14ac:dyDescent="0.25">
      <c r="A134" s="29">
        <v>104</v>
      </c>
      <c r="B134" s="23" t="s">
        <v>148</v>
      </c>
      <c r="C134" s="24"/>
      <c r="D134" s="113">
        <v>11</v>
      </c>
      <c r="E134" s="46">
        <v>7</v>
      </c>
      <c r="F134" s="65">
        <v>459</v>
      </c>
      <c r="G134" s="46">
        <v>490</v>
      </c>
      <c r="H134" s="113">
        <v>12</v>
      </c>
      <c r="I134" s="46">
        <v>9</v>
      </c>
      <c r="J134" s="65">
        <v>185</v>
      </c>
      <c r="K134" s="46">
        <v>181</v>
      </c>
      <c r="L134" s="114">
        <v>2</v>
      </c>
      <c r="M134" s="46">
        <v>17</v>
      </c>
      <c r="N134" s="65">
        <v>300</v>
      </c>
      <c r="O134" s="46">
        <v>370</v>
      </c>
      <c r="P134" s="113">
        <v>6</v>
      </c>
      <c r="Q134" s="46">
        <v>9</v>
      </c>
      <c r="R134" s="65">
        <v>429</v>
      </c>
      <c r="S134" s="46">
        <v>370</v>
      </c>
      <c r="T134" s="113">
        <v>11</v>
      </c>
      <c r="U134" s="46">
        <v>5</v>
      </c>
      <c r="V134" s="65">
        <v>379</v>
      </c>
      <c r="W134" s="46">
        <v>394</v>
      </c>
      <c r="X134" s="113">
        <v>37</v>
      </c>
      <c r="Y134" s="46">
        <v>44</v>
      </c>
      <c r="Z134" s="65">
        <v>1524</v>
      </c>
      <c r="AA134" s="46">
        <v>1523</v>
      </c>
      <c r="AB134" s="113">
        <v>50</v>
      </c>
      <c r="AC134" s="46">
        <v>38</v>
      </c>
      <c r="AD134" s="65">
        <v>1333</v>
      </c>
      <c r="AE134" s="66">
        <v>1456</v>
      </c>
      <c r="AF134" s="113">
        <v>36</v>
      </c>
      <c r="AG134" s="46">
        <v>30</v>
      </c>
      <c r="AH134" s="65">
        <v>1052</v>
      </c>
      <c r="AI134" s="66">
        <v>1426</v>
      </c>
      <c r="AJ134" s="113">
        <v>51</v>
      </c>
      <c r="AK134" s="46">
        <v>37</v>
      </c>
      <c r="AL134" s="65">
        <v>662</v>
      </c>
      <c r="AM134" s="66">
        <v>995</v>
      </c>
      <c r="AN134" s="113">
        <v>73</v>
      </c>
      <c r="AO134" s="46">
        <v>57</v>
      </c>
      <c r="AP134" s="65">
        <v>1054</v>
      </c>
      <c r="AQ134" s="66">
        <v>1913</v>
      </c>
      <c r="AR134" s="113">
        <v>65</v>
      </c>
      <c r="AS134" s="46">
        <v>52</v>
      </c>
      <c r="AT134" s="65">
        <v>1057</v>
      </c>
      <c r="AU134" s="66">
        <v>1399</v>
      </c>
      <c r="AV134" s="113">
        <v>48</v>
      </c>
      <c r="AW134" s="46">
        <v>30</v>
      </c>
      <c r="AX134" s="65">
        <v>669</v>
      </c>
      <c r="AY134" s="66">
        <v>901</v>
      </c>
      <c r="AZ134" s="113">
        <v>4</v>
      </c>
      <c r="BA134" s="46"/>
      <c r="BB134" s="65">
        <v>206</v>
      </c>
      <c r="BC134" s="66">
        <v>275</v>
      </c>
      <c r="BD134" s="113"/>
      <c r="BE134" s="46"/>
      <c r="BF134" s="65">
        <v>1</v>
      </c>
      <c r="BG134" s="133"/>
      <c r="BH134" s="65"/>
      <c r="BI134" s="22" t="s">
        <v>148</v>
      </c>
      <c r="BJ134" s="101">
        <f t="shared" si="20"/>
        <v>277</v>
      </c>
      <c r="BK134" s="101">
        <f t="shared" si="21"/>
        <v>206</v>
      </c>
      <c r="BL134" s="101">
        <f t="shared" si="22"/>
        <v>4700</v>
      </c>
      <c r="BM134" s="101">
        <f t="shared" si="23"/>
        <v>6909</v>
      </c>
      <c r="BO134" t="s">
        <v>289</v>
      </c>
      <c r="BP134">
        <v>53</v>
      </c>
      <c r="BQ134">
        <v>31</v>
      </c>
      <c r="BR134">
        <v>8752</v>
      </c>
      <c r="BS134">
        <v>11554</v>
      </c>
      <c r="BT134">
        <f t="shared" si="17"/>
        <v>84</v>
      </c>
      <c r="BU134">
        <f t="shared" si="18"/>
        <v>1138706</v>
      </c>
      <c r="BV134">
        <f t="shared" si="26"/>
        <v>20390</v>
      </c>
      <c r="BW134" s="148">
        <f t="shared" si="19"/>
        <v>4.119666503187837E-3</v>
      </c>
    </row>
    <row r="135" spans="1:75" x14ac:dyDescent="0.25">
      <c r="A135" s="29">
        <v>105</v>
      </c>
      <c r="B135" s="23" t="s">
        <v>149</v>
      </c>
      <c r="C135" s="24"/>
      <c r="D135" s="114">
        <v>5</v>
      </c>
      <c r="E135" s="46">
        <v>7</v>
      </c>
      <c r="F135" s="65">
        <v>441</v>
      </c>
      <c r="G135" s="46">
        <v>405</v>
      </c>
      <c r="H135" s="114">
        <v>2</v>
      </c>
      <c r="I135" s="46">
        <v>3</v>
      </c>
      <c r="J135" s="65">
        <v>293</v>
      </c>
      <c r="K135" s="46">
        <v>342</v>
      </c>
      <c r="L135" s="114">
        <v>6</v>
      </c>
      <c r="M135" s="101">
        <v>3</v>
      </c>
      <c r="N135" s="45">
        <v>523</v>
      </c>
      <c r="O135" s="101">
        <v>581</v>
      </c>
      <c r="P135" s="114">
        <v>5</v>
      </c>
      <c r="Q135" s="46">
        <v>5</v>
      </c>
      <c r="R135" s="65">
        <v>641</v>
      </c>
      <c r="S135" s="46">
        <v>726</v>
      </c>
      <c r="T135" s="114">
        <v>3</v>
      </c>
      <c r="U135" s="46">
        <v>3</v>
      </c>
      <c r="V135" s="65">
        <v>560</v>
      </c>
      <c r="W135" s="46">
        <v>605</v>
      </c>
      <c r="X135" s="114">
        <v>19</v>
      </c>
      <c r="Y135" s="46">
        <v>28</v>
      </c>
      <c r="Z135" s="65">
        <v>2265</v>
      </c>
      <c r="AA135" s="46">
        <v>2274</v>
      </c>
      <c r="AB135" s="114">
        <v>27</v>
      </c>
      <c r="AC135" s="46">
        <v>18</v>
      </c>
      <c r="AD135" s="65">
        <v>1946</v>
      </c>
      <c r="AE135" s="66">
        <v>1851</v>
      </c>
      <c r="AF135" s="114">
        <v>24</v>
      </c>
      <c r="AG135" s="46">
        <v>20</v>
      </c>
      <c r="AH135" s="65">
        <v>1334</v>
      </c>
      <c r="AI135" s="66">
        <v>1856</v>
      </c>
      <c r="AJ135" s="114">
        <v>32</v>
      </c>
      <c r="AK135" s="46">
        <v>26</v>
      </c>
      <c r="AL135" s="65">
        <v>1020</v>
      </c>
      <c r="AM135" s="66">
        <v>1664</v>
      </c>
      <c r="AN135" s="114">
        <v>38</v>
      </c>
      <c r="AO135" s="46">
        <v>18</v>
      </c>
      <c r="AP135" s="65">
        <v>1467</v>
      </c>
      <c r="AQ135" s="66">
        <v>2944</v>
      </c>
      <c r="AR135" s="114">
        <v>39</v>
      </c>
      <c r="AS135" s="46">
        <v>29</v>
      </c>
      <c r="AT135" s="65">
        <v>1398</v>
      </c>
      <c r="AU135" s="66">
        <v>1924</v>
      </c>
      <c r="AV135" s="114">
        <v>25</v>
      </c>
      <c r="AW135" s="46">
        <v>13</v>
      </c>
      <c r="AX135" s="65">
        <v>908</v>
      </c>
      <c r="AY135" s="66">
        <v>1416</v>
      </c>
      <c r="AZ135" s="114">
        <v>1</v>
      </c>
      <c r="BA135" s="46">
        <v>1</v>
      </c>
      <c r="BB135" s="65">
        <v>438</v>
      </c>
      <c r="BC135" s="66">
        <v>480</v>
      </c>
      <c r="BD135" s="114"/>
      <c r="BE135" s="46"/>
      <c r="BF135" s="65">
        <v>6</v>
      </c>
      <c r="BG135" s="133"/>
      <c r="BH135" s="65"/>
      <c r="BI135" s="22" t="s">
        <v>149</v>
      </c>
      <c r="BJ135" s="101">
        <f t="shared" si="20"/>
        <v>159</v>
      </c>
      <c r="BK135" s="101">
        <f t="shared" si="21"/>
        <v>107</v>
      </c>
      <c r="BL135" s="101">
        <f t="shared" si="22"/>
        <v>6565</v>
      </c>
      <c r="BM135" s="101">
        <f t="shared" si="23"/>
        <v>10284</v>
      </c>
      <c r="BO135" t="s">
        <v>290</v>
      </c>
      <c r="BP135">
        <v>189007</v>
      </c>
      <c r="BQ135">
        <v>172473</v>
      </c>
      <c r="BR135">
        <v>521387</v>
      </c>
      <c r="BS135">
        <v>597013</v>
      </c>
      <c r="BT135">
        <f t="shared" si="17"/>
        <v>361480</v>
      </c>
      <c r="BU135">
        <f t="shared" si="18"/>
        <v>1118400</v>
      </c>
      <c r="BV135">
        <f t="shared" si="26"/>
        <v>1479880</v>
      </c>
      <c r="BW135" s="148">
        <f t="shared" si="19"/>
        <v>0.24426304835527204</v>
      </c>
    </row>
    <row r="136" spans="1:75" x14ac:dyDescent="0.25">
      <c r="A136" s="29">
        <v>106</v>
      </c>
      <c r="B136" s="23" t="s">
        <v>150</v>
      </c>
      <c r="C136" s="24"/>
      <c r="D136" s="114">
        <v>3</v>
      </c>
      <c r="E136" s="101">
        <v>6</v>
      </c>
      <c r="F136" s="45">
        <v>580</v>
      </c>
      <c r="G136" s="101">
        <v>696</v>
      </c>
      <c r="H136" s="114">
        <v>4</v>
      </c>
      <c r="I136" s="101">
        <v>3</v>
      </c>
      <c r="J136" s="45">
        <v>316</v>
      </c>
      <c r="K136" s="101">
        <v>294</v>
      </c>
      <c r="L136" s="114">
        <v>1</v>
      </c>
      <c r="M136" s="45">
        <v>6</v>
      </c>
      <c r="N136" s="46">
        <v>744</v>
      </c>
      <c r="O136" s="45">
        <v>721</v>
      </c>
      <c r="P136" s="114">
        <v>6</v>
      </c>
      <c r="Q136" s="101">
        <v>4</v>
      </c>
      <c r="R136" s="45">
        <v>763</v>
      </c>
      <c r="S136" s="101">
        <v>801</v>
      </c>
      <c r="T136" s="114"/>
      <c r="U136" s="101">
        <v>2</v>
      </c>
      <c r="V136" s="45">
        <v>744</v>
      </c>
      <c r="W136" s="101">
        <v>720</v>
      </c>
      <c r="X136" s="114">
        <v>14</v>
      </c>
      <c r="Y136" s="101">
        <v>9</v>
      </c>
      <c r="Z136" s="45">
        <v>2742</v>
      </c>
      <c r="AA136" s="101">
        <v>2574</v>
      </c>
      <c r="AB136" s="114">
        <v>11</v>
      </c>
      <c r="AC136" s="101">
        <v>7</v>
      </c>
      <c r="AD136" s="45">
        <v>2366</v>
      </c>
      <c r="AE136" s="102">
        <v>2310</v>
      </c>
      <c r="AF136" s="114">
        <v>11</v>
      </c>
      <c r="AG136" s="101">
        <v>10</v>
      </c>
      <c r="AH136" s="45">
        <v>1487</v>
      </c>
      <c r="AI136" s="102">
        <v>2028</v>
      </c>
      <c r="AJ136" s="114">
        <v>18</v>
      </c>
      <c r="AK136" s="101">
        <v>14</v>
      </c>
      <c r="AL136" s="45">
        <v>1309</v>
      </c>
      <c r="AM136" s="102">
        <v>1728</v>
      </c>
      <c r="AN136" s="114">
        <v>27</v>
      </c>
      <c r="AO136" s="101">
        <v>19</v>
      </c>
      <c r="AP136" s="45">
        <v>1649</v>
      </c>
      <c r="AQ136" s="102">
        <v>3523</v>
      </c>
      <c r="AR136" s="114">
        <v>23</v>
      </c>
      <c r="AS136" s="101">
        <v>15</v>
      </c>
      <c r="AT136" s="45">
        <v>1800</v>
      </c>
      <c r="AU136" s="102">
        <v>2429</v>
      </c>
      <c r="AV136" s="114">
        <v>14</v>
      </c>
      <c r="AW136" s="101">
        <v>7</v>
      </c>
      <c r="AX136" s="45">
        <v>1375</v>
      </c>
      <c r="AY136" s="102">
        <v>1738</v>
      </c>
      <c r="AZ136" s="114">
        <v>2</v>
      </c>
      <c r="BA136" s="101"/>
      <c r="BB136" s="45">
        <v>524</v>
      </c>
      <c r="BC136" s="102">
        <v>578</v>
      </c>
      <c r="BD136" s="114"/>
      <c r="BE136" s="101"/>
      <c r="BF136" s="45"/>
      <c r="BG136" s="101"/>
      <c r="BH136" s="101"/>
      <c r="BI136" s="22" t="s">
        <v>150</v>
      </c>
      <c r="BJ136" s="101">
        <f t="shared" si="20"/>
        <v>95</v>
      </c>
      <c r="BK136" s="101">
        <f t="shared" si="21"/>
        <v>65</v>
      </c>
      <c r="BL136" s="101">
        <f t="shared" si="22"/>
        <v>8144</v>
      </c>
      <c r="BM136" s="101">
        <f t="shared" si="23"/>
        <v>12024</v>
      </c>
    </row>
    <row r="137" spans="1:75" ht="15.75" x14ac:dyDescent="0.25">
      <c r="A137" s="29">
        <v>107</v>
      </c>
      <c r="B137" s="23" t="s">
        <v>151</v>
      </c>
      <c r="C137" s="67"/>
      <c r="D137" s="114">
        <v>7</v>
      </c>
      <c r="E137" s="45">
        <v>4</v>
      </c>
      <c r="F137" s="46">
        <v>696</v>
      </c>
      <c r="G137" s="45">
        <v>720</v>
      </c>
      <c r="H137" s="114">
        <v>5</v>
      </c>
      <c r="I137" s="45">
        <v>5</v>
      </c>
      <c r="J137" s="46">
        <v>440</v>
      </c>
      <c r="K137" s="45">
        <v>479</v>
      </c>
      <c r="L137" s="113">
        <v>8</v>
      </c>
      <c r="M137" s="46">
        <v>6</v>
      </c>
      <c r="N137" s="65">
        <v>687</v>
      </c>
      <c r="O137" s="46">
        <v>700</v>
      </c>
      <c r="P137" s="114">
        <v>5</v>
      </c>
      <c r="Q137" s="45">
        <v>2</v>
      </c>
      <c r="R137" s="46">
        <v>758</v>
      </c>
      <c r="S137" s="45">
        <v>784</v>
      </c>
      <c r="T137" s="114">
        <v>6</v>
      </c>
      <c r="U137" s="45">
        <v>6</v>
      </c>
      <c r="V137" s="46">
        <v>730</v>
      </c>
      <c r="W137" s="45">
        <v>742</v>
      </c>
      <c r="X137" s="114">
        <v>14</v>
      </c>
      <c r="Y137" s="45">
        <v>25</v>
      </c>
      <c r="Z137" s="46">
        <v>2795</v>
      </c>
      <c r="AA137" s="45">
        <v>2686</v>
      </c>
      <c r="AB137" s="114">
        <v>7</v>
      </c>
      <c r="AC137" s="45">
        <v>12</v>
      </c>
      <c r="AD137" s="46">
        <v>2614</v>
      </c>
      <c r="AE137" s="47">
        <v>2747</v>
      </c>
      <c r="AF137" s="114">
        <v>14</v>
      </c>
      <c r="AG137" s="45">
        <v>8</v>
      </c>
      <c r="AH137" s="46">
        <v>1712</v>
      </c>
      <c r="AI137" s="47">
        <v>2562</v>
      </c>
      <c r="AJ137" s="114">
        <v>10</v>
      </c>
      <c r="AK137" s="45">
        <v>15</v>
      </c>
      <c r="AL137" s="46">
        <v>1048</v>
      </c>
      <c r="AM137" s="47">
        <v>1740</v>
      </c>
      <c r="AN137" s="114">
        <v>38</v>
      </c>
      <c r="AO137" s="45">
        <v>30</v>
      </c>
      <c r="AP137" s="46">
        <v>1555</v>
      </c>
      <c r="AQ137" s="47">
        <v>3235</v>
      </c>
      <c r="AR137" s="114">
        <v>31</v>
      </c>
      <c r="AS137" s="45">
        <v>26</v>
      </c>
      <c r="AT137" s="46">
        <v>1618</v>
      </c>
      <c r="AU137" s="47">
        <v>2323</v>
      </c>
      <c r="AV137" s="114">
        <v>18</v>
      </c>
      <c r="AW137" s="45">
        <v>15</v>
      </c>
      <c r="AX137" s="46">
        <v>986</v>
      </c>
      <c r="AY137" s="47">
        <v>1446</v>
      </c>
      <c r="AZ137" s="114">
        <v>2</v>
      </c>
      <c r="BA137" s="45"/>
      <c r="BB137" s="46">
        <v>386</v>
      </c>
      <c r="BC137" s="47">
        <v>505</v>
      </c>
      <c r="BD137" s="114"/>
      <c r="BE137" s="45"/>
      <c r="BF137" s="46"/>
      <c r="BG137" s="130"/>
      <c r="BH137" s="101"/>
      <c r="BI137" s="22" t="s">
        <v>151</v>
      </c>
      <c r="BJ137" s="101">
        <f t="shared" si="20"/>
        <v>113</v>
      </c>
      <c r="BK137" s="101">
        <f t="shared" si="21"/>
        <v>94</v>
      </c>
      <c r="BL137" s="101">
        <f t="shared" si="22"/>
        <v>7305</v>
      </c>
      <c r="BM137" s="101">
        <f t="shared" si="23"/>
        <v>11811</v>
      </c>
    </row>
    <row r="138" spans="1:75" x14ac:dyDescent="0.25">
      <c r="A138" s="29">
        <v>108</v>
      </c>
      <c r="B138" s="23" t="s">
        <v>152</v>
      </c>
      <c r="C138" s="39"/>
      <c r="D138" s="113">
        <v>6</v>
      </c>
      <c r="E138" s="46">
        <v>3</v>
      </c>
      <c r="F138" s="65">
        <v>359</v>
      </c>
      <c r="G138" s="46">
        <v>433</v>
      </c>
      <c r="H138" s="113">
        <v>1</v>
      </c>
      <c r="I138" s="46"/>
      <c r="J138" s="65">
        <v>240</v>
      </c>
      <c r="K138" s="46">
        <v>282</v>
      </c>
      <c r="L138" s="113">
        <v>3</v>
      </c>
      <c r="M138" s="46">
        <v>3</v>
      </c>
      <c r="N138" s="65">
        <v>410</v>
      </c>
      <c r="O138" s="46">
        <v>413</v>
      </c>
      <c r="P138" s="113">
        <v>3</v>
      </c>
      <c r="Q138" s="46">
        <v>4</v>
      </c>
      <c r="R138" s="65">
        <v>448</v>
      </c>
      <c r="S138" s="46">
        <v>458</v>
      </c>
      <c r="T138" s="113">
        <v>2</v>
      </c>
      <c r="U138" s="46">
        <v>1</v>
      </c>
      <c r="V138" s="65">
        <v>437</v>
      </c>
      <c r="W138" s="46">
        <v>455</v>
      </c>
      <c r="X138" s="113">
        <v>10</v>
      </c>
      <c r="Y138" s="46">
        <v>18</v>
      </c>
      <c r="Z138" s="65">
        <v>1659</v>
      </c>
      <c r="AA138" s="46">
        <v>1620</v>
      </c>
      <c r="AB138" s="113">
        <v>9</v>
      </c>
      <c r="AC138" s="46">
        <v>13</v>
      </c>
      <c r="AD138" s="65">
        <v>1484</v>
      </c>
      <c r="AE138" s="66">
        <v>1480</v>
      </c>
      <c r="AF138" s="113">
        <v>12</v>
      </c>
      <c r="AG138" s="46">
        <v>11</v>
      </c>
      <c r="AH138" s="65">
        <v>948</v>
      </c>
      <c r="AI138" s="66">
        <v>1563</v>
      </c>
      <c r="AJ138" s="113">
        <v>12</v>
      </c>
      <c r="AK138" s="46">
        <v>12</v>
      </c>
      <c r="AL138" s="65">
        <v>509</v>
      </c>
      <c r="AM138" s="66">
        <v>1009</v>
      </c>
      <c r="AN138" s="113">
        <v>25</v>
      </c>
      <c r="AO138" s="46">
        <v>11</v>
      </c>
      <c r="AP138" s="65">
        <v>851</v>
      </c>
      <c r="AQ138" s="66">
        <v>1737</v>
      </c>
      <c r="AR138" s="113">
        <v>15</v>
      </c>
      <c r="AS138" s="46">
        <v>15</v>
      </c>
      <c r="AT138" s="65">
        <v>824</v>
      </c>
      <c r="AU138" s="66">
        <v>1329</v>
      </c>
      <c r="AV138" s="113">
        <v>10</v>
      </c>
      <c r="AW138" s="46">
        <v>6</v>
      </c>
      <c r="AX138" s="65">
        <v>530</v>
      </c>
      <c r="AY138" s="66">
        <v>820</v>
      </c>
      <c r="AZ138" s="113">
        <v>1</v>
      </c>
      <c r="BA138" s="46"/>
      <c r="BB138" s="65">
        <v>192</v>
      </c>
      <c r="BC138" s="66">
        <v>287</v>
      </c>
      <c r="BD138" s="113"/>
      <c r="BE138" s="46"/>
      <c r="BF138" s="65"/>
      <c r="BG138" s="133"/>
      <c r="BH138" s="65"/>
      <c r="BI138" s="22" t="s">
        <v>152</v>
      </c>
      <c r="BJ138" s="101">
        <f t="shared" si="20"/>
        <v>75</v>
      </c>
      <c r="BK138" s="101">
        <f t="shared" si="21"/>
        <v>55</v>
      </c>
      <c r="BL138" s="101">
        <f t="shared" si="22"/>
        <v>3854</v>
      </c>
      <c r="BM138" s="101">
        <f t="shared" si="23"/>
        <v>6745</v>
      </c>
    </row>
    <row r="139" spans="1:75" x14ac:dyDescent="0.25">
      <c r="A139" s="29">
        <v>109</v>
      </c>
      <c r="B139" s="23" t="s">
        <v>153</v>
      </c>
      <c r="C139" s="24"/>
      <c r="D139" s="113">
        <v>2</v>
      </c>
      <c r="E139" s="46">
        <v>2</v>
      </c>
      <c r="F139" s="65">
        <v>528</v>
      </c>
      <c r="G139" s="46">
        <v>609</v>
      </c>
      <c r="H139" s="113">
        <v>1</v>
      </c>
      <c r="I139" s="46">
        <v>4</v>
      </c>
      <c r="J139" s="65">
        <v>600</v>
      </c>
      <c r="K139" s="46">
        <v>538</v>
      </c>
      <c r="L139" s="64">
        <v>10</v>
      </c>
      <c r="M139" s="46">
        <v>4</v>
      </c>
      <c r="N139" s="65">
        <v>866</v>
      </c>
      <c r="O139" s="46">
        <v>883</v>
      </c>
      <c r="P139" s="113">
        <v>2</v>
      </c>
      <c r="Q139" s="46">
        <v>6</v>
      </c>
      <c r="R139" s="65">
        <v>919</v>
      </c>
      <c r="S139" s="46">
        <v>952</v>
      </c>
      <c r="T139" s="113">
        <v>4</v>
      </c>
      <c r="U139" s="46">
        <v>3</v>
      </c>
      <c r="V139" s="65">
        <v>798</v>
      </c>
      <c r="W139" s="46">
        <v>801</v>
      </c>
      <c r="X139" s="113">
        <v>22</v>
      </c>
      <c r="Y139" s="46">
        <v>17</v>
      </c>
      <c r="Z139" s="65">
        <v>2971</v>
      </c>
      <c r="AA139" s="46">
        <v>2873</v>
      </c>
      <c r="AB139" s="113">
        <v>8</v>
      </c>
      <c r="AC139" s="46">
        <v>13</v>
      </c>
      <c r="AD139" s="65">
        <v>2308</v>
      </c>
      <c r="AE139" s="66">
        <v>2305</v>
      </c>
      <c r="AF139" s="113">
        <v>18</v>
      </c>
      <c r="AG139" s="46">
        <v>4</v>
      </c>
      <c r="AH139" s="65">
        <v>1743</v>
      </c>
      <c r="AI139" s="66">
        <v>2326</v>
      </c>
      <c r="AJ139" s="113">
        <v>11</v>
      </c>
      <c r="AK139" s="46">
        <v>16</v>
      </c>
      <c r="AL139" s="65">
        <v>1572</v>
      </c>
      <c r="AM139" s="66">
        <v>2259</v>
      </c>
      <c r="AN139" s="113">
        <v>37</v>
      </c>
      <c r="AO139" s="46">
        <v>17</v>
      </c>
      <c r="AP139" s="65">
        <v>2142</v>
      </c>
      <c r="AQ139" s="66">
        <v>4102</v>
      </c>
      <c r="AR139" s="113">
        <v>33</v>
      </c>
      <c r="AS139" s="46">
        <v>16</v>
      </c>
      <c r="AT139" s="65">
        <v>2015</v>
      </c>
      <c r="AU139" s="66">
        <v>2600</v>
      </c>
      <c r="AV139" s="113">
        <v>18</v>
      </c>
      <c r="AW139" s="46">
        <v>13</v>
      </c>
      <c r="AX139" s="65">
        <v>1500</v>
      </c>
      <c r="AY139" s="66">
        <v>1971</v>
      </c>
      <c r="AZ139" s="113">
        <v>3</v>
      </c>
      <c r="BA139" s="46">
        <v>2</v>
      </c>
      <c r="BB139" s="65">
        <v>598</v>
      </c>
      <c r="BC139" s="66">
        <v>601</v>
      </c>
      <c r="BD139" s="113">
        <v>1</v>
      </c>
      <c r="BE139" s="46"/>
      <c r="BF139" s="65">
        <v>5</v>
      </c>
      <c r="BG139" s="133"/>
      <c r="BH139" s="65"/>
      <c r="BI139" s="22" t="s">
        <v>153</v>
      </c>
      <c r="BJ139" s="101">
        <f t="shared" si="20"/>
        <v>120</v>
      </c>
      <c r="BK139" s="101">
        <f t="shared" si="21"/>
        <v>68</v>
      </c>
      <c r="BL139" s="101">
        <f t="shared" si="22"/>
        <v>9570</v>
      </c>
      <c r="BM139" s="101">
        <f t="shared" si="23"/>
        <v>13859</v>
      </c>
    </row>
    <row r="140" spans="1:75" x14ac:dyDescent="0.25">
      <c r="A140" s="99" t="s">
        <v>154</v>
      </c>
      <c r="B140" s="100"/>
      <c r="C140" s="24"/>
      <c r="D140" s="64"/>
      <c r="E140" s="46"/>
      <c r="F140" s="65"/>
      <c r="G140" s="46"/>
      <c r="H140" s="64"/>
      <c r="I140" s="46"/>
      <c r="J140" s="65"/>
      <c r="K140" s="46"/>
      <c r="L140" s="64"/>
      <c r="M140" s="46"/>
      <c r="N140" s="65"/>
      <c r="O140" s="46"/>
      <c r="P140" s="64"/>
      <c r="Q140" s="46"/>
      <c r="R140" s="65"/>
      <c r="S140" s="46"/>
      <c r="T140" s="64"/>
      <c r="U140" s="46"/>
      <c r="V140" s="65"/>
      <c r="W140" s="46"/>
      <c r="X140" s="64"/>
      <c r="Y140" s="46"/>
      <c r="Z140" s="65"/>
      <c r="AA140" s="46"/>
      <c r="AB140" s="64"/>
      <c r="AC140" s="46"/>
      <c r="AD140" s="65"/>
      <c r="AE140" s="66"/>
      <c r="AF140" s="64"/>
      <c r="AG140" s="46"/>
      <c r="AH140" s="65"/>
      <c r="AI140" s="66"/>
      <c r="AJ140" s="64"/>
      <c r="AK140" s="46"/>
      <c r="AL140" s="65"/>
      <c r="AM140" s="66"/>
      <c r="AN140" s="64"/>
      <c r="AO140" s="46"/>
      <c r="AP140" s="65"/>
      <c r="AQ140" s="66"/>
      <c r="AR140" s="64"/>
      <c r="AS140" s="46"/>
      <c r="AT140" s="65"/>
      <c r="AU140" s="66"/>
      <c r="AV140" s="64"/>
      <c r="AW140" s="46"/>
      <c r="AX140" s="65"/>
      <c r="AY140" s="66"/>
      <c r="AZ140" s="64"/>
      <c r="BA140" s="46"/>
      <c r="BB140" s="65"/>
      <c r="BC140" s="66"/>
      <c r="BD140" s="64"/>
      <c r="BE140" s="46"/>
      <c r="BF140" s="65"/>
      <c r="BG140" s="133"/>
      <c r="BH140" s="65"/>
      <c r="BI140" s="142"/>
      <c r="BJ140" s="101">
        <f t="shared" si="20"/>
        <v>0</v>
      </c>
      <c r="BK140" s="101">
        <f t="shared" si="21"/>
        <v>0</v>
      </c>
      <c r="BL140" s="101">
        <f t="shared" si="22"/>
        <v>0</v>
      </c>
      <c r="BM140" s="101">
        <f t="shared" si="23"/>
        <v>0</v>
      </c>
    </row>
    <row r="141" spans="1:75" x14ac:dyDescent="0.25">
      <c r="A141" s="29">
        <v>110</v>
      </c>
      <c r="B141" s="23" t="s">
        <v>155</v>
      </c>
      <c r="C141" s="39"/>
      <c r="D141" s="64">
        <v>1</v>
      </c>
      <c r="E141" s="46">
        <v>3</v>
      </c>
      <c r="F141" s="65">
        <v>754</v>
      </c>
      <c r="G141" s="46">
        <v>882</v>
      </c>
      <c r="H141" s="64">
        <v>3</v>
      </c>
      <c r="I141" s="46">
        <v>3</v>
      </c>
      <c r="J141" s="65">
        <v>383</v>
      </c>
      <c r="K141" s="46">
        <v>453</v>
      </c>
      <c r="L141" s="70">
        <v>2</v>
      </c>
      <c r="M141" s="71">
        <v>2</v>
      </c>
      <c r="N141" s="72">
        <v>705</v>
      </c>
      <c r="O141" s="71">
        <v>933</v>
      </c>
      <c r="P141" s="64">
        <v>2</v>
      </c>
      <c r="Q141" s="46">
        <v>2</v>
      </c>
      <c r="R141" s="65">
        <v>596</v>
      </c>
      <c r="S141" s="46">
        <v>709</v>
      </c>
      <c r="T141" s="64">
        <v>2</v>
      </c>
      <c r="U141" s="46">
        <v>2</v>
      </c>
      <c r="V141" s="65">
        <v>649</v>
      </c>
      <c r="W141" s="46">
        <v>805</v>
      </c>
      <c r="X141" s="64">
        <v>7</v>
      </c>
      <c r="Y141" s="46">
        <v>10</v>
      </c>
      <c r="Z141" s="65">
        <v>3318</v>
      </c>
      <c r="AA141" s="46">
        <v>3612</v>
      </c>
      <c r="AB141" s="64">
        <v>9</v>
      </c>
      <c r="AC141" s="46">
        <v>7</v>
      </c>
      <c r="AD141" s="65">
        <v>3357</v>
      </c>
      <c r="AE141" s="66">
        <v>2626</v>
      </c>
      <c r="AF141" s="64">
        <v>6</v>
      </c>
      <c r="AG141" s="46">
        <v>4</v>
      </c>
      <c r="AH141" s="65">
        <v>1802</v>
      </c>
      <c r="AI141" s="66">
        <v>1744</v>
      </c>
      <c r="AJ141" s="64">
        <v>19</v>
      </c>
      <c r="AK141" s="46">
        <v>10</v>
      </c>
      <c r="AL141" s="65">
        <v>1283</v>
      </c>
      <c r="AM141" s="66">
        <v>2325</v>
      </c>
      <c r="AN141" s="64">
        <v>60</v>
      </c>
      <c r="AO141" s="46">
        <v>16</v>
      </c>
      <c r="AP141" s="65">
        <v>2270</v>
      </c>
      <c r="AQ141" s="66">
        <v>3560</v>
      </c>
      <c r="AR141" s="64">
        <v>39</v>
      </c>
      <c r="AS141" s="46">
        <v>12</v>
      </c>
      <c r="AT141" s="65">
        <v>2834</v>
      </c>
      <c r="AU141" s="66">
        <v>3071</v>
      </c>
      <c r="AV141" s="64">
        <v>10</v>
      </c>
      <c r="AW141" s="46">
        <v>1</v>
      </c>
      <c r="AX141" s="65">
        <v>1457</v>
      </c>
      <c r="AY141" s="66">
        <v>1829</v>
      </c>
      <c r="AZ141" s="64">
        <v>3</v>
      </c>
      <c r="BA141" s="46"/>
      <c r="BB141" s="65">
        <v>152</v>
      </c>
      <c r="BC141" s="66">
        <v>305</v>
      </c>
      <c r="BD141" s="64"/>
      <c r="BE141" s="46"/>
      <c r="BF141" s="65">
        <v>60</v>
      </c>
      <c r="BG141" s="133">
        <v>10</v>
      </c>
      <c r="BH141" s="65"/>
      <c r="BI141" s="22" t="s">
        <v>155</v>
      </c>
      <c r="BJ141" s="101">
        <f t="shared" si="20"/>
        <v>137</v>
      </c>
      <c r="BK141" s="101">
        <f t="shared" si="21"/>
        <v>43</v>
      </c>
      <c r="BL141" s="101">
        <f t="shared" si="22"/>
        <v>9798</v>
      </c>
      <c r="BM141" s="101">
        <f t="shared" si="23"/>
        <v>12834</v>
      </c>
    </row>
    <row r="142" spans="1:75" x14ac:dyDescent="0.25">
      <c r="A142" s="29">
        <v>111</v>
      </c>
      <c r="B142" s="23" t="s">
        <v>156</v>
      </c>
      <c r="C142" s="24"/>
      <c r="D142" s="64">
        <v>1</v>
      </c>
      <c r="E142" s="46">
        <v>1</v>
      </c>
      <c r="F142" s="65">
        <v>428</v>
      </c>
      <c r="G142" s="46">
        <v>400</v>
      </c>
      <c r="H142" s="64">
        <v>2</v>
      </c>
      <c r="I142" s="46">
        <v>2</v>
      </c>
      <c r="J142" s="65">
        <v>226</v>
      </c>
      <c r="K142" s="46">
        <v>264</v>
      </c>
      <c r="L142" s="64">
        <v>6</v>
      </c>
      <c r="M142" s="46">
        <v>1</v>
      </c>
      <c r="N142" s="65">
        <v>396</v>
      </c>
      <c r="O142" s="46">
        <v>482</v>
      </c>
      <c r="P142" s="64">
        <v>3</v>
      </c>
      <c r="Q142" s="46">
        <v>2</v>
      </c>
      <c r="R142" s="65">
        <v>269</v>
      </c>
      <c r="S142" s="46">
        <v>327</v>
      </c>
      <c r="T142" s="64">
        <v>2</v>
      </c>
      <c r="U142" s="46">
        <v>1</v>
      </c>
      <c r="V142" s="65">
        <v>491</v>
      </c>
      <c r="W142" s="46">
        <v>543</v>
      </c>
      <c r="X142" s="64">
        <v>11</v>
      </c>
      <c r="Y142" s="46">
        <v>13</v>
      </c>
      <c r="Z142" s="65">
        <v>2143</v>
      </c>
      <c r="AA142" s="46">
        <v>1864</v>
      </c>
      <c r="AB142" s="64">
        <v>5</v>
      </c>
      <c r="AC142" s="46">
        <v>8</v>
      </c>
      <c r="AD142" s="65">
        <v>2283</v>
      </c>
      <c r="AE142" s="66">
        <v>1888</v>
      </c>
      <c r="AF142" s="64">
        <v>9</v>
      </c>
      <c r="AG142" s="46">
        <v>3</v>
      </c>
      <c r="AH142" s="65">
        <v>1287</v>
      </c>
      <c r="AI142" s="66">
        <v>1500</v>
      </c>
      <c r="AJ142" s="64">
        <v>12</v>
      </c>
      <c r="AK142" s="46">
        <v>5</v>
      </c>
      <c r="AL142" s="65">
        <v>1000</v>
      </c>
      <c r="AM142" s="66">
        <v>1484</v>
      </c>
      <c r="AN142" s="64">
        <v>27</v>
      </c>
      <c r="AO142" s="46">
        <v>12</v>
      </c>
      <c r="AP142" s="65">
        <v>1709</v>
      </c>
      <c r="AQ142" s="66">
        <v>2516</v>
      </c>
      <c r="AR142" s="64">
        <v>31</v>
      </c>
      <c r="AS142" s="46">
        <v>10</v>
      </c>
      <c r="AT142" s="65">
        <v>1818</v>
      </c>
      <c r="AU142" s="66">
        <v>2075</v>
      </c>
      <c r="AV142" s="64">
        <v>27</v>
      </c>
      <c r="AW142" s="46">
        <v>3</v>
      </c>
      <c r="AX142" s="65">
        <v>1120</v>
      </c>
      <c r="AY142" s="66">
        <v>1118</v>
      </c>
      <c r="AZ142" s="64"/>
      <c r="BA142" s="46">
        <v>1</v>
      </c>
      <c r="BB142" s="65">
        <v>142</v>
      </c>
      <c r="BC142" s="66">
        <v>198</v>
      </c>
      <c r="BD142" s="64"/>
      <c r="BE142" s="46"/>
      <c r="BF142" s="65"/>
      <c r="BG142" s="133"/>
      <c r="BH142" s="65"/>
      <c r="BI142" s="22" t="s">
        <v>156</v>
      </c>
      <c r="BJ142" s="101">
        <f t="shared" si="20"/>
        <v>106</v>
      </c>
      <c r="BK142" s="101">
        <f t="shared" si="21"/>
        <v>34</v>
      </c>
      <c r="BL142" s="101">
        <f t="shared" si="22"/>
        <v>7076</v>
      </c>
      <c r="BM142" s="101">
        <f t="shared" si="23"/>
        <v>8891</v>
      </c>
    </row>
    <row r="143" spans="1:75" ht="15.75" x14ac:dyDescent="0.25">
      <c r="A143" s="29">
        <v>112</v>
      </c>
      <c r="B143" s="23" t="s">
        <v>157</v>
      </c>
      <c r="C143" s="67"/>
      <c r="D143" s="44">
        <v>2</v>
      </c>
      <c r="E143" s="45">
        <v>1</v>
      </c>
      <c r="F143" s="46">
        <v>385</v>
      </c>
      <c r="G143" s="45">
        <v>380</v>
      </c>
      <c r="H143" s="44">
        <v>2</v>
      </c>
      <c r="I143" s="45">
        <v>2</v>
      </c>
      <c r="J143" s="46">
        <v>310</v>
      </c>
      <c r="K143" s="45">
        <v>344</v>
      </c>
      <c r="L143" s="44">
        <v>3</v>
      </c>
      <c r="M143" s="45">
        <v>2</v>
      </c>
      <c r="N143" s="46">
        <v>601</v>
      </c>
      <c r="O143" s="45">
        <v>681</v>
      </c>
      <c r="P143" s="44">
        <v>4</v>
      </c>
      <c r="Q143" s="45">
        <v>1</v>
      </c>
      <c r="R143" s="46">
        <v>515</v>
      </c>
      <c r="S143" s="45">
        <v>548</v>
      </c>
      <c r="T143" s="44">
        <v>5</v>
      </c>
      <c r="U143" s="45">
        <v>1</v>
      </c>
      <c r="V143" s="46">
        <v>793</v>
      </c>
      <c r="W143" s="45">
        <v>525</v>
      </c>
      <c r="X143" s="44">
        <v>10</v>
      </c>
      <c r="Y143" s="45">
        <v>8</v>
      </c>
      <c r="Z143" s="46">
        <v>1665</v>
      </c>
      <c r="AA143" s="45">
        <v>1497</v>
      </c>
      <c r="AB143" s="44">
        <v>5</v>
      </c>
      <c r="AC143" s="45">
        <v>2</v>
      </c>
      <c r="AD143" s="46">
        <v>1824</v>
      </c>
      <c r="AE143" s="47">
        <v>1739</v>
      </c>
      <c r="AF143" s="44">
        <v>7</v>
      </c>
      <c r="AG143" s="45">
        <v>4</v>
      </c>
      <c r="AH143" s="46">
        <v>1225</v>
      </c>
      <c r="AI143" s="47">
        <v>1282</v>
      </c>
      <c r="AJ143" s="44">
        <v>9</v>
      </c>
      <c r="AK143" s="45">
        <v>5</v>
      </c>
      <c r="AL143" s="46">
        <v>915</v>
      </c>
      <c r="AM143" s="47">
        <v>1344</v>
      </c>
      <c r="AN143" s="44">
        <v>20</v>
      </c>
      <c r="AO143" s="45">
        <v>14</v>
      </c>
      <c r="AP143" s="46">
        <v>1530</v>
      </c>
      <c r="AQ143" s="47">
        <v>2287</v>
      </c>
      <c r="AR143" s="44">
        <v>14</v>
      </c>
      <c r="AS143" s="45">
        <v>9</v>
      </c>
      <c r="AT143" s="46">
        <v>1470</v>
      </c>
      <c r="AU143" s="47">
        <v>1614</v>
      </c>
      <c r="AV143" s="44">
        <v>11</v>
      </c>
      <c r="AW143" s="45">
        <v>6</v>
      </c>
      <c r="AX143" s="46">
        <v>913</v>
      </c>
      <c r="AY143" s="47">
        <v>926</v>
      </c>
      <c r="AZ143" s="44"/>
      <c r="BA143" s="45">
        <v>1</v>
      </c>
      <c r="BB143" s="46">
        <v>211</v>
      </c>
      <c r="BC143" s="47">
        <v>266</v>
      </c>
      <c r="BD143" s="44"/>
      <c r="BE143" s="45"/>
      <c r="BF143" s="46"/>
      <c r="BG143" s="130"/>
      <c r="BH143" s="101"/>
      <c r="BI143" s="22" t="s">
        <v>157</v>
      </c>
      <c r="BJ143" s="101">
        <f t="shared" si="20"/>
        <v>61</v>
      </c>
      <c r="BK143" s="101">
        <f t="shared" si="21"/>
        <v>39</v>
      </c>
      <c r="BL143" s="101">
        <f t="shared" si="22"/>
        <v>6264</v>
      </c>
      <c r="BM143" s="101">
        <f t="shared" si="23"/>
        <v>7719</v>
      </c>
    </row>
    <row r="144" spans="1:75" x14ac:dyDescent="0.25">
      <c r="A144" s="29">
        <v>113</v>
      </c>
      <c r="B144" s="23" t="s">
        <v>158</v>
      </c>
      <c r="C144" s="39"/>
      <c r="D144" s="64">
        <v>3</v>
      </c>
      <c r="E144" s="46">
        <v>3</v>
      </c>
      <c r="F144" s="65">
        <v>1166</v>
      </c>
      <c r="G144" s="46">
        <v>1219</v>
      </c>
      <c r="H144" s="64"/>
      <c r="I144" s="46">
        <v>2</v>
      </c>
      <c r="J144" s="65">
        <v>170</v>
      </c>
      <c r="K144" s="46">
        <v>184</v>
      </c>
      <c r="L144" s="64">
        <v>3</v>
      </c>
      <c r="M144" s="46">
        <v>4</v>
      </c>
      <c r="N144" s="65">
        <v>500</v>
      </c>
      <c r="O144" s="46">
        <v>615</v>
      </c>
      <c r="P144" s="64">
        <v>3</v>
      </c>
      <c r="Q144" s="46">
        <v>3</v>
      </c>
      <c r="R144" s="65">
        <v>596</v>
      </c>
      <c r="S144" s="46">
        <v>754</v>
      </c>
      <c r="T144" s="64">
        <v>2</v>
      </c>
      <c r="U144" s="46">
        <v>1</v>
      </c>
      <c r="V144" s="65">
        <v>763</v>
      </c>
      <c r="W144" s="46">
        <v>839</v>
      </c>
      <c r="X144" s="64">
        <v>7</v>
      </c>
      <c r="Y144" s="46">
        <v>10</v>
      </c>
      <c r="Z144" s="65">
        <v>3328</v>
      </c>
      <c r="AA144" s="46">
        <v>3185</v>
      </c>
      <c r="AB144" s="64">
        <v>8</v>
      </c>
      <c r="AC144" s="46">
        <v>3</v>
      </c>
      <c r="AD144" s="65">
        <v>3338</v>
      </c>
      <c r="AE144" s="66">
        <v>2740</v>
      </c>
      <c r="AF144" s="64">
        <v>7</v>
      </c>
      <c r="AG144" s="46">
        <v>1</v>
      </c>
      <c r="AH144" s="65">
        <v>2279</v>
      </c>
      <c r="AI144" s="66">
        <v>2017</v>
      </c>
      <c r="AJ144" s="64">
        <v>21</v>
      </c>
      <c r="AK144" s="46">
        <v>8</v>
      </c>
      <c r="AL144" s="65">
        <v>1660</v>
      </c>
      <c r="AM144" s="66">
        <v>2274</v>
      </c>
      <c r="AN144" s="64">
        <v>39</v>
      </c>
      <c r="AO144" s="46">
        <v>16</v>
      </c>
      <c r="AP144" s="65">
        <v>2645</v>
      </c>
      <c r="AQ144" s="66">
        <v>3583</v>
      </c>
      <c r="AR144" s="64">
        <v>30</v>
      </c>
      <c r="AS144" s="46">
        <v>12</v>
      </c>
      <c r="AT144" s="65">
        <v>3486</v>
      </c>
      <c r="AU144" s="66">
        <v>3310</v>
      </c>
      <c r="AV144" s="64">
        <v>22</v>
      </c>
      <c r="AW144" s="46">
        <v>10</v>
      </c>
      <c r="AX144" s="65">
        <v>1589</v>
      </c>
      <c r="AY144" s="66">
        <v>1810</v>
      </c>
      <c r="AZ144" s="64">
        <v>2</v>
      </c>
      <c r="BA144" s="46"/>
      <c r="BB144" s="65">
        <v>199</v>
      </c>
      <c r="BC144" s="66">
        <v>285</v>
      </c>
      <c r="BD144" s="64"/>
      <c r="BE144" s="46"/>
      <c r="BF144" s="65"/>
      <c r="BG144" s="133"/>
      <c r="BH144" s="65"/>
      <c r="BI144" s="22" t="s">
        <v>158</v>
      </c>
      <c r="BJ144" s="101">
        <f t="shared" si="20"/>
        <v>121</v>
      </c>
      <c r="BK144" s="101">
        <f t="shared" si="21"/>
        <v>47</v>
      </c>
      <c r="BL144" s="101">
        <f t="shared" si="22"/>
        <v>11858</v>
      </c>
      <c r="BM144" s="101">
        <f t="shared" si="23"/>
        <v>13279</v>
      </c>
    </row>
    <row r="145" spans="1:65" x14ac:dyDescent="0.25">
      <c r="A145" s="29">
        <v>114</v>
      </c>
      <c r="B145" s="23" t="s">
        <v>159</v>
      </c>
      <c r="C145" s="24"/>
      <c r="D145" s="64">
        <v>3</v>
      </c>
      <c r="E145" s="46">
        <v>1</v>
      </c>
      <c r="F145" s="65">
        <v>588</v>
      </c>
      <c r="G145" s="46">
        <v>604</v>
      </c>
      <c r="H145" s="64"/>
      <c r="I145" s="46"/>
      <c r="J145" s="65">
        <v>289</v>
      </c>
      <c r="K145" s="46">
        <v>285</v>
      </c>
      <c r="L145" s="64">
        <v>2</v>
      </c>
      <c r="M145" s="46">
        <v>1</v>
      </c>
      <c r="N145" s="65">
        <v>629</v>
      </c>
      <c r="O145" s="46">
        <v>698</v>
      </c>
      <c r="P145" s="64"/>
      <c r="Q145" s="46">
        <v>1</v>
      </c>
      <c r="R145" s="65">
        <v>558</v>
      </c>
      <c r="S145" s="46">
        <v>674</v>
      </c>
      <c r="T145" s="64">
        <v>1</v>
      </c>
      <c r="U145" s="46"/>
      <c r="V145" s="65">
        <v>561</v>
      </c>
      <c r="W145" s="46">
        <v>688</v>
      </c>
      <c r="X145" s="64">
        <v>6</v>
      </c>
      <c r="Y145" s="46">
        <v>5</v>
      </c>
      <c r="Z145" s="65">
        <v>2908</v>
      </c>
      <c r="AA145" s="46">
        <v>2605</v>
      </c>
      <c r="AB145" s="64">
        <v>4</v>
      </c>
      <c r="AC145" s="46">
        <v>6</v>
      </c>
      <c r="AD145" s="65">
        <v>2874</v>
      </c>
      <c r="AE145" s="66">
        <v>2604</v>
      </c>
      <c r="AF145" s="64">
        <v>9</v>
      </c>
      <c r="AG145" s="46">
        <v>4</v>
      </c>
      <c r="AH145" s="65">
        <v>1797</v>
      </c>
      <c r="AI145" s="66">
        <v>1691</v>
      </c>
      <c r="AJ145" s="64">
        <v>8</v>
      </c>
      <c r="AK145" s="46">
        <v>6</v>
      </c>
      <c r="AL145" s="65">
        <v>1205</v>
      </c>
      <c r="AM145" s="66">
        <v>1858</v>
      </c>
      <c r="AN145" s="64">
        <v>20</v>
      </c>
      <c r="AO145" s="46">
        <v>9</v>
      </c>
      <c r="AP145" s="65">
        <v>2104</v>
      </c>
      <c r="AQ145" s="66">
        <v>3217</v>
      </c>
      <c r="AR145" s="64">
        <v>35</v>
      </c>
      <c r="AS145" s="46">
        <v>13</v>
      </c>
      <c r="AT145" s="65">
        <v>2361</v>
      </c>
      <c r="AU145" s="66">
        <v>2695</v>
      </c>
      <c r="AV145" s="64">
        <v>9</v>
      </c>
      <c r="AW145" s="46">
        <v>5</v>
      </c>
      <c r="AX145" s="65">
        <v>1372</v>
      </c>
      <c r="AY145" s="66">
        <v>1609</v>
      </c>
      <c r="AZ145" s="64">
        <v>2</v>
      </c>
      <c r="BA145" s="46"/>
      <c r="BB145" s="65">
        <v>187</v>
      </c>
      <c r="BC145" s="66">
        <v>303</v>
      </c>
      <c r="BD145" s="64"/>
      <c r="BE145" s="46"/>
      <c r="BF145" s="65"/>
      <c r="BG145" s="133"/>
      <c r="BH145" s="65"/>
      <c r="BI145" s="22" t="s">
        <v>159</v>
      </c>
      <c r="BJ145" s="101">
        <f t="shared" si="20"/>
        <v>83</v>
      </c>
      <c r="BK145" s="101">
        <f t="shared" si="21"/>
        <v>37</v>
      </c>
      <c r="BL145" s="101">
        <f t="shared" si="22"/>
        <v>9026</v>
      </c>
      <c r="BM145" s="101">
        <f t="shared" si="23"/>
        <v>11373</v>
      </c>
    </row>
    <row r="146" spans="1:65" s="74" customFormat="1" x14ac:dyDescent="0.25">
      <c r="A146" s="79">
        <v>115</v>
      </c>
      <c r="B146" s="50" t="s">
        <v>160</v>
      </c>
      <c r="C146" s="69" t="s">
        <v>161</v>
      </c>
      <c r="D146" s="70">
        <v>2</v>
      </c>
      <c r="E146" s="71">
        <v>5</v>
      </c>
      <c r="F146" s="72">
        <v>257</v>
      </c>
      <c r="G146" s="71">
        <v>321</v>
      </c>
      <c r="H146" s="70">
        <v>2</v>
      </c>
      <c r="I146" s="71">
        <v>5</v>
      </c>
      <c r="J146" s="72">
        <v>95</v>
      </c>
      <c r="K146" s="71">
        <v>136</v>
      </c>
      <c r="L146" s="70">
        <v>4</v>
      </c>
      <c r="M146" s="71">
        <v>5</v>
      </c>
      <c r="N146" s="72">
        <v>255</v>
      </c>
      <c r="O146" s="71">
        <v>285</v>
      </c>
      <c r="P146" s="70">
        <v>4</v>
      </c>
      <c r="Q146" s="71">
        <v>4</v>
      </c>
      <c r="R146" s="72">
        <v>236</v>
      </c>
      <c r="S146" s="71">
        <v>314</v>
      </c>
      <c r="T146" s="70">
        <v>5</v>
      </c>
      <c r="U146" s="71">
        <v>6</v>
      </c>
      <c r="V146" s="72">
        <v>291</v>
      </c>
      <c r="W146" s="71">
        <v>339</v>
      </c>
      <c r="X146" s="70">
        <v>18</v>
      </c>
      <c r="Y146" s="71">
        <v>19</v>
      </c>
      <c r="Z146" s="72">
        <v>1232</v>
      </c>
      <c r="AA146" s="71">
        <v>1187</v>
      </c>
      <c r="AB146" s="70">
        <v>11</v>
      </c>
      <c r="AC146" s="71">
        <v>9</v>
      </c>
      <c r="AD146" s="72">
        <v>1461</v>
      </c>
      <c r="AE146" s="73">
        <v>1321</v>
      </c>
      <c r="AF146" s="70">
        <v>10</v>
      </c>
      <c r="AG146" s="71">
        <v>16</v>
      </c>
      <c r="AH146" s="72">
        <v>969</v>
      </c>
      <c r="AI146" s="73">
        <v>828</v>
      </c>
      <c r="AJ146" s="70">
        <v>8</v>
      </c>
      <c r="AK146" s="71">
        <v>9</v>
      </c>
      <c r="AL146" s="72">
        <v>623</v>
      </c>
      <c r="AM146" s="73">
        <v>1142</v>
      </c>
      <c r="AN146" s="70">
        <v>41</v>
      </c>
      <c r="AO146" s="71">
        <v>23</v>
      </c>
      <c r="AP146" s="72">
        <v>1170</v>
      </c>
      <c r="AQ146" s="73">
        <v>1636</v>
      </c>
      <c r="AR146" s="70">
        <v>39</v>
      </c>
      <c r="AS146" s="71">
        <v>28</v>
      </c>
      <c r="AT146" s="72">
        <v>1283</v>
      </c>
      <c r="AU146" s="73">
        <v>1287</v>
      </c>
      <c r="AV146" s="70">
        <v>25</v>
      </c>
      <c r="AW146" s="71">
        <v>11</v>
      </c>
      <c r="AX146" s="72">
        <v>669</v>
      </c>
      <c r="AY146" s="73">
        <v>659</v>
      </c>
      <c r="AZ146" s="70">
        <v>3</v>
      </c>
      <c r="BA146" s="71">
        <v>3</v>
      </c>
      <c r="BB146" s="72">
        <v>80</v>
      </c>
      <c r="BC146" s="73">
        <v>136</v>
      </c>
      <c r="BD146" s="70"/>
      <c r="BE146" s="71"/>
      <c r="BF146" s="72"/>
      <c r="BG146" s="134"/>
      <c r="BH146" s="72"/>
      <c r="BI146" s="49" t="s">
        <v>160</v>
      </c>
      <c r="BJ146" s="101">
        <f t="shared" si="20"/>
        <v>126</v>
      </c>
      <c r="BK146" s="101">
        <f t="shared" si="21"/>
        <v>90</v>
      </c>
      <c r="BL146" s="101">
        <f t="shared" si="22"/>
        <v>4794</v>
      </c>
      <c r="BM146" s="101">
        <f t="shared" si="23"/>
        <v>5688</v>
      </c>
    </row>
    <row r="147" spans="1:65" x14ac:dyDescent="0.25">
      <c r="A147" s="29">
        <v>116</v>
      </c>
      <c r="B147" s="23" t="s">
        <v>162</v>
      </c>
      <c r="C147" s="24"/>
      <c r="D147" s="64">
        <v>2</v>
      </c>
      <c r="E147" s="46">
        <v>2</v>
      </c>
      <c r="F147" s="65">
        <v>924</v>
      </c>
      <c r="G147" s="46">
        <v>1007</v>
      </c>
      <c r="H147" s="64">
        <v>1</v>
      </c>
      <c r="I147" s="46">
        <v>2</v>
      </c>
      <c r="J147" s="65">
        <v>231</v>
      </c>
      <c r="K147" s="46">
        <v>248</v>
      </c>
      <c r="L147" s="64">
        <v>2</v>
      </c>
      <c r="M147" s="46">
        <v>2</v>
      </c>
      <c r="N147" s="65">
        <v>711</v>
      </c>
      <c r="O147" s="46">
        <v>777</v>
      </c>
      <c r="P147" s="64"/>
      <c r="Q147" s="46">
        <v>2</v>
      </c>
      <c r="R147" s="65">
        <v>600</v>
      </c>
      <c r="S147" s="46">
        <v>732</v>
      </c>
      <c r="T147" s="64">
        <v>3</v>
      </c>
      <c r="U147" s="46">
        <v>1</v>
      </c>
      <c r="V147" s="65">
        <v>651</v>
      </c>
      <c r="W147" s="46">
        <v>678</v>
      </c>
      <c r="X147" s="64">
        <v>9</v>
      </c>
      <c r="Y147" s="46">
        <v>1</v>
      </c>
      <c r="Z147" s="65">
        <v>2744</v>
      </c>
      <c r="AA147" s="46">
        <v>2512</v>
      </c>
      <c r="AB147" s="64">
        <v>3</v>
      </c>
      <c r="AC147" s="46">
        <v>3</v>
      </c>
      <c r="AD147" s="65">
        <v>2809</v>
      </c>
      <c r="AE147" s="66">
        <v>2669</v>
      </c>
      <c r="AF147" s="64">
        <v>3</v>
      </c>
      <c r="AG147" s="46">
        <v>2</v>
      </c>
      <c r="AH147" s="65">
        <v>1721</v>
      </c>
      <c r="AI147" s="66">
        <v>1875</v>
      </c>
      <c r="AJ147" s="64">
        <v>3</v>
      </c>
      <c r="AK147" s="46">
        <v>7</v>
      </c>
      <c r="AL147" s="65">
        <v>1045</v>
      </c>
      <c r="AM147" s="66">
        <v>1845</v>
      </c>
      <c r="AN147" s="64">
        <v>18</v>
      </c>
      <c r="AO147" s="46">
        <v>8</v>
      </c>
      <c r="AP147" s="65">
        <v>2285</v>
      </c>
      <c r="AQ147" s="66">
        <v>3502</v>
      </c>
      <c r="AR147" s="64">
        <v>19</v>
      </c>
      <c r="AS147" s="46">
        <v>10</v>
      </c>
      <c r="AT147" s="65">
        <v>2234</v>
      </c>
      <c r="AU147" s="66">
        <v>2449</v>
      </c>
      <c r="AV147" s="64">
        <v>8</v>
      </c>
      <c r="AW147" s="46">
        <v>4</v>
      </c>
      <c r="AX147" s="65">
        <v>1194</v>
      </c>
      <c r="AY147" s="66">
        <v>1505</v>
      </c>
      <c r="AZ147" s="64">
        <v>2</v>
      </c>
      <c r="BA147" s="46"/>
      <c r="BB147" s="65">
        <v>273</v>
      </c>
      <c r="BC147" s="66">
        <v>378</v>
      </c>
      <c r="BD147" s="64"/>
      <c r="BE147" s="46"/>
      <c r="BF147" s="65"/>
      <c r="BG147" s="133"/>
      <c r="BH147" s="65"/>
      <c r="BI147" s="22" t="s">
        <v>162</v>
      </c>
      <c r="BJ147" s="101">
        <f t="shared" si="20"/>
        <v>53</v>
      </c>
      <c r="BK147" s="101">
        <f t="shared" si="21"/>
        <v>31</v>
      </c>
      <c r="BL147" s="101">
        <f t="shared" si="22"/>
        <v>8752</v>
      </c>
      <c r="BM147" s="101">
        <f t="shared" si="23"/>
        <v>11554</v>
      </c>
    </row>
    <row r="148" spans="1:65" x14ac:dyDescent="0.25">
      <c r="A148" s="105"/>
      <c r="B148" s="106"/>
      <c r="C148" s="82"/>
      <c r="D148" s="59"/>
      <c r="E148" s="61"/>
      <c r="F148" s="83"/>
      <c r="G148" s="61"/>
      <c r="H148" s="59"/>
      <c r="I148" s="61"/>
      <c r="J148" s="83"/>
      <c r="K148" s="61"/>
      <c r="L148" s="59"/>
      <c r="M148" s="61"/>
      <c r="N148" s="83"/>
      <c r="O148" s="61"/>
      <c r="P148" s="59"/>
      <c r="Q148" s="61"/>
      <c r="R148" s="83"/>
      <c r="S148" s="61"/>
      <c r="T148" s="59"/>
      <c r="U148" s="61"/>
      <c r="V148" s="83"/>
      <c r="W148" s="61"/>
      <c r="X148" s="59"/>
      <c r="Y148" s="61"/>
      <c r="Z148" s="83"/>
      <c r="AA148" s="61"/>
      <c r="AB148" s="59"/>
      <c r="AC148" s="61"/>
      <c r="AD148" s="83"/>
      <c r="AE148" s="84"/>
      <c r="AF148" s="59"/>
      <c r="AG148" s="61"/>
      <c r="AH148" s="83"/>
      <c r="AI148" s="84"/>
      <c r="AJ148" s="59"/>
      <c r="AK148" s="61"/>
      <c r="AL148" s="83"/>
      <c r="AM148" s="84"/>
      <c r="AN148" s="59"/>
      <c r="AO148" s="61"/>
      <c r="AP148" s="83"/>
      <c r="AQ148" s="84"/>
      <c r="AR148" s="59"/>
      <c r="AS148" s="61"/>
      <c r="AT148" s="83"/>
      <c r="AU148" s="84"/>
      <c r="AV148" s="59"/>
      <c r="AW148" s="61"/>
      <c r="AX148" s="83"/>
      <c r="AY148" s="84"/>
      <c r="AZ148" s="59"/>
      <c r="BA148" s="61"/>
      <c r="BB148" s="83"/>
      <c r="BC148" s="84"/>
      <c r="BD148" s="59"/>
      <c r="BE148" s="61"/>
      <c r="BF148" s="83"/>
      <c r="BG148" s="136"/>
      <c r="BH148" s="65"/>
      <c r="BJ148" s="101">
        <f t="shared" si="20"/>
        <v>0</v>
      </c>
      <c r="BK148" s="101">
        <f t="shared" si="21"/>
        <v>0</v>
      </c>
      <c r="BL148" s="101">
        <f t="shared" si="22"/>
        <v>0</v>
      </c>
      <c r="BM148" s="101">
        <f t="shared" si="23"/>
        <v>0</v>
      </c>
    </row>
    <row r="149" spans="1:65" ht="15.75" x14ac:dyDescent="0.25">
      <c r="A149" s="29" t="s">
        <v>163</v>
      </c>
      <c r="B149" s="23"/>
      <c r="C149" s="67"/>
      <c r="D149" s="113">
        <f>SUM(D116:D147)</f>
        <v>283</v>
      </c>
      <c r="E149" s="117">
        <f t="shared" ref="E149:BG149" si="27">SUM(E116:E147)</f>
        <v>308</v>
      </c>
      <c r="F149" s="117">
        <f t="shared" si="27"/>
        <v>15810</v>
      </c>
      <c r="G149" s="118">
        <f t="shared" si="27"/>
        <v>17054</v>
      </c>
      <c r="H149" s="113">
        <f t="shared" si="27"/>
        <v>233</v>
      </c>
      <c r="I149" s="117">
        <f t="shared" si="27"/>
        <v>242</v>
      </c>
      <c r="J149" s="46">
        <f t="shared" si="27"/>
        <v>8698</v>
      </c>
      <c r="K149" s="118">
        <f t="shared" si="27"/>
        <v>9149</v>
      </c>
      <c r="L149" s="113">
        <f t="shared" si="27"/>
        <v>311</v>
      </c>
      <c r="M149" s="117">
        <f t="shared" si="27"/>
        <v>299</v>
      </c>
      <c r="N149" s="117">
        <f t="shared" si="27"/>
        <v>16363</v>
      </c>
      <c r="O149" s="118">
        <f t="shared" si="27"/>
        <v>17700</v>
      </c>
      <c r="P149" s="113">
        <f t="shared" si="27"/>
        <v>297</v>
      </c>
      <c r="Q149" s="117">
        <f t="shared" si="27"/>
        <v>287</v>
      </c>
      <c r="R149" s="46">
        <f t="shared" si="27"/>
        <v>17232</v>
      </c>
      <c r="S149" s="118">
        <f t="shared" si="27"/>
        <v>18705</v>
      </c>
      <c r="T149" s="113">
        <f t="shared" si="27"/>
        <v>268</v>
      </c>
      <c r="U149" s="117">
        <f t="shared" si="27"/>
        <v>282</v>
      </c>
      <c r="V149" s="117">
        <f t="shared" si="27"/>
        <v>16849</v>
      </c>
      <c r="W149" s="118">
        <f t="shared" si="27"/>
        <v>17489</v>
      </c>
      <c r="X149" s="113">
        <f t="shared" si="27"/>
        <v>1183</v>
      </c>
      <c r="Y149" s="117">
        <f t="shared" si="27"/>
        <v>1252</v>
      </c>
      <c r="Z149" s="117">
        <f t="shared" si="27"/>
        <v>65722</v>
      </c>
      <c r="AA149" s="118">
        <f t="shared" si="27"/>
        <v>63959</v>
      </c>
      <c r="AB149" s="113">
        <f t="shared" si="27"/>
        <v>1074</v>
      </c>
      <c r="AC149" s="117">
        <f t="shared" si="27"/>
        <v>1010</v>
      </c>
      <c r="AD149" s="46">
        <f t="shared" si="27"/>
        <v>62167</v>
      </c>
      <c r="AE149" s="88">
        <f t="shared" si="27"/>
        <v>58602</v>
      </c>
      <c r="AF149" s="113">
        <f t="shared" si="27"/>
        <v>990</v>
      </c>
      <c r="AG149" s="117">
        <f t="shared" si="27"/>
        <v>883</v>
      </c>
      <c r="AH149" s="117">
        <f t="shared" si="27"/>
        <v>41313</v>
      </c>
      <c r="AI149" s="118">
        <f t="shared" si="27"/>
        <v>47306</v>
      </c>
      <c r="AJ149" s="113">
        <f t="shared" si="27"/>
        <v>1048</v>
      </c>
      <c r="AK149" s="117">
        <f t="shared" si="27"/>
        <v>918</v>
      </c>
      <c r="AL149" s="117">
        <f t="shared" si="27"/>
        <v>28491</v>
      </c>
      <c r="AM149" s="118">
        <f t="shared" si="27"/>
        <v>43675</v>
      </c>
      <c r="AN149" s="113">
        <f t="shared" si="27"/>
        <v>1914</v>
      </c>
      <c r="AO149" s="117">
        <f t="shared" si="27"/>
        <v>1396</v>
      </c>
      <c r="AP149" s="117">
        <f t="shared" si="27"/>
        <v>47409</v>
      </c>
      <c r="AQ149" s="118">
        <f t="shared" si="27"/>
        <v>80693</v>
      </c>
      <c r="AR149" s="87">
        <f t="shared" si="27"/>
        <v>1836</v>
      </c>
      <c r="AS149" s="117">
        <f t="shared" si="27"/>
        <v>1325</v>
      </c>
      <c r="AT149" s="46">
        <f t="shared" si="27"/>
        <v>49592</v>
      </c>
      <c r="AU149" s="118">
        <f t="shared" si="27"/>
        <v>59623</v>
      </c>
      <c r="AV149" s="113">
        <f t="shared" si="27"/>
        <v>1090</v>
      </c>
      <c r="AW149" s="117">
        <f t="shared" si="27"/>
        <v>667</v>
      </c>
      <c r="AX149" s="117">
        <f t="shared" si="27"/>
        <v>30545</v>
      </c>
      <c r="AY149" s="118">
        <f t="shared" si="27"/>
        <v>37773</v>
      </c>
      <c r="AZ149" s="113">
        <f t="shared" si="27"/>
        <v>152</v>
      </c>
      <c r="BA149" s="117">
        <f t="shared" si="27"/>
        <v>111</v>
      </c>
      <c r="BB149" s="117">
        <f t="shared" si="27"/>
        <v>7768</v>
      </c>
      <c r="BC149" s="118">
        <f t="shared" si="27"/>
        <v>9574</v>
      </c>
      <c r="BD149" s="113">
        <f t="shared" si="27"/>
        <v>1</v>
      </c>
      <c r="BE149" s="117">
        <f t="shared" si="27"/>
        <v>0</v>
      </c>
      <c r="BF149" s="117">
        <f t="shared" si="27"/>
        <v>73</v>
      </c>
      <c r="BG149" s="138">
        <f t="shared" si="27"/>
        <v>12</v>
      </c>
      <c r="BH149" s="147"/>
      <c r="BJ149" s="101">
        <f t="shared" si="20"/>
        <v>7030</v>
      </c>
      <c r="BK149" s="101">
        <f t="shared" si="21"/>
        <v>5300</v>
      </c>
      <c r="BL149" s="101">
        <f t="shared" si="22"/>
        <v>205118</v>
      </c>
      <c r="BM149" s="101">
        <f t="shared" si="23"/>
        <v>278644</v>
      </c>
    </row>
    <row r="150" spans="1:65" ht="15.75" thickBot="1" x14ac:dyDescent="0.3">
      <c r="A150" s="107"/>
      <c r="B150" s="108"/>
      <c r="C150" s="109"/>
      <c r="D150" s="95"/>
      <c r="E150" s="96"/>
      <c r="F150" s="97"/>
      <c r="G150" s="96"/>
      <c r="H150" s="95"/>
      <c r="I150" s="96"/>
      <c r="J150" s="97"/>
      <c r="K150" s="96"/>
      <c r="L150" s="95"/>
      <c r="M150" s="96"/>
      <c r="N150" s="97"/>
      <c r="O150" s="96"/>
      <c r="P150" s="95"/>
      <c r="Q150" s="96"/>
      <c r="R150" s="97"/>
      <c r="S150" s="96"/>
      <c r="T150" s="95"/>
      <c r="U150" s="96"/>
      <c r="V150" s="97"/>
      <c r="W150" s="96"/>
      <c r="X150" s="95"/>
      <c r="Y150" s="96"/>
      <c r="Z150" s="97"/>
      <c r="AA150" s="96"/>
      <c r="AB150" s="95"/>
      <c r="AC150" s="96"/>
      <c r="AD150" s="97"/>
      <c r="AE150" s="98"/>
      <c r="AF150" s="95"/>
      <c r="AG150" s="96"/>
      <c r="AH150" s="97"/>
      <c r="AI150" s="98"/>
      <c r="AJ150" s="95"/>
      <c r="AK150" s="96"/>
      <c r="AL150" s="97"/>
      <c r="AM150" s="98"/>
      <c r="AN150" s="95"/>
      <c r="AO150" s="96"/>
      <c r="AP150" s="97"/>
      <c r="AQ150" s="98"/>
      <c r="AR150" s="95"/>
      <c r="AS150" s="96"/>
      <c r="AT150" s="97"/>
      <c r="AU150" s="98"/>
      <c r="AV150" s="95"/>
      <c r="AW150" s="96"/>
      <c r="AX150" s="97"/>
      <c r="AY150" s="98"/>
      <c r="AZ150" s="95"/>
      <c r="BA150" s="96"/>
      <c r="BB150" s="97"/>
      <c r="BC150" s="98"/>
      <c r="BD150" s="95"/>
      <c r="BE150" s="96"/>
      <c r="BF150" s="97"/>
      <c r="BG150" s="137"/>
      <c r="BH150" s="65"/>
      <c r="BJ150" s="101">
        <f t="shared" si="20"/>
        <v>0</v>
      </c>
      <c r="BK150" s="101">
        <f t="shared" si="21"/>
        <v>0</v>
      </c>
      <c r="BL150" s="101">
        <f t="shared" si="22"/>
        <v>0</v>
      </c>
      <c r="BM150" s="101">
        <f t="shared" si="23"/>
        <v>0</v>
      </c>
    </row>
    <row r="151" spans="1:65" ht="15.75" thickTop="1" x14ac:dyDescent="0.25">
      <c r="A151" s="29"/>
      <c r="B151" s="23"/>
      <c r="C151" s="24"/>
      <c r="D151" s="64"/>
      <c r="E151" s="46"/>
      <c r="F151" s="65"/>
      <c r="G151" s="46"/>
      <c r="H151" s="64"/>
      <c r="I151" s="46"/>
      <c r="J151" s="65"/>
      <c r="K151" s="46"/>
      <c r="L151" s="64"/>
      <c r="M151" s="46"/>
      <c r="N151" s="65"/>
      <c r="O151" s="46"/>
      <c r="P151" s="64"/>
      <c r="Q151" s="46"/>
      <c r="R151" s="65"/>
      <c r="S151" s="46"/>
      <c r="T151" s="64"/>
      <c r="U151" s="46"/>
      <c r="V151" s="65"/>
      <c r="W151" s="46"/>
      <c r="X151" s="64"/>
      <c r="Y151" s="46"/>
      <c r="Z151" s="65"/>
      <c r="AA151" s="46"/>
      <c r="AB151" s="64"/>
      <c r="AC151" s="46"/>
      <c r="AD151" s="65"/>
      <c r="AE151" s="66"/>
      <c r="AF151" s="64"/>
      <c r="AG151" s="46"/>
      <c r="AH151" s="65"/>
      <c r="AI151" s="66"/>
      <c r="AJ151" s="64"/>
      <c r="AK151" s="46"/>
      <c r="AL151" s="65"/>
      <c r="AM151" s="66"/>
      <c r="AN151" s="64"/>
      <c r="AO151" s="46"/>
      <c r="AP151" s="65"/>
      <c r="AQ151" s="66"/>
      <c r="AR151" s="64"/>
      <c r="AS151" s="46"/>
      <c r="AT151" s="65"/>
      <c r="AU151" s="66"/>
      <c r="AV151" s="64"/>
      <c r="AW151" s="46"/>
      <c r="AX151" s="65"/>
      <c r="AY151" s="66"/>
      <c r="AZ151" s="64"/>
      <c r="BA151" s="46"/>
      <c r="BB151" s="65"/>
      <c r="BC151" s="66"/>
      <c r="BD151" s="64"/>
      <c r="BE151" s="46"/>
      <c r="BF151" s="65"/>
      <c r="BG151" s="133"/>
      <c r="BH151" s="65"/>
      <c r="BJ151" s="101">
        <f t="shared" si="20"/>
        <v>0</v>
      </c>
      <c r="BK151" s="101">
        <f t="shared" si="21"/>
        <v>0</v>
      </c>
      <c r="BL151" s="101">
        <f t="shared" si="22"/>
        <v>0</v>
      </c>
      <c r="BM151" s="101">
        <f t="shared" si="23"/>
        <v>0</v>
      </c>
    </row>
    <row r="152" spans="1:65" x14ac:dyDescent="0.25">
      <c r="A152" s="79">
        <v>117</v>
      </c>
      <c r="B152" s="50" t="s">
        <v>164</v>
      </c>
      <c r="C152" s="24"/>
      <c r="D152" s="64">
        <v>1</v>
      </c>
      <c r="E152" s="46"/>
      <c r="F152" s="65">
        <v>13</v>
      </c>
      <c r="G152" s="46">
        <v>11</v>
      </c>
      <c r="H152" s="64"/>
      <c r="I152" s="46">
        <v>1</v>
      </c>
      <c r="J152" s="65">
        <v>5</v>
      </c>
      <c r="K152" s="46">
        <v>10</v>
      </c>
      <c r="L152" s="64">
        <v>1</v>
      </c>
      <c r="M152" s="46">
        <v>1</v>
      </c>
      <c r="N152" s="65">
        <v>9</v>
      </c>
      <c r="O152" s="46">
        <v>8</v>
      </c>
      <c r="P152" s="64"/>
      <c r="Q152" s="46"/>
      <c r="R152" s="65">
        <v>25</v>
      </c>
      <c r="S152" s="46">
        <v>9</v>
      </c>
      <c r="T152" s="64">
        <v>2</v>
      </c>
      <c r="U152" s="46">
        <v>1</v>
      </c>
      <c r="V152" s="65">
        <v>13</v>
      </c>
      <c r="W152" s="46">
        <v>1</v>
      </c>
      <c r="X152" s="64">
        <v>4</v>
      </c>
      <c r="Y152" s="46">
        <v>2</v>
      </c>
      <c r="Z152" s="65">
        <v>34</v>
      </c>
      <c r="AA152" s="46">
        <v>28</v>
      </c>
      <c r="AB152" s="64"/>
      <c r="AC152" s="46">
        <v>1</v>
      </c>
      <c r="AD152" s="65">
        <v>21</v>
      </c>
      <c r="AE152" s="66">
        <v>18</v>
      </c>
      <c r="AF152" s="64"/>
      <c r="AG152" s="46"/>
      <c r="AH152" s="65">
        <v>20</v>
      </c>
      <c r="AI152" s="66">
        <v>41</v>
      </c>
      <c r="AJ152" s="64">
        <v>1</v>
      </c>
      <c r="AK152" s="46">
        <v>1</v>
      </c>
      <c r="AL152" s="65">
        <v>20</v>
      </c>
      <c r="AM152" s="66">
        <v>26</v>
      </c>
      <c r="AN152" s="64">
        <v>4</v>
      </c>
      <c r="AO152" s="46"/>
      <c r="AP152" s="65">
        <v>35</v>
      </c>
      <c r="AQ152" s="66">
        <v>48</v>
      </c>
      <c r="AR152" s="64">
        <v>7</v>
      </c>
      <c r="AS152" s="46">
        <v>4</v>
      </c>
      <c r="AT152" s="65">
        <v>48</v>
      </c>
      <c r="AU152" s="66">
        <v>66</v>
      </c>
      <c r="AV152" s="64">
        <v>1</v>
      </c>
      <c r="AW152" s="46"/>
      <c r="AX152" s="65">
        <v>34</v>
      </c>
      <c r="AY152" s="66">
        <v>51</v>
      </c>
      <c r="AZ152" s="64"/>
      <c r="BA152" s="46"/>
      <c r="BB152" s="65">
        <v>9</v>
      </c>
      <c r="BC152" s="66">
        <v>2</v>
      </c>
      <c r="BD152" s="64"/>
      <c r="BE152" s="46"/>
      <c r="BF152" s="65"/>
      <c r="BG152" s="133"/>
      <c r="BH152" s="65"/>
      <c r="BI152" s="49" t="s">
        <v>164</v>
      </c>
      <c r="BJ152" s="101">
        <f t="shared" si="20"/>
        <v>13</v>
      </c>
      <c r="BK152" s="101">
        <f t="shared" si="21"/>
        <v>5</v>
      </c>
      <c r="BL152" s="101">
        <f t="shared" si="22"/>
        <v>166</v>
      </c>
      <c r="BM152" s="101">
        <f t="shared" si="23"/>
        <v>234</v>
      </c>
    </row>
    <row r="153" spans="1:65" x14ac:dyDescent="0.25">
      <c r="A153" s="79">
        <v>118</v>
      </c>
      <c r="B153" s="50" t="s">
        <v>165</v>
      </c>
      <c r="C153" s="24"/>
      <c r="D153" s="64">
        <v>14</v>
      </c>
      <c r="E153" s="46">
        <v>17</v>
      </c>
      <c r="F153" s="65">
        <v>4</v>
      </c>
      <c r="G153" s="46">
        <v>5</v>
      </c>
      <c r="H153" s="64">
        <v>13</v>
      </c>
      <c r="I153" s="46">
        <v>8</v>
      </c>
      <c r="J153" s="65">
        <v>1</v>
      </c>
      <c r="K153" s="46">
        <v>4</v>
      </c>
      <c r="L153" s="64">
        <v>16</v>
      </c>
      <c r="M153" s="46">
        <v>10</v>
      </c>
      <c r="N153" s="65">
        <v>4</v>
      </c>
      <c r="O153" s="46">
        <v>4</v>
      </c>
      <c r="P153" s="64">
        <v>13</v>
      </c>
      <c r="Q153" s="46">
        <v>15</v>
      </c>
      <c r="R153" s="65">
        <v>2</v>
      </c>
      <c r="S153" s="46">
        <v>2</v>
      </c>
      <c r="T153" s="64">
        <v>12</v>
      </c>
      <c r="U153" s="46">
        <v>9</v>
      </c>
      <c r="V153" s="65"/>
      <c r="W153" s="46">
        <v>1</v>
      </c>
      <c r="X153" s="64">
        <v>32</v>
      </c>
      <c r="Y153" s="46">
        <v>43</v>
      </c>
      <c r="Z153" s="65">
        <v>7</v>
      </c>
      <c r="AA153" s="46">
        <v>7</v>
      </c>
      <c r="AB153" s="64">
        <v>15</v>
      </c>
      <c r="AC153" s="46">
        <v>17</v>
      </c>
      <c r="AD153" s="65">
        <v>16</v>
      </c>
      <c r="AE153" s="66">
        <v>4</v>
      </c>
      <c r="AF153" s="64">
        <v>52</v>
      </c>
      <c r="AG153" s="46">
        <v>17</v>
      </c>
      <c r="AH153" s="65">
        <v>84</v>
      </c>
      <c r="AI153" s="66">
        <v>15</v>
      </c>
      <c r="AJ153" s="64">
        <v>141</v>
      </c>
      <c r="AK153" s="46">
        <v>70</v>
      </c>
      <c r="AL153" s="65">
        <v>114</v>
      </c>
      <c r="AM153" s="66">
        <v>39</v>
      </c>
      <c r="AN153" s="64">
        <v>436</v>
      </c>
      <c r="AO153" s="46">
        <v>93</v>
      </c>
      <c r="AP153" s="65">
        <v>255</v>
      </c>
      <c r="AQ153" s="66">
        <v>39</v>
      </c>
      <c r="AR153" s="64">
        <v>380</v>
      </c>
      <c r="AS153" s="46">
        <v>66</v>
      </c>
      <c r="AT153" s="65">
        <v>145</v>
      </c>
      <c r="AU153" s="66">
        <v>22</v>
      </c>
      <c r="AV153" s="64">
        <v>87</v>
      </c>
      <c r="AW153" s="46">
        <v>24</v>
      </c>
      <c r="AX153" s="65">
        <v>41</v>
      </c>
      <c r="AY153" s="66">
        <v>12</v>
      </c>
      <c r="AZ153" s="64">
        <v>3</v>
      </c>
      <c r="BA153" s="46">
        <v>3</v>
      </c>
      <c r="BB153" s="65">
        <v>5</v>
      </c>
      <c r="BC153" s="66">
        <v>1</v>
      </c>
      <c r="BD153" s="64"/>
      <c r="BE153" s="46"/>
      <c r="BF153" s="65"/>
      <c r="BG153" s="133"/>
      <c r="BH153" s="65"/>
      <c r="BI153" s="49" t="s">
        <v>165</v>
      </c>
      <c r="BJ153" s="101">
        <f t="shared" si="20"/>
        <v>1099</v>
      </c>
      <c r="BK153" s="101">
        <f t="shared" si="21"/>
        <v>273</v>
      </c>
      <c r="BL153" s="101">
        <f t="shared" si="22"/>
        <v>644</v>
      </c>
      <c r="BM153" s="101">
        <f t="shared" si="23"/>
        <v>128</v>
      </c>
    </row>
    <row r="154" spans="1:65" ht="15.75" thickBot="1" x14ac:dyDescent="0.3">
      <c r="A154" s="119"/>
      <c r="B154" s="120"/>
      <c r="C154" s="24"/>
      <c r="D154" s="64"/>
      <c r="E154" s="46"/>
      <c r="F154" s="65"/>
      <c r="G154" s="46"/>
      <c r="H154" s="64"/>
      <c r="I154" s="46"/>
      <c r="J154" s="65"/>
      <c r="K154" s="46"/>
      <c r="L154" s="64"/>
      <c r="M154" s="46"/>
      <c r="N154" s="65"/>
      <c r="O154" s="46"/>
      <c r="P154" s="64"/>
      <c r="Q154" s="46"/>
      <c r="R154" s="65"/>
      <c r="S154" s="46"/>
      <c r="T154" s="64"/>
      <c r="U154" s="46"/>
      <c r="V154" s="65"/>
      <c r="W154" s="46"/>
      <c r="X154" s="64"/>
      <c r="Y154" s="46"/>
      <c r="Z154" s="65"/>
      <c r="AA154" s="46"/>
      <c r="AB154" s="64"/>
      <c r="AC154" s="46"/>
      <c r="AD154" s="65"/>
      <c r="AE154" s="66"/>
      <c r="AF154" s="64"/>
      <c r="AG154" s="46"/>
      <c r="AH154" s="65"/>
      <c r="AI154" s="66"/>
      <c r="AJ154" s="64"/>
      <c r="AK154" s="46"/>
      <c r="AL154" s="65"/>
      <c r="AM154" s="66"/>
      <c r="AN154" s="64"/>
      <c r="AO154" s="46"/>
      <c r="AP154" s="65"/>
      <c r="AQ154" s="66"/>
      <c r="AR154" s="64"/>
      <c r="AS154" s="46"/>
      <c r="AT154" s="65"/>
      <c r="AU154" s="66"/>
      <c r="AV154" s="64"/>
      <c r="AW154" s="46"/>
      <c r="AX154" s="65"/>
      <c r="AY154" s="66"/>
      <c r="AZ154" s="64"/>
      <c r="BA154" s="46"/>
      <c r="BB154" s="65"/>
      <c r="BC154" s="66"/>
      <c r="BD154" s="64"/>
      <c r="BE154" s="46"/>
      <c r="BF154" s="65"/>
      <c r="BG154" s="133"/>
      <c r="BH154" s="65"/>
      <c r="BI154" s="49"/>
      <c r="BJ154" s="101">
        <f t="shared" si="20"/>
        <v>0</v>
      </c>
      <c r="BK154" s="101">
        <f t="shared" si="21"/>
        <v>0</v>
      </c>
      <c r="BL154" s="101">
        <f t="shared" si="22"/>
        <v>0</v>
      </c>
      <c r="BM154" s="101">
        <f t="shared" si="23"/>
        <v>0</v>
      </c>
    </row>
    <row r="155" spans="1:65" ht="15.75" thickTop="1" x14ac:dyDescent="0.25">
      <c r="A155" s="79"/>
      <c r="B155" s="50"/>
      <c r="C155" s="121"/>
      <c r="D155" s="122"/>
      <c r="E155" s="123"/>
      <c r="F155" s="124"/>
      <c r="G155" s="123"/>
      <c r="H155" s="122"/>
      <c r="I155" s="123"/>
      <c r="J155" s="124"/>
      <c r="K155" s="123"/>
      <c r="L155" s="122"/>
      <c r="M155" s="123"/>
      <c r="N155" s="124"/>
      <c r="O155" s="123"/>
      <c r="P155" s="122"/>
      <c r="Q155" s="123"/>
      <c r="R155" s="124"/>
      <c r="S155" s="123"/>
      <c r="T155" s="122"/>
      <c r="U155" s="123"/>
      <c r="V155" s="124"/>
      <c r="W155" s="123"/>
      <c r="X155" s="122"/>
      <c r="Y155" s="123"/>
      <c r="Z155" s="124"/>
      <c r="AA155" s="123"/>
      <c r="AB155" s="122"/>
      <c r="AC155" s="123"/>
      <c r="AD155" s="124"/>
      <c r="AE155" s="125"/>
      <c r="AF155" s="122"/>
      <c r="AG155" s="123"/>
      <c r="AH155" s="124"/>
      <c r="AI155" s="125"/>
      <c r="AJ155" s="122"/>
      <c r="AK155" s="123"/>
      <c r="AL155" s="124"/>
      <c r="AM155" s="125"/>
      <c r="AN155" s="122"/>
      <c r="AO155" s="123"/>
      <c r="AP155" s="124"/>
      <c r="AQ155" s="125"/>
      <c r="AR155" s="122"/>
      <c r="AS155" s="123"/>
      <c r="AT155" s="124"/>
      <c r="AU155" s="125"/>
      <c r="AV155" s="122"/>
      <c r="AW155" s="123"/>
      <c r="AX155" s="124"/>
      <c r="AY155" s="125"/>
      <c r="AZ155" s="122"/>
      <c r="BA155" s="123"/>
      <c r="BB155" s="124"/>
      <c r="BC155" s="125"/>
      <c r="BD155" s="122"/>
      <c r="BE155" s="123"/>
      <c r="BF155" s="124"/>
      <c r="BG155" s="139"/>
      <c r="BH155" s="65"/>
      <c r="BI155" s="49"/>
      <c r="BJ155" s="101">
        <f t="shared" si="20"/>
        <v>0</v>
      </c>
      <c r="BK155" s="101">
        <f t="shared" si="21"/>
        <v>0</v>
      </c>
      <c r="BL155" s="101">
        <f t="shared" si="22"/>
        <v>0</v>
      </c>
      <c r="BM155" s="101">
        <f t="shared" si="23"/>
        <v>0</v>
      </c>
    </row>
    <row r="156" spans="1:65" ht="15.75" x14ac:dyDescent="0.25">
      <c r="A156" s="79" t="s">
        <v>117</v>
      </c>
      <c r="B156" s="50"/>
      <c r="C156" s="67"/>
      <c r="D156" s="87">
        <f>D153+D152+D149+D112+D102</f>
        <v>8649</v>
      </c>
      <c r="E156" s="46">
        <f t="shared" ref="E156:BF156" si="28">E153+E152+E149+E112+E102</f>
        <v>8081</v>
      </c>
      <c r="F156" s="46">
        <f t="shared" si="28"/>
        <v>35907</v>
      </c>
      <c r="G156" s="88">
        <f t="shared" si="28"/>
        <v>38001</v>
      </c>
      <c r="H156" s="87">
        <f t="shared" si="28"/>
        <v>7080</v>
      </c>
      <c r="I156" s="46">
        <f t="shared" si="28"/>
        <v>6789</v>
      </c>
      <c r="J156" s="46">
        <f t="shared" si="28"/>
        <v>21527</v>
      </c>
      <c r="K156" s="88">
        <f t="shared" si="28"/>
        <v>22241</v>
      </c>
      <c r="L156" s="87">
        <f t="shared" si="28"/>
        <v>8317</v>
      </c>
      <c r="M156" s="46">
        <f t="shared" si="28"/>
        <v>8027</v>
      </c>
      <c r="N156" s="46">
        <f t="shared" si="28"/>
        <v>34185</v>
      </c>
      <c r="O156" s="88">
        <f t="shared" si="28"/>
        <v>35828</v>
      </c>
      <c r="P156" s="87">
        <f t="shared" si="28"/>
        <v>8568</v>
      </c>
      <c r="Q156" s="46">
        <f t="shared" si="28"/>
        <v>8345</v>
      </c>
      <c r="R156" s="46">
        <f t="shared" si="28"/>
        <v>35670</v>
      </c>
      <c r="S156" s="88">
        <f t="shared" si="28"/>
        <v>37572</v>
      </c>
      <c r="T156" s="87">
        <f t="shared" si="28"/>
        <v>8391</v>
      </c>
      <c r="U156" s="46">
        <f t="shared" si="28"/>
        <v>8292</v>
      </c>
      <c r="V156" s="46">
        <f t="shared" si="28"/>
        <v>34797</v>
      </c>
      <c r="W156" s="88">
        <f t="shared" si="28"/>
        <v>35964</v>
      </c>
      <c r="X156" s="87">
        <f t="shared" si="28"/>
        <v>37420</v>
      </c>
      <c r="Y156" s="46">
        <f t="shared" si="28"/>
        <v>36680</v>
      </c>
      <c r="Z156" s="46">
        <f t="shared" si="28"/>
        <v>140469</v>
      </c>
      <c r="AA156" s="88">
        <f t="shared" si="28"/>
        <v>137780</v>
      </c>
      <c r="AB156" s="87">
        <f t="shared" si="28"/>
        <v>32691</v>
      </c>
      <c r="AC156" s="46">
        <f t="shared" si="28"/>
        <v>32132</v>
      </c>
      <c r="AD156" s="46">
        <f t="shared" si="28"/>
        <v>129555</v>
      </c>
      <c r="AE156" s="88">
        <f t="shared" si="28"/>
        <v>123113</v>
      </c>
      <c r="AF156" s="87">
        <f t="shared" si="28"/>
        <v>30728</v>
      </c>
      <c r="AG156" s="46">
        <f t="shared" si="28"/>
        <v>30281</v>
      </c>
      <c r="AH156" s="46">
        <f t="shared" si="28"/>
        <v>95475</v>
      </c>
      <c r="AI156" s="88">
        <f t="shared" si="28"/>
        <v>105931</v>
      </c>
      <c r="AJ156" s="87">
        <f t="shared" si="28"/>
        <v>26959</v>
      </c>
      <c r="AK156" s="46">
        <f t="shared" si="28"/>
        <v>27145</v>
      </c>
      <c r="AL156" s="46">
        <f t="shared" si="28"/>
        <v>71465</v>
      </c>
      <c r="AM156" s="88">
        <f t="shared" si="28"/>
        <v>93326</v>
      </c>
      <c r="AN156" s="87">
        <f t="shared" si="28"/>
        <v>47833</v>
      </c>
      <c r="AO156" s="46">
        <f t="shared" si="28"/>
        <v>42410</v>
      </c>
      <c r="AP156" s="46">
        <f t="shared" si="28"/>
        <v>126195</v>
      </c>
      <c r="AQ156" s="88">
        <f t="shared" si="28"/>
        <v>164605</v>
      </c>
      <c r="AR156" s="87">
        <f t="shared" si="28"/>
        <v>50177</v>
      </c>
      <c r="AS156" s="46">
        <f t="shared" si="28"/>
        <v>42555</v>
      </c>
      <c r="AT156" s="46">
        <f t="shared" si="28"/>
        <v>131087</v>
      </c>
      <c r="AU156" s="88">
        <f t="shared" si="28"/>
        <v>130974</v>
      </c>
      <c r="AV156" s="87">
        <f t="shared" si="28"/>
        <v>29429</v>
      </c>
      <c r="AW156" s="46">
        <f t="shared" si="28"/>
        <v>25383</v>
      </c>
      <c r="AX156" s="46">
        <f t="shared" si="28"/>
        <v>78015</v>
      </c>
      <c r="AY156" s="88">
        <f t="shared" si="28"/>
        <v>80707</v>
      </c>
      <c r="AZ156" s="87">
        <f t="shared" si="28"/>
        <v>4993</v>
      </c>
      <c r="BA156" s="46">
        <f t="shared" si="28"/>
        <v>4977</v>
      </c>
      <c r="BB156" s="46">
        <f t="shared" si="28"/>
        <v>19960</v>
      </c>
      <c r="BC156" s="88">
        <f t="shared" si="28"/>
        <v>21832</v>
      </c>
      <c r="BD156" s="87">
        <f t="shared" si="28"/>
        <v>33</v>
      </c>
      <c r="BE156" s="46">
        <f t="shared" si="28"/>
        <v>12</v>
      </c>
      <c r="BF156" s="46">
        <f t="shared" si="28"/>
        <v>396</v>
      </c>
      <c r="BG156" s="133">
        <f>BG153+BG152+BG149+BG112+BG102</f>
        <v>311</v>
      </c>
      <c r="BH156" s="65"/>
      <c r="BI156" s="49"/>
      <c r="BJ156" s="101">
        <f t="shared" si="20"/>
        <v>190119</v>
      </c>
      <c r="BK156" s="101">
        <f t="shared" si="21"/>
        <v>172751</v>
      </c>
      <c r="BL156" s="101">
        <f t="shared" si="22"/>
        <v>522197</v>
      </c>
      <c r="BM156" s="101">
        <f t="shared" si="23"/>
        <v>597375</v>
      </c>
    </row>
    <row r="157" spans="1:65" ht="15.75" thickBot="1" x14ac:dyDescent="0.3">
      <c r="A157" s="107" t="s">
        <v>166</v>
      </c>
      <c r="B157" s="120"/>
      <c r="C157" s="109"/>
      <c r="D157" s="95"/>
      <c r="E157" s="96"/>
      <c r="F157" s="97"/>
      <c r="G157" s="96"/>
      <c r="H157" s="95"/>
      <c r="I157" s="96"/>
      <c r="J157" s="97"/>
      <c r="K157" s="96"/>
      <c r="L157" s="95"/>
      <c r="M157" s="96"/>
      <c r="N157" s="97"/>
      <c r="O157" s="96"/>
      <c r="P157" s="95"/>
      <c r="Q157" s="96"/>
      <c r="R157" s="97"/>
      <c r="S157" s="96"/>
      <c r="T157" s="95"/>
      <c r="U157" s="96"/>
      <c r="V157" s="97"/>
      <c r="W157" s="96"/>
      <c r="X157" s="95"/>
      <c r="Y157" s="96"/>
      <c r="Z157" s="97"/>
      <c r="AA157" s="96"/>
      <c r="AB157" s="95"/>
      <c r="AC157" s="96"/>
      <c r="AD157" s="97"/>
      <c r="AE157" s="98"/>
      <c r="AF157" s="95"/>
      <c r="AG157" s="96"/>
      <c r="AH157" s="97"/>
      <c r="AI157" s="98"/>
      <c r="AJ157" s="95"/>
      <c r="AK157" s="96"/>
      <c r="AL157" s="97"/>
      <c r="AM157" s="98"/>
      <c r="AN157" s="95"/>
      <c r="AO157" s="96"/>
      <c r="AP157" s="97"/>
      <c r="AQ157" s="98"/>
      <c r="AR157" s="95"/>
      <c r="AS157" s="96"/>
      <c r="AT157" s="97"/>
      <c r="AU157" s="98"/>
      <c r="AV157" s="95"/>
      <c r="AW157" s="96"/>
      <c r="AX157" s="97"/>
      <c r="AY157" s="98"/>
      <c r="AZ157" s="95"/>
      <c r="BA157" s="96"/>
      <c r="BB157" s="97"/>
      <c r="BC157" s="98"/>
      <c r="BD157" s="95"/>
      <c r="BE157" s="96"/>
      <c r="BF157" s="97"/>
      <c r="BG157" s="137"/>
      <c r="BH157" s="65"/>
    </row>
    <row r="158" spans="1:65" ht="15.75" thickTop="1" x14ac:dyDescent="0.25"/>
  </sheetData>
  <mergeCells count="43">
    <mergeCell ref="BF6:BG6"/>
    <mergeCell ref="AJ6:AK6"/>
    <mergeCell ref="AL6:AM6"/>
    <mergeCell ref="AN6:AO6"/>
    <mergeCell ref="AP6:AQ6"/>
    <mergeCell ref="AR6:AS6"/>
    <mergeCell ref="AT6:AU6"/>
    <mergeCell ref="AV6:AW6"/>
    <mergeCell ref="AX6:AY6"/>
    <mergeCell ref="AZ6:BA6"/>
    <mergeCell ref="BB6:BC6"/>
    <mergeCell ref="BD6:BE6"/>
    <mergeCell ref="AV5:AY5"/>
    <mergeCell ref="AZ5:BC5"/>
    <mergeCell ref="BD5:BG5"/>
    <mergeCell ref="D6:E6"/>
    <mergeCell ref="F6:G6"/>
    <mergeCell ref="H6:I6"/>
    <mergeCell ref="J6:K6"/>
    <mergeCell ref="L6:M6"/>
    <mergeCell ref="N6:O6"/>
    <mergeCell ref="P6:Q6"/>
    <mergeCell ref="X5:AA5"/>
    <mergeCell ref="AB5:AE5"/>
    <mergeCell ref="AF5:AI5"/>
    <mergeCell ref="AJ5:AM5"/>
    <mergeCell ref="AN5:AQ5"/>
    <mergeCell ref="X6:Y6"/>
    <mergeCell ref="AR5:AU5"/>
    <mergeCell ref="C5:C8"/>
    <mergeCell ref="D5:G5"/>
    <mergeCell ref="H5:K5"/>
    <mergeCell ref="L5:O5"/>
    <mergeCell ref="P5:S5"/>
    <mergeCell ref="T5:W5"/>
    <mergeCell ref="R6:S6"/>
    <mergeCell ref="T6:U6"/>
    <mergeCell ref="V6:W6"/>
    <mergeCell ref="AH6:AI6"/>
    <mergeCell ref="Z6:AA6"/>
    <mergeCell ref="AB6:AC6"/>
    <mergeCell ref="AD6:AE6"/>
    <mergeCell ref="AF6:AG6"/>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8"/>
  <sheetViews>
    <sheetView tabSelected="1" workbookViewId="0">
      <pane xSplit="1" ySplit="1" topLeftCell="B89" activePane="bottomRight" state="frozen"/>
      <selection pane="topRight" activeCell="B1" sqref="B1"/>
      <selection pane="bottomLeft" activeCell="A2" sqref="A2"/>
      <selection pane="bottomRight" activeCell="Q93" sqref="Q93"/>
    </sheetView>
  </sheetViews>
  <sheetFormatPr defaultRowHeight="15" x14ac:dyDescent="0.25"/>
  <sheetData>
    <row r="1" spans="1:14" x14ac:dyDescent="0.25">
      <c r="A1" t="s">
        <v>291</v>
      </c>
      <c r="B1" t="s">
        <v>168</v>
      </c>
      <c r="C1" t="s">
        <v>169</v>
      </c>
      <c r="D1" t="s">
        <v>170</v>
      </c>
      <c r="E1" t="s">
        <v>171</v>
      </c>
      <c r="F1" t="s">
        <v>19</v>
      </c>
      <c r="G1" t="s">
        <v>172</v>
      </c>
      <c r="H1" t="s">
        <v>167</v>
      </c>
      <c r="I1" t="s">
        <v>173</v>
      </c>
      <c r="J1" t="s">
        <v>300</v>
      </c>
      <c r="K1" t="s">
        <v>301</v>
      </c>
      <c r="L1" t="s">
        <v>292</v>
      </c>
    </row>
    <row r="2" spans="1:14" x14ac:dyDescent="0.25">
      <c r="A2" t="s">
        <v>174</v>
      </c>
      <c r="B2">
        <v>1453</v>
      </c>
      <c r="C2">
        <v>1357</v>
      </c>
      <c r="D2">
        <v>1436</v>
      </c>
      <c r="E2">
        <v>1256</v>
      </c>
      <c r="F2">
        <f t="shared" ref="F2:F33" si="0">SUM(B2:C2)</f>
        <v>2810</v>
      </c>
      <c r="G2">
        <f t="shared" ref="G2:G33" si="1">SUM(D2:E2)</f>
        <v>2692</v>
      </c>
      <c r="H2">
        <f t="shared" ref="H2:H33" si="2">SUM(B2:E2)</f>
        <v>5502</v>
      </c>
      <c r="I2" s="148">
        <f t="shared" ref="I2:I33" si="3">F2/H2</f>
        <v>0.51072337331879314</v>
      </c>
      <c r="J2" s="148">
        <f>G2/H2</f>
        <v>0.48927662668120686</v>
      </c>
      <c r="K2" s="148">
        <f>G2/$G$118</f>
        <v>2.4070100143061515E-3</v>
      </c>
      <c r="L2">
        <v>1</v>
      </c>
      <c r="M2">
        <f>L2*F2</f>
        <v>2810</v>
      </c>
      <c r="N2">
        <f>L2*G2</f>
        <v>2692</v>
      </c>
    </row>
    <row r="3" spans="1:14" x14ac:dyDescent="0.25">
      <c r="A3" t="s">
        <v>175</v>
      </c>
      <c r="B3">
        <v>757</v>
      </c>
      <c r="C3">
        <v>680</v>
      </c>
      <c r="D3">
        <v>1828</v>
      </c>
      <c r="E3">
        <v>2161</v>
      </c>
      <c r="F3">
        <f t="shared" si="0"/>
        <v>1437</v>
      </c>
      <c r="G3">
        <f t="shared" si="1"/>
        <v>3989</v>
      </c>
      <c r="H3">
        <f t="shared" si="2"/>
        <v>5426</v>
      </c>
      <c r="I3" s="148">
        <f t="shared" si="3"/>
        <v>0.26483597493549577</v>
      </c>
      <c r="J3" s="148">
        <f t="shared" ref="J3:J66" si="4">G3/H3</f>
        <v>0.73516402506450429</v>
      </c>
      <c r="K3" s="148">
        <f t="shared" ref="K3:K66" si="5">G3/$G$118</f>
        <v>3.5667024320457795E-3</v>
      </c>
      <c r="L3">
        <v>1</v>
      </c>
      <c r="M3">
        <f t="shared" ref="M3:M66" si="6">L3*F3</f>
        <v>1437</v>
      </c>
      <c r="N3">
        <f t="shared" ref="N3:N66" si="7">L3*G3</f>
        <v>3989</v>
      </c>
    </row>
    <row r="4" spans="1:14" x14ac:dyDescent="0.25">
      <c r="A4" t="s">
        <v>176</v>
      </c>
      <c r="B4">
        <v>3476</v>
      </c>
      <c r="C4">
        <v>3756</v>
      </c>
      <c r="D4">
        <v>5843</v>
      </c>
      <c r="E4">
        <v>6653</v>
      </c>
      <c r="F4">
        <f t="shared" si="0"/>
        <v>7232</v>
      </c>
      <c r="G4">
        <f t="shared" si="1"/>
        <v>12496</v>
      </c>
      <c r="H4">
        <f t="shared" si="2"/>
        <v>19728</v>
      </c>
      <c r="I4" s="148">
        <f t="shared" si="3"/>
        <v>0.36658556366585565</v>
      </c>
      <c r="J4" s="148">
        <f t="shared" si="4"/>
        <v>0.6334144363341444</v>
      </c>
      <c r="K4" s="148">
        <f t="shared" si="5"/>
        <v>1.1173104434907009E-2</v>
      </c>
      <c r="L4">
        <v>1</v>
      </c>
      <c r="M4">
        <f t="shared" si="6"/>
        <v>7232</v>
      </c>
      <c r="N4">
        <f t="shared" si="7"/>
        <v>12496</v>
      </c>
    </row>
    <row r="5" spans="1:14" x14ac:dyDescent="0.25">
      <c r="A5" t="s">
        <v>177</v>
      </c>
      <c r="B5">
        <v>2094</v>
      </c>
      <c r="C5">
        <v>1905</v>
      </c>
      <c r="D5">
        <v>2557</v>
      </c>
      <c r="E5">
        <v>2217</v>
      </c>
      <c r="F5">
        <f t="shared" si="0"/>
        <v>3999</v>
      </c>
      <c r="G5">
        <f t="shared" si="1"/>
        <v>4774</v>
      </c>
      <c r="H5">
        <f t="shared" si="2"/>
        <v>8773</v>
      </c>
      <c r="I5" s="148">
        <f t="shared" si="3"/>
        <v>0.45583038869257952</v>
      </c>
      <c r="J5" s="148">
        <f t="shared" si="4"/>
        <v>0.54416961130742048</v>
      </c>
      <c r="K5" s="148">
        <f t="shared" si="5"/>
        <v>4.2685979971387698E-3</v>
      </c>
      <c r="L5">
        <v>1</v>
      </c>
      <c r="M5">
        <f t="shared" si="6"/>
        <v>3999</v>
      </c>
      <c r="N5">
        <f t="shared" si="7"/>
        <v>4774</v>
      </c>
    </row>
    <row r="6" spans="1:14" x14ac:dyDescent="0.25">
      <c r="A6" t="s">
        <v>178</v>
      </c>
      <c r="B6">
        <v>905</v>
      </c>
      <c r="C6">
        <v>811</v>
      </c>
      <c r="D6">
        <v>3182</v>
      </c>
      <c r="E6">
        <v>3410</v>
      </c>
      <c r="F6">
        <f t="shared" si="0"/>
        <v>1716</v>
      </c>
      <c r="G6">
        <f t="shared" si="1"/>
        <v>6592</v>
      </c>
      <c r="H6">
        <f t="shared" si="2"/>
        <v>8308</v>
      </c>
      <c r="I6" s="148">
        <f t="shared" si="3"/>
        <v>0.2065479056331247</v>
      </c>
      <c r="J6" s="148">
        <f t="shared" si="4"/>
        <v>0.79345209436687525</v>
      </c>
      <c r="K6" s="148">
        <f t="shared" si="5"/>
        <v>5.8941344778254646E-3</v>
      </c>
      <c r="L6">
        <v>1</v>
      </c>
      <c r="M6">
        <f t="shared" si="6"/>
        <v>1716</v>
      </c>
      <c r="N6">
        <f t="shared" si="7"/>
        <v>6592</v>
      </c>
    </row>
    <row r="7" spans="1:14" x14ac:dyDescent="0.25">
      <c r="A7" t="s">
        <v>179</v>
      </c>
      <c r="B7">
        <v>2078</v>
      </c>
      <c r="C7">
        <v>2049</v>
      </c>
      <c r="D7">
        <v>3571</v>
      </c>
      <c r="E7">
        <v>2614</v>
      </c>
      <c r="F7">
        <f t="shared" si="0"/>
        <v>4127</v>
      </c>
      <c r="G7">
        <f t="shared" si="1"/>
        <v>6185</v>
      </c>
      <c r="H7">
        <f t="shared" si="2"/>
        <v>10312</v>
      </c>
      <c r="I7" s="148">
        <f t="shared" si="3"/>
        <v>0.40021334367726918</v>
      </c>
      <c r="J7" s="148">
        <f t="shared" si="4"/>
        <v>0.59978665632273076</v>
      </c>
      <c r="K7" s="148">
        <f t="shared" si="5"/>
        <v>5.530221745350501E-3</v>
      </c>
      <c r="L7">
        <v>1</v>
      </c>
      <c r="M7">
        <f t="shared" si="6"/>
        <v>4127</v>
      </c>
      <c r="N7">
        <f t="shared" si="7"/>
        <v>6185</v>
      </c>
    </row>
    <row r="8" spans="1:14" x14ac:dyDescent="0.25">
      <c r="A8" t="s">
        <v>180</v>
      </c>
      <c r="B8">
        <v>1382</v>
      </c>
      <c r="C8">
        <v>1190</v>
      </c>
      <c r="D8">
        <v>2071</v>
      </c>
      <c r="E8">
        <v>1259</v>
      </c>
      <c r="F8">
        <f t="shared" si="0"/>
        <v>2572</v>
      </c>
      <c r="G8">
        <f t="shared" si="1"/>
        <v>3330</v>
      </c>
      <c r="H8">
        <f t="shared" si="2"/>
        <v>5902</v>
      </c>
      <c r="I8" s="148">
        <f t="shared" si="3"/>
        <v>0.43578447983734325</v>
      </c>
      <c r="J8" s="148">
        <f t="shared" si="4"/>
        <v>0.56421552016265675</v>
      </c>
      <c r="K8" s="148">
        <f t="shared" si="5"/>
        <v>2.9774678111587983E-3</v>
      </c>
      <c r="L8">
        <v>0</v>
      </c>
      <c r="M8">
        <f t="shared" si="6"/>
        <v>0</v>
      </c>
      <c r="N8">
        <f t="shared" si="7"/>
        <v>0</v>
      </c>
    </row>
    <row r="9" spans="1:14" x14ac:dyDescent="0.25">
      <c r="A9" t="s">
        <v>181</v>
      </c>
      <c r="B9">
        <v>2502</v>
      </c>
      <c r="C9">
        <v>1654</v>
      </c>
      <c r="D9">
        <v>10692</v>
      </c>
      <c r="E9">
        <v>7753</v>
      </c>
      <c r="F9">
        <f t="shared" si="0"/>
        <v>4156</v>
      </c>
      <c r="G9">
        <f t="shared" si="1"/>
        <v>18445</v>
      </c>
      <c r="H9">
        <f t="shared" si="2"/>
        <v>22601</v>
      </c>
      <c r="I9" s="148">
        <f t="shared" si="3"/>
        <v>0.18388566877571788</v>
      </c>
      <c r="J9" s="148">
        <f t="shared" si="4"/>
        <v>0.81611433122428212</v>
      </c>
      <c r="K9" s="148">
        <f t="shared" si="5"/>
        <v>1.6492310443490702E-2</v>
      </c>
      <c r="L9">
        <v>1</v>
      </c>
      <c r="M9">
        <f t="shared" si="6"/>
        <v>4156</v>
      </c>
      <c r="N9">
        <f t="shared" si="7"/>
        <v>18445</v>
      </c>
    </row>
    <row r="10" spans="1:14" x14ac:dyDescent="0.25">
      <c r="A10" t="s">
        <v>182</v>
      </c>
      <c r="B10">
        <v>657</v>
      </c>
      <c r="C10">
        <v>651</v>
      </c>
      <c r="D10">
        <v>2615</v>
      </c>
      <c r="E10">
        <v>3013</v>
      </c>
      <c r="F10">
        <f t="shared" si="0"/>
        <v>1308</v>
      </c>
      <c r="G10">
        <f t="shared" si="1"/>
        <v>5628</v>
      </c>
      <c r="H10">
        <f t="shared" si="2"/>
        <v>6936</v>
      </c>
      <c r="I10" s="148">
        <f t="shared" si="3"/>
        <v>0.18858131487889274</v>
      </c>
      <c r="J10" s="148">
        <f t="shared" si="4"/>
        <v>0.81141868512110726</v>
      </c>
      <c r="K10" s="148">
        <f t="shared" si="5"/>
        <v>5.0321888412017167E-3</v>
      </c>
      <c r="L10">
        <v>1</v>
      </c>
      <c r="M10">
        <f t="shared" si="6"/>
        <v>1308</v>
      </c>
      <c r="N10">
        <f t="shared" si="7"/>
        <v>5628</v>
      </c>
    </row>
    <row r="11" spans="1:14" x14ac:dyDescent="0.25">
      <c r="A11" t="s">
        <v>183</v>
      </c>
      <c r="B11">
        <v>1648</v>
      </c>
      <c r="C11">
        <v>1603</v>
      </c>
      <c r="D11">
        <v>2118</v>
      </c>
      <c r="E11">
        <v>1955</v>
      </c>
      <c r="F11">
        <f t="shared" si="0"/>
        <v>3251</v>
      </c>
      <c r="G11">
        <f t="shared" si="1"/>
        <v>4073</v>
      </c>
      <c r="H11">
        <f t="shared" si="2"/>
        <v>7324</v>
      </c>
      <c r="I11" s="148">
        <f t="shared" si="3"/>
        <v>0.44388312397596941</v>
      </c>
      <c r="J11" s="148">
        <f t="shared" si="4"/>
        <v>0.55611687602403059</v>
      </c>
      <c r="K11" s="148">
        <f t="shared" si="5"/>
        <v>3.6418097281831186E-3</v>
      </c>
      <c r="L11">
        <v>1</v>
      </c>
      <c r="M11">
        <f t="shared" si="6"/>
        <v>3251</v>
      </c>
      <c r="N11">
        <f t="shared" si="7"/>
        <v>4073</v>
      </c>
    </row>
    <row r="12" spans="1:14" x14ac:dyDescent="0.25">
      <c r="A12" t="s">
        <v>184</v>
      </c>
      <c r="B12">
        <v>612</v>
      </c>
      <c r="C12">
        <v>607</v>
      </c>
      <c r="D12">
        <v>2179</v>
      </c>
      <c r="E12">
        <v>2383</v>
      </c>
      <c r="F12">
        <f t="shared" si="0"/>
        <v>1219</v>
      </c>
      <c r="G12">
        <f t="shared" si="1"/>
        <v>4562</v>
      </c>
      <c r="H12">
        <f t="shared" si="2"/>
        <v>5781</v>
      </c>
      <c r="I12" s="148">
        <f t="shared" si="3"/>
        <v>0.21086317246151184</v>
      </c>
      <c r="J12" s="148">
        <f t="shared" si="4"/>
        <v>0.78913682753848813</v>
      </c>
      <c r="K12" s="148">
        <f t="shared" si="5"/>
        <v>4.0790414878397714E-3</v>
      </c>
      <c r="L12">
        <v>1</v>
      </c>
      <c r="M12">
        <f t="shared" si="6"/>
        <v>1219</v>
      </c>
      <c r="N12">
        <f t="shared" si="7"/>
        <v>4562</v>
      </c>
    </row>
    <row r="13" spans="1:14" x14ac:dyDescent="0.25">
      <c r="A13" t="s">
        <v>283</v>
      </c>
      <c r="B13">
        <v>137</v>
      </c>
      <c r="C13">
        <v>43</v>
      </c>
      <c r="D13">
        <v>9798</v>
      </c>
      <c r="E13">
        <v>12834</v>
      </c>
      <c r="F13">
        <f t="shared" si="0"/>
        <v>180</v>
      </c>
      <c r="G13">
        <f t="shared" si="1"/>
        <v>22632</v>
      </c>
      <c r="H13">
        <f t="shared" si="2"/>
        <v>22812</v>
      </c>
      <c r="I13" s="148">
        <f t="shared" si="3"/>
        <v>7.8905839032088372E-3</v>
      </c>
      <c r="J13" s="148">
        <f t="shared" si="4"/>
        <v>0.99210941609679115</v>
      </c>
      <c r="K13" s="148">
        <f t="shared" si="5"/>
        <v>2.0236051502145923E-2</v>
      </c>
      <c r="L13">
        <v>0</v>
      </c>
      <c r="M13">
        <f t="shared" si="6"/>
        <v>0</v>
      </c>
      <c r="N13">
        <f t="shared" si="7"/>
        <v>0</v>
      </c>
    </row>
    <row r="14" spans="1:14" x14ac:dyDescent="0.25">
      <c r="A14" t="s">
        <v>185</v>
      </c>
      <c r="B14">
        <v>1535</v>
      </c>
      <c r="C14">
        <v>1484</v>
      </c>
      <c r="D14">
        <v>1095</v>
      </c>
      <c r="E14">
        <v>1113</v>
      </c>
      <c r="F14">
        <f t="shared" si="0"/>
        <v>3019</v>
      </c>
      <c r="G14">
        <f t="shared" si="1"/>
        <v>2208</v>
      </c>
      <c r="H14">
        <f t="shared" si="2"/>
        <v>5227</v>
      </c>
      <c r="I14" s="148">
        <f t="shared" si="3"/>
        <v>0.57757796058924815</v>
      </c>
      <c r="J14" s="148">
        <f t="shared" si="4"/>
        <v>0.42242203941075185</v>
      </c>
      <c r="K14" s="148">
        <f t="shared" si="5"/>
        <v>1.9742489270386265E-3</v>
      </c>
      <c r="L14">
        <v>0</v>
      </c>
      <c r="M14">
        <f t="shared" si="6"/>
        <v>0</v>
      </c>
      <c r="N14">
        <f t="shared" si="7"/>
        <v>0</v>
      </c>
    </row>
    <row r="15" spans="1:14" x14ac:dyDescent="0.25">
      <c r="A15" t="s">
        <v>186</v>
      </c>
      <c r="B15" s="74">
        <v>781</v>
      </c>
      <c r="C15" s="74">
        <v>731</v>
      </c>
      <c r="D15" s="74">
        <v>1116</v>
      </c>
      <c r="E15" s="74">
        <v>724</v>
      </c>
      <c r="F15">
        <f t="shared" si="0"/>
        <v>1512</v>
      </c>
      <c r="G15">
        <f t="shared" si="1"/>
        <v>1840</v>
      </c>
      <c r="H15">
        <f t="shared" si="2"/>
        <v>3352</v>
      </c>
      <c r="I15" s="148">
        <f t="shared" si="3"/>
        <v>0.45107398568019091</v>
      </c>
      <c r="J15" s="148">
        <f t="shared" si="4"/>
        <v>0.54892601431980903</v>
      </c>
      <c r="K15" s="148">
        <f t="shared" si="5"/>
        <v>1.6452074391988555E-3</v>
      </c>
      <c r="L15">
        <v>1</v>
      </c>
      <c r="M15">
        <f t="shared" si="6"/>
        <v>1512</v>
      </c>
      <c r="N15">
        <f t="shared" si="7"/>
        <v>1840</v>
      </c>
    </row>
    <row r="16" spans="1:14" x14ac:dyDescent="0.25">
      <c r="A16" t="s">
        <v>277</v>
      </c>
      <c r="B16">
        <v>277</v>
      </c>
      <c r="C16">
        <v>206</v>
      </c>
      <c r="D16">
        <v>4700</v>
      </c>
      <c r="E16">
        <v>6909</v>
      </c>
      <c r="F16">
        <f t="shared" si="0"/>
        <v>483</v>
      </c>
      <c r="G16">
        <f t="shared" si="1"/>
        <v>11609</v>
      </c>
      <c r="H16">
        <f t="shared" si="2"/>
        <v>12092</v>
      </c>
      <c r="I16" s="148">
        <f t="shared" si="3"/>
        <v>3.9943764472378435E-2</v>
      </c>
      <c r="J16" s="148">
        <f t="shared" si="4"/>
        <v>0.96005623552762154</v>
      </c>
      <c r="K16" s="148">
        <f t="shared" si="5"/>
        <v>1.0380007153075823E-2</v>
      </c>
      <c r="L16">
        <v>1</v>
      </c>
      <c r="M16">
        <f t="shared" si="6"/>
        <v>483</v>
      </c>
      <c r="N16">
        <f t="shared" si="7"/>
        <v>11609</v>
      </c>
    </row>
    <row r="17" spans="1:14" x14ac:dyDescent="0.25">
      <c r="A17" t="s">
        <v>187</v>
      </c>
      <c r="B17">
        <v>2999</v>
      </c>
      <c r="C17">
        <v>2737</v>
      </c>
      <c r="D17">
        <v>2211</v>
      </c>
      <c r="E17">
        <v>2313</v>
      </c>
      <c r="F17">
        <f t="shared" si="0"/>
        <v>5736</v>
      </c>
      <c r="G17">
        <f t="shared" si="1"/>
        <v>4524</v>
      </c>
      <c r="H17">
        <f t="shared" si="2"/>
        <v>10260</v>
      </c>
      <c r="I17" s="148">
        <f t="shared" si="3"/>
        <v>0.55906432748538015</v>
      </c>
      <c r="J17" s="148">
        <f t="shared" si="4"/>
        <v>0.4409356725146199</v>
      </c>
      <c r="K17" s="148">
        <f t="shared" si="5"/>
        <v>4.0450643776824037E-3</v>
      </c>
      <c r="L17">
        <v>1</v>
      </c>
      <c r="M17">
        <f t="shared" si="6"/>
        <v>5736</v>
      </c>
      <c r="N17">
        <f t="shared" si="7"/>
        <v>4524</v>
      </c>
    </row>
    <row r="18" spans="1:14" x14ac:dyDescent="0.25">
      <c r="A18" t="s">
        <v>188</v>
      </c>
      <c r="B18">
        <v>2274</v>
      </c>
      <c r="C18">
        <v>1964</v>
      </c>
      <c r="D18">
        <v>2104</v>
      </c>
      <c r="E18">
        <v>1998</v>
      </c>
      <c r="F18">
        <f t="shared" si="0"/>
        <v>4238</v>
      </c>
      <c r="G18">
        <f t="shared" si="1"/>
        <v>4102</v>
      </c>
      <c r="H18">
        <f t="shared" si="2"/>
        <v>8340</v>
      </c>
      <c r="I18" s="148">
        <f t="shared" si="3"/>
        <v>0.50815347721822546</v>
      </c>
      <c r="J18" s="148">
        <f t="shared" si="4"/>
        <v>0.4918465227817746</v>
      </c>
      <c r="K18" s="148">
        <f t="shared" si="5"/>
        <v>3.6677396280400572E-3</v>
      </c>
      <c r="L18">
        <v>0</v>
      </c>
      <c r="M18">
        <f t="shared" si="6"/>
        <v>0</v>
      </c>
      <c r="N18">
        <f t="shared" si="7"/>
        <v>0</v>
      </c>
    </row>
    <row r="19" spans="1:14" x14ac:dyDescent="0.25">
      <c r="A19" t="s">
        <v>189</v>
      </c>
      <c r="B19">
        <v>32366</v>
      </c>
      <c r="C19">
        <v>29716</v>
      </c>
      <c r="D19">
        <v>27193</v>
      </c>
      <c r="E19">
        <v>29747</v>
      </c>
      <c r="F19">
        <f t="shared" si="0"/>
        <v>62082</v>
      </c>
      <c r="G19">
        <f t="shared" si="1"/>
        <v>56940</v>
      </c>
      <c r="H19">
        <f t="shared" si="2"/>
        <v>119022</v>
      </c>
      <c r="I19" s="148">
        <f t="shared" si="3"/>
        <v>0.52160104854564704</v>
      </c>
      <c r="J19" s="148">
        <f t="shared" si="4"/>
        <v>0.47839895145435296</v>
      </c>
      <c r="K19" s="148">
        <f t="shared" si="5"/>
        <v>5.0912017167381973E-2</v>
      </c>
      <c r="L19">
        <v>1</v>
      </c>
      <c r="M19">
        <f t="shared" si="6"/>
        <v>62082</v>
      </c>
      <c r="N19">
        <f t="shared" si="7"/>
        <v>56940</v>
      </c>
    </row>
    <row r="20" spans="1:14" x14ac:dyDescent="0.25">
      <c r="A20" t="s">
        <v>190</v>
      </c>
      <c r="B20">
        <v>1221</v>
      </c>
      <c r="C20">
        <v>1094</v>
      </c>
      <c r="D20">
        <v>1293</v>
      </c>
      <c r="E20">
        <v>1263</v>
      </c>
      <c r="F20">
        <f t="shared" si="0"/>
        <v>2315</v>
      </c>
      <c r="G20">
        <f t="shared" si="1"/>
        <v>2556</v>
      </c>
      <c r="H20">
        <f t="shared" si="2"/>
        <v>4871</v>
      </c>
      <c r="I20" s="148">
        <f t="shared" si="3"/>
        <v>0.47526175323342229</v>
      </c>
      <c r="J20" s="148">
        <f t="shared" si="4"/>
        <v>0.52473824676657765</v>
      </c>
      <c r="K20" s="148">
        <f t="shared" si="5"/>
        <v>2.2854077253218882E-3</v>
      </c>
      <c r="L20">
        <v>1</v>
      </c>
      <c r="M20">
        <f t="shared" si="6"/>
        <v>2315</v>
      </c>
      <c r="N20">
        <f t="shared" si="7"/>
        <v>2556</v>
      </c>
    </row>
    <row r="21" spans="1:14" x14ac:dyDescent="0.25">
      <c r="A21" t="s">
        <v>191</v>
      </c>
      <c r="B21">
        <v>794</v>
      </c>
      <c r="C21">
        <v>731</v>
      </c>
      <c r="D21">
        <v>2461</v>
      </c>
      <c r="E21">
        <v>2965</v>
      </c>
      <c r="F21">
        <f t="shared" si="0"/>
        <v>1525</v>
      </c>
      <c r="G21">
        <f t="shared" si="1"/>
        <v>5426</v>
      </c>
      <c r="H21">
        <f t="shared" si="2"/>
        <v>6951</v>
      </c>
      <c r="I21" s="148">
        <f t="shared" si="3"/>
        <v>0.2193928931089052</v>
      </c>
      <c r="J21" s="148">
        <f t="shared" si="4"/>
        <v>0.7806071068910948</v>
      </c>
      <c r="K21" s="148">
        <f t="shared" si="5"/>
        <v>4.8515736766809731E-3</v>
      </c>
      <c r="L21">
        <v>1</v>
      </c>
      <c r="M21">
        <f t="shared" si="6"/>
        <v>1525</v>
      </c>
      <c r="N21">
        <f t="shared" si="7"/>
        <v>5426</v>
      </c>
    </row>
    <row r="22" spans="1:14" x14ac:dyDescent="0.25">
      <c r="A22" t="s">
        <v>192</v>
      </c>
      <c r="B22">
        <v>1037</v>
      </c>
      <c r="C22">
        <v>1063</v>
      </c>
      <c r="D22">
        <v>1839</v>
      </c>
      <c r="E22">
        <v>1024</v>
      </c>
      <c r="F22">
        <f t="shared" si="0"/>
        <v>2100</v>
      </c>
      <c r="G22">
        <f t="shared" si="1"/>
        <v>2863</v>
      </c>
      <c r="H22">
        <f t="shared" si="2"/>
        <v>4963</v>
      </c>
      <c r="I22" s="148">
        <f t="shared" si="3"/>
        <v>0.42313117066290551</v>
      </c>
      <c r="J22" s="148">
        <f t="shared" si="4"/>
        <v>0.57686882933709449</v>
      </c>
      <c r="K22" s="148">
        <f t="shared" si="5"/>
        <v>2.5599070100143059E-3</v>
      </c>
      <c r="L22">
        <v>0</v>
      </c>
      <c r="M22">
        <f t="shared" si="6"/>
        <v>0</v>
      </c>
      <c r="N22">
        <f t="shared" si="7"/>
        <v>0</v>
      </c>
    </row>
    <row r="23" spans="1:14" x14ac:dyDescent="0.25">
      <c r="A23" t="s">
        <v>193</v>
      </c>
      <c r="B23">
        <v>1583</v>
      </c>
      <c r="C23">
        <v>1502</v>
      </c>
      <c r="D23">
        <v>1867</v>
      </c>
      <c r="E23">
        <v>1752</v>
      </c>
      <c r="F23">
        <f t="shared" si="0"/>
        <v>3085</v>
      </c>
      <c r="G23">
        <f t="shared" si="1"/>
        <v>3619</v>
      </c>
      <c r="H23">
        <f t="shared" si="2"/>
        <v>6704</v>
      </c>
      <c r="I23" s="148">
        <f t="shared" si="3"/>
        <v>0.46017303102625301</v>
      </c>
      <c r="J23" s="148">
        <f t="shared" si="4"/>
        <v>0.53982696897374705</v>
      </c>
      <c r="K23" s="148">
        <f t="shared" si="5"/>
        <v>3.2358726752503577E-3</v>
      </c>
      <c r="L23">
        <v>1</v>
      </c>
      <c r="M23">
        <f t="shared" si="6"/>
        <v>3085</v>
      </c>
      <c r="N23">
        <f t="shared" si="7"/>
        <v>3619</v>
      </c>
    </row>
    <row r="24" spans="1:14" x14ac:dyDescent="0.25">
      <c r="A24" t="s">
        <v>194</v>
      </c>
      <c r="B24">
        <v>1199</v>
      </c>
      <c r="C24">
        <v>1083</v>
      </c>
      <c r="D24">
        <v>2296</v>
      </c>
      <c r="E24">
        <v>1739</v>
      </c>
      <c r="F24">
        <f t="shared" si="0"/>
        <v>2282</v>
      </c>
      <c r="G24">
        <f t="shared" si="1"/>
        <v>4035</v>
      </c>
      <c r="H24">
        <f t="shared" si="2"/>
        <v>6317</v>
      </c>
      <c r="I24" s="148">
        <f t="shared" si="3"/>
        <v>0.36124742757638117</v>
      </c>
      <c r="J24" s="148">
        <f t="shared" si="4"/>
        <v>0.63875257242361883</v>
      </c>
      <c r="K24" s="148">
        <f t="shared" si="5"/>
        <v>3.6078326180257513E-3</v>
      </c>
      <c r="L24">
        <v>1</v>
      </c>
      <c r="M24">
        <f t="shared" si="6"/>
        <v>2282</v>
      </c>
      <c r="N24">
        <f t="shared" si="7"/>
        <v>4035</v>
      </c>
    </row>
    <row r="25" spans="1:14" x14ac:dyDescent="0.25">
      <c r="A25" t="s">
        <v>195</v>
      </c>
      <c r="B25">
        <v>2418</v>
      </c>
      <c r="C25">
        <v>2417</v>
      </c>
      <c r="D25">
        <v>3887</v>
      </c>
      <c r="E25">
        <v>3627</v>
      </c>
      <c r="F25">
        <f t="shared" si="0"/>
        <v>4835</v>
      </c>
      <c r="G25">
        <f t="shared" si="1"/>
        <v>7514</v>
      </c>
      <c r="H25">
        <f t="shared" si="2"/>
        <v>12349</v>
      </c>
      <c r="I25" s="148">
        <f t="shared" si="3"/>
        <v>0.39152967851647907</v>
      </c>
      <c r="J25" s="148">
        <f t="shared" si="4"/>
        <v>0.60847032148352098</v>
      </c>
      <c r="K25" s="148">
        <f t="shared" si="5"/>
        <v>6.7185264663805434E-3</v>
      </c>
      <c r="L25">
        <v>1</v>
      </c>
      <c r="M25">
        <f t="shared" si="6"/>
        <v>4835</v>
      </c>
      <c r="N25">
        <f t="shared" si="7"/>
        <v>7514</v>
      </c>
    </row>
    <row r="26" spans="1:14" x14ac:dyDescent="0.25">
      <c r="A26" t="s">
        <v>196</v>
      </c>
      <c r="B26">
        <v>513</v>
      </c>
      <c r="C26">
        <v>416</v>
      </c>
      <c r="D26">
        <v>891</v>
      </c>
      <c r="E26">
        <v>714</v>
      </c>
      <c r="F26">
        <f t="shared" si="0"/>
        <v>929</v>
      </c>
      <c r="G26">
        <f t="shared" si="1"/>
        <v>1605</v>
      </c>
      <c r="H26">
        <f t="shared" si="2"/>
        <v>2534</v>
      </c>
      <c r="I26" s="148">
        <f t="shared" si="3"/>
        <v>0.3666140489344909</v>
      </c>
      <c r="J26" s="148">
        <f t="shared" si="4"/>
        <v>0.6333859510655091</v>
      </c>
      <c r="K26" s="148">
        <f t="shared" si="5"/>
        <v>1.4350858369098713E-3</v>
      </c>
      <c r="L26">
        <v>1</v>
      </c>
      <c r="M26">
        <f t="shared" si="6"/>
        <v>929</v>
      </c>
      <c r="N26">
        <f t="shared" si="7"/>
        <v>1605</v>
      </c>
    </row>
    <row r="27" spans="1:14" x14ac:dyDescent="0.25">
      <c r="A27" t="s">
        <v>197</v>
      </c>
      <c r="B27">
        <v>5937</v>
      </c>
      <c r="C27">
        <v>5666</v>
      </c>
      <c r="D27">
        <v>9129</v>
      </c>
      <c r="E27">
        <v>9485</v>
      </c>
      <c r="F27">
        <f t="shared" si="0"/>
        <v>11603</v>
      </c>
      <c r="G27">
        <f t="shared" si="1"/>
        <v>18614</v>
      </c>
      <c r="H27">
        <f t="shared" si="2"/>
        <v>30217</v>
      </c>
      <c r="I27" s="148">
        <f t="shared" si="3"/>
        <v>0.38398914518317501</v>
      </c>
      <c r="J27" s="148">
        <f t="shared" si="4"/>
        <v>0.61601085481682494</v>
      </c>
      <c r="K27" s="148">
        <f t="shared" si="5"/>
        <v>1.6643419170243205E-2</v>
      </c>
      <c r="L27">
        <v>1</v>
      </c>
      <c r="M27">
        <f t="shared" si="6"/>
        <v>11603</v>
      </c>
      <c r="N27">
        <f t="shared" si="7"/>
        <v>18614</v>
      </c>
    </row>
    <row r="28" spans="1:14" x14ac:dyDescent="0.25">
      <c r="A28" t="s">
        <v>270</v>
      </c>
      <c r="B28">
        <v>1232</v>
      </c>
      <c r="C28">
        <v>1100</v>
      </c>
      <c r="D28">
        <v>1215</v>
      </c>
      <c r="E28">
        <v>1241</v>
      </c>
      <c r="F28">
        <f t="shared" si="0"/>
        <v>2332</v>
      </c>
      <c r="G28">
        <f t="shared" si="1"/>
        <v>2456</v>
      </c>
      <c r="H28">
        <f t="shared" si="2"/>
        <v>4788</v>
      </c>
      <c r="I28" s="148">
        <f t="shared" si="3"/>
        <v>0.48705096073517123</v>
      </c>
      <c r="J28" s="148">
        <f t="shared" si="4"/>
        <v>0.51294903926482871</v>
      </c>
      <c r="K28" s="148">
        <f t="shared" si="5"/>
        <v>2.1959942775393419E-3</v>
      </c>
      <c r="L28">
        <v>1</v>
      </c>
      <c r="M28">
        <f t="shared" si="6"/>
        <v>2332</v>
      </c>
      <c r="N28">
        <f t="shared" si="7"/>
        <v>2456</v>
      </c>
    </row>
    <row r="29" spans="1:14" x14ac:dyDescent="0.25">
      <c r="A29" t="s">
        <v>271</v>
      </c>
      <c r="B29" s="74">
        <v>95</v>
      </c>
      <c r="C29" s="74">
        <v>53</v>
      </c>
      <c r="D29" s="74">
        <v>7534</v>
      </c>
      <c r="E29" s="74">
        <v>9058</v>
      </c>
      <c r="F29">
        <f t="shared" si="0"/>
        <v>148</v>
      </c>
      <c r="G29">
        <f t="shared" si="1"/>
        <v>16592</v>
      </c>
      <c r="H29">
        <f t="shared" si="2"/>
        <v>16740</v>
      </c>
      <c r="I29" s="148">
        <f t="shared" si="3"/>
        <v>8.8410991636798091E-3</v>
      </c>
      <c r="J29" s="148">
        <f t="shared" si="4"/>
        <v>0.99115890083632019</v>
      </c>
      <c r="K29" s="148">
        <f t="shared" si="5"/>
        <v>1.4835479256080114E-2</v>
      </c>
      <c r="L29">
        <v>0</v>
      </c>
      <c r="M29">
        <f t="shared" si="6"/>
        <v>0</v>
      </c>
      <c r="N29">
        <f t="shared" si="7"/>
        <v>0</v>
      </c>
    </row>
    <row r="30" spans="1:14" x14ac:dyDescent="0.25">
      <c r="A30" t="s">
        <v>272</v>
      </c>
      <c r="B30" s="74">
        <v>220</v>
      </c>
      <c r="C30" s="74">
        <v>161</v>
      </c>
      <c r="D30" s="74">
        <v>13957</v>
      </c>
      <c r="E30" s="74">
        <v>19867</v>
      </c>
      <c r="F30">
        <f t="shared" si="0"/>
        <v>381</v>
      </c>
      <c r="G30">
        <f t="shared" si="1"/>
        <v>33824</v>
      </c>
      <c r="H30">
        <f t="shared" si="2"/>
        <v>34205</v>
      </c>
      <c r="I30" s="148">
        <f t="shared" si="3"/>
        <v>1.1138722409004532E-2</v>
      </c>
      <c r="J30" s="148">
        <f t="shared" si="4"/>
        <v>0.98886127759099551</v>
      </c>
      <c r="K30" s="148">
        <f t="shared" si="5"/>
        <v>3.0243204577968526E-2</v>
      </c>
      <c r="L30">
        <v>0</v>
      </c>
      <c r="M30">
        <f t="shared" si="6"/>
        <v>0</v>
      </c>
      <c r="N30">
        <f t="shared" si="7"/>
        <v>0</v>
      </c>
    </row>
    <row r="31" spans="1:14" x14ac:dyDescent="0.25">
      <c r="A31" t="s">
        <v>284</v>
      </c>
      <c r="B31">
        <v>106</v>
      </c>
      <c r="C31">
        <v>34</v>
      </c>
      <c r="D31">
        <v>7076</v>
      </c>
      <c r="E31">
        <v>8891</v>
      </c>
      <c r="F31">
        <f t="shared" si="0"/>
        <v>140</v>
      </c>
      <c r="G31">
        <f t="shared" si="1"/>
        <v>15967</v>
      </c>
      <c r="H31">
        <f t="shared" si="2"/>
        <v>16107</v>
      </c>
      <c r="I31" s="148">
        <f t="shared" si="3"/>
        <v>8.6918730986527588E-3</v>
      </c>
      <c r="J31" s="148">
        <f t="shared" si="4"/>
        <v>0.99130812690134729</v>
      </c>
      <c r="K31" s="148">
        <f t="shared" si="5"/>
        <v>1.4276645207439199E-2</v>
      </c>
      <c r="L31">
        <v>0</v>
      </c>
      <c r="M31">
        <f t="shared" si="6"/>
        <v>0</v>
      </c>
      <c r="N31">
        <f t="shared" si="7"/>
        <v>0</v>
      </c>
    </row>
    <row r="32" spans="1:14" x14ac:dyDescent="0.25">
      <c r="A32" t="s">
        <v>198</v>
      </c>
      <c r="B32">
        <v>656</v>
      </c>
      <c r="C32">
        <v>598</v>
      </c>
      <c r="D32">
        <v>3043</v>
      </c>
      <c r="E32">
        <v>3779</v>
      </c>
      <c r="F32">
        <f t="shared" si="0"/>
        <v>1254</v>
      </c>
      <c r="G32">
        <f t="shared" si="1"/>
        <v>6822</v>
      </c>
      <c r="H32">
        <f t="shared" si="2"/>
        <v>8076</v>
      </c>
      <c r="I32" s="148">
        <f t="shared" si="3"/>
        <v>0.15527488855869243</v>
      </c>
      <c r="J32" s="148">
        <f t="shared" si="4"/>
        <v>0.84472511144130757</v>
      </c>
      <c r="K32" s="148">
        <f t="shared" si="5"/>
        <v>6.0997854077253222E-3</v>
      </c>
      <c r="L32">
        <v>1</v>
      </c>
      <c r="M32">
        <f t="shared" si="6"/>
        <v>1254</v>
      </c>
      <c r="N32">
        <f t="shared" si="7"/>
        <v>6822</v>
      </c>
    </row>
    <row r="33" spans="1:14" x14ac:dyDescent="0.25">
      <c r="A33" t="s">
        <v>199</v>
      </c>
      <c r="B33">
        <v>1477</v>
      </c>
      <c r="C33">
        <v>1290</v>
      </c>
      <c r="D33">
        <v>1115</v>
      </c>
      <c r="E33">
        <v>929</v>
      </c>
      <c r="F33">
        <f t="shared" si="0"/>
        <v>2767</v>
      </c>
      <c r="G33">
        <f t="shared" si="1"/>
        <v>2044</v>
      </c>
      <c r="H33">
        <f t="shared" si="2"/>
        <v>4811</v>
      </c>
      <c r="I33" s="148">
        <f t="shared" si="3"/>
        <v>0.57514030347121181</v>
      </c>
      <c r="J33" s="148">
        <f t="shared" si="4"/>
        <v>0.42485969652878819</v>
      </c>
      <c r="K33" s="148">
        <f t="shared" si="5"/>
        <v>1.8276108726752503E-3</v>
      </c>
      <c r="L33">
        <v>0</v>
      </c>
      <c r="M33">
        <f t="shared" si="6"/>
        <v>0</v>
      </c>
      <c r="N33">
        <f t="shared" si="7"/>
        <v>0</v>
      </c>
    </row>
    <row r="34" spans="1:14" x14ac:dyDescent="0.25">
      <c r="A34" t="s">
        <v>200</v>
      </c>
      <c r="B34">
        <v>2174</v>
      </c>
      <c r="C34">
        <v>1993</v>
      </c>
      <c r="D34">
        <v>3123</v>
      </c>
      <c r="E34">
        <v>1883</v>
      </c>
      <c r="F34">
        <f t="shared" ref="F34:F65" si="8">SUM(B34:C34)</f>
        <v>4167</v>
      </c>
      <c r="G34">
        <f t="shared" ref="G34:G65" si="9">SUM(D34:E34)</f>
        <v>5006</v>
      </c>
      <c r="H34">
        <f t="shared" ref="H34:H65" si="10">SUM(B34:E34)</f>
        <v>9173</v>
      </c>
      <c r="I34" s="148">
        <f t="shared" ref="I34:I65" si="11">F34/H34</f>
        <v>0.4542679603183255</v>
      </c>
      <c r="J34" s="148">
        <f t="shared" si="4"/>
        <v>0.5457320396816745</v>
      </c>
      <c r="K34" s="148">
        <f t="shared" si="5"/>
        <v>4.4760371959942776E-3</v>
      </c>
      <c r="L34">
        <v>1</v>
      </c>
      <c r="M34">
        <f t="shared" si="6"/>
        <v>4167</v>
      </c>
      <c r="N34">
        <f t="shared" si="7"/>
        <v>5006</v>
      </c>
    </row>
    <row r="35" spans="1:14" x14ac:dyDescent="0.25">
      <c r="A35" t="s">
        <v>201</v>
      </c>
      <c r="B35">
        <v>294</v>
      </c>
      <c r="C35">
        <v>220</v>
      </c>
      <c r="D35">
        <v>11602</v>
      </c>
      <c r="E35">
        <v>15888</v>
      </c>
      <c r="F35">
        <f t="shared" si="8"/>
        <v>514</v>
      </c>
      <c r="G35">
        <f t="shared" si="9"/>
        <v>27490</v>
      </c>
      <c r="H35">
        <f t="shared" si="10"/>
        <v>28004</v>
      </c>
      <c r="I35" s="148">
        <f t="shared" si="11"/>
        <v>1.8354520782745323E-2</v>
      </c>
      <c r="J35" s="148">
        <f t="shared" si="4"/>
        <v>0.98164547921725465</v>
      </c>
      <c r="K35" s="148">
        <f t="shared" si="5"/>
        <v>2.4579756795422032E-2</v>
      </c>
      <c r="L35">
        <v>0</v>
      </c>
      <c r="M35">
        <f t="shared" si="6"/>
        <v>0</v>
      </c>
      <c r="N35">
        <f t="shared" si="7"/>
        <v>0</v>
      </c>
    </row>
    <row r="36" spans="1:14" x14ac:dyDescent="0.25">
      <c r="A36" t="s">
        <v>256</v>
      </c>
      <c r="B36">
        <v>1096</v>
      </c>
      <c r="C36">
        <v>806</v>
      </c>
      <c r="D36">
        <v>2621</v>
      </c>
      <c r="E36">
        <v>2757</v>
      </c>
      <c r="F36">
        <f t="shared" si="8"/>
        <v>1902</v>
      </c>
      <c r="G36">
        <f t="shared" si="9"/>
        <v>5378</v>
      </c>
      <c r="H36">
        <f t="shared" si="10"/>
        <v>7280</v>
      </c>
      <c r="I36" s="148">
        <f t="shared" si="11"/>
        <v>0.26126373626373628</v>
      </c>
      <c r="J36" s="148">
        <f t="shared" si="4"/>
        <v>0.73873626373626378</v>
      </c>
      <c r="K36" s="148">
        <f t="shared" si="5"/>
        <v>4.8086552217453506E-3</v>
      </c>
      <c r="L36">
        <v>0</v>
      </c>
      <c r="M36">
        <f t="shared" si="6"/>
        <v>0</v>
      </c>
      <c r="N36">
        <f t="shared" si="7"/>
        <v>0</v>
      </c>
    </row>
    <row r="37" spans="1:14" x14ac:dyDescent="0.25">
      <c r="A37" t="s">
        <v>202</v>
      </c>
      <c r="B37">
        <v>2211</v>
      </c>
      <c r="C37">
        <v>2455</v>
      </c>
      <c r="D37">
        <v>3310</v>
      </c>
      <c r="E37">
        <v>3505</v>
      </c>
      <c r="F37">
        <f t="shared" si="8"/>
        <v>4666</v>
      </c>
      <c r="G37">
        <f t="shared" si="9"/>
        <v>6815</v>
      </c>
      <c r="H37">
        <f t="shared" si="10"/>
        <v>11481</v>
      </c>
      <c r="I37" s="148">
        <f t="shared" si="11"/>
        <v>0.40641059141189789</v>
      </c>
      <c r="J37" s="148">
        <f t="shared" si="4"/>
        <v>0.59358940858810205</v>
      </c>
      <c r="K37" s="148">
        <f t="shared" si="5"/>
        <v>6.0935264663805437E-3</v>
      </c>
      <c r="L37">
        <v>1</v>
      </c>
      <c r="M37">
        <f t="shared" si="6"/>
        <v>4666</v>
      </c>
      <c r="N37">
        <f t="shared" si="7"/>
        <v>6815</v>
      </c>
    </row>
    <row r="38" spans="1:14" x14ac:dyDescent="0.25">
      <c r="A38" t="s">
        <v>203</v>
      </c>
      <c r="B38">
        <v>570</v>
      </c>
      <c r="C38">
        <v>554</v>
      </c>
      <c r="D38">
        <v>827</v>
      </c>
      <c r="E38">
        <v>611</v>
      </c>
      <c r="F38">
        <f t="shared" si="8"/>
        <v>1124</v>
      </c>
      <c r="G38">
        <f t="shared" si="9"/>
        <v>1438</v>
      </c>
      <c r="H38">
        <f t="shared" si="10"/>
        <v>2562</v>
      </c>
      <c r="I38" s="148">
        <f t="shared" si="11"/>
        <v>0.43871975019516002</v>
      </c>
      <c r="J38" s="148">
        <f t="shared" si="4"/>
        <v>0.56128024980483993</v>
      </c>
      <c r="K38" s="148">
        <f t="shared" si="5"/>
        <v>1.2857653791130187E-3</v>
      </c>
      <c r="L38">
        <v>1</v>
      </c>
      <c r="M38">
        <f t="shared" si="6"/>
        <v>1124</v>
      </c>
      <c r="N38">
        <f t="shared" si="7"/>
        <v>1438</v>
      </c>
    </row>
    <row r="39" spans="1:14" x14ac:dyDescent="0.25">
      <c r="A39" t="s">
        <v>204</v>
      </c>
      <c r="B39">
        <v>1489</v>
      </c>
      <c r="C39">
        <v>1269</v>
      </c>
      <c r="D39">
        <v>2319</v>
      </c>
      <c r="E39">
        <v>2294</v>
      </c>
      <c r="F39">
        <f t="shared" si="8"/>
        <v>2758</v>
      </c>
      <c r="G39">
        <f t="shared" si="9"/>
        <v>4613</v>
      </c>
      <c r="H39">
        <f t="shared" si="10"/>
        <v>7371</v>
      </c>
      <c r="I39" s="148">
        <f t="shared" si="11"/>
        <v>0.37416904083570751</v>
      </c>
      <c r="J39" s="148">
        <f t="shared" si="4"/>
        <v>0.62583095916429254</v>
      </c>
      <c r="K39" s="148">
        <f t="shared" si="5"/>
        <v>4.1246423462088701E-3</v>
      </c>
      <c r="L39">
        <v>0</v>
      </c>
      <c r="M39">
        <f t="shared" si="6"/>
        <v>0</v>
      </c>
      <c r="N39">
        <f t="shared" si="7"/>
        <v>0</v>
      </c>
    </row>
    <row r="40" spans="1:14" x14ac:dyDescent="0.25">
      <c r="A40" t="s">
        <v>205</v>
      </c>
      <c r="B40" s="74">
        <v>996</v>
      </c>
      <c r="C40" s="74">
        <v>810</v>
      </c>
      <c r="D40" s="74">
        <v>2210</v>
      </c>
      <c r="E40" s="74">
        <v>2294</v>
      </c>
      <c r="F40">
        <f t="shared" si="8"/>
        <v>1806</v>
      </c>
      <c r="G40">
        <f t="shared" si="9"/>
        <v>4504</v>
      </c>
      <c r="H40">
        <f t="shared" si="10"/>
        <v>6310</v>
      </c>
      <c r="I40" s="148">
        <f t="shared" si="11"/>
        <v>0.2862123613312203</v>
      </c>
      <c r="J40" s="148">
        <f t="shared" si="4"/>
        <v>0.7137876386687797</v>
      </c>
      <c r="K40" s="148">
        <f t="shared" si="5"/>
        <v>4.0271816881258943E-3</v>
      </c>
      <c r="L40">
        <v>1</v>
      </c>
      <c r="M40">
        <f t="shared" si="6"/>
        <v>1806</v>
      </c>
      <c r="N40">
        <f t="shared" si="7"/>
        <v>4504</v>
      </c>
    </row>
    <row r="41" spans="1:14" x14ac:dyDescent="0.25">
      <c r="A41" t="s">
        <v>206</v>
      </c>
      <c r="B41">
        <v>118</v>
      </c>
      <c r="C41">
        <v>77</v>
      </c>
      <c r="D41">
        <v>9267</v>
      </c>
      <c r="E41">
        <v>11750</v>
      </c>
      <c r="F41">
        <f t="shared" si="8"/>
        <v>195</v>
      </c>
      <c r="G41">
        <f t="shared" si="9"/>
        <v>21017</v>
      </c>
      <c r="H41">
        <f t="shared" si="10"/>
        <v>21212</v>
      </c>
      <c r="I41" s="148">
        <f t="shared" si="11"/>
        <v>9.1929096737695636E-3</v>
      </c>
      <c r="J41" s="148">
        <f t="shared" si="4"/>
        <v>0.99080709032623049</v>
      </c>
      <c r="K41" s="148">
        <f t="shared" si="5"/>
        <v>1.8792024320457797E-2</v>
      </c>
      <c r="L41">
        <v>0</v>
      </c>
      <c r="M41">
        <f t="shared" si="6"/>
        <v>0</v>
      </c>
      <c r="N41">
        <f t="shared" si="7"/>
        <v>0</v>
      </c>
    </row>
    <row r="42" spans="1:14" x14ac:dyDescent="0.25">
      <c r="A42" t="s">
        <v>207</v>
      </c>
      <c r="B42">
        <v>975</v>
      </c>
      <c r="C42">
        <v>907</v>
      </c>
      <c r="D42">
        <v>973</v>
      </c>
      <c r="E42">
        <v>854</v>
      </c>
      <c r="F42">
        <f t="shared" si="8"/>
        <v>1882</v>
      </c>
      <c r="G42">
        <f t="shared" si="9"/>
        <v>1827</v>
      </c>
      <c r="H42">
        <f t="shared" si="10"/>
        <v>3709</v>
      </c>
      <c r="I42" s="148">
        <f t="shared" si="11"/>
        <v>0.50741439741170125</v>
      </c>
      <c r="J42" s="148">
        <f t="shared" si="4"/>
        <v>0.49258560258829875</v>
      </c>
      <c r="K42" s="148">
        <f t="shared" si="5"/>
        <v>1.6335836909871244E-3</v>
      </c>
      <c r="L42">
        <v>1</v>
      </c>
      <c r="M42">
        <f t="shared" si="6"/>
        <v>1882</v>
      </c>
      <c r="N42">
        <f t="shared" si="7"/>
        <v>1827</v>
      </c>
    </row>
    <row r="43" spans="1:14" x14ac:dyDescent="0.25">
      <c r="A43" t="s">
        <v>208</v>
      </c>
      <c r="B43">
        <v>2023</v>
      </c>
      <c r="C43">
        <v>1738</v>
      </c>
      <c r="D43">
        <v>2907</v>
      </c>
      <c r="E43">
        <v>2672</v>
      </c>
      <c r="F43">
        <f t="shared" si="8"/>
        <v>3761</v>
      </c>
      <c r="G43">
        <f t="shared" si="9"/>
        <v>5579</v>
      </c>
      <c r="H43">
        <f t="shared" si="10"/>
        <v>9340</v>
      </c>
      <c r="I43" s="148">
        <f t="shared" si="11"/>
        <v>0.40267665952890791</v>
      </c>
      <c r="J43" s="148">
        <f t="shared" si="4"/>
        <v>0.59732334047109203</v>
      </c>
      <c r="K43" s="148">
        <f t="shared" si="5"/>
        <v>4.9883762517882691E-3</v>
      </c>
      <c r="L43">
        <v>1</v>
      </c>
      <c r="M43">
        <f t="shared" si="6"/>
        <v>3761</v>
      </c>
      <c r="N43">
        <f t="shared" si="7"/>
        <v>5579</v>
      </c>
    </row>
    <row r="44" spans="1:14" x14ac:dyDescent="0.25">
      <c r="A44" t="s">
        <v>278</v>
      </c>
      <c r="B44">
        <v>159</v>
      </c>
      <c r="C44">
        <v>107</v>
      </c>
      <c r="D44">
        <v>6565</v>
      </c>
      <c r="E44">
        <v>10284</v>
      </c>
      <c r="F44">
        <f t="shared" si="8"/>
        <v>266</v>
      </c>
      <c r="G44">
        <f t="shared" si="9"/>
        <v>16849</v>
      </c>
      <c r="H44">
        <f t="shared" si="10"/>
        <v>17115</v>
      </c>
      <c r="I44" s="148">
        <f t="shared" si="11"/>
        <v>1.5541922290388548E-2</v>
      </c>
      <c r="J44" s="148">
        <f t="shared" si="4"/>
        <v>0.98445807770961147</v>
      </c>
      <c r="K44" s="148">
        <f t="shared" si="5"/>
        <v>1.5065271816881259E-2</v>
      </c>
      <c r="L44">
        <v>1</v>
      </c>
      <c r="M44">
        <f t="shared" si="6"/>
        <v>266</v>
      </c>
      <c r="N44">
        <f t="shared" si="7"/>
        <v>16849</v>
      </c>
    </row>
    <row r="45" spans="1:14" x14ac:dyDescent="0.25">
      <c r="A45" t="s">
        <v>209</v>
      </c>
      <c r="B45">
        <v>1573</v>
      </c>
      <c r="C45">
        <v>1493</v>
      </c>
      <c r="D45">
        <v>1521</v>
      </c>
      <c r="E45">
        <v>1548</v>
      </c>
      <c r="F45">
        <f t="shared" si="8"/>
        <v>3066</v>
      </c>
      <c r="G45">
        <f t="shared" si="9"/>
        <v>3069</v>
      </c>
      <c r="H45">
        <f t="shared" si="10"/>
        <v>6135</v>
      </c>
      <c r="I45" s="148">
        <f t="shared" si="11"/>
        <v>0.4997555012224939</v>
      </c>
      <c r="J45" s="148">
        <f t="shared" si="4"/>
        <v>0.5002444987775061</v>
      </c>
      <c r="K45" s="148">
        <f t="shared" si="5"/>
        <v>2.7440987124463519E-3</v>
      </c>
      <c r="L45">
        <v>1</v>
      </c>
      <c r="M45">
        <f t="shared" si="6"/>
        <v>3066</v>
      </c>
      <c r="N45">
        <f t="shared" si="7"/>
        <v>3069</v>
      </c>
    </row>
    <row r="46" spans="1:14" x14ac:dyDescent="0.25">
      <c r="A46" t="s">
        <v>210</v>
      </c>
      <c r="B46">
        <v>2157</v>
      </c>
      <c r="C46">
        <v>1718</v>
      </c>
      <c r="D46">
        <v>1706</v>
      </c>
      <c r="E46">
        <v>1438</v>
      </c>
      <c r="F46">
        <f t="shared" si="8"/>
        <v>3875</v>
      </c>
      <c r="G46">
        <f t="shared" si="9"/>
        <v>3144</v>
      </c>
      <c r="H46">
        <f t="shared" si="10"/>
        <v>7019</v>
      </c>
      <c r="I46" s="148">
        <f t="shared" si="11"/>
        <v>0.55207294486394076</v>
      </c>
      <c r="J46" s="148">
        <f t="shared" si="4"/>
        <v>0.44792705513605929</v>
      </c>
      <c r="K46" s="148">
        <f t="shared" si="5"/>
        <v>2.8111587982832618E-3</v>
      </c>
      <c r="L46">
        <v>0</v>
      </c>
      <c r="M46">
        <f t="shared" si="6"/>
        <v>0</v>
      </c>
      <c r="N46">
        <f t="shared" si="7"/>
        <v>0</v>
      </c>
    </row>
    <row r="47" spans="1:14" x14ac:dyDescent="0.25">
      <c r="A47" t="s">
        <v>279</v>
      </c>
      <c r="B47">
        <v>95</v>
      </c>
      <c r="C47">
        <v>65</v>
      </c>
      <c r="D47">
        <v>8144</v>
      </c>
      <c r="E47">
        <v>12024</v>
      </c>
      <c r="F47">
        <f t="shared" si="8"/>
        <v>160</v>
      </c>
      <c r="G47">
        <f t="shared" si="9"/>
        <v>20168</v>
      </c>
      <c r="H47">
        <f t="shared" si="10"/>
        <v>20328</v>
      </c>
      <c r="I47" s="148">
        <f t="shared" si="11"/>
        <v>7.8709169618260532E-3</v>
      </c>
      <c r="J47" s="148">
        <f t="shared" si="4"/>
        <v>0.99212908303817393</v>
      </c>
      <c r="K47" s="148">
        <f t="shared" si="5"/>
        <v>1.8032904148783977E-2</v>
      </c>
      <c r="L47">
        <v>0</v>
      </c>
      <c r="M47">
        <f t="shared" si="6"/>
        <v>0</v>
      </c>
      <c r="N47">
        <f t="shared" si="7"/>
        <v>0</v>
      </c>
    </row>
    <row r="48" spans="1:14" x14ac:dyDescent="0.25">
      <c r="A48" t="s">
        <v>211</v>
      </c>
      <c r="B48">
        <v>7374</v>
      </c>
      <c r="C48">
        <v>6205</v>
      </c>
      <c r="D48">
        <v>26690</v>
      </c>
      <c r="E48">
        <v>7950</v>
      </c>
      <c r="F48">
        <f t="shared" si="8"/>
        <v>13579</v>
      </c>
      <c r="G48">
        <f t="shared" si="9"/>
        <v>34640</v>
      </c>
      <c r="H48">
        <f t="shared" si="10"/>
        <v>48219</v>
      </c>
      <c r="I48" s="148">
        <f t="shared" si="11"/>
        <v>0.28161098322238121</v>
      </c>
      <c r="J48" s="148">
        <f t="shared" si="4"/>
        <v>0.71838901677761879</v>
      </c>
      <c r="K48" s="148">
        <f t="shared" si="5"/>
        <v>3.0972818311874106E-2</v>
      </c>
      <c r="L48">
        <v>1</v>
      </c>
      <c r="M48">
        <f t="shared" si="6"/>
        <v>13579</v>
      </c>
      <c r="N48">
        <f t="shared" si="7"/>
        <v>34640</v>
      </c>
    </row>
    <row r="49" spans="1:14" x14ac:dyDescent="0.25">
      <c r="A49" t="s">
        <v>212</v>
      </c>
      <c r="B49">
        <v>3246</v>
      </c>
      <c r="C49">
        <v>3260</v>
      </c>
      <c r="D49">
        <v>22208</v>
      </c>
      <c r="E49">
        <v>32278</v>
      </c>
      <c r="F49">
        <f t="shared" si="8"/>
        <v>6506</v>
      </c>
      <c r="G49">
        <f t="shared" si="9"/>
        <v>54486</v>
      </c>
      <c r="H49">
        <f t="shared" si="10"/>
        <v>60992</v>
      </c>
      <c r="I49" s="148">
        <f t="shared" si="11"/>
        <v>0.10666972717733474</v>
      </c>
      <c r="J49" s="148">
        <f t="shared" si="4"/>
        <v>0.89333027282266531</v>
      </c>
      <c r="K49" s="148">
        <f t="shared" si="5"/>
        <v>4.871781115879828E-2</v>
      </c>
      <c r="L49">
        <v>1</v>
      </c>
      <c r="M49">
        <f t="shared" si="6"/>
        <v>6506</v>
      </c>
      <c r="N49">
        <f t="shared" si="7"/>
        <v>54486</v>
      </c>
    </row>
    <row r="50" spans="1:14" x14ac:dyDescent="0.25">
      <c r="A50" t="s">
        <v>213</v>
      </c>
      <c r="B50">
        <v>1518</v>
      </c>
      <c r="C50">
        <v>1336</v>
      </c>
      <c r="D50">
        <v>1508</v>
      </c>
      <c r="E50">
        <v>1439</v>
      </c>
      <c r="F50">
        <f t="shared" si="8"/>
        <v>2854</v>
      </c>
      <c r="G50">
        <f t="shared" si="9"/>
        <v>2947</v>
      </c>
      <c r="H50">
        <f t="shared" si="10"/>
        <v>5801</v>
      </c>
      <c r="I50" s="148">
        <f t="shared" si="11"/>
        <v>0.49198414066540253</v>
      </c>
      <c r="J50" s="148">
        <f t="shared" si="4"/>
        <v>0.50801585933459747</v>
      </c>
      <c r="K50" s="148">
        <f t="shared" si="5"/>
        <v>2.635014306151645E-3</v>
      </c>
      <c r="L50">
        <v>0</v>
      </c>
      <c r="M50">
        <f t="shared" si="6"/>
        <v>0</v>
      </c>
      <c r="N50">
        <f t="shared" si="7"/>
        <v>0</v>
      </c>
    </row>
    <row r="51" spans="1:14" x14ac:dyDescent="0.25">
      <c r="A51" t="s">
        <v>214</v>
      </c>
      <c r="B51">
        <v>513</v>
      </c>
      <c r="C51">
        <v>478</v>
      </c>
      <c r="D51">
        <v>2979</v>
      </c>
      <c r="E51">
        <v>4437</v>
      </c>
      <c r="F51">
        <f t="shared" si="8"/>
        <v>991</v>
      </c>
      <c r="G51">
        <f t="shared" si="9"/>
        <v>7416</v>
      </c>
      <c r="H51">
        <f t="shared" si="10"/>
        <v>8407</v>
      </c>
      <c r="I51" s="148">
        <f t="shared" si="11"/>
        <v>0.11787795884382063</v>
      </c>
      <c r="J51" s="148">
        <f t="shared" si="4"/>
        <v>0.88212204115617943</v>
      </c>
      <c r="K51" s="148">
        <f t="shared" si="5"/>
        <v>6.6309012875536482E-3</v>
      </c>
      <c r="L51">
        <v>1</v>
      </c>
      <c r="M51">
        <f t="shared" si="6"/>
        <v>991</v>
      </c>
      <c r="N51">
        <f t="shared" si="7"/>
        <v>7416</v>
      </c>
    </row>
    <row r="52" spans="1:14" x14ac:dyDescent="0.25">
      <c r="A52" t="s">
        <v>257</v>
      </c>
      <c r="B52">
        <v>1209</v>
      </c>
      <c r="C52">
        <v>897</v>
      </c>
      <c r="D52">
        <v>3266</v>
      </c>
      <c r="E52">
        <v>4310</v>
      </c>
      <c r="F52">
        <f t="shared" si="8"/>
        <v>2106</v>
      </c>
      <c r="G52">
        <f t="shared" si="9"/>
        <v>7576</v>
      </c>
      <c r="H52">
        <f t="shared" si="10"/>
        <v>9682</v>
      </c>
      <c r="I52" s="148">
        <f t="shared" si="11"/>
        <v>0.21751704193348481</v>
      </c>
      <c r="J52" s="148">
        <f t="shared" si="4"/>
        <v>0.78248295806651513</v>
      </c>
      <c r="K52" s="148">
        <f t="shared" si="5"/>
        <v>6.7739628040057228E-3</v>
      </c>
      <c r="L52">
        <v>0</v>
      </c>
      <c r="M52">
        <f t="shared" si="6"/>
        <v>0</v>
      </c>
      <c r="N52">
        <f t="shared" si="7"/>
        <v>0</v>
      </c>
    </row>
    <row r="53" spans="1:14" x14ac:dyDescent="0.25">
      <c r="A53" t="s">
        <v>215</v>
      </c>
      <c r="B53">
        <v>1917</v>
      </c>
      <c r="C53">
        <v>1693</v>
      </c>
      <c r="D53">
        <v>1464</v>
      </c>
      <c r="E53">
        <v>1297</v>
      </c>
      <c r="F53">
        <f t="shared" si="8"/>
        <v>3610</v>
      </c>
      <c r="G53">
        <f t="shared" si="9"/>
        <v>2761</v>
      </c>
      <c r="H53">
        <f t="shared" si="10"/>
        <v>6371</v>
      </c>
      <c r="I53" s="148">
        <f t="shared" si="11"/>
        <v>0.56663004237953229</v>
      </c>
      <c r="J53" s="148">
        <f t="shared" si="4"/>
        <v>0.43336995762046776</v>
      </c>
      <c r="K53" s="148">
        <f t="shared" si="5"/>
        <v>2.4687052932761086E-3</v>
      </c>
      <c r="L53">
        <v>0</v>
      </c>
      <c r="M53">
        <f t="shared" si="6"/>
        <v>0</v>
      </c>
      <c r="N53">
        <f t="shared" si="7"/>
        <v>0</v>
      </c>
    </row>
    <row r="54" spans="1:14" x14ac:dyDescent="0.25">
      <c r="A54" t="s">
        <v>216</v>
      </c>
      <c r="B54">
        <v>1074</v>
      </c>
      <c r="C54">
        <v>948</v>
      </c>
      <c r="D54">
        <v>883</v>
      </c>
      <c r="E54">
        <v>645</v>
      </c>
      <c r="F54">
        <f t="shared" si="8"/>
        <v>2022</v>
      </c>
      <c r="G54">
        <f t="shared" si="9"/>
        <v>1528</v>
      </c>
      <c r="H54">
        <f t="shared" si="10"/>
        <v>3550</v>
      </c>
      <c r="I54" s="148">
        <f t="shared" si="11"/>
        <v>0.56957746478873239</v>
      </c>
      <c r="J54" s="148">
        <f t="shared" si="4"/>
        <v>0.43042253521126761</v>
      </c>
      <c r="K54" s="148">
        <f t="shared" si="5"/>
        <v>1.3662374821173104E-3</v>
      </c>
      <c r="L54">
        <v>1</v>
      </c>
      <c r="M54">
        <f t="shared" si="6"/>
        <v>2022</v>
      </c>
      <c r="N54">
        <f t="shared" si="7"/>
        <v>1528</v>
      </c>
    </row>
    <row r="55" spans="1:14" x14ac:dyDescent="0.25">
      <c r="A55" t="s">
        <v>285</v>
      </c>
      <c r="B55">
        <v>61</v>
      </c>
      <c r="C55">
        <v>39</v>
      </c>
      <c r="D55">
        <v>6264</v>
      </c>
      <c r="E55">
        <v>7719</v>
      </c>
      <c r="F55">
        <f t="shared" si="8"/>
        <v>100</v>
      </c>
      <c r="G55">
        <f t="shared" si="9"/>
        <v>13983</v>
      </c>
      <c r="H55">
        <f t="shared" si="10"/>
        <v>14083</v>
      </c>
      <c r="I55" s="148">
        <f t="shared" si="11"/>
        <v>7.1007597812965985E-3</v>
      </c>
      <c r="J55" s="148">
        <f t="shared" si="4"/>
        <v>0.99289924021870335</v>
      </c>
      <c r="K55" s="148">
        <f t="shared" si="5"/>
        <v>1.2502682403433477E-2</v>
      </c>
      <c r="L55">
        <v>0</v>
      </c>
      <c r="M55">
        <f t="shared" si="6"/>
        <v>0</v>
      </c>
      <c r="N55">
        <f t="shared" si="7"/>
        <v>0</v>
      </c>
    </row>
    <row r="56" spans="1:14" x14ac:dyDescent="0.25">
      <c r="A56" t="s">
        <v>286</v>
      </c>
      <c r="B56">
        <v>121</v>
      </c>
      <c r="C56">
        <v>47</v>
      </c>
      <c r="D56">
        <v>11858</v>
      </c>
      <c r="E56">
        <v>13279</v>
      </c>
      <c r="F56">
        <f t="shared" si="8"/>
        <v>168</v>
      </c>
      <c r="G56">
        <f t="shared" si="9"/>
        <v>25137</v>
      </c>
      <c r="H56">
        <f t="shared" si="10"/>
        <v>25305</v>
      </c>
      <c r="I56" s="148">
        <f t="shared" si="11"/>
        <v>6.6390041493775932E-3</v>
      </c>
      <c r="J56" s="148">
        <f t="shared" si="4"/>
        <v>0.99336099585062243</v>
      </c>
      <c r="K56" s="148">
        <f t="shared" si="5"/>
        <v>2.2475858369098711E-2</v>
      </c>
      <c r="L56">
        <v>0</v>
      </c>
      <c r="M56">
        <f t="shared" si="6"/>
        <v>0</v>
      </c>
      <c r="N56">
        <f t="shared" si="7"/>
        <v>0</v>
      </c>
    </row>
    <row r="57" spans="1:14" x14ac:dyDescent="0.25">
      <c r="A57" t="s">
        <v>261</v>
      </c>
      <c r="B57" s="74">
        <v>671</v>
      </c>
      <c r="C57" s="74">
        <v>589</v>
      </c>
      <c r="D57" s="74">
        <v>1529</v>
      </c>
      <c r="E57" s="74">
        <v>1348</v>
      </c>
      <c r="F57">
        <f t="shared" si="8"/>
        <v>1260</v>
      </c>
      <c r="G57">
        <f t="shared" si="9"/>
        <v>2877</v>
      </c>
      <c r="H57">
        <f t="shared" si="10"/>
        <v>4137</v>
      </c>
      <c r="I57" s="148">
        <f t="shared" si="11"/>
        <v>0.30456852791878175</v>
      </c>
      <c r="J57" s="148">
        <f t="shared" si="4"/>
        <v>0.69543147208121825</v>
      </c>
      <c r="K57" s="148">
        <f t="shared" si="5"/>
        <v>2.5724248927038625E-3</v>
      </c>
      <c r="L57">
        <v>1</v>
      </c>
      <c r="M57">
        <f t="shared" si="6"/>
        <v>1260</v>
      </c>
      <c r="N57">
        <f t="shared" si="7"/>
        <v>2877</v>
      </c>
    </row>
    <row r="58" spans="1:14" x14ac:dyDescent="0.25">
      <c r="A58" t="s">
        <v>258</v>
      </c>
      <c r="B58">
        <v>863</v>
      </c>
      <c r="C58">
        <v>747</v>
      </c>
      <c r="D58">
        <v>5022</v>
      </c>
      <c r="E58">
        <v>6996</v>
      </c>
      <c r="F58">
        <f t="shared" si="8"/>
        <v>1610</v>
      </c>
      <c r="G58">
        <f t="shared" si="9"/>
        <v>12018</v>
      </c>
      <c r="H58">
        <f t="shared" si="10"/>
        <v>13628</v>
      </c>
      <c r="I58" s="148">
        <f t="shared" si="11"/>
        <v>0.11813912533020253</v>
      </c>
      <c r="J58" s="148">
        <f t="shared" si="4"/>
        <v>0.88186087466979746</v>
      </c>
      <c r="K58" s="148">
        <f t="shared" si="5"/>
        <v>1.0745708154506439E-2</v>
      </c>
      <c r="L58">
        <v>1</v>
      </c>
      <c r="M58">
        <f t="shared" si="6"/>
        <v>1610</v>
      </c>
      <c r="N58">
        <f t="shared" si="7"/>
        <v>12018</v>
      </c>
    </row>
    <row r="59" spans="1:14" x14ac:dyDescent="0.25">
      <c r="A59" t="s">
        <v>217</v>
      </c>
      <c r="B59">
        <v>4408</v>
      </c>
      <c r="C59">
        <v>4034</v>
      </c>
      <c r="D59">
        <v>5370</v>
      </c>
      <c r="E59">
        <v>4519</v>
      </c>
      <c r="F59">
        <f t="shared" si="8"/>
        <v>8442</v>
      </c>
      <c r="G59">
        <f t="shared" si="9"/>
        <v>9889</v>
      </c>
      <c r="H59">
        <f t="shared" si="10"/>
        <v>18331</v>
      </c>
      <c r="I59" s="148">
        <f t="shared" si="11"/>
        <v>0.4605313403524085</v>
      </c>
      <c r="J59" s="148">
        <f t="shared" si="4"/>
        <v>0.5394686596475915</v>
      </c>
      <c r="K59" s="148">
        <f t="shared" si="5"/>
        <v>8.8420958512160225E-3</v>
      </c>
      <c r="L59">
        <v>1</v>
      </c>
      <c r="M59">
        <f t="shared" si="6"/>
        <v>8442</v>
      </c>
      <c r="N59">
        <f t="shared" si="7"/>
        <v>9889</v>
      </c>
    </row>
    <row r="60" spans="1:14" x14ac:dyDescent="0.25">
      <c r="A60" t="s">
        <v>262</v>
      </c>
      <c r="B60">
        <v>601</v>
      </c>
      <c r="C60">
        <v>479</v>
      </c>
      <c r="D60">
        <v>8465</v>
      </c>
      <c r="E60">
        <v>11131</v>
      </c>
      <c r="F60">
        <f t="shared" si="8"/>
        <v>1080</v>
      </c>
      <c r="G60">
        <f t="shared" si="9"/>
        <v>19596</v>
      </c>
      <c r="H60">
        <f t="shared" si="10"/>
        <v>20676</v>
      </c>
      <c r="I60" s="148">
        <f t="shared" si="11"/>
        <v>5.2234474753337201E-2</v>
      </c>
      <c r="J60" s="148">
        <f t="shared" si="4"/>
        <v>0.9477655252466628</v>
      </c>
      <c r="K60" s="148">
        <f t="shared" si="5"/>
        <v>1.7521459227467812E-2</v>
      </c>
      <c r="L60">
        <v>0</v>
      </c>
      <c r="M60">
        <f t="shared" si="6"/>
        <v>0</v>
      </c>
      <c r="N60">
        <f t="shared" si="7"/>
        <v>0</v>
      </c>
    </row>
    <row r="61" spans="1:14" x14ac:dyDescent="0.25">
      <c r="A61" t="s">
        <v>293</v>
      </c>
      <c r="B61">
        <v>1645</v>
      </c>
      <c r="C61">
        <v>1498</v>
      </c>
      <c r="D61">
        <v>2394</v>
      </c>
      <c r="E61">
        <v>2382</v>
      </c>
      <c r="F61">
        <f t="shared" si="8"/>
        <v>3143</v>
      </c>
      <c r="G61">
        <f t="shared" si="9"/>
        <v>4776</v>
      </c>
      <c r="H61">
        <f t="shared" si="10"/>
        <v>7919</v>
      </c>
      <c r="I61" s="148">
        <f t="shared" si="11"/>
        <v>0.3968935471650461</v>
      </c>
      <c r="J61" s="148">
        <f t="shared" si="4"/>
        <v>0.6031064528349539</v>
      </c>
      <c r="K61" s="148">
        <f t="shared" si="5"/>
        <v>4.270386266094421E-3</v>
      </c>
      <c r="L61">
        <v>1</v>
      </c>
      <c r="M61">
        <f t="shared" si="6"/>
        <v>3143</v>
      </c>
      <c r="N61">
        <f t="shared" si="7"/>
        <v>4776</v>
      </c>
    </row>
    <row r="62" spans="1:14" x14ac:dyDescent="0.25">
      <c r="A62" t="s">
        <v>219</v>
      </c>
      <c r="B62">
        <v>937</v>
      </c>
      <c r="C62">
        <v>875</v>
      </c>
      <c r="D62">
        <v>1562</v>
      </c>
      <c r="E62">
        <v>1508</v>
      </c>
      <c r="F62">
        <f t="shared" si="8"/>
        <v>1812</v>
      </c>
      <c r="G62">
        <f t="shared" si="9"/>
        <v>3070</v>
      </c>
      <c r="H62">
        <f t="shared" si="10"/>
        <v>4882</v>
      </c>
      <c r="I62" s="148">
        <f t="shared" si="11"/>
        <v>0.37115936091765672</v>
      </c>
      <c r="J62" s="148">
        <f t="shared" si="4"/>
        <v>0.62884063908234333</v>
      </c>
      <c r="K62" s="148">
        <f t="shared" si="5"/>
        <v>2.7449928469241774E-3</v>
      </c>
      <c r="L62">
        <v>1</v>
      </c>
      <c r="M62">
        <f t="shared" si="6"/>
        <v>1812</v>
      </c>
      <c r="N62">
        <f t="shared" si="7"/>
        <v>3070</v>
      </c>
    </row>
    <row r="63" spans="1:14" x14ac:dyDescent="0.25">
      <c r="A63" t="s">
        <v>220</v>
      </c>
      <c r="B63">
        <v>1139</v>
      </c>
      <c r="C63">
        <v>1088</v>
      </c>
      <c r="D63">
        <v>896</v>
      </c>
      <c r="E63">
        <v>734</v>
      </c>
      <c r="F63">
        <f t="shared" si="8"/>
        <v>2227</v>
      </c>
      <c r="G63">
        <f t="shared" si="9"/>
        <v>1630</v>
      </c>
      <c r="H63">
        <f t="shared" si="10"/>
        <v>3857</v>
      </c>
      <c r="I63" s="148">
        <f t="shared" si="11"/>
        <v>0.57739175525019448</v>
      </c>
      <c r="J63" s="148">
        <f t="shared" si="4"/>
        <v>0.42260824474980557</v>
      </c>
      <c r="K63" s="148">
        <f t="shared" si="5"/>
        <v>1.4574391988555078E-3</v>
      </c>
      <c r="L63">
        <v>0</v>
      </c>
      <c r="M63">
        <f t="shared" si="6"/>
        <v>0</v>
      </c>
      <c r="N63">
        <f t="shared" si="7"/>
        <v>0</v>
      </c>
    </row>
    <row r="64" spans="1:14" x14ac:dyDescent="0.25">
      <c r="A64" t="s">
        <v>221</v>
      </c>
      <c r="B64">
        <v>1771</v>
      </c>
      <c r="C64">
        <v>1695</v>
      </c>
      <c r="D64">
        <v>1683</v>
      </c>
      <c r="E64">
        <v>1645</v>
      </c>
      <c r="F64">
        <f t="shared" si="8"/>
        <v>3466</v>
      </c>
      <c r="G64">
        <f t="shared" si="9"/>
        <v>3328</v>
      </c>
      <c r="H64">
        <f t="shared" si="10"/>
        <v>6794</v>
      </c>
      <c r="I64" s="148">
        <f t="shared" si="11"/>
        <v>0.51015602001766269</v>
      </c>
      <c r="J64" s="148">
        <f t="shared" si="4"/>
        <v>0.48984397998233736</v>
      </c>
      <c r="K64" s="148">
        <f t="shared" si="5"/>
        <v>2.9756795422031476E-3</v>
      </c>
      <c r="L64">
        <v>1</v>
      </c>
      <c r="M64">
        <f t="shared" si="6"/>
        <v>3466</v>
      </c>
      <c r="N64">
        <f t="shared" si="7"/>
        <v>3328</v>
      </c>
    </row>
    <row r="65" spans="1:14" x14ac:dyDescent="0.25">
      <c r="A65" t="s">
        <v>263</v>
      </c>
      <c r="B65">
        <v>92</v>
      </c>
      <c r="C65">
        <v>65</v>
      </c>
      <c r="D65">
        <v>3958</v>
      </c>
      <c r="E65">
        <v>5616</v>
      </c>
      <c r="F65">
        <f t="shared" si="8"/>
        <v>157</v>
      </c>
      <c r="G65">
        <f t="shared" si="9"/>
        <v>9574</v>
      </c>
      <c r="H65">
        <f t="shared" si="10"/>
        <v>9731</v>
      </c>
      <c r="I65" s="148">
        <f t="shared" si="11"/>
        <v>1.613400472716062E-2</v>
      </c>
      <c r="J65" s="148">
        <f t="shared" si="4"/>
        <v>0.98386599527283936</v>
      </c>
      <c r="K65" s="148">
        <f t="shared" si="5"/>
        <v>8.5604434907010016E-3</v>
      </c>
      <c r="L65">
        <v>0</v>
      </c>
      <c r="M65">
        <f t="shared" si="6"/>
        <v>0</v>
      </c>
      <c r="N65">
        <f t="shared" si="7"/>
        <v>0</v>
      </c>
    </row>
    <row r="66" spans="1:14" x14ac:dyDescent="0.25">
      <c r="A66" t="s">
        <v>264</v>
      </c>
      <c r="B66">
        <v>735</v>
      </c>
      <c r="C66">
        <v>544</v>
      </c>
      <c r="D66">
        <v>3788</v>
      </c>
      <c r="E66">
        <v>3749</v>
      </c>
      <c r="F66">
        <f t="shared" ref="F66:F97" si="12">SUM(B66:C66)</f>
        <v>1279</v>
      </c>
      <c r="G66">
        <f t="shared" ref="G66:G97" si="13">SUM(D66:E66)</f>
        <v>7537</v>
      </c>
      <c r="H66">
        <f t="shared" ref="H66:H97" si="14">SUM(B66:E66)</f>
        <v>8816</v>
      </c>
      <c r="I66" s="148">
        <f t="shared" ref="I66:I97" si="15">F66/H66</f>
        <v>0.14507713248638837</v>
      </c>
      <c r="J66" s="148">
        <f t="shared" si="4"/>
        <v>0.85492286751361157</v>
      </c>
      <c r="K66" s="148">
        <f t="shared" si="5"/>
        <v>6.7390915593705291E-3</v>
      </c>
      <c r="L66">
        <v>0</v>
      </c>
      <c r="M66">
        <f t="shared" si="6"/>
        <v>0</v>
      </c>
      <c r="N66">
        <f t="shared" si="7"/>
        <v>0</v>
      </c>
    </row>
    <row r="67" spans="1:14" x14ac:dyDescent="0.25">
      <c r="A67" t="s">
        <v>265</v>
      </c>
      <c r="B67">
        <v>93</v>
      </c>
      <c r="C67">
        <v>67</v>
      </c>
      <c r="D67">
        <v>5409</v>
      </c>
      <c r="E67">
        <v>7704</v>
      </c>
      <c r="F67">
        <f t="shared" si="12"/>
        <v>160</v>
      </c>
      <c r="G67">
        <f t="shared" si="13"/>
        <v>13113</v>
      </c>
      <c r="H67">
        <f t="shared" si="14"/>
        <v>13273</v>
      </c>
      <c r="I67" s="148">
        <f t="shared" si="15"/>
        <v>1.205454682438032E-2</v>
      </c>
      <c r="J67" s="148">
        <f t="shared" ref="J67:J117" si="16">G67/H67</f>
        <v>0.98794545317561966</v>
      </c>
      <c r="K67" s="148">
        <f t="shared" ref="K67:K117" si="17">G67/$G$118</f>
        <v>1.1724785407725322E-2</v>
      </c>
      <c r="L67">
        <v>0</v>
      </c>
      <c r="M67">
        <f t="shared" ref="M67:M117" si="18">L67*F67</f>
        <v>0</v>
      </c>
      <c r="N67">
        <f t="shared" ref="N67:N117" si="19">L67*G67</f>
        <v>0</v>
      </c>
    </row>
    <row r="68" spans="1:14" x14ac:dyDescent="0.25">
      <c r="A68" t="s">
        <v>266</v>
      </c>
      <c r="B68">
        <v>124</v>
      </c>
      <c r="C68">
        <v>87</v>
      </c>
      <c r="D68">
        <v>7512</v>
      </c>
      <c r="E68">
        <v>11657</v>
      </c>
      <c r="F68">
        <f t="shared" si="12"/>
        <v>211</v>
      </c>
      <c r="G68">
        <f t="shared" si="13"/>
        <v>19169</v>
      </c>
      <c r="H68">
        <f t="shared" si="14"/>
        <v>19380</v>
      </c>
      <c r="I68" s="148">
        <f t="shared" si="15"/>
        <v>1.0887512899896801E-2</v>
      </c>
      <c r="J68" s="148">
        <f t="shared" si="16"/>
        <v>0.98911248710010324</v>
      </c>
      <c r="K68" s="148">
        <f t="shared" si="17"/>
        <v>1.7139663805436339E-2</v>
      </c>
      <c r="L68">
        <v>0</v>
      </c>
      <c r="M68">
        <f t="shared" si="18"/>
        <v>0</v>
      </c>
      <c r="N68">
        <f t="shared" si="19"/>
        <v>0</v>
      </c>
    </row>
    <row r="69" spans="1:14" x14ac:dyDescent="0.25">
      <c r="A69" t="s">
        <v>273</v>
      </c>
      <c r="B69">
        <v>99</v>
      </c>
      <c r="C69">
        <v>61</v>
      </c>
      <c r="D69">
        <v>8714</v>
      </c>
      <c r="E69">
        <v>11176</v>
      </c>
      <c r="F69">
        <f t="shared" si="12"/>
        <v>160</v>
      </c>
      <c r="G69">
        <f t="shared" si="13"/>
        <v>19890</v>
      </c>
      <c r="H69">
        <f t="shared" si="14"/>
        <v>20050</v>
      </c>
      <c r="I69" s="148">
        <f t="shared" si="15"/>
        <v>7.9800498753117202E-3</v>
      </c>
      <c r="J69" s="148">
        <f t="shared" si="16"/>
        <v>0.99201995012468824</v>
      </c>
      <c r="K69" s="148">
        <f t="shared" si="17"/>
        <v>1.7784334763948497E-2</v>
      </c>
      <c r="L69">
        <v>0</v>
      </c>
      <c r="M69">
        <f t="shared" si="18"/>
        <v>0</v>
      </c>
      <c r="N69">
        <f t="shared" si="19"/>
        <v>0</v>
      </c>
    </row>
    <row r="70" spans="1:14" x14ac:dyDescent="0.25">
      <c r="A70" t="s">
        <v>222</v>
      </c>
      <c r="B70">
        <v>546</v>
      </c>
      <c r="C70">
        <v>534</v>
      </c>
      <c r="D70">
        <v>967</v>
      </c>
      <c r="E70">
        <v>793</v>
      </c>
      <c r="F70">
        <f t="shared" si="12"/>
        <v>1080</v>
      </c>
      <c r="G70">
        <f t="shared" si="13"/>
        <v>1760</v>
      </c>
      <c r="H70">
        <f t="shared" si="14"/>
        <v>2840</v>
      </c>
      <c r="I70" s="148">
        <f t="shared" si="15"/>
        <v>0.38028169014084506</v>
      </c>
      <c r="J70" s="148">
        <f t="shared" si="16"/>
        <v>0.61971830985915488</v>
      </c>
      <c r="K70" s="148">
        <f t="shared" si="17"/>
        <v>1.5736766809728183E-3</v>
      </c>
      <c r="L70">
        <v>0</v>
      </c>
      <c r="M70">
        <f t="shared" si="18"/>
        <v>0</v>
      </c>
      <c r="N70">
        <f t="shared" si="19"/>
        <v>0</v>
      </c>
    </row>
    <row r="71" spans="1:14" x14ac:dyDescent="0.25">
      <c r="A71" t="s">
        <v>223</v>
      </c>
      <c r="B71">
        <v>1587</v>
      </c>
      <c r="C71">
        <v>1214</v>
      </c>
      <c r="D71">
        <v>4603</v>
      </c>
      <c r="E71">
        <v>4702</v>
      </c>
      <c r="F71">
        <f t="shared" si="12"/>
        <v>2801</v>
      </c>
      <c r="G71">
        <f t="shared" si="13"/>
        <v>9305</v>
      </c>
      <c r="H71">
        <f t="shared" si="14"/>
        <v>12106</v>
      </c>
      <c r="I71" s="148">
        <f t="shared" si="15"/>
        <v>0.23137287295555922</v>
      </c>
      <c r="J71" s="148">
        <f t="shared" si="16"/>
        <v>0.76862712704444081</v>
      </c>
      <c r="K71" s="148">
        <f t="shared" si="17"/>
        <v>8.319921316165952E-3</v>
      </c>
      <c r="L71">
        <v>1</v>
      </c>
      <c r="M71">
        <f t="shared" si="18"/>
        <v>2801</v>
      </c>
      <c r="N71">
        <f t="shared" si="19"/>
        <v>9305</v>
      </c>
    </row>
    <row r="72" spans="1:14" x14ac:dyDescent="0.25">
      <c r="A72" t="s">
        <v>287</v>
      </c>
      <c r="B72">
        <v>83</v>
      </c>
      <c r="C72">
        <v>37</v>
      </c>
      <c r="D72">
        <v>9026</v>
      </c>
      <c r="E72">
        <v>11373</v>
      </c>
      <c r="F72">
        <f t="shared" si="12"/>
        <v>120</v>
      </c>
      <c r="G72">
        <f t="shared" si="13"/>
        <v>20399</v>
      </c>
      <c r="H72">
        <f t="shared" si="14"/>
        <v>20519</v>
      </c>
      <c r="I72" s="148">
        <f t="shared" si="15"/>
        <v>5.8482382182367563E-3</v>
      </c>
      <c r="J72" s="148">
        <f t="shared" si="16"/>
        <v>0.99415176178176323</v>
      </c>
      <c r="K72" s="148">
        <f t="shared" si="17"/>
        <v>1.823944921316166E-2</v>
      </c>
      <c r="L72">
        <v>0</v>
      </c>
      <c r="M72">
        <f t="shared" si="18"/>
        <v>0</v>
      </c>
      <c r="N72">
        <f t="shared" si="19"/>
        <v>0</v>
      </c>
    </row>
    <row r="73" spans="1:14" x14ac:dyDescent="0.25">
      <c r="A73" t="s">
        <v>280</v>
      </c>
      <c r="B73">
        <v>113</v>
      </c>
      <c r="C73">
        <v>94</v>
      </c>
      <c r="D73">
        <v>7305</v>
      </c>
      <c r="E73">
        <v>11811</v>
      </c>
      <c r="F73">
        <f t="shared" si="12"/>
        <v>207</v>
      </c>
      <c r="G73">
        <f t="shared" si="13"/>
        <v>19116</v>
      </c>
      <c r="H73">
        <f t="shared" si="14"/>
        <v>19323</v>
      </c>
      <c r="I73" s="148">
        <f t="shared" si="15"/>
        <v>1.0712622263623661E-2</v>
      </c>
      <c r="J73" s="148">
        <f t="shared" si="16"/>
        <v>0.98928737773637632</v>
      </c>
      <c r="K73" s="148">
        <f t="shared" si="17"/>
        <v>1.7092274678111589E-2</v>
      </c>
      <c r="L73">
        <v>0</v>
      </c>
      <c r="M73">
        <f t="shared" si="18"/>
        <v>0</v>
      </c>
      <c r="N73">
        <f t="shared" si="19"/>
        <v>0</v>
      </c>
    </row>
    <row r="74" spans="1:14" x14ac:dyDescent="0.25">
      <c r="A74" t="s">
        <v>224</v>
      </c>
      <c r="B74" s="74">
        <v>5397</v>
      </c>
      <c r="C74" s="74">
        <v>5222</v>
      </c>
      <c r="D74" s="74">
        <v>5308</v>
      </c>
      <c r="E74" s="74">
        <v>5350</v>
      </c>
      <c r="F74">
        <f t="shared" si="12"/>
        <v>10619</v>
      </c>
      <c r="G74">
        <f t="shared" si="13"/>
        <v>10658</v>
      </c>
      <c r="H74">
        <f t="shared" si="14"/>
        <v>21277</v>
      </c>
      <c r="I74" s="148">
        <f t="shared" si="15"/>
        <v>0.49908351741316914</v>
      </c>
      <c r="J74" s="148">
        <f t="shared" si="16"/>
        <v>0.50091648258683086</v>
      </c>
      <c r="K74" s="148">
        <f t="shared" si="17"/>
        <v>9.529685264663806E-3</v>
      </c>
      <c r="L74">
        <v>1</v>
      </c>
      <c r="M74">
        <f t="shared" si="18"/>
        <v>10619</v>
      </c>
      <c r="N74">
        <f t="shared" si="19"/>
        <v>10658</v>
      </c>
    </row>
    <row r="75" spans="1:14" x14ac:dyDescent="0.25">
      <c r="A75" t="s">
        <v>225</v>
      </c>
      <c r="B75">
        <v>3724</v>
      </c>
      <c r="C75">
        <v>4052</v>
      </c>
      <c r="D75">
        <v>5345</v>
      </c>
      <c r="E75">
        <v>5280</v>
      </c>
      <c r="F75">
        <f t="shared" si="12"/>
        <v>7776</v>
      </c>
      <c r="G75">
        <f t="shared" si="13"/>
        <v>10625</v>
      </c>
      <c r="H75">
        <f t="shared" si="14"/>
        <v>18401</v>
      </c>
      <c r="I75" s="148">
        <f t="shared" si="15"/>
        <v>0.42258572903646541</v>
      </c>
      <c r="J75" s="148">
        <f t="shared" si="16"/>
        <v>0.57741427096353459</v>
      </c>
      <c r="K75" s="148">
        <f t="shared" si="17"/>
        <v>9.5001788268955657E-3</v>
      </c>
      <c r="L75">
        <v>1</v>
      </c>
      <c r="M75">
        <f t="shared" si="18"/>
        <v>7776</v>
      </c>
      <c r="N75">
        <f t="shared" si="19"/>
        <v>10625</v>
      </c>
    </row>
    <row r="76" spans="1:14" x14ac:dyDescent="0.25">
      <c r="A76" t="s">
        <v>226</v>
      </c>
      <c r="B76">
        <v>530</v>
      </c>
      <c r="C76">
        <v>454</v>
      </c>
      <c r="D76">
        <v>4101</v>
      </c>
      <c r="E76">
        <v>5826</v>
      </c>
      <c r="F76">
        <f t="shared" si="12"/>
        <v>984</v>
      </c>
      <c r="G76">
        <f t="shared" si="13"/>
        <v>9927</v>
      </c>
      <c r="H76">
        <f t="shared" si="14"/>
        <v>10911</v>
      </c>
      <c r="I76" s="148">
        <f t="shared" si="15"/>
        <v>9.0184217761891672E-2</v>
      </c>
      <c r="J76" s="148">
        <f t="shared" si="16"/>
        <v>0.90981578223810833</v>
      </c>
      <c r="K76" s="148">
        <f t="shared" si="17"/>
        <v>8.8760729613733911E-3</v>
      </c>
      <c r="L76">
        <v>0</v>
      </c>
      <c r="M76">
        <f t="shared" si="18"/>
        <v>0</v>
      </c>
      <c r="N76">
        <f t="shared" si="19"/>
        <v>0</v>
      </c>
    </row>
    <row r="77" spans="1:14" x14ac:dyDescent="0.25">
      <c r="A77" t="s">
        <v>227</v>
      </c>
      <c r="B77">
        <v>846</v>
      </c>
      <c r="C77">
        <v>841</v>
      </c>
      <c r="D77">
        <v>911</v>
      </c>
      <c r="E77">
        <v>753</v>
      </c>
      <c r="F77">
        <f t="shared" si="12"/>
        <v>1687</v>
      </c>
      <c r="G77">
        <f t="shared" si="13"/>
        <v>1664</v>
      </c>
      <c r="H77">
        <f t="shared" si="14"/>
        <v>3351</v>
      </c>
      <c r="I77" s="148">
        <f t="shared" si="15"/>
        <v>0.50343181139958226</v>
      </c>
      <c r="J77" s="148">
        <f t="shared" si="16"/>
        <v>0.49656818860041779</v>
      </c>
      <c r="K77" s="148">
        <f t="shared" si="17"/>
        <v>1.4878397711015738E-3</v>
      </c>
      <c r="L77">
        <v>1</v>
      </c>
      <c r="M77">
        <f t="shared" si="18"/>
        <v>1687</v>
      </c>
      <c r="N77">
        <f t="shared" si="19"/>
        <v>1664</v>
      </c>
    </row>
    <row r="78" spans="1:14" x14ac:dyDescent="0.25">
      <c r="A78" t="s">
        <v>228</v>
      </c>
      <c r="B78">
        <v>3095</v>
      </c>
      <c r="C78">
        <v>2918</v>
      </c>
      <c r="D78">
        <v>2033</v>
      </c>
      <c r="E78">
        <v>1858</v>
      </c>
      <c r="F78">
        <f t="shared" si="12"/>
        <v>6013</v>
      </c>
      <c r="G78">
        <f t="shared" si="13"/>
        <v>3891</v>
      </c>
      <c r="H78">
        <f t="shared" si="14"/>
        <v>9904</v>
      </c>
      <c r="I78" s="148">
        <f t="shared" si="15"/>
        <v>0.6071284329563813</v>
      </c>
      <c r="J78" s="148">
        <f t="shared" si="16"/>
        <v>0.39287156704361875</v>
      </c>
      <c r="K78" s="148">
        <f t="shared" si="17"/>
        <v>3.4790772532188839E-3</v>
      </c>
      <c r="L78">
        <v>1</v>
      </c>
      <c r="M78">
        <f t="shared" si="18"/>
        <v>6013</v>
      </c>
      <c r="N78">
        <f t="shared" si="19"/>
        <v>3891</v>
      </c>
    </row>
    <row r="79" spans="1:14" x14ac:dyDescent="0.25">
      <c r="A79" t="s">
        <v>229</v>
      </c>
      <c r="B79">
        <v>7029</v>
      </c>
      <c r="C79">
        <v>6769</v>
      </c>
      <c r="D79">
        <v>8551</v>
      </c>
      <c r="E79">
        <v>7247</v>
      </c>
      <c r="F79">
        <f t="shared" si="12"/>
        <v>13798</v>
      </c>
      <c r="G79">
        <f t="shared" si="13"/>
        <v>15798</v>
      </c>
      <c r="H79">
        <f t="shared" si="14"/>
        <v>29596</v>
      </c>
      <c r="I79" s="148">
        <f t="shared" si="15"/>
        <v>0.46621165022300309</v>
      </c>
      <c r="J79" s="148">
        <f t="shared" si="16"/>
        <v>0.53378834977699685</v>
      </c>
      <c r="K79" s="148">
        <f t="shared" si="17"/>
        <v>1.4125536480686695E-2</v>
      </c>
      <c r="L79">
        <v>1</v>
      </c>
      <c r="M79">
        <f t="shared" si="18"/>
        <v>13798</v>
      </c>
      <c r="N79">
        <f t="shared" si="19"/>
        <v>15798</v>
      </c>
    </row>
    <row r="80" spans="1:14" x14ac:dyDescent="0.25">
      <c r="A80" t="s">
        <v>230</v>
      </c>
      <c r="B80">
        <v>299</v>
      </c>
      <c r="C80">
        <v>129</v>
      </c>
      <c r="D80">
        <v>686</v>
      </c>
      <c r="E80">
        <v>712</v>
      </c>
      <c r="F80">
        <f t="shared" si="12"/>
        <v>428</v>
      </c>
      <c r="G80">
        <f t="shared" si="13"/>
        <v>1398</v>
      </c>
      <c r="H80">
        <f t="shared" si="14"/>
        <v>1826</v>
      </c>
      <c r="I80" s="148">
        <f t="shared" si="15"/>
        <v>0.23439211391018619</v>
      </c>
      <c r="J80" s="148">
        <f t="shared" si="16"/>
        <v>0.76560788608981378</v>
      </c>
      <c r="K80" s="148">
        <f t="shared" si="17"/>
        <v>1.25E-3</v>
      </c>
      <c r="L80">
        <v>1</v>
      </c>
      <c r="M80">
        <f t="shared" si="18"/>
        <v>428</v>
      </c>
      <c r="N80">
        <f t="shared" si="19"/>
        <v>1398</v>
      </c>
    </row>
    <row r="81" spans="1:14" x14ac:dyDescent="0.25">
      <c r="A81" t="s">
        <v>288</v>
      </c>
      <c r="B81" s="74">
        <v>126</v>
      </c>
      <c r="C81" s="74">
        <v>90</v>
      </c>
      <c r="D81" s="74">
        <v>4794</v>
      </c>
      <c r="E81" s="74">
        <v>5688</v>
      </c>
      <c r="F81">
        <f t="shared" si="12"/>
        <v>216</v>
      </c>
      <c r="G81">
        <f t="shared" si="13"/>
        <v>10482</v>
      </c>
      <c r="H81">
        <f t="shared" si="14"/>
        <v>10698</v>
      </c>
      <c r="I81" s="148">
        <f t="shared" si="15"/>
        <v>2.0190689848569827E-2</v>
      </c>
      <c r="J81" s="148">
        <f t="shared" si="16"/>
        <v>0.97980931015143014</v>
      </c>
      <c r="K81" s="148">
        <f t="shared" si="17"/>
        <v>9.3723175965665234E-3</v>
      </c>
      <c r="L81">
        <v>0</v>
      </c>
      <c r="M81">
        <f t="shared" si="18"/>
        <v>0</v>
      </c>
      <c r="N81">
        <f t="shared" si="19"/>
        <v>0</v>
      </c>
    </row>
    <row r="82" spans="1:14" x14ac:dyDescent="0.25">
      <c r="A82" t="s">
        <v>231</v>
      </c>
      <c r="B82">
        <v>1159</v>
      </c>
      <c r="C82">
        <v>946</v>
      </c>
      <c r="D82">
        <v>1260</v>
      </c>
      <c r="E82">
        <v>1136</v>
      </c>
      <c r="F82">
        <f t="shared" si="12"/>
        <v>2105</v>
      </c>
      <c r="G82">
        <f t="shared" si="13"/>
        <v>2396</v>
      </c>
      <c r="H82">
        <f t="shared" si="14"/>
        <v>4501</v>
      </c>
      <c r="I82" s="148">
        <f t="shared" si="15"/>
        <v>0.46767385025549879</v>
      </c>
      <c r="J82" s="148">
        <f t="shared" si="16"/>
        <v>0.53232614974450121</v>
      </c>
      <c r="K82" s="148">
        <f t="shared" si="17"/>
        <v>2.1423462088698141E-3</v>
      </c>
      <c r="L82">
        <v>1</v>
      </c>
      <c r="M82">
        <f t="shared" si="18"/>
        <v>2105</v>
      </c>
      <c r="N82">
        <f t="shared" si="19"/>
        <v>2396</v>
      </c>
    </row>
    <row r="83" spans="1:14" x14ac:dyDescent="0.25">
      <c r="A83" t="s">
        <v>232</v>
      </c>
      <c r="B83">
        <v>1146</v>
      </c>
      <c r="C83">
        <v>1061</v>
      </c>
      <c r="D83">
        <v>927</v>
      </c>
      <c r="E83">
        <v>805</v>
      </c>
      <c r="F83">
        <f t="shared" si="12"/>
        <v>2207</v>
      </c>
      <c r="G83">
        <f t="shared" si="13"/>
        <v>1732</v>
      </c>
      <c r="H83">
        <f t="shared" si="14"/>
        <v>3939</v>
      </c>
      <c r="I83" s="148">
        <f t="shared" si="15"/>
        <v>0.56029449098756035</v>
      </c>
      <c r="J83" s="148">
        <f t="shared" si="16"/>
        <v>0.43970550901243971</v>
      </c>
      <c r="K83" s="148">
        <f t="shared" si="17"/>
        <v>1.5486409155937052E-3</v>
      </c>
      <c r="L83">
        <v>1</v>
      </c>
      <c r="M83">
        <f t="shared" si="18"/>
        <v>2207</v>
      </c>
      <c r="N83">
        <f t="shared" si="19"/>
        <v>1732</v>
      </c>
    </row>
    <row r="84" spans="1:14" x14ac:dyDescent="0.25">
      <c r="A84" t="s">
        <v>233</v>
      </c>
      <c r="B84">
        <v>2232</v>
      </c>
      <c r="C84">
        <v>2334</v>
      </c>
      <c r="D84">
        <v>6254</v>
      </c>
      <c r="E84">
        <v>7837</v>
      </c>
      <c r="F84">
        <f t="shared" si="12"/>
        <v>4566</v>
      </c>
      <c r="G84">
        <f t="shared" si="13"/>
        <v>14091</v>
      </c>
      <c r="H84">
        <f t="shared" si="14"/>
        <v>18657</v>
      </c>
      <c r="I84" s="148">
        <f t="shared" si="15"/>
        <v>0.24473388004502331</v>
      </c>
      <c r="J84" s="148">
        <f t="shared" si="16"/>
        <v>0.75526611995497672</v>
      </c>
      <c r="K84" s="148">
        <f t="shared" si="17"/>
        <v>1.2599248927038627E-2</v>
      </c>
      <c r="L84">
        <v>1</v>
      </c>
      <c r="M84">
        <f t="shared" si="18"/>
        <v>4566</v>
      </c>
      <c r="N84">
        <f t="shared" si="19"/>
        <v>14091</v>
      </c>
    </row>
    <row r="85" spans="1:14" x14ac:dyDescent="0.25">
      <c r="A85" t="s">
        <v>267</v>
      </c>
      <c r="B85">
        <v>91</v>
      </c>
      <c r="C85">
        <v>67</v>
      </c>
      <c r="D85">
        <v>7185</v>
      </c>
      <c r="E85">
        <v>10305</v>
      </c>
      <c r="F85">
        <f t="shared" si="12"/>
        <v>158</v>
      </c>
      <c r="G85">
        <f t="shared" si="13"/>
        <v>17490</v>
      </c>
      <c r="H85">
        <f t="shared" si="14"/>
        <v>17648</v>
      </c>
      <c r="I85" s="148">
        <f t="shared" si="15"/>
        <v>8.9528558476881237E-3</v>
      </c>
      <c r="J85" s="148">
        <f t="shared" si="16"/>
        <v>0.99104714415231188</v>
      </c>
      <c r="K85" s="148">
        <f t="shared" si="17"/>
        <v>1.5638412017167383E-2</v>
      </c>
      <c r="L85">
        <v>0</v>
      </c>
      <c r="M85">
        <f t="shared" si="18"/>
        <v>0</v>
      </c>
      <c r="N85">
        <f t="shared" si="19"/>
        <v>0</v>
      </c>
    </row>
    <row r="86" spans="1:14" x14ac:dyDescent="0.25">
      <c r="A86" t="s">
        <v>234</v>
      </c>
      <c r="B86">
        <v>666</v>
      </c>
      <c r="C86">
        <v>619</v>
      </c>
      <c r="D86">
        <v>1099</v>
      </c>
      <c r="E86">
        <v>882</v>
      </c>
      <c r="F86">
        <f t="shared" si="12"/>
        <v>1285</v>
      </c>
      <c r="G86">
        <f t="shared" si="13"/>
        <v>1981</v>
      </c>
      <c r="H86">
        <f t="shared" si="14"/>
        <v>3266</v>
      </c>
      <c r="I86" s="148">
        <f t="shared" si="15"/>
        <v>0.39344764237599511</v>
      </c>
      <c r="J86" s="148">
        <f t="shared" si="16"/>
        <v>0.60655235762400495</v>
      </c>
      <c r="K86" s="148">
        <f t="shared" si="17"/>
        <v>1.771280400572246E-3</v>
      </c>
      <c r="L86">
        <v>1</v>
      </c>
      <c r="M86">
        <f t="shared" si="18"/>
        <v>1285</v>
      </c>
      <c r="N86">
        <f t="shared" si="19"/>
        <v>1981</v>
      </c>
    </row>
    <row r="87" spans="1:14" x14ac:dyDescent="0.25">
      <c r="A87" t="s">
        <v>235</v>
      </c>
      <c r="B87">
        <v>2690</v>
      </c>
      <c r="C87">
        <v>2575</v>
      </c>
      <c r="D87">
        <v>1751</v>
      </c>
      <c r="E87">
        <v>1715</v>
      </c>
      <c r="F87">
        <f t="shared" si="12"/>
        <v>5265</v>
      </c>
      <c r="G87">
        <f t="shared" si="13"/>
        <v>3466</v>
      </c>
      <c r="H87">
        <f t="shared" si="14"/>
        <v>8731</v>
      </c>
      <c r="I87" s="148">
        <f t="shared" si="15"/>
        <v>0.60302370862444166</v>
      </c>
      <c r="J87" s="148">
        <f t="shared" si="16"/>
        <v>0.39697629137555834</v>
      </c>
      <c r="K87" s="148">
        <f t="shared" si="17"/>
        <v>3.0990701001430616E-3</v>
      </c>
      <c r="L87">
        <v>1</v>
      </c>
      <c r="M87">
        <f t="shared" si="18"/>
        <v>5265</v>
      </c>
      <c r="N87">
        <f t="shared" si="19"/>
        <v>3466</v>
      </c>
    </row>
    <row r="88" spans="1:14" x14ac:dyDescent="0.25">
      <c r="A88" t="s">
        <v>236</v>
      </c>
      <c r="B88">
        <v>1778</v>
      </c>
      <c r="C88">
        <v>1724</v>
      </c>
      <c r="D88">
        <v>1585</v>
      </c>
      <c r="E88">
        <v>1476</v>
      </c>
      <c r="F88">
        <f t="shared" si="12"/>
        <v>3502</v>
      </c>
      <c r="G88">
        <f t="shared" si="13"/>
        <v>3061</v>
      </c>
      <c r="H88">
        <f t="shared" si="14"/>
        <v>6563</v>
      </c>
      <c r="I88" s="148">
        <f t="shared" si="15"/>
        <v>0.53359744019503275</v>
      </c>
      <c r="J88" s="148">
        <f t="shared" si="16"/>
        <v>0.46640255980496725</v>
      </c>
      <c r="K88" s="148">
        <f t="shared" si="17"/>
        <v>2.7369456366237483E-3</v>
      </c>
      <c r="L88">
        <v>1</v>
      </c>
      <c r="M88">
        <f t="shared" si="18"/>
        <v>3502</v>
      </c>
      <c r="N88">
        <f t="shared" si="19"/>
        <v>3061</v>
      </c>
    </row>
    <row r="89" spans="1:14" x14ac:dyDescent="0.25">
      <c r="A89" t="s">
        <v>237</v>
      </c>
      <c r="B89">
        <v>2489</v>
      </c>
      <c r="C89">
        <v>1341</v>
      </c>
      <c r="D89">
        <v>1359</v>
      </c>
      <c r="E89">
        <v>1195</v>
      </c>
      <c r="F89">
        <f t="shared" si="12"/>
        <v>3830</v>
      </c>
      <c r="G89">
        <f t="shared" si="13"/>
        <v>2554</v>
      </c>
      <c r="H89">
        <f t="shared" si="14"/>
        <v>6384</v>
      </c>
      <c r="I89" s="148">
        <f t="shared" si="15"/>
        <v>0.59993734335839599</v>
      </c>
      <c r="J89" s="148">
        <f t="shared" si="16"/>
        <v>0.40006265664160401</v>
      </c>
      <c r="K89" s="148">
        <f t="shared" si="17"/>
        <v>2.2836194563662375E-3</v>
      </c>
      <c r="L89">
        <v>1</v>
      </c>
      <c r="M89">
        <f t="shared" si="18"/>
        <v>3830</v>
      </c>
      <c r="N89">
        <f t="shared" si="19"/>
        <v>2554</v>
      </c>
    </row>
    <row r="90" spans="1:14" x14ac:dyDescent="0.25">
      <c r="A90" t="s">
        <v>238</v>
      </c>
      <c r="B90">
        <v>2386</v>
      </c>
      <c r="C90">
        <v>2161</v>
      </c>
      <c r="D90">
        <v>4071</v>
      </c>
      <c r="E90">
        <v>4080</v>
      </c>
      <c r="F90">
        <f t="shared" si="12"/>
        <v>4547</v>
      </c>
      <c r="G90">
        <f t="shared" si="13"/>
        <v>8151</v>
      </c>
      <c r="H90">
        <f t="shared" si="14"/>
        <v>12698</v>
      </c>
      <c r="I90" s="148">
        <f t="shared" si="15"/>
        <v>0.35808788785635531</v>
      </c>
      <c r="J90" s="148">
        <f t="shared" si="16"/>
        <v>0.64191211214364463</v>
      </c>
      <c r="K90" s="148">
        <f t="shared" si="17"/>
        <v>7.2880901287553645E-3</v>
      </c>
      <c r="L90">
        <v>1</v>
      </c>
      <c r="M90">
        <f t="shared" si="18"/>
        <v>4547</v>
      </c>
      <c r="N90">
        <f t="shared" si="19"/>
        <v>8151</v>
      </c>
    </row>
    <row r="91" spans="1:14" x14ac:dyDescent="0.25">
      <c r="A91" t="s">
        <v>274</v>
      </c>
      <c r="B91">
        <v>137</v>
      </c>
      <c r="C91">
        <v>113</v>
      </c>
      <c r="D91">
        <v>8466</v>
      </c>
      <c r="E91">
        <v>12215</v>
      </c>
      <c r="F91">
        <f t="shared" si="12"/>
        <v>250</v>
      </c>
      <c r="G91">
        <f t="shared" si="13"/>
        <v>20681</v>
      </c>
      <c r="H91">
        <f t="shared" si="14"/>
        <v>20931</v>
      </c>
      <c r="I91" s="148">
        <f t="shared" si="15"/>
        <v>1.1944006497539534E-2</v>
      </c>
      <c r="J91" s="148">
        <f t="shared" si="16"/>
        <v>0.98805599350246043</v>
      </c>
      <c r="K91" s="148">
        <f t="shared" si="17"/>
        <v>1.849159513590844E-2</v>
      </c>
      <c r="L91">
        <v>0</v>
      </c>
      <c r="M91">
        <f t="shared" si="18"/>
        <v>0</v>
      </c>
      <c r="N91">
        <f t="shared" si="19"/>
        <v>0</v>
      </c>
    </row>
    <row r="92" spans="1:14" x14ac:dyDescent="0.25">
      <c r="A92" t="s">
        <v>239</v>
      </c>
      <c r="B92">
        <v>2886</v>
      </c>
      <c r="C92">
        <v>2795</v>
      </c>
      <c r="D92">
        <v>4059</v>
      </c>
      <c r="E92">
        <v>3713</v>
      </c>
      <c r="F92">
        <f t="shared" si="12"/>
        <v>5681</v>
      </c>
      <c r="G92">
        <f t="shared" si="13"/>
        <v>7772</v>
      </c>
      <c r="H92">
        <f t="shared" si="14"/>
        <v>13453</v>
      </c>
      <c r="I92" s="148">
        <f t="shared" si="15"/>
        <v>0.42228499219504945</v>
      </c>
      <c r="J92" s="148">
        <f t="shared" si="16"/>
        <v>0.57771500780495055</v>
      </c>
      <c r="K92" s="148">
        <f t="shared" si="17"/>
        <v>6.949213161659514E-3</v>
      </c>
      <c r="L92">
        <v>1</v>
      </c>
      <c r="M92">
        <f t="shared" si="18"/>
        <v>5681</v>
      </c>
      <c r="N92">
        <f t="shared" si="19"/>
        <v>7772</v>
      </c>
    </row>
    <row r="93" spans="1:14" x14ac:dyDescent="0.25">
      <c r="A93" t="s">
        <v>240</v>
      </c>
      <c r="B93">
        <v>779</v>
      </c>
      <c r="C93">
        <v>743</v>
      </c>
      <c r="D93">
        <v>924</v>
      </c>
      <c r="E93">
        <v>829</v>
      </c>
      <c r="F93">
        <f t="shared" si="12"/>
        <v>1522</v>
      </c>
      <c r="G93">
        <f t="shared" si="13"/>
        <v>1753</v>
      </c>
      <c r="H93">
        <f t="shared" si="14"/>
        <v>3275</v>
      </c>
      <c r="I93" s="148">
        <f t="shared" si="15"/>
        <v>0.46473282442748093</v>
      </c>
      <c r="J93" s="148">
        <f t="shared" si="16"/>
        <v>0.53526717557251913</v>
      </c>
      <c r="K93" s="148">
        <f t="shared" si="17"/>
        <v>1.56741773962804E-3</v>
      </c>
      <c r="L93">
        <v>1</v>
      </c>
      <c r="M93">
        <f t="shared" si="18"/>
        <v>1522</v>
      </c>
      <c r="N93">
        <f t="shared" si="19"/>
        <v>1753</v>
      </c>
    </row>
    <row r="94" spans="1:14" x14ac:dyDescent="0.25">
      <c r="A94" t="s">
        <v>241</v>
      </c>
      <c r="B94">
        <v>965</v>
      </c>
      <c r="C94">
        <v>904</v>
      </c>
      <c r="D94">
        <v>1057</v>
      </c>
      <c r="E94">
        <v>949</v>
      </c>
      <c r="F94">
        <f t="shared" si="12"/>
        <v>1869</v>
      </c>
      <c r="G94">
        <f t="shared" si="13"/>
        <v>2006</v>
      </c>
      <c r="H94">
        <f t="shared" si="14"/>
        <v>3875</v>
      </c>
      <c r="I94" s="148">
        <f t="shared" si="15"/>
        <v>0.48232258064516131</v>
      </c>
      <c r="J94" s="148">
        <f t="shared" si="16"/>
        <v>0.51767741935483869</v>
      </c>
      <c r="K94" s="148">
        <f t="shared" si="17"/>
        <v>1.7936337625178826E-3</v>
      </c>
      <c r="L94">
        <v>1</v>
      </c>
      <c r="M94">
        <f t="shared" si="18"/>
        <v>1869</v>
      </c>
      <c r="N94">
        <f t="shared" si="19"/>
        <v>2006</v>
      </c>
    </row>
    <row r="95" spans="1:14" x14ac:dyDescent="0.25">
      <c r="A95" t="s">
        <v>242</v>
      </c>
      <c r="B95">
        <v>659</v>
      </c>
      <c r="C95">
        <v>576</v>
      </c>
      <c r="D95">
        <v>2157</v>
      </c>
      <c r="E95">
        <v>2683</v>
      </c>
      <c r="F95">
        <f t="shared" si="12"/>
        <v>1235</v>
      </c>
      <c r="G95">
        <f t="shared" si="13"/>
        <v>4840</v>
      </c>
      <c r="H95">
        <f t="shared" si="14"/>
        <v>6075</v>
      </c>
      <c r="I95" s="148">
        <f t="shared" si="15"/>
        <v>0.20329218106995886</v>
      </c>
      <c r="J95" s="148">
        <f t="shared" si="16"/>
        <v>0.79670781893004117</v>
      </c>
      <c r="K95" s="148">
        <f t="shared" si="17"/>
        <v>4.3276108726752506E-3</v>
      </c>
      <c r="L95">
        <v>0</v>
      </c>
      <c r="M95">
        <f t="shared" si="18"/>
        <v>0</v>
      </c>
      <c r="N95">
        <f t="shared" si="19"/>
        <v>0</v>
      </c>
    </row>
    <row r="96" spans="1:14" x14ac:dyDescent="0.25">
      <c r="A96" t="s">
        <v>243</v>
      </c>
      <c r="B96" s="74">
        <v>740</v>
      </c>
      <c r="C96" s="74">
        <v>701</v>
      </c>
      <c r="D96" s="74">
        <v>2490</v>
      </c>
      <c r="E96" s="74">
        <v>3195</v>
      </c>
      <c r="F96">
        <f t="shared" si="12"/>
        <v>1441</v>
      </c>
      <c r="G96">
        <f t="shared" si="13"/>
        <v>5685</v>
      </c>
      <c r="H96">
        <f t="shared" si="14"/>
        <v>7126</v>
      </c>
      <c r="I96" s="148">
        <f t="shared" si="15"/>
        <v>0.20221723266909908</v>
      </c>
      <c r="J96" s="148">
        <f t="shared" si="16"/>
        <v>0.79778276733090092</v>
      </c>
      <c r="K96" s="148">
        <f t="shared" si="17"/>
        <v>5.0831545064377679E-3</v>
      </c>
      <c r="L96">
        <v>1</v>
      </c>
      <c r="M96">
        <f t="shared" si="18"/>
        <v>1441</v>
      </c>
      <c r="N96">
        <f t="shared" si="19"/>
        <v>5685</v>
      </c>
    </row>
    <row r="97" spans="1:14" x14ac:dyDescent="0.25">
      <c r="A97" t="s">
        <v>244</v>
      </c>
      <c r="B97">
        <v>760</v>
      </c>
      <c r="C97">
        <v>651</v>
      </c>
      <c r="D97">
        <v>481</v>
      </c>
      <c r="E97">
        <v>431</v>
      </c>
      <c r="F97">
        <f t="shared" si="12"/>
        <v>1411</v>
      </c>
      <c r="G97">
        <f t="shared" si="13"/>
        <v>912</v>
      </c>
      <c r="H97">
        <f t="shared" si="14"/>
        <v>2323</v>
      </c>
      <c r="I97" s="148">
        <f t="shared" si="15"/>
        <v>0.60740421868273786</v>
      </c>
      <c r="J97" s="148">
        <f t="shared" si="16"/>
        <v>0.39259578131726214</v>
      </c>
      <c r="K97" s="148">
        <f t="shared" si="17"/>
        <v>8.1545064377682407E-4</v>
      </c>
      <c r="L97">
        <v>0</v>
      </c>
      <c r="M97">
        <f t="shared" si="18"/>
        <v>0</v>
      </c>
      <c r="N97">
        <f t="shared" si="19"/>
        <v>0</v>
      </c>
    </row>
    <row r="98" spans="1:14" x14ac:dyDescent="0.25">
      <c r="A98" t="s">
        <v>245</v>
      </c>
      <c r="B98">
        <v>2590</v>
      </c>
      <c r="C98">
        <v>2414</v>
      </c>
      <c r="D98">
        <v>2215</v>
      </c>
      <c r="E98">
        <v>2118</v>
      </c>
      <c r="F98">
        <f t="shared" ref="F98:F117" si="20">SUM(B98:C98)</f>
        <v>5004</v>
      </c>
      <c r="G98">
        <f t="shared" ref="G98:G117" si="21">SUM(D98:E98)</f>
        <v>4333</v>
      </c>
      <c r="H98">
        <f t="shared" ref="H98:H117" si="22">SUM(B98:E98)</f>
        <v>9337</v>
      </c>
      <c r="I98" s="148">
        <f t="shared" ref="I98:I117" si="23">F98/H98</f>
        <v>0.53593231230587979</v>
      </c>
      <c r="J98" s="148">
        <f t="shared" si="16"/>
        <v>0.46406768769412016</v>
      </c>
      <c r="K98" s="148">
        <f t="shared" si="17"/>
        <v>3.8742846924177394E-3</v>
      </c>
      <c r="L98">
        <v>1</v>
      </c>
      <c r="M98">
        <f t="shared" si="18"/>
        <v>5004</v>
      </c>
      <c r="N98">
        <f t="shared" si="19"/>
        <v>4333</v>
      </c>
    </row>
    <row r="99" spans="1:14" x14ac:dyDescent="0.25">
      <c r="A99" t="s">
        <v>289</v>
      </c>
      <c r="B99">
        <v>53</v>
      </c>
      <c r="C99">
        <v>31</v>
      </c>
      <c r="D99">
        <v>8752</v>
      </c>
      <c r="E99">
        <v>11554</v>
      </c>
      <c r="F99">
        <f t="shared" si="20"/>
        <v>84</v>
      </c>
      <c r="G99">
        <f t="shared" si="21"/>
        <v>20306</v>
      </c>
      <c r="H99">
        <f t="shared" si="22"/>
        <v>20390</v>
      </c>
      <c r="I99" s="148">
        <f t="shared" si="23"/>
        <v>4.119666503187837E-3</v>
      </c>
      <c r="J99" s="148">
        <f t="shared" si="16"/>
        <v>0.99588033349681215</v>
      </c>
      <c r="K99" s="148">
        <f t="shared" si="17"/>
        <v>1.8156294706723891E-2</v>
      </c>
      <c r="L99">
        <v>0</v>
      </c>
      <c r="M99">
        <f t="shared" si="18"/>
        <v>0</v>
      </c>
      <c r="N99">
        <f t="shared" si="19"/>
        <v>0</v>
      </c>
    </row>
    <row r="100" spans="1:14" x14ac:dyDescent="0.25">
      <c r="A100" t="s">
        <v>246</v>
      </c>
      <c r="B100">
        <v>904</v>
      </c>
      <c r="C100">
        <v>880</v>
      </c>
      <c r="D100">
        <v>1845</v>
      </c>
      <c r="E100">
        <v>1896</v>
      </c>
      <c r="F100">
        <f t="shared" si="20"/>
        <v>1784</v>
      </c>
      <c r="G100">
        <f t="shared" si="21"/>
        <v>3741</v>
      </c>
      <c r="H100">
        <f t="shared" si="22"/>
        <v>5525</v>
      </c>
      <c r="I100" s="148">
        <f t="shared" si="23"/>
        <v>0.32289592760180996</v>
      </c>
      <c r="J100" s="148">
        <f t="shared" si="16"/>
        <v>0.67710407239819004</v>
      </c>
      <c r="K100" s="148">
        <f t="shared" si="17"/>
        <v>3.3449570815450645E-3</v>
      </c>
      <c r="L100">
        <v>1</v>
      </c>
      <c r="M100">
        <f t="shared" si="18"/>
        <v>1784</v>
      </c>
      <c r="N100">
        <f t="shared" si="19"/>
        <v>3741</v>
      </c>
    </row>
    <row r="101" spans="1:14" x14ac:dyDescent="0.25">
      <c r="A101" t="s">
        <v>259</v>
      </c>
      <c r="B101">
        <v>250</v>
      </c>
      <c r="C101">
        <v>169</v>
      </c>
      <c r="D101">
        <v>4115</v>
      </c>
      <c r="E101">
        <v>6669</v>
      </c>
      <c r="F101">
        <f t="shared" si="20"/>
        <v>419</v>
      </c>
      <c r="G101">
        <f t="shared" si="21"/>
        <v>10784</v>
      </c>
      <c r="H101">
        <f t="shared" si="22"/>
        <v>11203</v>
      </c>
      <c r="I101" s="148">
        <f t="shared" si="23"/>
        <v>3.7400696242078015E-2</v>
      </c>
      <c r="J101" s="148">
        <f t="shared" si="16"/>
        <v>0.96259930375792202</v>
      </c>
      <c r="K101" s="148">
        <f t="shared" si="17"/>
        <v>9.6423462088698134E-3</v>
      </c>
      <c r="L101">
        <v>1</v>
      </c>
      <c r="M101">
        <f t="shared" si="18"/>
        <v>419</v>
      </c>
      <c r="N101">
        <f t="shared" si="19"/>
        <v>10784</v>
      </c>
    </row>
    <row r="102" spans="1:14" x14ac:dyDescent="0.25">
      <c r="A102" t="s">
        <v>268</v>
      </c>
      <c r="B102">
        <v>129</v>
      </c>
      <c r="C102">
        <v>87</v>
      </c>
      <c r="D102">
        <v>7222</v>
      </c>
      <c r="E102">
        <v>10190</v>
      </c>
      <c r="F102">
        <f t="shared" si="20"/>
        <v>216</v>
      </c>
      <c r="G102">
        <f t="shared" si="21"/>
        <v>17412</v>
      </c>
      <c r="H102">
        <f t="shared" si="22"/>
        <v>17628</v>
      </c>
      <c r="I102" s="148">
        <f t="shared" si="23"/>
        <v>1.2253233492171545E-2</v>
      </c>
      <c r="J102" s="148">
        <f t="shared" si="16"/>
        <v>0.98774676650782844</v>
      </c>
      <c r="K102" s="148">
        <f t="shared" si="17"/>
        <v>1.5568669527896995E-2</v>
      </c>
      <c r="L102">
        <v>0</v>
      </c>
      <c r="M102">
        <f t="shared" si="18"/>
        <v>0</v>
      </c>
      <c r="N102">
        <f t="shared" si="19"/>
        <v>0</v>
      </c>
    </row>
    <row r="103" spans="1:14" x14ac:dyDescent="0.25">
      <c r="A103" t="s">
        <v>281</v>
      </c>
      <c r="B103">
        <v>75</v>
      </c>
      <c r="C103">
        <v>55</v>
      </c>
      <c r="D103">
        <v>3854</v>
      </c>
      <c r="E103">
        <v>6745</v>
      </c>
      <c r="F103">
        <f t="shared" si="20"/>
        <v>130</v>
      </c>
      <c r="G103">
        <f t="shared" si="21"/>
        <v>10599</v>
      </c>
      <c r="H103">
        <f t="shared" si="22"/>
        <v>10729</v>
      </c>
      <c r="I103" s="148">
        <f t="shared" si="23"/>
        <v>1.2116693074843881E-2</v>
      </c>
      <c r="J103" s="148">
        <f t="shared" si="16"/>
        <v>0.98788330692515613</v>
      </c>
      <c r="K103" s="148">
        <f t="shared" si="17"/>
        <v>9.4769313304721037E-3</v>
      </c>
      <c r="L103">
        <v>0</v>
      </c>
      <c r="M103">
        <f t="shared" si="18"/>
        <v>0</v>
      </c>
      <c r="N103">
        <f t="shared" si="19"/>
        <v>0</v>
      </c>
    </row>
    <row r="104" spans="1:14" x14ac:dyDescent="0.25">
      <c r="A104" t="s">
        <v>247</v>
      </c>
      <c r="B104">
        <v>796</v>
      </c>
      <c r="C104">
        <v>722</v>
      </c>
      <c r="D104">
        <v>1721</v>
      </c>
      <c r="E104">
        <v>1396</v>
      </c>
      <c r="F104">
        <f t="shared" si="20"/>
        <v>1518</v>
      </c>
      <c r="G104">
        <f t="shared" si="21"/>
        <v>3117</v>
      </c>
      <c r="H104">
        <f t="shared" si="22"/>
        <v>4635</v>
      </c>
      <c r="I104" s="148">
        <f t="shared" si="23"/>
        <v>0.32750809061488673</v>
      </c>
      <c r="J104" s="148">
        <f t="shared" si="16"/>
        <v>0.67249190938511327</v>
      </c>
      <c r="K104" s="148">
        <f t="shared" si="17"/>
        <v>2.7870171673819743E-3</v>
      </c>
      <c r="L104">
        <v>1</v>
      </c>
      <c r="M104">
        <f t="shared" si="18"/>
        <v>1518</v>
      </c>
      <c r="N104">
        <f t="shared" si="19"/>
        <v>3117</v>
      </c>
    </row>
    <row r="105" spans="1:14" x14ac:dyDescent="0.25">
      <c r="A105" t="s">
        <v>248</v>
      </c>
      <c r="B105">
        <v>3755</v>
      </c>
      <c r="C105">
        <v>3345</v>
      </c>
      <c r="D105">
        <v>5224</v>
      </c>
      <c r="E105">
        <v>5069</v>
      </c>
      <c r="F105">
        <f t="shared" si="20"/>
        <v>7100</v>
      </c>
      <c r="G105">
        <f t="shared" si="21"/>
        <v>10293</v>
      </c>
      <c r="H105">
        <f t="shared" si="22"/>
        <v>17393</v>
      </c>
      <c r="I105" s="148">
        <f t="shared" si="23"/>
        <v>0.40821019950554821</v>
      </c>
      <c r="J105" s="148">
        <f t="shared" si="16"/>
        <v>0.59178980049445185</v>
      </c>
      <c r="K105" s="148">
        <f t="shared" si="17"/>
        <v>9.2033261802575116E-3</v>
      </c>
      <c r="L105">
        <v>1</v>
      </c>
      <c r="M105">
        <f t="shared" si="18"/>
        <v>7100</v>
      </c>
      <c r="N105">
        <f t="shared" si="19"/>
        <v>10293</v>
      </c>
    </row>
    <row r="106" spans="1:14" x14ac:dyDescent="0.25">
      <c r="A106" t="s">
        <v>275</v>
      </c>
      <c r="B106">
        <v>601</v>
      </c>
      <c r="C106">
        <v>480</v>
      </c>
      <c r="D106">
        <v>10145</v>
      </c>
      <c r="E106">
        <v>14149</v>
      </c>
      <c r="F106">
        <f t="shared" si="20"/>
        <v>1081</v>
      </c>
      <c r="G106">
        <f t="shared" si="21"/>
        <v>24294</v>
      </c>
      <c r="H106">
        <f t="shared" si="22"/>
        <v>25375</v>
      </c>
      <c r="I106" s="148">
        <f t="shared" si="23"/>
        <v>4.2600985221674874E-2</v>
      </c>
      <c r="J106" s="148">
        <f t="shared" si="16"/>
        <v>0.95739901477832512</v>
      </c>
      <c r="K106" s="148">
        <f t="shared" si="17"/>
        <v>2.1722103004291844E-2</v>
      </c>
      <c r="L106">
        <v>0</v>
      </c>
      <c r="M106">
        <f t="shared" si="18"/>
        <v>0</v>
      </c>
      <c r="N106">
        <f t="shared" si="19"/>
        <v>0</v>
      </c>
    </row>
    <row r="107" spans="1:14" x14ac:dyDescent="0.25">
      <c r="A107" t="s">
        <v>269</v>
      </c>
      <c r="B107">
        <v>319</v>
      </c>
      <c r="C107">
        <v>182</v>
      </c>
      <c r="D107">
        <v>8444</v>
      </c>
      <c r="E107">
        <v>11348</v>
      </c>
      <c r="F107">
        <f t="shared" si="20"/>
        <v>501</v>
      </c>
      <c r="G107">
        <f t="shared" si="21"/>
        <v>19792</v>
      </c>
      <c r="H107">
        <f t="shared" si="22"/>
        <v>20293</v>
      </c>
      <c r="I107" s="148">
        <f t="shared" si="23"/>
        <v>2.4688316168136794E-2</v>
      </c>
      <c r="J107" s="148">
        <f t="shared" si="16"/>
        <v>0.97531168383186317</v>
      </c>
      <c r="K107" s="148">
        <f t="shared" si="17"/>
        <v>1.7696709585121602E-2</v>
      </c>
      <c r="L107">
        <v>1</v>
      </c>
      <c r="M107">
        <f t="shared" si="18"/>
        <v>501</v>
      </c>
      <c r="N107">
        <f t="shared" si="19"/>
        <v>19792</v>
      </c>
    </row>
    <row r="108" spans="1:14" x14ac:dyDescent="0.25">
      <c r="A108" t="s">
        <v>249</v>
      </c>
      <c r="B108">
        <v>1744</v>
      </c>
      <c r="C108">
        <v>1625</v>
      </c>
      <c r="D108">
        <v>1698</v>
      </c>
      <c r="E108">
        <v>1543</v>
      </c>
      <c r="F108">
        <f t="shared" si="20"/>
        <v>3369</v>
      </c>
      <c r="G108">
        <f t="shared" si="21"/>
        <v>3241</v>
      </c>
      <c r="H108">
        <f t="shared" si="22"/>
        <v>6610</v>
      </c>
      <c r="I108" s="148">
        <f t="shared" si="23"/>
        <v>0.50968229954614219</v>
      </c>
      <c r="J108" s="148">
        <f t="shared" si="16"/>
        <v>0.49031770045385781</v>
      </c>
      <c r="K108" s="148">
        <f t="shared" si="17"/>
        <v>2.8978898426323318E-3</v>
      </c>
      <c r="L108">
        <v>1</v>
      </c>
      <c r="M108">
        <f t="shared" si="18"/>
        <v>3369</v>
      </c>
      <c r="N108">
        <f t="shared" si="19"/>
        <v>3241</v>
      </c>
    </row>
    <row r="109" spans="1:14" x14ac:dyDescent="0.25">
      <c r="A109" t="s">
        <v>250</v>
      </c>
      <c r="B109">
        <v>927</v>
      </c>
      <c r="C109">
        <v>835</v>
      </c>
      <c r="D109">
        <v>855</v>
      </c>
      <c r="E109">
        <v>803</v>
      </c>
      <c r="F109">
        <f t="shared" si="20"/>
        <v>1762</v>
      </c>
      <c r="G109">
        <f t="shared" si="21"/>
        <v>1658</v>
      </c>
      <c r="H109">
        <f t="shared" si="22"/>
        <v>3420</v>
      </c>
      <c r="I109" s="148">
        <f t="shared" si="23"/>
        <v>0.51520467836257311</v>
      </c>
      <c r="J109" s="148">
        <f t="shared" si="16"/>
        <v>0.48479532163742689</v>
      </c>
      <c r="K109" s="148">
        <f t="shared" si="17"/>
        <v>1.4824749642346209E-3</v>
      </c>
      <c r="L109">
        <v>0</v>
      </c>
      <c r="M109">
        <f t="shared" si="18"/>
        <v>0</v>
      </c>
      <c r="N109">
        <f t="shared" si="19"/>
        <v>0</v>
      </c>
    </row>
    <row r="110" spans="1:14" x14ac:dyDescent="0.25">
      <c r="A110" t="s">
        <v>251</v>
      </c>
      <c r="B110">
        <v>456</v>
      </c>
      <c r="C110">
        <v>452</v>
      </c>
      <c r="D110">
        <v>3439</v>
      </c>
      <c r="E110">
        <v>4814</v>
      </c>
      <c r="F110">
        <f t="shared" si="20"/>
        <v>908</v>
      </c>
      <c r="G110">
        <f t="shared" si="21"/>
        <v>8253</v>
      </c>
      <c r="H110">
        <f t="shared" si="22"/>
        <v>9161</v>
      </c>
      <c r="I110" s="148">
        <f t="shared" si="23"/>
        <v>9.9115817050540331E-2</v>
      </c>
      <c r="J110" s="148">
        <f t="shared" si="16"/>
        <v>0.90088418294945971</v>
      </c>
      <c r="K110" s="148">
        <f t="shared" si="17"/>
        <v>7.3792918454935619E-3</v>
      </c>
      <c r="L110">
        <v>1</v>
      </c>
      <c r="M110">
        <f t="shared" si="18"/>
        <v>908</v>
      </c>
      <c r="N110">
        <f t="shared" si="19"/>
        <v>8253</v>
      </c>
    </row>
    <row r="111" spans="1:14" x14ac:dyDescent="0.25">
      <c r="A111" t="s">
        <v>252</v>
      </c>
      <c r="B111">
        <v>1082</v>
      </c>
      <c r="C111">
        <v>1009</v>
      </c>
      <c r="D111">
        <v>1401</v>
      </c>
      <c r="E111">
        <v>1197</v>
      </c>
      <c r="F111">
        <f t="shared" si="20"/>
        <v>2091</v>
      </c>
      <c r="G111">
        <f t="shared" si="21"/>
        <v>2598</v>
      </c>
      <c r="H111">
        <f t="shared" si="22"/>
        <v>4689</v>
      </c>
      <c r="I111" s="148">
        <f t="shared" si="23"/>
        <v>0.44593730006397952</v>
      </c>
      <c r="J111" s="148">
        <f t="shared" si="16"/>
        <v>0.55406269993602042</v>
      </c>
      <c r="K111" s="148">
        <f t="shared" si="17"/>
        <v>2.3229613733905577E-3</v>
      </c>
      <c r="L111">
        <v>1</v>
      </c>
      <c r="M111">
        <f t="shared" si="18"/>
        <v>2091</v>
      </c>
      <c r="N111">
        <f t="shared" si="19"/>
        <v>2598</v>
      </c>
    </row>
    <row r="112" spans="1:14" x14ac:dyDescent="0.25">
      <c r="A112" t="s">
        <v>260</v>
      </c>
      <c r="B112">
        <v>1364</v>
      </c>
      <c r="C112">
        <v>1134</v>
      </c>
      <c r="D112">
        <v>3876</v>
      </c>
      <c r="E112">
        <v>5117</v>
      </c>
      <c r="F112">
        <f t="shared" si="20"/>
        <v>2498</v>
      </c>
      <c r="G112">
        <f t="shared" si="21"/>
        <v>8993</v>
      </c>
      <c r="H112">
        <f t="shared" si="22"/>
        <v>11491</v>
      </c>
      <c r="I112" s="148">
        <f t="shared" si="23"/>
        <v>0.21738752066834915</v>
      </c>
      <c r="J112" s="148">
        <f t="shared" si="16"/>
        <v>0.7826124793316509</v>
      </c>
      <c r="K112" s="148">
        <f t="shared" si="17"/>
        <v>8.0409513590844056E-3</v>
      </c>
      <c r="L112">
        <v>1</v>
      </c>
      <c r="M112">
        <f t="shared" si="18"/>
        <v>2498</v>
      </c>
      <c r="N112">
        <f t="shared" si="19"/>
        <v>8993</v>
      </c>
    </row>
    <row r="113" spans="1:16" x14ac:dyDescent="0.25">
      <c r="A113" t="s">
        <v>253</v>
      </c>
      <c r="B113">
        <v>1449</v>
      </c>
      <c r="C113">
        <v>1314</v>
      </c>
      <c r="D113">
        <v>1477</v>
      </c>
      <c r="E113">
        <v>1245</v>
      </c>
      <c r="F113">
        <f t="shared" si="20"/>
        <v>2763</v>
      </c>
      <c r="G113">
        <f t="shared" si="21"/>
        <v>2722</v>
      </c>
      <c r="H113">
        <f t="shared" si="22"/>
        <v>5485</v>
      </c>
      <c r="I113" s="148">
        <f t="shared" si="23"/>
        <v>0.50373746581586143</v>
      </c>
      <c r="J113" s="148">
        <f t="shared" si="16"/>
        <v>0.49626253418413857</v>
      </c>
      <c r="K113" s="148">
        <f t="shared" si="17"/>
        <v>2.4338340486409157E-3</v>
      </c>
      <c r="L113">
        <v>1</v>
      </c>
      <c r="M113">
        <f t="shared" si="18"/>
        <v>2763</v>
      </c>
      <c r="N113">
        <f t="shared" si="19"/>
        <v>2722</v>
      </c>
    </row>
    <row r="114" spans="1:16" x14ac:dyDescent="0.25">
      <c r="A114" t="s">
        <v>282</v>
      </c>
      <c r="B114">
        <v>120</v>
      </c>
      <c r="C114">
        <v>68</v>
      </c>
      <c r="D114">
        <v>9570</v>
      </c>
      <c r="E114">
        <v>13859</v>
      </c>
      <c r="F114">
        <f t="shared" si="20"/>
        <v>188</v>
      </c>
      <c r="G114">
        <f t="shared" si="21"/>
        <v>23429</v>
      </c>
      <c r="H114">
        <f t="shared" si="22"/>
        <v>23617</v>
      </c>
      <c r="I114" s="148">
        <f t="shared" si="23"/>
        <v>7.9603675318626419E-3</v>
      </c>
      <c r="J114" s="148">
        <f t="shared" si="16"/>
        <v>0.99203963246813731</v>
      </c>
      <c r="K114" s="148">
        <f t="shared" si="17"/>
        <v>2.0948676680972819E-2</v>
      </c>
      <c r="L114">
        <v>0</v>
      </c>
      <c r="M114">
        <f t="shared" si="18"/>
        <v>0</v>
      </c>
      <c r="N114">
        <f t="shared" si="19"/>
        <v>0</v>
      </c>
    </row>
    <row r="115" spans="1:16" x14ac:dyDescent="0.25">
      <c r="A115" t="s">
        <v>254</v>
      </c>
      <c r="B115">
        <v>2301</v>
      </c>
      <c r="C115">
        <v>2113</v>
      </c>
      <c r="D115">
        <v>4315</v>
      </c>
      <c r="E115">
        <v>4368</v>
      </c>
      <c r="F115">
        <f t="shared" si="20"/>
        <v>4414</v>
      </c>
      <c r="G115">
        <f t="shared" si="21"/>
        <v>8683</v>
      </c>
      <c r="H115">
        <f t="shared" si="22"/>
        <v>13097</v>
      </c>
      <c r="I115" s="148">
        <f t="shared" si="23"/>
        <v>0.3370237458960067</v>
      </c>
      <c r="J115" s="148">
        <f t="shared" si="16"/>
        <v>0.6629762541039933</v>
      </c>
      <c r="K115" s="148">
        <f t="shared" si="17"/>
        <v>7.7637696709585121E-3</v>
      </c>
      <c r="L115">
        <v>1</v>
      </c>
      <c r="M115">
        <f t="shared" si="18"/>
        <v>4414</v>
      </c>
      <c r="N115">
        <f t="shared" si="19"/>
        <v>8683</v>
      </c>
    </row>
    <row r="116" spans="1:16" x14ac:dyDescent="0.25">
      <c r="A116" t="s">
        <v>255</v>
      </c>
      <c r="B116">
        <v>2327</v>
      </c>
      <c r="C116">
        <v>2348</v>
      </c>
      <c r="D116">
        <v>4166</v>
      </c>
      <c r="E116">
        <v>3207</v>
      </c>
      <c r="F116">
        <f t="shared" si="20"/>
        <v>4675</v>
      </c>
      <c r="G116">
        <f t="shared" si="21"/>
        <v>7373</v>
      </c>
      <c r="H116">
        <f t="shared" si="22"/>
        <v>12048</v>
      </c>
      <c r="I116" s="148">
        <f t="shared" si="23"/>
        <v>0.38803120849933598</v>
      </c>
      <c r="J116" s="148">
        <f t="shared" si="16"/>
        <v>0.61196879150066397</v>
      </c>
      <c r="K116" s="148">
        <f t="shared" si="17"/>
        <v>6.5924535050071531E-3</v>
      </c>
      <c r="L116">
        <v>1</v>
      </c>
      <c r="M116">
        <f t="shared" si="18"/>
        <v>4675</v>
      </c>
      <c r="N116">
        <f t="shared" si="19"/>
        <v>7373</v>
      </c>
    </row>
    <row r="117" spans="1:16" x14ac:dyDescent="0.25">
      <c r="A117" t="s">
        <v>276</v>
      </c>
      <c r="B117">
        <v>265</v>
      </c>
      <c r="C117">
        <v>249</v>
      </c>
      <c r="D117">
        <v>3869</v>
      </c>
      <c r="E117">
        <v>4920</v>
      </c>
      <c r="F117">
        <f t="shared" si="20"/>
        <v>514</v>
      </c>
      <c r="G117">
        <f t="shared" si="21"/>
        <v>8789</v>
      </c>
      <c r="H117">
        <f t="shared" si="22"/>
        <v>9303</v>
      </c>
      <c r="I117" s="148">
        <f t="shared" si="23"/>
        <v>5.525099430291304E-2</v>
      </c>
      <c r="J117" s="148">
        <f t="shared" si="16"/>
        <v>0.94474900569708697</v>
      </c>
      <c r="K117" s="148">
        <f t="shared" si="17"/>
        <v>7.8585479256080108E-3</v>
      </c>
      <c r="L117">
        <v>0</v>
      </c>
      <c r="M117">
        <f t="shared" si="18"/>
        <v>0</v>
      </c>
      <c r="N117">
        <f t="shared" si="19"/>
        <v>0</v>
      </c>
    </row>
    <row r="118" spans="1:16" x14ac:dyDescent="0.25">
      <c r="F118">
        <f>SUM(F2:F117)</f>
        <v>361480</v>
      </c>
      <c r="G118">
        <f>SUM(G2:G117)</f>
        <v>1118400</v>
      </c>
      <c r="M118">
        <f>SUM(M2:M117)</f>
        <v>312783</v>
      </c>
      <c r="N118">
        <f>SUM(N2:N117)</f>
        <v>578021</v>
      </c>
      <c r="O118">
        <f>M118/F118</f>
        <v>0.86528438641141969</v>
      </c>
      <c r="P118">
        <f>N118/G118</f>
        <v>0.51682850500715305</v>
      </c>
    </row>
  </sheetData>
  <sortState ref="A2:J118">
    <sortCondition ref="A2:A1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3"/>
  <sheetViews>
    <sheetView workbookViewId="0">
      <selection activeCell="B14" sqref="B14"/>
    </sheetView>
  </sheetViews>
  <sheetFormatPr defaultRowHeight="15" x14ac:dyDescent="0.25"/>
  <sheetData>
    <row r="1" spans="2:16" x14ac:dyDescent="0.25">
      <c r="B1" t="s">
        <v>167</v>
      </c>
      <c r="E1" t="s">
        <v>297</v>
      </c>
      <c r="H1" t="s">
        <v>299</v>
      </c>
      <c r="K1" t="s">
        <v>172</v>
      </c>
      <c r="N1" t="s">
        <v>298</v>
      </c>
    </row>
    <row r="2" spans="2:16" x14ac:dyDescent="0.25">
      <c r="B2" t="s">
        <v>294</v>
      </c>
      <c r="C2" t="s">
        <v>295</v>
      </c>
      <c r="D2" t="s">
        <v>296</v>
      </c>
      <c r="E2" t="s">
        <v>294</v>
      </c>
      <c r="F2" t="s">
        <v>295</v>
      </c>
      <c r="G2" t="s">
        <v>296</v>
      </c>
      <c r="H2" t="s">
        <v>294</v>
      </c>
      <c r="I2" t="s">
        <v>295</v>
      </c>
      <c r="J2" t="s">
        <v>296</v>
      </c>
      <c r="K2" t="s">
        <v>294</v>
      </c>
      <c r="L2" t="s">
        <v>295</v>
      </c>
      <c r="M2" t="s">
        <v>296</v>
      </c>
      <c r="N2" t="s">
        <v>294</v>
      </c>
      <c r="O2" t="s">
        <v>295</v>
      </c>
      <c r="P2" t="s">
        <v>296</v>
      </c>
    </row>
    <row r="3" spans="2:16" x14ac:dyDescent="0.25">
      <c r="B3">
        <v>2439</v>
      </c>
      <c r="C3">
        <v>1892</v>
      </c>
      <c r="D3">
        <v>547</v>
      </c>
      <c r="E3">
        <v>1606</v>
      </c>
      <c r="F3">
        <v>1214</v>
      </c>
      <c r="G3">
        <v>392</v>
      </c>
      <c r="H3">
        <v>833</v>
      </c>
      <c r="I3">
        <v>678</v>
      </c>
      <c r="J3">
        <v>155</v>
      </c>
      <c r="K3">
        <v>556</v>
      </c>
      <c r="L3">
        <v>471</v>
      </c>
      <c r="M3">
        <v>85</v>
      </c>
      <c r="N3">
        <v>277</v>
      </c>
      <c r="O3">
        <v>207</v>
      </c>
      <c r="P3">
        <v>70</v>
      </c>
    </row>
    <row r="4" spans="2:16" x14ac:dyDescent="0.25">
      <c r="B4">
        <v>2564965</v>
      </c>
      <c r="C4">
        <v>1255671</v>
      </c>
      <c r="D4">
        <v>1309294</v>
      </c>
      <c r="E4">
        <v>582377</v>
      </c>
      <c r="F4">
        <v>301268</v>
      </c>
      <c r="G4">
        <v>281109</v>
      </c>
      <c r="H4">
        <v>1982588</v>
      </c>
      <c r="I4">
        <v>954403</v>
      </c>
      <c r="J4">
        <v>1028185</v>
      </c>
      <c r="K4">
        <v>1519939</v>
      </c>
      <c r="L4">
        <v>721441</v>
      </c>
      <c r="M4">
        <v>798498</v>
      </c>
      <c r="N4">
        <v>462649</v>
      </c>
      <c r="O4">
        <v>232962</v>
      </c>
      <c r="P4">
        <v>229687</v>
      </c>
    </row>
    <row r="6" spans="2:16" x14ac:dyDescent="0.25">
      <c r="B6">
        <f>B3/B4</f>
        <v>9.5089016809196225E-4</v>
      </c>
      <c r="E6">
        <f>E3/E4</f>
        <v>2.7576638500490234E-3</v>
      </c>
      <c r="H6">
        <f>H3/H4</f>
        <v>4.2015789463065449E-4</v>
      </c>
    </row>
    <row r="8" spans="2:16" x14ac:dyDescent="0.25">
      <c r="B8">
        <f>E6/H6</f>
        <v>6.5633988681164386</v>
      </c>
    </row>
    <row r="10" spans="2:16" x14ac:dyDescent="0.25">
      <c r="B10">
        <f>E3/B3</f>
        <v>0.65846658466584662</v>
      </c>
      <c r="C10">
        <f>K3/B3</f>
        <v>0.22796227962279622</v>
      </c>
      <c r="D10">
        <f>N3/B3</f>
        <v>0.11357113571135712</v>
      </c>
    </row>
    <row r="12" spans="2:16" x14ac:dyDescent="0.25">
      <c r="B12">
        <f>E4/B4</f>
        <v>0.22705066151000111</v>
      </c>
    </row>
    <row r="13" spans="2:16" x14ac:dyDescent="0.25">
      <c r="B13">
        <f>K4/B4</f>
        <v>0.59257689676077452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Travellers by Rail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Fourie, Johan &lt;johanf@sun.ac.za&gt;</cp:lastModifiedBy>
  <dcterms:created xsi:type="dcterms:W3CDTF">2014-08-28T07:12:58Z</dcterms:created>
  <dcterms:modified xsi:type="dcterms:W3CDTF">2014-11-10T05:27:26Z</dcterms:modified>
</cp:coreProperties>
</file>