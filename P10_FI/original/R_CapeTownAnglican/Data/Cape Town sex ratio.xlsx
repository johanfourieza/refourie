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anf\Dropbox\R_CapeTownAnglican\Data\"/>
    </mc:Choice>
  </mc:AlternateContent>
  <bookViews>
    <workbookView xWindow="0" yWindow="0" windowWidth="28800" windowHeight="12300" activeTab="1"/>
  </bookViews>
  <sheets>
    <sheet name="Ratio" sheetId="2" r:id="rId1"/>
    <sheet name="Calculation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" i="1" l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29" i="1"/>
  <c r="F28" i="1"/>
  <c r="E20" i="1"/>
  <c r="E21" i="1" s="1"/>
  <c r="E22" i="1" s="1"/>
  <c r="E23" i="1" s="1"/>
  <c r="E24" i="1" s="1"/>
  <c r="E25" i="1" s="1"/>
  <c r="E26" i="1" s="1"/>
  <c r="E27" i="1" s="1"/>
  <c r="E19" i="1"/>
  <c r="F18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4" i="1"/>
  <c r="F3" i="1"/>
  <c r="I29" i="1" l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O28" i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J28" i="1"/>
  <c r="N42" i="1"/>
  <c r="I42" i="1"/>
  <c r="G42" i="1"/>
  <c r="L42" i="1"/>
  <c r="T28" i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/>
  <c r="Q42" i="1"/>
  <c r="T3" i="1"/>
  <c r="S4" i="1" s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T18" i="1"/>
  <c r="S19" i="1" s="1"/>
  <c r="S20" i="1" s="1"/>
  <c r="S21" i="1" s="1"/>
  <c r="S22" i="1" s="1"/>
  <c r="S23" i="1" s="1"/>
  <c r="S24" i="1" s="1"/>
  <c r="S25" i="1" s="1"/>
  <c r="S26" i="1" s="1"/>
  <c r="S27" i="1" s="1"/>
  <c r="O18" i="1"/>
  <c r="N19" i="1" s="1"/>
  <c r="N20" i="1" s="1"/>
  <c r="N21" i="1" s="1"/>
  <c r="N22" i="1" s="1"/>
  <c r="N23" i="1" s="1"/>
  <c r="N24" i="1" s="1"/>
  <c r="N25" i="1" s="1"/>
  <c r="N26" i="1" s="1"/>
  <c r="N27" i="1" s="1"/>
  <c r="J18" i="1"/>
  <c r="I19" i="1" s="1"/>
  <c r="I20" i="1" s="1"/>
  <c r="I21" i="1" s="1"/>
  <c r="I22" i="1" s="1"/>
  <c r="I23" i="1" s="1"/>
  <c r="I24" i="1" s="1"/>
  <c r="I25" i="1" s="1"/>
  <c r="I26" i="1" s="1"/>
  <c r="I27" i="1" s="1"/>
  <c r="J3" i="1"/>
  <c r="O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S28" i="1"/>
  <c r="S18" i="1"/>
  <c r="S3" i="1"/>
  <c r="N28" i="1"/>
  <c r="N18" i="1"/>
  <c r="N3" i="1"/>
  <c r="I28" i="1"/>
  <c r="I18" i="1"/>
  <c r="I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3" i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</calcChain>
</file>

<file path=xl/sharedStrings.xml><?xml version="1.0" encoding="utf-8"?>
<sst xmlns="http://schemas.openxmlformats.org/spreadsheetml/2006/main" count="141" uniqueCount="13">
  <si>
    <t>Male</t>
  </si>
  <si>
    <t>White</t>
  </si>
  <si>
    <t>Coloured</t>
  </si>
  <si>
    <t>Black</t>
  </si>
  <si>
    <t>Female</t>
  </si>
  <si>
    <t>Interpolation</t>
  </si>
  <si>
    <t>Ratio</t>
  </si>
  <si>
    <t>Total</t>
  </si>
  <si>
    <t>mrace</t>
  </si>
  <si>
    <t>year</t>
  </si>
  <si>
    <t>sex</t>
  </si>
  <si>
    <t>malenum</t>
  </si>
  <si>
    <t>femalenum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</si>
</sst>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activeCell="E2" sqref="E2"/>
    </sheetView>
  </sheetViews>
  <sheetFormatPr defaultRowHeight="15" x14ac:dyDescent="0.25"/>
  <sheetData>
    <row r="1" spans="1:5" x14ac:dyDescent="0.25">
      <c r="A1" t="s">
        <v>9</v>
      </c>
      <c r="B1" t="s">
        <v>8</v>
      </c>
      <c r="C1" t="s">
        <v>10</v>
      </c>
      <c r="D1" t="s">
        <v>11</v>
      </c>
      <c r="E1" t="s">
        <v>12</v>
      </c>
    </row>
    <row r="2" spans="1:5" x14ac:dyDescent="0.25">
      <c r="A2">
        <v>1921</v>
      </c>
      <c r="B2" t="s">
        <v>1</v>
      </c>
      <c r="C2">
        <v>1.003663293274299</v>
      </c>
    </row>
    <row r="3" spans="1:5" x14ac:dyDescent="0.25">
      <c r="A3">
        <v>1922</v>
      </c>
      <c r="B3" t="s">
        <v>1</v>
      </c>
      <c r="C3">
        <v>0.9990198185417658</v>
      </c>
    </row>
    <row r="4" spans="1:5" x14ac:dyDescent="0.25">
      <c r="A4">
        <v>1923</v>
      </c>
      <c r="B4" t="s">
        <v>1</v>
      </c>
      <c r="C4">
        <v>0.99437634380923257</v>
      </c>
    </row>
    <row r="5" spans="1:5" x14ac:dyDescent="0.25">
      <c r="A5">
        <v>1924</v>
      </c>
      <c r="B5" t="s">
        <v>1</v>
      </c>
      <c r="C5">
        <v>0.98973286907669933</v>
      </c>
    </row>
    <row r="6" spans="1:5" x14ac:dyDescent="0.25">
      <c r="A6">
        <v>1925</v>
      </c>
      <c r="B6" t="s">
        <v>1</v>
      </c>
      <c r="C6">
        <v>0.98508939434416609</v>
      </c>
    </row>
    <row r="7" spans="1:5" x14ac:dyDescent="0.25">
      <c r="A7">
        <v>1926</v>
      </c>
      <c r="B7" t="s">
        <v>1</v>
      </c>
      <c r="C7">
        <v>0.98044591961163285</v>
      </c>
    </row>
    <row r="8" spans="1:5" x14ac:dyDescent="0.25">
      <c r="A8">
        <v>1927</v>
      </c>
      <c r="B8" t="s">
        <v>1</v>
      </c>
      <c r="C8">
        <v>0.97580244487909962</v>
      </c>
    </row>
    <row r="9" spans="1:5" x14ac:dyDescent="0.25">
      <c r="A9">
        <v>1928</v>
      </c>
      <c r="B9" t="s">
        <v>1</v>
      </c>
      <c r="C9">
        <v>0.97115897014656638</v>
      </c>
    </row>
    <row r="10" spans="1:5" x14ac:dyDescent="0.25">
      <c r="A10">
        <v>1929</v>
      </c>
      <c r="B10" t="s">
        <v>1</v>
      </c>
      <c r="C10">
        <v>0.96651549541403314</v>
      </c>
    </row>
    <row r="11" spans="1:5" x14ac:dyDescent="0.25">
      <c r="A11">
        <v>1930</v>
      </c>
      <c r="B11" t="s">
        <v>1</v>
      </c>
      <c r="C11">
        <v>0.96187202068149991</v>
      </c>
    </row>
    <row r="12" spans="1:5" x14ac:dyDescent="0.25">
      <c r="A12">
        <v>1931</v>
      </c>
      <c r="B12" t="s">
        <v>1</v>
      </c>
      <c r="C12">
        <v>0.95722854594896667</v>
      </c>
    </row>
    <row r="13" spans="1:5" x14ac:dyDescent="0.25">
      <c r="A13">
        <v>1932</v>
      </c>
      <c r="B13" t="s">
        <v>1</v>
      </c>
      <c r="C13">
        <v>0.95258507121643343</v>
      </c>
    </row>
    <row r="14" spans="1:5" x14ac:dyDescent="0.25">
      <c r="A14">
        <v>1933</v>
      </c>
      <c r="B14" t="s">
        <v>1</v>
      </c>
      <c r="C14">
        <v>0.9479415964839002</v>
      </c>
    </row>
    <row r="15" spans="1:5" x14ac:dyDescent="0.25">
      <c r="A15">
        <v>1934</v>
      </c>
      <c r="B15" t="s">
        <v>1</v>
      </c>
      <c r="C15">
        <v>0.94329812175136696</v>
      </c>
    </row>
    <row r="16" spans="1:5" x14ac:dyDescent="0.25">
      <c r="A16">
        <v>1935</v>
      </c>
      <c r="B16" t="s">
        <v>1</v>
      </c>
      <c r="C16">
        <v>0.93865464701883372</v>
      </c>
    </row>
    <row r="17" spans="1:3" x14ac:dyDescent="0.25">
      <c r="A17">
        <v>1936</v>
      </c>
      <c r="B17" t="s">
        <v>1</v>
      </c>
      <c r="C17">
        <v>0.93401117228629993</v>
      </c>
    </row>
    <row r="18" spans="1:3" x14ac:dyDescent="0.25">
      <c r="A18">
        <v>1937</v>
      </c>
      <c r="B18" t="s">
        <v>1</v>
      </c>
      <c r="C18">
        <v>0.93342843773553119</v>
      </c>
    </row>
    <row r="19" spans="1:3" x14ac:dyDescent="0.25">
      <c r="A19">
        <v>1938</v>
      </c>
      <c r="B19" t="s">
        <v>1</v>
      </c>
      <c r="C19">
        <v>0.93284570318476245</v>
      </c>
    </row>
    <row r="20" spans="1:3" x14ac:dyDescent="0.25">
      <c r="A20">
        <v>1939</v>
      </c>
      <c r="B20" t="s">
        <v>1</v>
      </c>
      <c r="C20">
        <v>0.93226296863399372</v>
      </c>
    </row>
    <row r="21" spans="1:3" x14ac:dyDescent="0.25">
      <c r="A21">
        <v>1940</v>
      </c>
      <c r="B21" t="s">
        <v>1</v>
      </c>
      <c r="C21">
        <v>0.93168023408322498</v>
      </c>
    </row>
    <row r="22" spans="1:3" x14ac:dyDescent="0.25">
      <c r="A22">
        <v>1941</v>
      </c>
      <c r="B22" t="s">
        <v>1</v>
      </c>
      <c r="C22">
        <v>0.93109749953245624</v>
      </c>
    </row>
    <row r="23" spans="1:3" x14ac:dyDescent="0.25">
      <c r="A23">
        <v>1942</v>
      </c>
      <c r="B23" t="s">
        <v>1</v>
      </c>
      <c r="C23">
        <v>0.9305147649816875</v>
      </c>
    </row>
    <row r="24" spans="1:3" x14ac:dyDescent="0.25">
      <c r="A24">
        <v>1943</v>
      </c>
      <c r="B24" t="s">
        <v>1</v>
      </c>
      <c r="C24">
        <v>0.92993203043091877</v>
      </c>
    </row>
    <row r="25" spans="1:3" x14ac:dyDescent="0.25">
      <c r="A25">
        <v>1944</v>
      </c>
      <c r="B25" t="s">
        <v>1</v>
      </c>
      <c r="C25">
        <v>0.92934929588015003</v>
      </c>
    </row>
    <row r="26" spans="1:3" x14ac:dyDescent="0.25">
      <c r="A26">
        <v>1945</v>
      </c>
      <c r="B26" t="s">
        <v>1</v>
      </c>
      <c r="C26">
        <v>0.92876656132938129</v>
      </c>
    </row>
    <row r="27" spans="1:3" x14ac:dyDescent="0.25">
      <c r="A27">
        <v>1946</v>
      </c>
      <c r="B27" t="s">
        <v>1</v>
      </c>
      <c r="C27">
        <v>0.92818382677861244</v>
      </c>
    </row>
    <row r="28" spans="1:3" x14ac:dyDescent="0.25">
      <c r="A28">
        <v>1947</v>
      </c>
      <c r="B28" t="s">
        <v>1</v>
      </c>
      <c r="C28">
        <v>0.92840936959796094</v>
      </c>
    </row>
    <row r="29" spans="1:3" x14ac:dyDescent="0.25">
      <c r="A29">
        <v>1948</v>
      </c>
      <c r="B29" t="s">
        <v>1</v>
      </c>
      <c r="C29">
        <v>0.92863491241730944</v>
      </c>
    </row>
    <row r="30" spans="1:3" x14ac:dyDescent="0.25">
      <c r="A30">
        <v>1949</v>
      </c>
      <c r="B30" t="s">
        <v>1</v>
      </c>
      <c r="C30">
        <v>0.92886045523665794</v>
      </c>
    </row>
    <row r="31" spans="1:3" x14ac:dyDescent="0.25">
      <c r="A31">
        <v>1950</v>
      </c>
      <c r="B31" t="s">
        <v>1</v>
      </c>
      <c r="C31">
        <v>0.92908599805600645</v>
      </c>
    </row>
    <row r="32" spans="1:3" x14ac:dyDescent="0.25">
      <c r="A32">
        <v>1951</v>
      </c>
      <c r="B32" t="s">
        <v>1</v>
      </c>
      <c r="C32">
        <v>0.92931154087535495</v>
      </c>
    </row>
    <row r="33" spans="1:3" x14ac:dyDescent="0.25">
      <c r="A33">
        <v>1952</v>
      </c>
      <c r="B33" t="s">
        <v>1</v>
      </c>
      <c r="C33">
        <v>0.92953708369470345</v>
      </c>
    </row>
    <row r="34" spans="1:3" x14ac:dyDescent="0.25">
      <c r="A34">
        <v>1953</v>
      </c>
      <c r="B34" t="s">
        <v>1</v>
      </c>
      <c r="C34">
        <v>0.92976262651405195</v>
      </c>
    </row>
    <row r="35" spans="1:3" x14ac:dyDescent="0.25">
      <c r="A35">
        <v>1954</v>
      </c>
      <c r="B35" t="s">
        <v>1</v>
      </c>
      <c r="C35">
        <v>0.92998816933340045</v>
      </c>
    </row>
    <row r="36" spans="1:3" x14ac:dyDescent="0.25">
      <c r="A36">
        <v>1955</v>
      </c>
      <c r="B36" t="s">
        <v>1</v>
      </c>
      <c r="C36">
        <v>0.93021371215274895</v>
      </c>
    </row>
    <row r="37" spans="1:3" x14ac:dyDescent="0.25">
      <c r="A37">
        <v>1956</v>
      </c>
      <c r="B37" t="s">
        <v>1</v>
      </c>
      <c r="C37">
        <v>0.93043925497209745</v>
      </c>
    </row>
    <row r="38" spans="1:3" x14ac:dyDescent="0.25">
      <c r="A38">
        <v>1957</v>
      </c>
      <c r="B38" t="s">
        <v>1</v>
      </c>
      <c r="C38">
        <v>0.93066479779144595</v>
      </c>
    </row>
    <row r="39" spans="1:3" x14ac:dyDescent="0.25">
      <c r="A39">
        <v>1958</v>
      </c>
      <c r="B39" t="s">
        <v>1</v>
      </c>
      <c r="C39">
        <v>0.93089034061079445</v>
      </c>
    </row>
    <row r="40" spans="1:3" x14ac:dyDescent="0.25">
      <c r="A40">
        <v>1959</v>
      </c>
      <c r="B40" t="s">
        <v>1</v>
      </c>
      <c r="C40">
        <v>0.93111588343014295</v>
      </c>
    </row>
    <row r="41" spans="1:3" x14ac:dyDescent="0.25">
      <c r="A41">
        <v>1960</v>
      </c>
      <c r="B41" t="s">
        <v>1</v>
      </c>
      <c r="C41">
        <v>0.93134142624949212</v>
      </c>
    </row>
    <row r="42" spans="1:3" x14ac:dyDescent="0.25">
      <c r="A42">
        <v>1921</v>
      </c>
      <c r="B42" t="s">
        <v>2</v>
      </c>
      <c r="C42">
        <v>0.8607268545942367</v>
      </c>
    </row>
    <row r="43" spans="1:3" x14ac:dyDescent="0.25">
      <c r="A43">
        <v>1922</v>
      </c>
      <c r="B43" t="s">
        <v>2</v>
      </c>
      <c r="C43">
        <v>0.861461350726484</v>
      </c>
    </row>
    <row r="44" spans="1:3" x14ac:dyDescent="0.25">
      <c r="A44">
        <v>1923</v>
      </c>
      <c r="B44" t="s">
        <v>2</v>
      </c>
      <c r="C44">
        <v>0.8621958468587313</v>
      </c>
    </row>
    <row r="45" spans="1:3" x14ac:dyDescent="0.25">
      <c r="A45">
        <v>1924</v>
      </c>
      <c r="B45" t="s">
        <v>2</v>
      </c>
      <c r="C45">
        <v>0.86293034299097859</v>
      </c>
    </row>
    <row r="46" spans="1:3" x14ac:dyDescent="0.25">
      <c r="A46">
        <v>1925</v>
      </c>
      <c r="B46" t="s">
        <v>2</v>
      </c>
      <c r="C46">
        <v>0.86366483912322589</v>
      </c>
    </row>
    <row r="47" spans="1:3" x14ac:dyDescent="0.25">
      <c r="A47">
        <v>1926</v>
      </c>
      <c r="B47" t="s">
        <v>2</v>
      </c>
      <c r="C47">
        <v>0.86439933525547319</v>
      </c>
    </row>
    <row r="48" spans="1:3" x14ac:dyDescent="0.25">
      <c r="A48">
        <v>1927</v>
      </c>
      <c r="B48" t="s">
        <v>2</v>
      </c>
      <c r="C48">
        <v>0.86513383138772049</v>
      </c>
    </row>
    <row r="49" spans="1:3" x14ac:dyDescent="0.25">
      <c r="A49">
        <v>1928</v>
      </c>
      <c r="B49" t="s">
        <v>2</v>
      </c>
      <c r="C49">
        <v>0.86586832751996778</v>
      </c>
    </row>
    <row r="50" spans="1:3" x14ac:dyDescent="0.25">
      <c r="A50">
        <v>1929</v>
      </c>
      <c r="B50" t="s">
        <v>2</v>
      </c>
      <c r="C50">
        <v>0.86660282365221508</v>
      </c>
    </row>
    <row r="51" spans="1:3" x14ac:dyDescent="0.25">
      <c r="A51">
        <v>1930</v>
      </c>
      <c r="B51" t="s">
        <v>2</v>
      </c>
      <c r="C51">
        <v>0.86733731978446238</v>
      </c>
    </row>
    <row r="52" spans="1:3" x14ac:dyDescent="0.25">
      <c r="A52">
        <v>1931</v>
      </c>
      <c r="B52" t="s">
        <v>2</v>
      </c>
      <c r="C52">
        <v>0.86807181591670968</v>
      </c>
    </row>
    <row r="53" spans="1:3" x14ac:dyDescent="0.25">
      <c r="A53">
        <v>1932</v>
      </c>
      <c r="B53" t="s">
        <v>2</v>
      </c>
      <c r="C53">
        <v>0.86880631204895697</v>
      </c>
    </row>
    <row r="54" spans="1:3" x14ac:dyDescent="0.25">
      <c r="A54">
        <v>1933</v>
      </c>
      <c r="B54" t="s">
        <v>2</v>
      </c>
      <c r="C54">
        <v>0.86954080818120427</v>
      </c>
    </row>
    <row r="55" spans="1:3" x14ac:dyDescent="0.25">
      <c r="A55">
        <v>1934</v>
      </c>
      <c r="B55" t="s">
        <v>2</v>
      </c>
      <c r="C55">
        <v>0.87027530431345157</v>
      </c>
    </row>
    <row r="56" spans="1:3" x14ac:dyDescent="0.25">
      <c r="A56">
        <v>1935</v>
      </c>
      <c r="B56" t="s">
        <v>2</v>
      </c>
      <c r="C56">
        <v>0.87100980044569887</v>
      </c>
    </row>
    <row r="57" spans="1:3" x14ac:dyDescent="0.25">
      <c r="A57">
        <v>1936</v>
      </c>
      <c r="B57" t="s">
        <v>2</v>
      </c>
      <c r="C57">
        <v>0.87174429657794672</v>
      </c>
    </row>
    <row r="58" spans="1:3" x14ac:dyDescent="0.25">
      <c r="A58">
        <v>1937</v>
      </c>
      <c r="B58" t="s">
        <v>2</v>
      </c>
      <c r="C58">
        <v>0.86963977095721356</v>
      </c>
    </row>
    <row r="59" spans="1:3" x14ac:dyDescent="0.25">
      <c r="A59">
        <v>1938</v>
      </c>
      <c r="B59" t="s">
        <v>2</v>
      </c>
      <c r="C59">
        <v>0.86753524533648041</v>
      </c>
    </row>
    <row r="60" spans="1:3" x14ac:dyDescent="0.25">
      <c r="A60">
        <v>1939</v>
      </c>
      <c r="B60" t="s">
        <v>2</v>
      </c>
      <c r="C60">
        <v>0.86543071971574725</v>
      </c>
    </row>
    <row r="61" spans="1:3" x14ac:dyDescent="0.25">
      <c r="A61">
        <v>1940</v>
      </c>
      <c r="B61" t="s">
        <v>2</v>
      </c>
      <c r="C61">
        <v>0.8633261940950141</v>
      </c>
    </row>
    <row r="62" spans="1:3" x14ac:dyDescent="0.25">
      <c r="A62">
        <v>1941</v>
      </c>
      <c r="B62" t="s">
        <v>2</v>
      </c>
      <c r="C62">
        <v>0.86122166847428094</v>
      </c>
    </row>
    <row r="63" spans="1:3" x14ac:dyDescent="0.25">
      <c r="A63">
        <v>1942</v>
      </c>
      <c r="B63" t="s">
        <v>2</v>
      </c>
      <c r="C63">
        <v>0.85911714285354779</v>
      </c>
    </row>
    <row r="64" spans="1:3" x14ac:dyDescent="0.25">
      <c r="A64">
        <v>1943</v>
      </c>
      <c r="B64" t="s">
        <v>2</v>
      </c>
      <c r="C64">
        <v>0.85701261723281463</v>
      </c>
    </row>
    <row r="65" spans="1:3" x14ac:dyDescent="0.25">
      <c r="A65">
        <v>1944</v>
      </c>
      <c r="B65" t="s">
        <v>2</v>
      </c>
      <c r="C65">
        <v>0.85490809161208148</v>
      </c>
    </row>
    <row r="66" spans="1:3" x14ac:dyDescent="0.25">
      <c r="A66">
        <v>1945</v>
      </c>
      <c r="B66" t="s">
        <v>2</v>
      </c>
      <c r="C66">
        <v>0.85280356599134832</v>
      </c>
    </row>
    <row r="67" spans="1:3" x14ac:dyDescent="0.25">
      <c r="A67">
        <v>1946</v>
      </c>
      <c r="B67" t="s">
        <v>2</v>
      </c>
      <c r="C67">
        <v>0.8506990403706155</v>
      </c>
    </row>
    <row r="68" spans="1:3" x14ac:dyDescent="0.25">
      <c r="A68">
        <v>1947</v>
      </c>
      <c r="B68" t="s">
        <v>2</v>
      </c>
      <c r="C68">
        <v>0.85567267848858197</v>
      </c>
    </row>
    <row r="69" spans="1:3" x14ac:dyDescent="0.25">
      <c r="A69">
        <v>1948</v>
      </c>
      <c r="B69" t="s">
        <v>2</v>
      </c>
      <c r="C69">
        <v>0.86064631660654844</v>
      </c>
    </row>
    <row r="70" spans="1:3" x14ac:dyDescent="0.25">
      <c r="A70">
        <v>1949</v>
      </c>
      <c r="B70" t="s">
        <v>2</v>
      </c>
      <c r="C70">
        <v>0.86561995472451492</v>
      </c>
    </row>
    <row r="71" spans="1:3" x14ac:dyDescent="0.25">
      <c r="A71">
        <v>1950</v>
      </c>
      <c r="B71" t="s">
        <v>2</v>
      </c>
      <c r="C71">
        <v>0.87059359284248139</v>
      </c>
    </row>
    <row r="72" spans="1:3" x14ac:dyDescent="0.25">
      <c r="A72">
        <v>1951</v>
      </c>
      <c r="B72" t="s">
        <v>2</v>
      </c>
      <c r="C72">
        <v>0.87556723096044786</v>
      </c>
    </row>
    <row r="73" spans="1:3" x14ac:dyDescent="0.25">
      <c r="A73">
        <v>1952</v>
      </c>
      <c r="B73" t="s">
        <v>2</v>
      </c>
      <c r="C73">
        <v>0.88054086907841433</v>
      </c>
    </row>
    <row r="74" spans="1:3" x14ac:dyDescent="0.25">
      <c r="A74">
        <v>1953</v>
      </c>
      <c r="B74" t="s">
        <v>2</v>
      </c>
      <c r="C74">
        <v>0.88551450719638081</v>
      </c>
    </row>
    <row r="75" spans="1:3" x14ac:dyDescent="0.25">
      <c r="A75">
        <v>1954</v>
      </c>
      <c r="B75" t="s">
        <v>2</v>
      </c>
      <c r="C75">
        <v>0.89048814531434728</v>
      </c>
    </row>
    <row r="76" spans="1:3" x14ac:dyDescent="0.25">
      <c r="A76">
        <v>1955</v>
      </c>
      <c r="B76" t="s">
        <v>2</v>
      </c>
      <c r="C76">
        <v>0.89546178343231375</v>
      </c>
    </row>
    <row r="77" spans="1:3" x14ac:dyDescent="0.25">
      <c r="A77">
        <v>1956</v>
      </c>
      <c r="B77" t="s">
        <v>2</v>
      </c>
      <c r="C77">
        <v>0.90043542155028022</v>
      </c>
    </row>
    <row r="78" spans="1:3" x14ac:dyDescent="0.25">
      <c r="A78">
        <v>1957</v>
      </c>
      <c r="B78" t="s">
        <v>2</v>
      </c>
      <c r="C78">
        <v>0.9054090596682467</v>
      </c>
    </row>
    <row r="79" spans="1:3" x14ac:dyDescent="0.25">
      <c r="A79">
        <v>1958</v>
      </c>
      <c r="B79" t="s">
        <v>2</v>
      </c>
      <c r="C79">
        <v>0.91038269778621317</v>
      </c>
    </row>
    <row r="80" spans="1:3" x14ac:dyDescent="0.25">
      <c r="A80">
        <v>1959</v>
      </c>
      <c r="B80" t="s">
        <v>2</v>
      </c>
      <c r="C80">
        <v>0.91535633590417964</v>
      </c>
    </row>
    <row r="81" spans="1:3" x14ac:dyDescent="0.25">
      <c r="A81">
        <v>1960</v>
      </c>
      <c r="B81" t="s">
        <v>2</v>
      </c>
      <c r="C81">
        <v>0.92032997402214567</v>
      </c>
    </row>
    <row r="82" spans="1:3" x14ac:dyDescent="0.25">
      <c r="A82">
        <v>1921</v>
      </c>
      <c r="B82" t="s">
        <v>3</v>
      </c>
      <c r="C82">
        <v>6.6365638766519828</v>
      </c>
    </row>
    <row r="83" spans="1:3" x14ac:dyDescent="0.25">
      <c r="A83">
        <v>1922</v>
      </c>
      <c r="B83" t="s">
        <v>3</v>
      </c>
      <c r="C83">
        <v>6.3839547887190635</v>
      </c>
    </row>
    <row r="84" spans="1:3" x14ac:dyDescent="0.25">
      <c r="A84">
        <v>1923</v>
      </c>
      <c r="B84" t="s">
        <v>3</v>
      </c>
      <c r="C84">
        <v>6.1313457007861443</v>
      </c>
    </row>
    <row r="85" spans="1:3" x14ac:dyDescent="0.25">
      <c r="A85">
        <v>1924</v>
      </c>
      <c r="B85" t="s">
        <v>3</v>
      </c>
      <c r="C85">
        <v>5.878736612853225</v>
      </c>
    </row>
    <row r="86" spans="1:3" x14ac:dyDescent="0.25">
      <c r="A86">
        <v>1925</v>
      </c>
      <c r="B86" t="s">
        <v>3</v>
      </c>
      <c r="C86">
        <v>5.6261275249203058</v>
      </c>
    </row>
    <row r="87" spans="1:3" x14ac:dyDescent="0.25">
      <c r="A87">
        <v>1926</v>
      </c>
      <c r="B87" t="s">
        <v>3</v>
      </c>
      <c r="C87">
        <v>5.3735184369873865</v>
      </c>
    </row>
    <row r="88" spans="1:3" x14ac:dyDescent="0.25">
      <c r="A88">
        <v>1927</v>
      </c>
      <c r="B88" t="s">
        <v>3</v>
      </c>
      <c r="C88">
        <v>5.1209093490544673</v>
      </c>
    </row>
    <row r="89" spans="1:3" x14ac:dyDescent="0.25">
      <c r="A89">
        <v>1928</v>
      </c>
      <c r="B89" t="s">
        <v>3</v>
      </c>
      <c r="C89">
        <v>4.868300261121548</v>
      </c>
    </row>
    <row r="90" spans="1:3" x14ac:dyDescent="0.25">
      <c r="A90">
        <v>1929</v>
      </c>
      <c r="B90" t="s">
        <v>3</v>
      </c>
      <c r="C90">
        <v>4.6156911731886288</v>
      </c>
    </row>
    <row r="91" spans="1:3" x14ac:dyDescent="0.25">
      <c r="A91">
        <v>1930</v>
      </c>
      <c r="B91" t="s">
        <v>3</v>
      </c>
      <c r="C91">
        <v>4.3630820852557095</v>
      </c>
    </row>
    <row r="92" spans="1:3" x14ac:dyDescent="0.25">
      <c r="A92">
        <v>1931</v>
      </c>
      <c r="B92" t="s">
        <v>3</v>
      </c>
      <c r="C92">
        <v>4.1104729973227903</v>
      </c>
    </row>
    <row r="93" spans="1:3" x14ac:dyDescent="0.25">
      <c r="A93">
        <v>1932</v>
      </c>
      <c r="B93" t="s">
        <v>3</v>
      </c>
      <c r="C93">
        <v>3.857863909389871</v>
      </c>
    </row>
    <row r="94" spans="1:3" x14ac:dyDescent="0.25">
      <c r="A94">
        <v>1933</v>
      </c>
      <c r="B94" t="s">
        <v>3</v>
      </c>
      <c r="C94">
        <v>3.6052548214569518</v>
      </c>
    </row>
    <row r="95" spans="1:3" x14ac:dyDescent="0.25">
      <c r="A95">
        <v>1934</v>
      </c>
      <c r="B95" t="s">
        <v>3</v>
      </c>
      <c r="C95">
        <v>3.3526457335240325</v>
      </c>
    </row>
    <row r="96" spans="1:3" x14ac:dyDescent="0.25">
      <c r="A96">
        <v>1935</v>
      </c>
      <c r="B96" t="s">
        <v>3</v>
      </c>
      <c r="C96">
        <v>3.1000366455911132</v>
      </c>
    </row>
    <row r="97" spans="1:3" x14ac:dyDescent="0.25">
      <c r="A97">
        <v>1936</v>
      </c>
      <c r="B97" t="s">
        <v>3</v>
      </c>
      <c r="C97">
        <v>2.8474275576581904</v>
      </c>
    </row>
    <row r="98" spans="1:3" x14ac:dyDescent="0.25">
      <c r="A98">
        <v>1937</v>
      </c>
      <c r="B98" t="s">
        <v>3</v>
      </c>
      <c r="C98">
        <v>2.7661562205454611</v>
      </c>
    </row>
    <row r="99" spans="1:3" x14ac:dyDescent="0.25">
      <c r="A99">
        <v>1938</v>
      </c>
      <c r="B99" t="s">
        <v>3</v>
      </c>
      <c r="C99">
        <v>2.6848848834327317</v>
      </c>
    </row>
    <row r="100" spans="1:3" x14ac:dyDescent="0.25">
      <c r="A100">
        <v>1939</v>
      </c>
      <c r="B100" t="s">
        <v>3</v>
      </c>
      <c r="C100">
        <v>2.6036135463200023</v>
      </c>
    </row>
    <row r="101" spans="1:3" x14ac:dyDescent="0.25">
      <c r="A101">
        <v>1940</v>
      </c>
      <c r="B101" t="s">
        <v>3</v>
      </c>
      <c r="C101">
        <v>2.5223422092072729</v>
      </c>
    </row>
    <row r="102" spans="1:3" x14ac:dyDescent="0.25">
      <c r="A102">
        <v>1941</v>
      </c>
      <c r="B102" t="s">
        <v>3</v>
      </c>
      <c r="C102">
        <v>2.4410708720945435</v>
      </c>
    </row>
    <row r="103" spans="1:3" x14ac:dyDescent="0.25">
      <c r="A103">
        <v>1942</v>
      </c>
      <c r="B103" t="s">
        <v>3</v>
      </c>
      <c r="C103">
        <v>2.3597995349818142</v>
      </c>
    </row>
    <row r="104" spans="1:3" x14ac:dyDescent="0.25">
      <c r="A104">
        <v>1943</v>
      </c>
      <c r="B104" t="s">
        <v>3</v>
      </c>
      <c r="C104">
        <v>2.2785281978690848</v>
      </c>
    </row>
    <row r="105" spans="1:3" x14ac:dyDescent="0.25">
      <c r="A105">
        <v>1944</v>
      </c>
      <c r="B105" t="s">
        <v>3</v>
      </c>
      <c r="C105">
        <v>2.1972568607563554</v>
      </c>
    </row>
    <row r="106" spans="1:3" x14ac:dyDescent="0.25">
      <c r="A106">
        <v>1945</v>
      </c>
      <c r="B106" t="s">
        <v>3</v>
      </c>
      <c r="C106">
        <v>2.115985523643626</v>
      </c>
    </row>
    <row r="107" spans="1:3" x14ac:dyDescent="0.25">
      <c r="A107">
        <v>1946</v>
      </c>
      <c r="B107" t="s">
        <v>3</v>
      </c>
      <c r="C107">
        <v>2.0347141865308958</v>
      </c>
    </row>
    <row r="108" spans="1:3" x14ac:dyDescent="0.25">
      <c r="A108">
        <v>1947</v>
      </c>
      <c r="B108" t="s">
        <v>3</v>
      </c>
      <c r="C108">
        <v>2.0224202175121953</v>
      </c>
    </row>
    <row r="109" spans="1:3" x14ac:dyDescent="0.25">
      <c r="A109">
        <v>1948</v>
      </c>
      <c r="B109" t="s">
        <v>3</v>
      </c>
      <c r="C109">
        <v>2.0101262484934947</v>
      </c>
    </row>
    <row r="110" spans="1:3" x14ac:dyDescent="0.25">
      <c r="A110">
        <v>1949</v>
      </c>
      <c r="B110" t="s">
        <v>3</v>
      </c>
      <c r="C110">
        <v>1.997832279474794</v>
      </c>
    </row>
    <row r="111" spans="1:3" x14ac:dyDescent="0.25">
      <c r="A111">
        <v>1950</v>
      </c>
      <c r="B111" t="s">
        <v>3</v>
      </c>
      <c r="C111">
        <v>1.9855383104560933</v>
      </c>
    </row>
    <row r="112" spans="1:3" x14ac:dyDescent="0.25">
      <c r="A112">
        <v>1951</v>
      </c>
      <c r="B112" t="s">
        <v>3</v>
      </c>
      <c r="C112">
        <v>1.9732443414373926</v>
      </c>
    </row>
    <row r="113" spans="1:3" x14ac:dyDescent="0.25">
      <c r="A113">
        <v>1952</v>
      </c>
      <c r="B113" t="s">
        <v>3</v>
      </c>
      <c r="C113">
        <v>1.9609503724186919</v>
      </c>
    </row>
    <row r="114" spans="1:3" x14ac:dyDescent="0.25">
      <c r="A114">
        <v>1953</v>
      </c>
      <c r="B114" t="s">
        <v>3</v>
      </c>
      <c r="C114">
        <v>1.9486564033999911</v>
      </c>
    </row>
    <row r="115" spans="1:3" x14ac:dyDescent="0.25">
      <c r="A115">
        <v>1954</v>
      </c>
      <c r="B115" t="s">
        <v>3</v>
      </c>
      <c r="C115">
        <v>1.9363624343812904</v>
      </c>
    </row>
    <row r="116" spans="1:3" x14ac:dyDescent="0.25">
      <c r="A116">
        <v>1955</v>
      </c>
      <c r="B116" t="s">
        <v>3</v>
      </c>
      <c r="C116">
        <v>1.9240684653625897</v>
      </c>
    </row>
    <row r="117" spans="1:3" x14ac:dyDescent="0.25">
      <c r="A117">
        <v>1956</v>
      </c>
      <c r="B117" t="s">
        <v>3</v>
      </c>
      <c r="C117">
        <v>1.911774496343889</v>
      </c>
    </row>
    <row r="118" spans="1:3" x14ac:dyDescent="0.25">
      <c r="A118">
        <v>1957</v>
      </c>
      <c r="B118" t="s">
        <v>3</v>
      </c>
      <c r="C118">
        <v>1.8994805273251882</v>
      </c>
    </row>
    <row r="119" spans="1:3" x14ac:dyDescent="0.25">
      <c r="A119">
        <v>1958</v>
      </c>
      <c r="B119" t="s">
        <v>3</v>
      </c>
      <c r="C119">
        <v>1.8871865583064875</v>
      </c>
    </row>
    <row r="120" spans="1:3" x14ac:dyDescent="0.25">
      <c r="A120">
        <v>1959</v>
      </c>
      <c r="B120" t="s">
        <v>3</v>
      </c>
      <c r="C120">
        <v>1.8748925892877868</v>
      </c>
    </row>
    <row r="121" spans="1:3" x14ac:dyDescent="0.25">
      <c r="A121">
        <v>1960</v>
      </c>
      <c r="B121" t="s">
        <v>3</v>
      </c>
      <c r="C121">
        <v>1.8625986202690856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F41" sqref="F41"/>
    </sheetView>
  </sheetViews>
  <sheetFormatPr defaultRowHeight="15" x14ac:dyDescent="0.25"/>
  <sheetData>
    <row r="1" spans="1:20" x14ac:dyDescent="0.25">
      <c r="B1" t="s">
        <v>1</v>
      </c>
      <c r="K1" t="s">
        <v>2</v>
      </c>
      <c r="P1" t="s">
        <v>3</v>
      </c>
    </row>
    <row r="2" spans="1:20" x14ac:dyDescent="0.25">
      <c r="B2" t="s">
        <v>0</v>
      </c>
      <c r="C2" t="s">
        <v>4</v>
      </c>
      <c r="E2" t="s">
        <v>0</v>
      </c>
      <c r="G2" t="s">
        <v>4</v>
      </c>
      <c r="H2" t="s">
        <v>7</v>
      </c>
      <c r="I2" t="s">
        <v>6</v>
      </c>
      <c r="J2" t="s">
        <v>5</v>
      </c>
      <c r="K2" t="s">
        <v>0</v>
      </c>
      <c r="L2" t="s">
        <v>4</v>
      </c>
      <c r="N2" t="s">
        <v>6</v>
      </c>
      <c r="O2" t="s">
        <v>5</v>
      </c>
      <c r="P2" t="s">
        <v>0</v>
      </c>
      <c r="Q2" t="s">
        <v>4</v>
      </c>
    </row>
    <row r="3" spans="1:20" ht="16.5" x14ac:dyDescent="0.3">
      <c r="A3">
        <v>1921</v>
      </c>
      <c r="B3">
        <v>49860</v>
      </c>
      <c r="C3">
        <v>51260</v>
      </c>
      <c r="D3">
        <f>B3/C3</f>
        <v>0.97268825595005848</v>
      </c>
      <c r="E3">
        <v>38083</v>
      </c>
      <c r="F3" s="1">
        <f>(E18-E3)/(ROW(E18)-ROW(E3))</f>
        <v>559.93333333333328</v>
      </c>
      <c r="G3">
        <v>37944</v>
      </c>
      <c r="I3">
        <f>E3/G3</f>
        <v>1.003663293274299</v>
      </c>
      <c r="J3" s="1">
        <f>(I18-I3)/(ROW(I18)-ROW(I3))</f>
        <v>-4.6434747325332744E-3</v>
      </c>
      <c r="K3">
        <v>24702</v>
      </c>
      <c r="L3">
        <v>28699</v>
      </c>
      <c r="N3">
        <f>K3/L3</f>
        <v>0.8607268545942367</v>
      </c>
      <c r="O3" s="1">
        <f>(N18-N3)/(ROW(N18)-ROW(N3))</f>
        <v>7.3449613224733457E-4</v>
      </c>
      <c r="P3">
        <v>3013</v>
      </c>
      <c r="Q3">
        <v>454</v>
      </c>
      <c r="S3">
        <f>P3/Q3</f>
        <v>6.6365638766519828</v>
      </c>
      <c r="T3" s="1">
        <f>(S18-S3)/(ROW(S18)-ROW(S3))</f>
        <v>-0.25260908793291947</v>
      </c>
    </row>
    <row r="4" spans="1:20" x14ac:dyDescent="0.25">
      <c r="A4">
        <v>1922</v>
      </c>
      <c r="B4">
        <v>50880</v>
      </c>
      <c r="C4">
        <v>52570</v>
      </c>
      <c r="D4">
        <f t="shared" ref="D4:D19" si="0">B4/C4</f>
        <v>0.96785238729313294</v>
      </c>
      <c r="E4" s="2">
        <f>E3+$F$3</f>
        <v>38642.933333333334</v>
      </c>
      <c r="I4">
        <f>I3+$J$3</f>
        <v>0.9990198185417658</v>
      </c>
      <c r="N4">
        <f>N3+$O$3</f>
        <v>0.861461350726484</v>
      </c>
      <c r="S4">
        <f>S3+$T$3</f>
        <v>6.3839547887190635</v>
      </c>
    </row>
    <row r="5" spans="1:20" x14ac:dyDescent="0.25">
      <c r="A5">
        <v>1923</v>
      </c>
      <c r="B5">
        <v>51890</v>
      </c>
      <c r="C5">
        <v>53890</v>
      </c>
      <c r="D5">
        <f t="shared" si="0"/>
        <v>0.96288736314715162</v>
      </c>
      <c r="E5" s="2">
        <f t="shared" ref="E5:E17" si="1">E4+$F$3</f>
        <v>39202.866666666669</v>
      </c>
      <c r="I5">
        <f t="shared" ref="I5:I17" si="2">I4+$J$3</f>
        <v>0.99437634380923257</v>
      </c>
      <c r="N5">
        <f t="shared" ref="N5:N17" si="3">N4+$O$3</f>
        <v>0.8621958468587313</v>
      </c>
      <c r="S5">
        <f t="shared" ref="S5:S17" si="4">S4+$T$3</f>
        <v>6.1313457007861443</v>
      </c>
    </row>
    <row r="6" spans="1:20" x14ac:dyDescent="0.25">
      <c r="A6">
        <v>1924</v>
      </c>
      <c r="B6">
        <v>52900</v>
      </c>
      <c r="C6">
        <v>55200</v>
      </c>
      <c r="D6">
        <f t="shared" si="0"/>
        <v>0.95833333333333337</v>
      </c>
      <c r="E6" s="2">
        <f t="shared" si="1"/>
        <v>39762.800000000003</v>
      </c>
      <c r="I6">
        <f t="shared" si="2"/>
        <v>0.98973286907669933</v>
      </c>
      <c r="N6">
        <f t="shared" si="3"/>
        <v>0.86293034299097859</v>
      </c>
      <c r="S6">
        <f t="shared" si="4"/>
        <v>5.878736612853225</v>
      </c>
    </row>
    <row r="7" spans="1:20" x14ac:dyDescent="0.25">
      <c r="A7">
        <v>1925</v>
      </c>
      <c r="B7">
        <v>53910</v>
      </c>
      <c r="C7">
        <v>56520</v>
      </c>
      <c r="D7">
        <f t="shared" si="0"/>
        <v>0.95382165605095537</v>
      </c>
      <c r="E7" s="2">
        <f t="shared" si="1"/>
        <v>40322.733333333337</v>
      </c>
      <c r="I7">
        <f t="shared" si="2"/>
        <v>0.98508939434416609</v>
      </c>
      <c r="N7">
        <f t="shared" si="3"/>
        <v>0.86366483912322589</v>
      </c>
      <c r="S7">
        <f t="shared" si="4"/>
        <v>5.6261275249203058</v>
      </c>
    </row>
    <row r="8" spans="1:20" x14ac:dyDescent="0.25">
      <c r="A8">
        <v>1926</v>
      </c>
      <c r="B8">
        <v>55300</v>
      </c>
      <c r="C8">
        <v>57280</v>
      </c>
      <c r="D8">
        <f t="shared" si="0"/>
        <v>0.96543296089385477</v>
      </c>
      <c r="E8" s="2">
        <f t="shared" si="1"/>
        <v>40882.666666666672</v>
      </c>
      <c r="I8">
        <f t="shared" si="2"/>
        <v>0.98044591961163285</v>
      </c>
      <c r="N8">
        <f t="shared" si="3"/>
        <v>0.86439933525547319</v>
      </c>
      <c r="S8">
        <f t="shared" si="4"/>
        <v>5.3735184369873865</v>
      </c>
    </row>
    <row r="9" spans="1:20" x14ac:dyDescent="0.25">
      <c r="A9">
        <v>1927</v>
      </c>
      <c r="B9">
        <v>56350</v>
      </c>
      <c r="C9">
        <v>58500</v>
      </c>
      <c r="D9">
        <f t="shared" si="0"/>
        <v>0.96324786324786327</v>
      </c>
      <c r="E9" s="2">
        <f t="shared" si="1"/>
        <v>41442.600000000006</v>
      </c>
      <c r="I9">
        <f t="shared" si="2"/>
        <v>0.97580244487909962</v>
      </c>
      <c r="N9">
        <f t="shared" si="3"/>
        <v>0.86513383138772049</v>
      </c>
      <c r="S9">
        <f t="shared" si="4"/>
        <v>5.1209093490544673</v>
      </c>
    </row>
    <row r="10" spans="1:20" x14ac:dyDescent="0.25">
      <c r="A10">
        <v>1928</v>
      </c>
      <c r="B10">
        <v>63070</v>
      </c>
      <c r="C10">
        <v>66040</v>
      </c>
      <c r="D10">
        <f t="shared" si="0"/>
        <v>0.9550272562083586</v>
      </c>
      <c r="E10" s="2">
        <f t="shared" si="1"/>
        <v>42002.53333333334</v>
      </c>
      <c r="I10">
        <f t="shared" si="2"/>
        <v>0.97115897014656638</v>
      </c>
      <c r="N10">
        <f t="shared" si="3"/>
        <v>0.86586832751996778</v>
      </c>
      <c r="S10">
        <f t="shared" si="4"/>
        <v>4.868300261121548</v>
      </c>
    </row>
    <row r="11" spans="1:20" x14ac:dyDescent="0.25">
      <c r="A11">
        <v>1929</v>
      </c>
      <c r="B11">
        <v>64260</v>
      </c>
      <c r="C11">
        <v>67390</v>
      </c>
      <c r="D11">
        <f t="shared" si="0"/>
        <v>0.95355393975367264</v>
      </c>
      <c r="E11" s="2">
        <f t="shared" si="1"/>
        <v>42562.466666666674</v>
      </c>
      <c r="I11">
        <f t="shared" si="2"/>
        <v>0.96651549541403314</v>
      </c>
      <c r="N11">
        <f t="shared" si="3"/>
        <v>0.86660282365221508</v>
      </c>
      <c r="S11">
        <f t="shared" si="4"/>
        <v>4.6156911731886288</v>
      </c>
    </row>
    <row r="12" spans="1:20" x14ac:dyDescent="0.25">
      <c r="A12">
        <v>1930</v>
      </c>
      <c r="B12">
        <v>65200</v>
      </c>
      <c r="C12">
        <v>68300</v>
      </c>
      <c r="D12">
        <f t="shared" si="0"/>
        <v>0.9546120058565154</v>
      </c>
      <c r="E12" s="2">
        <f t="shared" si="1"/>
        <v>43122.400000000009</v>
      </c>
      <c r="I12">
        <f t="shared" si="2"/>
        <v>0.96187202068149991</v>
      </c>
      <c r="N12">
        <f t="shared" si="3"/>
        <v>0.86733731978446238</v>
      </c>
      <c r="S12">
        <f t="shared" si="4"/>
        <v>4.3630820852557095</v>
      </c>
    </row>
    <row r="13" spans="1:20" x14ac:dyDescent="0.25">
      <c r="A13">
        <v>1931</v>
      </c>
      <c r="B13">
        <v>66400</v>
      </c>
      <c r="C13">
        <v>69500</v>
      </c>
      <c r="D13">
        <f t="shared" si="0"/>
        <v>0.95539568345323744</v>
      </c>
      <c r="E13" s="2">
        <f t="shared" si="1"/>
        <v>43682.333333333343</v>
      </c>
      <c r="I13">
        <f t="shared" si="2"/>
        <v>0.95722854594896667</v>
      </c>
      <c r="N13">
        <f t="shared" si="3"/>
        <v>0.86807181591670968</v>
      </c>
      <c r="S13">
        <f t="shared" si="4"/>
        <v>4.1104729973227903</v>
      </c>
    </row>
    <row r="14" spans="1:20" x14ac:dyDescent="0.25">
      <c r="A14">
        <v>1932</v>
      </c>
      <c r="B14">
        <v>67600</v>
      </c>
      <c r="C14">
        <v>70800</v>
      </c>
      <c r="D14">
        <f t="shared" si="0"/>
        <v>0.95480225988700562</v>
      </c>
      <c r="E14" s="2">
        <f t="shared" si="1"/>
        <v>44242.266666666677</v>
      </c>
      <c r="I14">
        <f t="shared" si="2"/>
        <v>0.95258507121643343</v>
      </c>
      <c r="N14">
        <f t="shared" si="3"/>
        <v>0.86880631204895697</v>
      </c>
      <c r="S14">
        <f t="shared" si="4"/>
        <v>3.857863909389871</v>
      </c>
    </row>
    <row r="15" spans="1:20" x14ac:dyDescent="0.25">
      <c r="A15">
        <v>1933</v>
      </c>
      <c r="B15">
        <v>68800</v>
      </c>
      <c r="C15">
        <v>72100</v>
      </c>
      <c r="D15">
        <f t="shared" si="0"/>
        <v>0.95423023578363386</v>
      </c>
      <c r="E15" s="2">
        <f t="shared" si="1"/>
        <v>44802.200000000012</v>
      </c>
      <c r="I15">
        <f t="shared" si="2"/>
        <v>0.9479415964839002</v>
      </c>
      <c r="N15">
        <f t="shared" si="3"/>
        <v>0.86954080818120427</v>
      </c>
      <c r="S15">
        <f t="shared" si="4"/>
        <v>3.6052548214569518</v>
      </c>
    </row>
    <row r="16" spans="1:20" x14ac:dyDescent="0.25">
      <c r="A16">
        <v>1934</v>
      </c>
      <c r="B16">
        <v>70000</v>
      </c>
      <c r="C16">
        <v>73400</v>
      </c>
      <c r="D16">
        <f t="shared" si="0"/>
        <v>0.9536784741144414</v>
      </c>
      <c r="E16" s="2">
        <f t="shared" si="1"/>
        <v>45362.133333333346</v>
      </c>
      <c r="I16">
        <f t="shared" si="2"/>
        <v>0.94329812175136696</v>
      </c>
      <c r="N16">
        <f t="shared" si="3"/>
        <v>0.87027530431345157</v>
      </c>
      <c r="S16">
        <f t="shared" si="4"/>
        <v>3.3526457335240325</v>
      </c>
    </row>
    <row r="17" spans="1:20" x14ac:dyDescent="0.25">
      <c r="A17">
        <v>1935</v>
      </c>
      <c r="B17">
        <v>70900</v>
      </c>
      <c r="C17">
        <v>76700</v>
      </c>
      <c r="D17">
        <f t="shared" si="0"/>
        <v>0.92438070404172101</v>
      </c>
      <c r="E17" s="2">
        <f t="shared" si="1"/>
        <v>45922.06666666668</v>
      </c>
      <c r="I17">
        <f t="shared" si="2"/>
        <v>0.93865464701883372</v>
      </c>
      <c r="N17">
        <f t="shared" si="3"/>
        <v>0.87100980044569887</v>
      </c>
      <c r="S17">
        <f t="shared" si="4"/>
        <v>3.1000366455911132</v>
      </c>
    </row>
    <row r="18" spans="1:20" x14ac:dyDescent="0.25">
      <c r="A18">
        <v>1936</v>
      </c>
      <c r="B18">
        <v>72000</v>
      </c>
      <c r="C18">
        <v>78500</v>
      </c>
      <c r="D18">
        <f t="shared" si="0"/>
        <v>0.91719745222929938</v>
      </c>
      <c r="E18">
        <v>46482</v>
      </c>
      <c r="F18">
        <f>(E28-E18)/(ROW(E28)-ROW(E18))</f>
        <v>603</v>
      </c>
      <c r="G18">
        <v>49766</v>
      </c>
      <c r="I18">
        <f>E18/G18</f>
        <v>0.93401117228629993</v>
      </c>
      <c r="J18">
        <f>(I28-I18)/(ROW(I28)-ROW(I18))</f>
        <v>-5.8273455076874865E-4</v>
      </c>
      <c r="K18">
        <v>36683</v>
      </c>
      <c r="L18">
        <v>42080</v>
      </c>
      <c r="N18">
        <f>K18/L18</f>
        <v>0.87174429657794672</v>
      </c>
      <c r="O18">
        <f>(N28-N18)/(ROW(N28)-ROW(N18))</f>
        <v>-2.1045256207331219E-3</v>
      </c>
      <c r="P18">
        <v>4815</v>
      </c>
      <c r="Q18">
        <v>1691</v>
      </c>
      <c r="S18">
        <f>P18/Q18</f>
        <v>2.8474275576581904</v>
      </c>
      <c r="T18">
        <f>(S28-S18)/(ROW(S28)-ROW(S18))</f>
        <v>-8.1271337112729464E-2</v>
      </c>
    </row>
    <row r="19" spans="1:20" x14ac:dyDescent="0.25">
      <c r="A19">
        <v>1937</v>
      </c>
      <c r="B19">
        <v>73100</v>
      </c>
      <c r="C19">
        <v>80300</v>
      </c>
      <c r="D19">
        <f t="shared" si="0"/>
        <v>0.91033623910336237</v>
      </c>
      <c r="E19" s="2">
        <f>E18+$F$18</f>
        <v>47085</v>
      </c>
      <c r="I19">
        <f>I18+$J$18</f>
        <v>0.93342843773553119</v>
      </c>
      <c r="N19">
        <f>N18+$O$18</f>
        <v>0.86963977095721356</v>
      </c>
      <c r="S19">
        <f>S18+$T$18</f>
        <v>2.7661562205454611</v>
      </c>
    </row>
    <row r="20" spans="1:20" x14ac:dyDescent="0.25">
      <c r="A20">
        <v>1938</v>
      </c>
      <c r="E20" s="2">
        <f t="shared" ref="E20:E27" si="5">E19+$F$18</f>
        <v>47688</v>
      </c>
      <c r="I20">
        <f t="shared" ref="I20:I27" si="6">I19+$J$18</f>
        <v>0.93284570318476245</v>
      </c>
      <c r="N20">
        <f t="shared" ref="N20:N27" si="7">N19+$O$18</f>
        <v>0.86753524533648041</v>
      </c>
      <c r="S20">
        <f t="shared" ref="S20:S27" si="8">S19+$T$18</f>
        <v>2.6848848834327317</v>
      </c>
    </row>
    <row r="21" spans="1:20" x14ac:dyDescent="0.25">
      <c r="A21">
        <v>1939</v>
      </c>
      <c r="E21" s="2">
        <f t="shared" si="5"/>
        <v>48291</v>
      </c>
      <c r="I21">
        <f t="shared" si="6"/>
        <v>0.93226296863399372</v>
      </c>
      <c r="N21">
        <f t="shared" si="7"/>
        <v>0.86543071971574725</v>
      </c>
      <c r="S21">
        <f t="shared" si="8"/>
        <v>2.6036135463200023</v>
      </c>
    </row>
    <row r="22" spans="1:20" x14ac:dyDescent="0.25">
      <c r="A22">
        <v>1940</v>
      </c>
      <c r="E22" s="2">
        <f t="shared" si="5"/>
        <v>48894</v>
      </c>
      <c r="I22">
        <f t="shared" si="6"/>
        <v>0.93168023408322498</v>
      </c>
      <c r="N22">
        <f t="shared" si="7"/>
        <v>0.8633261940950141</v>
      </c>
      <c r="S22">
        <f t="shared" si="8"/>
        <v>2.5223422092072729</v>
      </c>
    </row>
    <row r="23" spans="1:20" x14ac:dyDescent="0.25">
      <c r="A23">
        <v>1941</v>
      </c>
      <c r="E23" s="2">
        <f t="shared" si="5"/>
        <v>49497</v>
      </c>
      <c r="I23">
        <f t="shared" si="6"/>
        <v>0.93109749953245624</v>
      </c>
      <c r="N23">
        <f t="shared" si="7"/>
        <v>0.86122166847428094</v>
      </c>
      <c r="S23">
        <f t="shared" si="8"/>
        <v>2.4410708720945435</v>
      </c>
    </row>
    <row r="24" spans="1:20" x14ac:dyDescent="0.25">
      <c r="A24">
        <v>1942</v>
      </c>
      <c r="E24" s="2">
        <f t="shared" si="5"/>
        <v>50100</v>
      </c>
      <c r="I24">
        <f t="shared" si="6"/>
        <v>0.9305147649816875</v>
      </c>
      <c r="N24">
        <f t="shared" si="7"/>
        <v>0.85911714285354779</v>
      </c>
      <c r="S24">
        <f t="shared" si="8"/>
        <v>2.3597995349818142</v>
      </c>
    </row>
    <row r="25" spans="1:20" x14ac:dyDescent="0.25">
      <c r="A25">
        <v>1943</v>
      </c>
      <c r="E25" s="2">
        <f t="shared" si="5"/>
        <v>50703</v>
      </c>
      <c r="I25">
        <f t="shared" si="6"/>
        <v>0.92993203043091877</v>
      </c>
      <c r="N25">
        <f t="shared" si="7"/>
        <v>0.85701261723281463</v>
      </c>
      <c r="S25">
        <f t="shared" si="8"/>
        <v>2.2785281978690848</v>
      </c>
    </row>
    <row r="26" spans="1:20" x14ac:dyDescent="0.25">
      <c r="A26">
        <v>1944</v>
      </c>
      <c r="E26" s="2">
        <f t="shared" si="5"/>
        <v>51306</v>
      </c>
      <c r="I26">
        <f t="shared" si="6"/>
        <v>0.92934929588015003</v>
      </c>
      <c r="N26">
        <f t="shared" si="7"/>
        <v>0.85490809161208148</v>
      </c>
      <c r="S26">
        <f t="shared" si="8"/>
        <v>2.1972568607563554</v>
      </c>
    </row>
    <row r="27" spans="1:20" x14ac:dyDescent="0.25">
      <c r="A27">
        <v>1945</v>
      </c>
      <c r="E27" s="2">
        <f t="shared" si="5"/>
        <v>51909</v>
      </c>
      <c r="I27">
        <f t="shared" si="6"/>
        <v>0.92876656132938129</v>
      </c>
      <c r="N27">
        <f t="shared" si="7"/>
        <v>0.85280356599134832</v>
      </c>
      <c r="S27">
        <f t="shared" si="8"/>
        <v>2.115985523643626</v>
      </c>
    </row>
    <row r="28" spans="1:20" x14ac:dyDescent="0.25">
      <c r="A28">
        <v>1946</v>
      </c>
      <c r="E28">
        <v>52512</v>
      </c>
      <c r="F28">
        <f>(E42-E28)/(ROW(E42)-ROW(E28))</f>
        <v>6727</v>
      </c>
      <c r="G28">
        <v>56575</v>
      </c>
      <c r="I28">
        <f>E28/G28</f>
        <v>0.92818382677861244</v>
      </c>
      <c r="J28">
        <f>(I42-I28)/(ROW(I42)-ROW(I28))</f>
        <v>2.2554281934854853E-4</v>
      </c>
      <c r="K28">
        <v>41133</v>
      </c>
      <c r="L28">
        <v>48352</v>
      </c>
      <c r="N28">
        <f>K28/L28</f>
        <v>0.8506990403706155</v>
      </c>
      <c r="O28">
        <f>(N42-N28)/(ROW(N42)-ROW(N28))</f>
        <v>4.9736381179664403E-3</v>
      </c>
      <c r="P28">
        <v>8792</v>
      </c>
      <c r="Q28">
        <v>4321</v>
      </c>
      <c r="S28">
        <f>P28/Q28</f>
        <v>2.0347141865308958</v>
      </c>
      <c r="T28">
        <f>(S42-S28)/(ROW(S42)-ROW(S28))</f>
        <v>-1.2293969018700723E-2</v>
      </c>
    </row>
    <row r="29" spans="1:20" x14ac:dyDescent="0.25">
      <c r="A29">
        <v>1947</v>
      </c>
      <c r="E29" s="2">
        <f>E28+$F$28</f>
        <v>59239</v>
      </c>
      <c r="I29">
        <f>I28+$J$28</f>
        <v>0.92840936959796094</v>
      </c>
      <c r="N29">
        <f>N28+$O$28</f>
        <v>0.85567267848858197</v>
      </c>
      <c r="S29">
        <f>S28+$T$28</f>
        <v>2.0224202175121953</v>
      </c>
    </row>
    <row r="30" spans="1:20" x14ac:dyDescent="0.25">
      <c r="A30">
        <v>1948</v>
      </c>
      <c r="E30" s="2">
        <f t="shared" ref="E30:E41" si="9">E29+$F$28</f>
        <v>65966</v>
      </c>
      <c r="I30">
        <f t="shared" ref="I30:I41" si="10">I29+$J$28</f>
        <v>0.92863491241730944</v>
      </c>
      <c r="N30">
        <f t="shared" ref="N30:N41" si="11">N29+$O$28</f>
        <v>0.86064631660654844</v>
      </c>
      <c r="S30">
        <f t="shared" ref="S30:S41" si="12">S29+$T$28</f>
        <v>2.0101262484934947</v>
      </c>
    </row>
    <row r="31" spans="1:20" x14ac:dyDescent="0.25">
      <c r="A31">
        <v>1949</v>
      </c>
      <c r="E31" s="2">
        <f t="shared" si="9"/>
        <v>72693</v>
      </c>
      <c r="I31">
        <f t="shared" si="10"/>
        <v>0.92886045523665794</v>
      </c>
      <c r="N31">
        <f t="shared" si="11"/>
        <v>0.86561995472451492</v>
      </c>
      <c r="S31">
        <f t="shared" si="12"/>
        <v>1.997832279474794</v>
      </c>
    </row>
    <row r="32" spans="1:20" x14ac:dyDescent="0.25">
      <c r="A32">
        <v>1950</v>
      </c>
      <c r="E32" s="2">
        <f t="shared" si="9"/>
        <v>79420</v>
      </c>
      <c r="I32">
        <f t="shared" si="10"/>
        <v>0.92908599805600645</v>
      </c>
      <c r="N32">
        <f t="shared" si="11"/>
        <v>0.87059359284248139</v>
      </c>
      <c r="S32">
        <f t="shared" si="12"/>
        <v>1.9855383104560933</v>
      </c>
    </row>
    <row r="33" spans="1:19" x14ac:dyDescent="0.25">
      <c r="A33">
        <v>1951</v>
      </c>
      <c r="E33" s="2">
        <f t="shared" si="9"/>
        <v>86147</v>
      </c>
      <c r="I33">
        <f t="shared" si="10"/>
        <v>0.92931154087535495</v>
      </c>
      <c r="N33">
        <f t="shared" si="11"/>
        <v>0.87556723096044786</v>
      </c>
      <c r="S33">
        <f t="shared" si="12"/>
        <v>1.9732443414373926</v>
      </c>
    </row>
    <row r="34" spans="1:19" x14ac:dyDescent="0.25">
      <c r="A34">
        <v>1952</v>
      </c>
      <c r="E34" s="2">
        <f t="shared" si="9"/>
        <v>92874</v>
      </c>
      <c r="I34">
        <f t="shared" si="10"/>
        <v>0.92953708369470345</v>
      </c>
      <c r="N34">
        <f t="shared" si="11"/>
        <v>0.88054086907841433</v>
      </c>
      <c r="S34">
        <f t="shared" si="12"/>
        <v>1.9609503724186919</v>
      </c>
    </row>
    <row r="35" spans="1:19" x14ac:dyDescent="0.25">
      <c r="A35">
        <v>1953</v>
      </c>
      <c r="E35" s="2">
        <f t="shared" si="9"/>
        <v>99601</v>
      </c>
      <c r="I35">
        <f t="shared" si="10"/>
        <v>0.92976262651405195</v>
      </c>
      <c r="N35">
        <f t="shared" si="11"/>
        <v>0.88551450719638081</v>
      </c>
      <c r="S35">
        <f t="shared" si="12"/>
        <v>1.9486564033999911</v>
      </c>
    </row>
    <row r="36" spans="1:19" x14ac:dyDescent="0.25">
      <c r="A36">
        <v>1954</v>
      </c>
      <c r="E36" s="2">
        <f t="shared" si="9"/>
        <v>106328</v>
      </c>
      <c r="I36">
        <f t="shared" si="10"/>
        <v>0.92998816933340045</v>
      </c>
      <c r="N36">
        <f t="shared" si="11"/>
        <v>0.89048814531434728</v>
      </c>
      <c r="S36">
        <f t="shared" si="12"/>
        <v>1.9363624343812904</v>
      </c>
    </row>
    <row r="37" spans="1:19" x14ac:dyDescent="0.25">
      <c r="A37">
        <v>1955</v>
      </c>
      <c r="E37" s="2">
        <f t="shared" si="9"/>
        <v>113055</v>
      </c>
      <c r="I37">
        <f t="shared" si="10"/>
        <v>0.93021371215274895</v>
      </c>
      <c r="N37">
        <f t="shared" si="11"/>
        <v>0.89546178343231375</v>
      </c>
      <c r="S37">
        <f t="shared" si="12"/>
        <v>1.9240684653625897</v>
      </c>
    </row>
    <row r="38" spans="1:19" x14ac:dyDescent="0.25">
      <c r="A38">
        <v>1956</v>
      </c>
      <c r="E38" s="2">
        <f t="shared" si="9"/>
        <v>119782</v>
      </c>
      <c r="I38">
        <f t="shared" si="10"/>
        <v>0.93043925497209745</v>
      </c>
      <c r="N38">
        <f t="shared" si="11"/>
        <v>0.90043542155028022</v>
      </c>
      <c r="S38">
        <f t="shared" si="12"/>
        <v>1.911774496343889</v>
      </c>
    </row>
    <row r="39" spans="1:19" x14ac:dyDescent="0.25">
      <c r="A39">
        <v>1957</v>
      </c>
      <c r="E39" s="2">
        <f t="shared" si="9"/>
        <v>126509</v>
      </c>
      <c r="I39">
        <f t="shared" si="10"/>
        <v>0.93066479779144595</v>
      </c>
      <c r="N39">
        <f t="shared" si="11"/>
        <v>0.9054090596682467</v>
      </c>
      <c r="S39">
        <f t="shared" si="12"/>
        <v>1.8994805273251882</v>
      </c>
    </row>
    <row r="40" spans="1:19" x14ac:dyDescent="0.25">
      <c r="A40">
        <v>1958</v>
      </c>
      <c r="E40" s="2">
        <f t="shared" si="9"/>
        <v>133236</v>
      </c>
      <c r="I40">
        <f t="shared" si="10"/>
        <v>0.93089034061079445</v>
      </c>
      <c r="N40">
        <f t="shared" si="11"/>
        <v>0.91038269778621317</v>
      </c>
      <c r="S40">
        <f t="shared" si="12"/>
        <v>1.8871865583064875</v>
      </c>
    </row>
    <row r="41" spans="1:19" x14ac:dyDescent="0.25">
      <c r="A41">
        <v>1959</v>
      </c>
      <c r="E41" s="2">
        <f t="shared" si="9"/>
        <v>139963</v>
      </c>
      <c r="I41">
        <f t="shared" si="10"/>
        <v>0.93111588343014295</v>
      </c>
      <c r="N41">
        <f t="shared" si="11"/>
        <v>0.91535633590417964</v>
      </c>
      <c r="S41">
        <f t="shared" si="12"/>
        <v>1.8748925892877868</v>
      </c>
    </row>
    <row r="42" spans="1:19" x14ac:dyDescent="0.25">
      <c r="A42">
        <v>1960</v>
      </c>
      <c r="E42">
        <v>146690</v>
      </c>
      <c r="G42">
        <f>H42-E42</f>
        <v>157504</v>
      </c>
      <c r="H42">
        <v>304194</v>
      </c>
      <c r="I42">
        <f>E42/G42</f>
        <v>0.93134142624949212</v>
      </c>
      <c r="K42">
        <v>199811</v>
      </c>
      <c r="L42">
        <f>M42-K42</f>
        <v>217108</v>
      </c>
      <c r="M42">
        <v>416919</v>
      </c>
      <c r="N42">
        <f>K42/L42</f>
        <v>0.92032997402214567</v>
      </c>
      <c r="P42">
        <v>48869</v>
      </c>
      <c r="Q42">
        <f>R42-P42</f>
        <v>26237</v>
      </c>
      <c r="R42">
        <v>75106</v>
      </c>
      <c r="S42">
        <f>P42/Q42</f>
        <v>1.8625986202690856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Ratio</vt:lpstr>
      <vt:lpstr>Calculations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Johan &lt;johanf@sun.ac.za&gt;</dc:creator>
  <cp:lastModifiedBy>Fourie, Johan &lt;johanf@sun.ac.za&gt;</cp:lastModifiedBy>
  <dcterms:created xsi:type="dcterms:W3CDTF">2018-05-14T09:22:00Z</dcterms:created>
  <dcterms:modified xsi:type="dcterms:W3CDTF">2018-05-14T20:01:20Z</dcterms:modified>
</cp:coreProperties>
</file>