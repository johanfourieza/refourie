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7367ci\Dropbox\My Papers\CF Mobility\Results latest\"/>
    </mc:Choice>
  </mc:AlternateContent>
  <bookViews>
    <workbookView xWindow="0" yWindow="0" windowWidth="28800" windowHeight="13335" activeTab="5"/>
  </bookViews>
  <sheets>
    <sheet name="1865" sheetId="2" r:id="rId1"/>
    <sheet name="1865 v. 1875" sheetId="3" r:id="rId2"/>
    <sheet name="1891" sheetId="5" r:id="rId3"/>
    <sheet name="1904" sheetId="4" r:id="rId4"/>
    <sheet name="1911" sheetId="6" r:id="rId5"/>
    <sheet name="Summaries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7" l="1"/>
  <c r="E15" i="7"/>
  <c r="G15" i="7"/>
  <c r="H15" i="7"/>
  <c r="I15" i="7"/>
  <c r="B15" i="7"/>
  <c r="AB10" i="4" l="1"/>
  <c r="AB7" i="4"/>
  <c r="AB9" i="4"/>
  <c r="AB8" i="4"/>
  <c r="AB10" i="5"/>
  <c r="AB9" i="5"/>
  <c r="AB8" i="5"/>
  <c r="AB7" i="5"/>
  <c r="AC9" i="4" l="1"/>
  <c r="AC10" i="5"/>
  <c r="AC10" i="4"/>
  <c r="AB11" i="5"/>
  <c r="AC11" i="5" s="1"/>
  <c r="AB11" i="4"/>
  <c r="AC11" i="4" s="1"/>
  <c r="AC7" i="4" l="1"/>
  <c r="AC7" i="5"/>
  <c r="AC8" i="4"/>
  <c r="AC9" i="5"/>
  <c r="AC8" i="5"/>
  <c r="B3" i="7"/>
  <c r="C3" i="7"/>
  <c r="B4" i="7"/>
  <c r="C4" i="7"/>
  <c r="B5" i="7"/>
  <c r="C5" i="7"/>
  <c r="B6" i="7"/>
  <c r="C6" i="7"/>
  <c r="C7" i="7" l="1"/>
  <c r="B7" i="7"/>
  <c r="M526" i="6"/>
  <c r="L526" i="6"/>
  <c r="K526" i="6"/>
  <c r="J526" i="6"/>
  <c r="H526" i="6"/>
  <c r="G526" i="6"/>
  <c r="F526" i="6"/>
  <c r="E526" i="6"/>
  <c r="I523" i="6"/>
  <c r="D523" i="6"/>
  <c r="I520" i="6"/>
  <c r="D520" i="6"/>
  <c r="I519" i="6"/>
  <c r="D519" i="6"/>
  <c r="I517" i="6"/>
  <c r="D517" i="6"/>
  <c r="I514" i="6"/>
  <c r="D514" i="6"/>
  <c r="I513" i="6"/>
  <c r="D513" i="6"/>
  <c r="I512" i="6"/>
  <c r="D512" i="6"/>
  <c r="I509" i="6"/>
  <c r="D509" i="6"/>
  <c r="I507" i="6"/>
  <c r="D507" i="6"/>
  <c r="I506" i="6"/>
  <c r="D506" i="6"/>
  <c r="I505" i="6"/>
  <c r="D505" i="6"/>
  <c r="I504" i="6"/>
  <c r="D504" i="6"/>
  <c r="I503" i="6"/>
  <c r="D503" i="6"/>
  <c r="I502" i="6"/>
  <c r="D502" i="6"/>
  <c r="I501" i="6"/>
  <c r="D501" i="6"/>
  <c r="I499" i="6"/>
  <c r="D499" i="6"/>
  <c r="I498" i="6"/>
  <c r="D498" i="6"/>
  <c r="I496" i="6"/>
  <c r="D496" i="6"/>
  <c r="I495" i="6"/>
  <c r="D495" i="6"/>
  <c r="I494" i="6"/>
  <c r="D494" i="6"/>
  <c r="I492" i="6"/>
  <c r="D492" i="6"/>
  <c r="I491" i="6"/>
  <c r="D491" i="6"/>
  <c r="I490" i="6"/>
  <c r="D490" i="6"/>
  <c r="I488" i="6"/>
  <c r="D488" i="6"/>
  <c r="I487" i="6"/>
  <c r="D487" i="6"/>
  <c r="I486" i="6"/>
  <c r="D486" i="6"/>
  <c r="I485" i="6"/>
  <c r="D485" i="6"/>
  <c r="I483" i="6"/>
  <c r="D483" i="6"/>
  <c r="I482" i="6"/>
  <c r="D482" i="6"/>
  <c r="I481" i="6"/>
  <c r="D481" i="6"/>
  <c r="I480" i="6"/>
  <c r="D480" i="6"/>
  <c r="I479" i="6"/>
  <c r="D479" i="6"/>
  <c r="I478" i="6"/>
  <c r="D478" i="6"/>
  <c r="I477" i="6"/>
  <c r="D477" i="6"/>
  <c r="I476" i="6"/>
  <c r="D476" i="6"/>
  <c r="I475" i="6"/>
  <c r="D475" i="6"/>
  <c r="I474" i="6"/>
  <c r="D474" i="6"/>
  <c r="I473" i="6"/>
  <c r="D473" i="6"/>
  <c r="I472" i="6"/>
  <c r="D472" i="6"/>
  <c r="I471" i="6"/>
  <c r="D471" i="6"/>
  <c r="I468" i="6"/>
  <c r="D468" i="6"/>
  <c r="I467" i="6"/>
  <c r="D467" i="6"/>
  <c r="I466" i="6"/>
  <c r="D466" i="6"/>
  <c r="I465" i="6"/>
  <c r="D465" i="6"/>
  <c r="I462" i="6"/>
  <c r="D462" i="6"/>
  <c r="I461" i="6"/>
  <c r="D461" i="6"/>
  <c r="I460" i="6"/>
  <c r="D460" i="6"/>
  <c r="I459" i="6"/>
  <c r="D459" i="6"/>
  <c r="I458" i="6"/>
  <c r="D458" i="6"/>
  <c r="I457" i="6"/>
  <c r="D457" i="6"/>
  <c r="I455" i="6"/>
  <c r="D455" i="6"/>
  <c r="I452" i="6"/>
  <c r="D452" i="6"/>
  <c r="I451" i="6"/>
  <c r="D451" i="6"/>
  <c r="I449" i="6"/>
  <c r="D449" i="6"/>
  <c r="I446" i="6"/>
  <c r="D446" i="6"/>
  <c r="I445" i="6"/>
  <c r="D445" i="6"/>
  <c r="I444" i="6"/>
  <c r="D444" i="6"/>
  <c r="I443" i="6"/>
  <c r="D443" i="6"/>
  <c r="I442" i="6"/>
  <c r="D442" i="6"/>
  <c r="I441" i="6"/>
  <c r="D441" i="6"/>
  <c r="I440" i="6"/>
  <c r="D440" i="6"/>
  <c r="I439" i="6"/>
  <c r="D439" i="6"/>
  <c r="I438" i="6"/>
  <c r="D438" i="6"/>
  <c r="I437" i="6"/>
  <c r="D437" i="6"/>
  <c r="I435" i="6"/>
  <c r="D435" i="6"/>
  <c r="I434" i="6"/>
  <c r="D434" i="6"/>
  <c r="I433" i="6"/>
  <c r="D433" i="6"/>
  <c r="I432" i="6"/>
  <c r="I526" i="6" s="1"/>
  <c r="D432" i="6"/>
  <c r="M420" i="6"/>
  <c r="L420" i="6"/>
  <c r="K420" i="6"/>
  <c r="J420" i="6"/>
  <c r="H420" i="6"/>
  <c r="G420" i="6"/>
  <c r="F420" i="6"/>
  <c r="E420" i="6"/>
  <c r="I417" i="6"/>
  <c r="D417" i="6"/>
  <c r="I414" i="6"/>
  <c r="D414" i="6"/>
  <c r="I413" i="6"/>
  <c r="D413" i="6"/>
  <c r="I411" i="6"/>
  <c r="D411" i="6"/>
  <c r="I408" i="6"/>
  <c r="D408" i="6"/>
  <c r="I407" i="6"/>
  <c r="D407" i="6"/>
  <c r="I406" i="6"/>
  <c r="D406" i="6"/>
  <c r="I403" i="6"/>
  <c r="D403" i="6"/>
  <c r="I401" i="6"/>
  <c r="D401" i="6"/>
  <c r="I400" i="6"/>
  <c r="D400" i="6"/>
  <c r="I399" i="6"/>
  <c r="D399" i="6"/>
  <c r="I398" i="6"/>
  <c r="D398" i="6"/>
  <c r="I397" i="6"/>
  <c r="D397" i="6"/>
  <c r="I396" i="6"/>
  <c r="D396" i="6"/>
  <c r="I395" i="6"/>
  <c r="D395" i="6"/>
  <c r="I393" i="6"/>
  <c r="D393" i="6"/>
  <c r="I392" i="6"/>
  <c r="D392" i="6"/>
  <c r="I390" i="6"/>
  <c r="D390" i="6"/>
  <c r="I389" i="6"/>
  <c r="D389" i="6"/>
  <c r="I388" i="6"/>
  <c r="D388" i="6"/>
  <c r="I386" i="6"/>
  <c r="D386" i="6"/>
  <c r="I385" i="6"/>
  <c r="D385" i="6"/>
  <c r="I384" i="6"/>
  <c r="D384" i="6"/>
  <c r="I382" i="6"/>
  <c r="D382" i="6"/>
  <c r="I381" i="6"/>
  <c r="D381" i="6"/>
  <c r="I380" i="6"/>
  <c r="D380" i="6"/>
  <c r="I379" i="6"/>
  <c r="D379" i="6"/>
  <c r="I377" i="6"/>
  <c r="D377" i="6"/>
  <c r="I376" i="6"/>
  <c r="D376" i="6"/>
  <c r="I375" i="6"/>
  <c r="D375" i="6"/>
  <c r="I374" i="6"/>
  <c r="D374" i="6"/>
  <c r="I373" i="6"/>
  <c r="D373" i="6"/>
  <c r="I372" i="6"/>
  <c r="D372" i="6"/>
  <c r="I371" i="6"/>
  <c r="D371" i="6"/>
  <c r="I370" i="6"/>
  <c r="D370" i="6"/>
  <c r="I369" i="6"/>
  <c r="D369" i="6"/>
  <c r="I368" i="6"/>
  <c r="D368" i="6"/>
  <c r="I367" i="6"/>
  <c r="D367" i="6"/>
  <c r="I366" i="6"/>
  <c r="D366" i="6"/>
  <c r="I365" i="6"/>
  <c r="D365" i="6"/>
  <c r="I362" i="6"/>
  <c r="D362" i="6"/>
  <c r="I361" i="6"/>
  <c r="D361" i="6"/>
  <c r="I360" i="6"/>
  <c r="D360" i="6"/>
  <c r="I359" i="6"/>
  <c r="D359" i="6"/>
  <c r="I356" i="6"/>
  <c r="D356" i="6"/>
  <c r="I355" i="6"/>
  <c r="D355" i="6"/>
  <c r="I354" i="6"/>
  <c r="D354" i="6"/>
  <c r="I353" i="6"/>
  <c r="D353" i="6"/>
  <c r="I352" i="6"/>
  <c r="D352" i="6"/>
  <c r="I351" i="6"/>
  <c r="D351" i="6"/>
  <c r="I349" i="6"/>
  <c r="D349" i="6"/>
  <c r="I346" i="6"/>
  <c r="D346" i="6"/>
  <c r="I345" i="6"/>
  <c r="D345" i="6"/>
  <c r="I343" i="6"/>
  <c r="D343" i="6"/>
  <c r="I340" i="6"/>
  <c r="D340" i="6"/>
  <c r="I339" i="6"/>
  <c r="D339" i="6"/>
  <c r="I338" i="6"/>
  <c r="D338" i="6"/>
  <c r="I337" i="6"/>
  <c r="D337" i="6"/>
  <c r="I336" i="6"/>
  <c r="D336" i="6"/>
  <c r="I335" i="6"/>
  <c r="D335" i="6"/>
  <c r="I334" i="6"/>
  <c r="D334" i="6"/>
  <c r="I333" i="6"/>
  <c r="D333" i="6"/>
  <c r="I332" i="6"/>
  <c r="D332" i="6"/>
  <c r="I331" i="6"/>
  <c r="D331" i="6"/>
  <c r="I329" i="6"/>
  <c r="D329" i="6"/>
  <c r="I328" i="6"/>
  <c r="D328" i="6"/>
  <c r="I327" i="6"/>
  <c r="D327" i="6"/>
  <c r="I326" i="6"/>
  <c r="I420" i="6" s="1"/>
  <c r="D326" i="6"/>
  <c r="M314" i="6"/>
  <c r="L314" i="6"/>
  <c r="K314" i="6"/>
  <c r="J314" i="6"/>
  <c r="H314" i="6"/>
  <c r="G314" i="6"/>
  <c r="F314" i="6"/>
  <c r="E314" i="6"/>
  <c r="I311" i="6"/>
  <c r="D311" i="6"/>
  <c r="I308" i="6"/>
  <c r="D308" i="6"/>
  <c r="I307" i="6"/>
  <c r="D307" i="6"/>
  <c r="I305" i="6"/>
  <c r="D305" i="6"/>
  <c r="I302" i="6"/>
  <c r="D302" i="6"/>
  <c r="I301" i="6"/>
  <c r="D301" i="6"/>
  <c r="I300" i="6"/>
  <c r="D300" i="6"/>
  <c r="I297" i="6"/>
  <c r="D297" i="6"/>
  <c r="I295" i="6"/>
  <c r="D295" i="6"/>
  <c r="I294" i="6"/>
  <c r="D294" i="6"/>
  <c r="I293" i="6"/>
  <c r="D293" i="6"/>
  <c r="I292" i="6"/>
  <c r="D292" i="6"/>
  <c r="I291" i="6"/>
  <c r="D291" i="6"/>
  <c r="I290" i="6"/>
  <c r="D290" i="6"/>
  <c r="I289" i="6"/>
  <c r="D289" i="6"/>
  <c r="I287" i="6"/>
  <c r="D287" i="6"/>
  <c r="I286" i="6"/>
  <c r="D286" i="6"/>
  <c r="I284" i="6"/>
  <c r="D284" i="6"/>
  <c r="I283" i="6"/>
  <c r="D283" i="6"/>
  <c r="I282" i="6"/>
  <c r="D282" i="6"/>
  <c r="I280" i="6"/>
  <c r="D280" i="6"/>
  <c r="I279" i="6"/>
  <c r="D279" i="6"/>
  <c r="I278" i="6"/>
  <c r="D278" i="6"/>
  <c r="I276" i="6"/>
  <c r="D276" i="6"/>
  <c r="I275" i="6"/>
  <c r="D275" i="6"/>
  <c r="I274" i="6"/>
  <c r="D274" i="6"/>
  <c r="I273" i="6"/>
  <c r="D273" i="6"/>
  <c r="I271" i="6"/>
  <c r="D271" i="6"/>
  <c r="I270" i="6"/>
  <c r="D270" i="6"/>
  <c r="I269" i="6"/>
  <c r="D269" i="6"/>
  <c r="I268" i="6"/>
  <c r="D268" i="6"/>
  <c r="I267" i="6"/>
  <c r="D267" i="6"/>
  <c r="I266" i="6"/>
  <c r="D266" i="6"/>
  <c r="I265" i="6"/>
  <c r="D265" i="6"/>
  <c r="I264" i="6"/>
  <c r="D264" i="6"/>
  <c r="I263" i="6"/>
  <c r="D263" i="6"/>
  <c r="I262" i="6"/>
  <c r="D262" i="6"/>
  <c r="I261" i="6"/>
  <c r="D261" i="6"/>
  <c r="I260" i="6"/>
  <c r="D260" i="6"/>
  <c r="I259" i="6"/>
  <c r="D259" i="6"/>
  <c r="I256" i="6"/>
  <c r="D256" i="6"/>
  <c r="I255" i="6"/>
  <c r="D255" i="6"/>
  <c r="I254" i="6"/>
  <c r="D254" i="6"/>
  <c r="I253" i="6"/>
  <c r="D253" i="6"/>
  <c r="I250" i="6"/>
  <c r="D250" i="6"/>
  <c r="I249" i="6"/>
  <c r="D249" i="6"/>
  <c r="I248" i="6"/>
  <c r="D248" i="6"/>
  <c r="I247" i="6"/>
  <c r="D247" i="6"/>
  <c r="I246" i="6"/>
  <c r="D246" i="6"/>
  <c r="I245" i="6"/>
  <c r="D245" i="6"/>
  <c r="I243" i="6"/>
  <c r="D243" i="6"/>
  <c r="I240" i="6"/>
  <c r="D240" i="6"/>
  <c r="I239" i="6"/>
  <c r="D239" i="6"/>
  <c r="I237" i="6"/>
  <c r="D237" i="6"/>
  <c r="I234" i="6"/>
  <c r="D234" i="6"/>
  <c r="I233" i="6"/>
  <c r="D233" i="6"/>
  <c r="I232" i="6"/>
  <c r="D232" i="6"/>
  <c r="I231" i="6"/>
  <c r="D231" i="6"/>
  <c r="I230" i="6"/>
  <c r="D230" i="6"/>
  <c r="I229" i="6"/>
  <c r="D229" i="6"/>
  <c r="I228" i="6"/>
  <c r="D228" i="6"/>
  <c r="I227" i="6"/>
  <c r="D227" i="6"/>
  <c r="I226" i="6"/>
  <c r="D226" i="6"/>
  <c r="I225" i="6"/>
  <c r="D225" i="6"/>
  <c r="I223" i="6"/>
  <c r="D223" i="6"/>
  <c r="I222" i="6"/>
  <c r="D222" i="6"/>
  <c r="I221" i="6"/>
  <c r="D221" i="6"/>
  <c r="I220" i="6"/>
  <c r="I314" i="6" s="1"/>
  <c r="D220" i="6"/>
  <c r="M208" i="6"/>
  <c r="L208" i="6"/>
  <c r="K208" i="6"/>
  <c r="J208" i="6"/>
  <c r="H208" i="6"/>
  <c r="G208" i="6"/>
  <c r="F208" i="6"/>
  <c r="E208" i="6"/>
  <c r="I205" i="6"/>
  <c r="D205" i="6"/>
  <c r="I202" i="6"/>
  <c r="D202" i="6"/>
  <c r="I201" i="6"/>
  <c r="D201" i="6"/>
  <c r="I199" i="6"/>
  <c r="D199" i="6"/>
  <c r="I196" i="6"/>
  <c r="D196" i="6"/>
  <c r="I195" i="6"/>
  <c r="D195" i="6"/>
  <c r="I194" i="6"/>
  <c r="D194" i="6"/>
  <c r="I191" i="6"/>
  <c r="D191" i="6"/>
  <c r="I189" i="6"/>
  <c r="D189" i="6"/>
  <c r="I188" i="6"/>
  <c r="D188" i="6"/>
  <c r="I187" i="6"/>
  <c r="D187" i="6"/>
  <c r="I186" i="6"/>
  <c r="D186" i="6"/>
  <c r="I185" i="6"/>
  <c r="D185" i="6"/>
  <c r="I184" i="6"/>
  <c r="D184" i="6"/>
  <c r="I183" i="6"/>
  <c r="D183" i="6"/>
  <c r="I181" i="6"/>
  <c r="D181" i="6"/>
  <c r="I180" i="6"/>
  <c r="D180" i="6"/>
  <c r="I178" i="6"/>
  <c r="D178" i="6"/>
  <c r="I177" i="6"/>
  <c r="D177" i="6"/>
  <c r="I176" i="6"/>
  <c r="D176" i="6"/>
  <c r="I174" i="6"/>
  <c r="D174" i="6"/>
  <c r="I173" i="6"/>
  <c r="D173" i="6"/>
  <c r="I172" i="6"/>
  <c r="D172" i="6"/>
  <c r="I170" i="6"/>
  <c r="D170" i="6"/>
  <c r="I169" i="6"/>
  <c r="D169" i="6"/>
  <c r="I168" i="6"/>
  <c r="D168" i="6"/>
  <c r="I167" i="6"/>
  <c r="D167" i="6"/>
  <c r="I165" i="6"/>
  <c r="D165" i="6"/>
  <c r="I164" i="6"/>
  <c r="D164" i="6"/>
  <c r="I163" i="6"/>
  <c r="D163" i="6"/>
  <c r="I162" i="6"/>
  <c r="D162" i="6"/>
  <c r="I161" i="6"/>
  <c r="D161" i="6"/>
  <c r="I160" i="6"/>
  <c r="D160" i="6"/>
  <c r="I159" i="6"/>
  <c r="D159" i="6"/>
  <c r="I158" i="6"/>
  <c r="D158" i="6"/>
  <c r="I157" i="6"/>
  <c r="D157" i="6"/>
  <c r="I156" i="6"/>
  <c r="D156" i="6"/>
  <c r="I155" i="6"/>
  <c r="D155" i="6"/>
  <c r="I154" i="6"/>
  <c r="D154" i="6"/>
  <c r="I153" i="6"/>
  <c r="D153" i="6"/>
  <c r="I150" i="6"/>
  <c r="D150" i="6"/>
  <c r="I149" i="6"/>
  <c r="D149" i="6"/>
  <c r="I148" i="6"/>
  <c r="D148" i="6"/>
  <c r="I147" i="6"/>
  <c r="D147" i="6"/>
  <c r="I144" i="6"/>
  <c r="D144" i="6"/>
  <c r="I143" i="6"/>
  <c r="D143" i="6"/>
  <c r="I142" i="6"/>
  <c r="D142" i="6"/>
  <c r="I141" i="6"/>
  <c r="D141" i="6"/>
  <c r="I140" i="6"/>
  <c r="D140" i="6"/>
  <c r="I139" i="6"/>
  <c r="D139" i="6"/>
  <c r="I137" i="6"/>
  <c r="D137" i="6"/>
  <c r="I134" i="6"/>
  <c r="D134" i="6"/>
  <c r="I133" i="6"/>
  <c r="D133" i="6"/>
  <c r="I131" i="6"/>
  <c r="D131" i="6"/>
  <c r="I128" i="6"/>
  <c r="D128" i="6"/>
  <c r="I127" i="6"/>
  <c r="D127" i="6"/>
  <c r="I126" i="6"/>
  <c r="D126" i="6"/>
  <c r="I125" i="6"/>
  <c r="D125" i="6"/>
  <c r="I124" i="6"/>
  <c r="D124" i="6"/>
  <c r="I123" i="6"/>
  <c r="D123" i="6"/>
  <c r="I122" i="6"/>
  <c r="D122" i="6"/>
  <c r="I121" i="6"/>
  <c r="D121" i="6"/>
  <c r="I120" i="6"/>
  <c r="D120" i="6"/>
  <c r="I119" i="6"/>
  <c r="D119" i="6"/>
  <c r="I117" i="6"/>
  <c r="D117" i="6"/>
  <c r="I116" i="6"/>
  <c r="D116" i="6"/>
  <c r="I115" i="6"/>
  <c r="D115" i="6"/>
  <c r="I114" i="6"/>
  <c r="I208" i="6" s="1"/>
  <c r="D114" i="6"/>
  <c r="M102" i="6"/>
  <c r="L102" i="6"/>
  <c r="K102" i="6"/>
  <c r="J102" i="6"/>
  <c r="H102" i="6"/>
  <c r="G102" i="6"/>
  <c r="F102" i="6"/>
  <c r="E102" i="6"/>
  <c r="I99" i="6"/>
  <c r="D99" i="6"/>
  <c r="I96" i="6"/>
  <c r="D96" i="6"/>
  <c r="I95" i="6"/>
  <c r="D95" i="6"/>
  <c r="I93" i="6"/>
  <c r="D93" i="6"/>
  <c r="I90" i="6"/>
  <c r="D90" i="6"/>
  <c r="I89" i="6"/>
  <c r="D89" i="6"/>
  <c r="I88" i="6"/>
  <c r="D88" i="6"/>
  <c r="I85" i="6"/>
  <c r="D85" i="6"/>
  <c r="I83" i="6"/>
  <c r="D83" i="6"/>
  <c r="I82" i="6"/>
  <c r="D82" i="6"/>
  <c r="I81" i="6"/>
  <c r="D81" i="6"/>
  <c r="I80" i="6"/>
  <c r="D80" i="6"/>
  <c r="I79" i="6"/>
  <c r="D79" i="6"/>
  <c r="I78" i="6"/>
  <c r="D78" i="6"/>
  <c r="I77" i="6"/>
  <c r="D77" i="6"/>
  <c r="I75" i="6"/>
  <c r="D75" i="6"/>
  <c r="I74" i="6"/>
  <c r="D74" i="6"/>
  <c r="I72" i="6"/>
  <c r="D72" i="6"/>
  <c r="I71" i="6"/>
  <c r="D71" i="6"/>
  <c r="I70" i="6"/>
  <c r="D70" i="6"/>
  <c r="I68" i="6"/>
  <c r="D68" i="6"/>
  <c r="I67" i="6"/>
  <c r="D67" i="6"/>
  <c r="I66" i="6"/>
  <c r="D66" i="6"/>
  <c r="I64" i="6"/>
  <c r="D64" i="6"/>
  <c r="I63" i="6"/>
  <c r="D63" i="6"/>
  <c r="I62" i="6"/>
  <c r="D62" i="6"/>
  <c r="I61" i="6"/>
  <c r="D61" i="6"/>
  <c r="I59" i="6"/>
  <c r="D59" i="6"/>
  <c r="I58" i="6"/>
  <c r="D58" i="6"/>
  <c r="I57" i="6"/>
  <c r="D57" i="6"/>
  <c r="I56" i="6"/>
  <c r="D56" i="6"/>
  <c r="I55" i="6"/>
  <c r="D55" i="6"/>
  <c r="I54" i="6"/>
  <c r="D54" i="6"/>
  <c r="I53" i="6"/>
  <c r="D53" i="6"/>
  <c r="I52" i="6"/>
  <c r="D52" i="6"/>
  <c r="I51" i="6"/>
  <c r="D51" i="6"/>
  <c r="I50" i="6"/>
  <c r="D50" i="6"/>
  <c r="I49" i="6"/>
  <c r="D49" i="6"/>
  <c r="I48" i="6"/>
  <c r="D48" i="6"/>
  <c r="I47" i="6"/>
  <c r="D47" i="6"/>
  <c r="I44" i="6"/>
  <c r="D44" i="6"/>
  <c r="I43" i="6"/>
  <c r="D43" i="6"/>
  <c r="I42" i="6"/>
  <c r="D42" i="6"/>
  <c r="I41" i="6"/>
  <c r="D41" i="6"/>
  <c r="I38" i="6"/>
  <c r="D38" i="6"/>
  <c r="I37" i="6"/>
  <c r="D37" i="6"/>
  <c r="I36" i="6"/>
  <c r="D36" i="6"/>
  <c r="I35" i="6"/>
  <c r="D35" i="6"/>
  <c r="I34" i="6"/>
  <c r="D34" i="6"/>
  <c r="I33" i="6"/>
  <c r="D33" i="6"/>
  <c r="I31" i="6"/>
  <c r="D31" i="6"/>
  <c r="I28" i="6"/>
  <c r="D28" i="6"/>
  <c r="I27" i="6"/>
  <c r="D27" i="6"/>
  <c r="I25" i="6"/>
  <c r="D25" i="6"/>
  <c r="I22" i="6"/>
  <c r="D22" i="6"/>
  <c r="I21" i="6"/>
  <c r="D21" i="6"/>
  <c r="I20" i="6"/>
  <c r="D20" i="6"/>
  <c r="I19" i="6"/>
  <c r="D19" i="6"/>
  <c r="I18" i="6"/>
  <c r="D18" i="6"/>
  <c r="I17" i="6"/>
  <c r="D17" i="6"/>
  <c r="I16" i="6"/>
  <c r="D16" i="6"/>
  <c r="I15" i="6"/>
  <c r="D15" i="6"/>
  <c r="I14" i="6"/>
  <c r="D14" i="6"/>
  <c r="I13" i="6"/>
  <c r="D13" i="6"/>
  <c r="I11" i="6"/>
  <c r="D11" i="6"/>
  <c r="I10" i="6"/>
  <c r="D10" i="6"/>
  <c r="I9" i="6"/>
  <c r="D9" i="6"/>
  <c r="I8" i="6"/>
  <c r="I102" i="6" s="1"/>
  <c r="D8" i="6"/>
  <c r="D102" i="6" l="1"/>
  <c r="D208" i="6"/>
  <c r="D314" i="6"/>
  <c r="D420" i="6"/>
  <c r="D526" i="6"/>
  <c r="D14" i="7"/>
  <c r="F14" i="7"/>
  <c r="D11" i="7"/>
  <c r="D12" i="7"/>
  <c r="D13" i="7"/>
  <c r="F13" i="7"/>
  <c r="F11" i="7"/>
  <c r="F12" i="7"/>
  <c r="F15" i="7" l="1"/>
  <c r="D15" i="7"/>
</calcChain>
</file>

<file path=xl/comments1.xml><?xml version="1.0" encoding="utf-8"?>
<comments xmlns="http://schemas.openxmlformats.org/spreadsheetml/2006/main">
  <authors>
    <author>Matthys Saayman</author>
  </authors>
  <commentList>
    <comment ref="H420" authorId="0" shapeId="0">
      <text>
        <r>
          <rPr>
            <b/>
            <sz val="9"/>
            <color indexed="81"/>
            <rFont val="Tahoma"/>
            <family val="2"/>
          </rPr>
          <t>Elsje Saayman:
Die groot totaal moet 35875 wees. Ek kry nie die fout nie.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<sst xmlns="http://schemas.openxmlformats.org/spreadsheetml/2006/main" count="1106" uniqueCount="374">
  <si>
    <t>Total</t>
  </si>
  <si>
    <t>CENSUS OF THE CAPE COLONY. - 1865</t>
  </si>
  <si>
    <t>TOTAL COLONY.</t>
  </si>
  <si>
    <t>VII. - OCCUPATION.</t>
  </si>
  <si>
    <t>White.</t>
  </si>
  <si>
    <t xml:space="preserve">Coloured. </t>
  </si>
  <si>
    <t>M.</t>
  </si>
  <si>
    <t>F.</t>
  </si>
  <si>
    <t xml:space="preserve">White. </t>
  </si>
  <si>
    <t>Coloured.</t>
  </si>
  <si>
    <t xml:space="preserve">F. </t>
  </si>
  <si>
    <t>AGRICULTURE</t>
  </si>
  <si>
    <t>Farmers, Corn</t>
  </si>
  <si>
    <t>" Sheep and Cattle</t>
  </si>
  <si>
    <t>" Wine</t>
  </si>
  <si>
    <t>Gardeners (Market)</t>
  </si>
  <si>
    <t>TRADE AND COMMERCE:</t>
  </si>
  <si>
    <t>Auctioneers</t>
  </si>
  <si>
    <t>Boarding-house-keepers (Private)</t>
  </si>
  <si>
    <t>Brokers</t>
  </si>
  <si>
    <t>Butchers</t>
  </si>
  <si>
    <t>Canteen-keepers</t>
  </si>
  <si>
    <t>Contractors</t>
  </si>
  <si>
    <t>General Agents</t>
  </si>
  <si>
    <t>Inn and Hotel-keepers</t>
  </si>
  <si>
    <t>Ironmongers</t>
  </si>
  <si>
    <t>Livery-stable-keepers</t>
  </si>
  <si>
    <t>Merchants, Wholesale and Retail Dealers</t>
  </si>
  <si>
    <t>Public Companies - Officers of</t>
  </si>
  <si>
    <t>MANUFACTURES, MECHANICS, AND ARTIFICERS</t>
  </si>
  <si>
    <t>Bakers</t>
  </si>
  <si>
    <t>Basketmakers</t>
  </si>
  <si>
    <t>Blacksmiths &amp; Mechanical Engineers</t>
  </si>
  <si>
    <t>Bookbinders</t>
  </si>
  <si>
    <t>Boot and Shoemakers</t>
  </si>
  <si>
    <t>Brewers</t>
  </si>
  <si>
    <t>Brickmakers</t>
  </si>
  <si>
    <t>Builders, Bricklayers, Masons, &amp;c.</t>
  </si>
  <si>
    <t>Carpenters, Joiners, &amp; Cabinetmakers</t>
  </si>
  <si>
    <t>Charcoal Burners</t>
  </si>
  <si>
    <t>Clock and Watchmakers, Jewellers, and Gold and Silversmiths</t>
  </si>
  <si>
    <t>Coachbuilders, Wagonmakers, and Wheelwrights</t>
  </si>
  <si>
    <t>Coopers</t>
  </si>
  <si>
    <t>Distillers and Rectifiers</t>
  </si>
  <si>
    <t>Dressmakers, Milliners, and Seamstresses</t>
  </si>
  <si>
    <t>Dyers</t>
  </si>
  <si>
    <t>Farriers</t>
  </si>
  <si>
    <t>Gunsmiths</t>
  </si>
  <si>
    <t>Hairdressers</t>
  </si>
  <si>
    <t>Hatters</t>
  </si>
  <si>
    <t>Lime-burners</t>
  </si>
  <si>
    <t>Millers</t>
  </si>
  <si>
    <t>Mining Agents and Labourers</t>
  </si>
  <si>
    <t>Painters and Glaziers</t>
  </si>
  <si>
    <t>Pastrycooks and Confectioners</t>
  </si>
  <si>
    <t>Photographers</t>
  </si>
  <si>
    <t>Printers</t>
  </si>
  <si>
    <t>Saddlers and Harnessmakers</t>
  </si>
  <si>
    <t>Sailmakers</t>
  </si>
  <si>
    <t>Sawyers</t>
  </si>
  <si>
    <t>Shipwrights</t>
  </si>
  <si>
    <t>Stone-cutters</t>
  </si>
  <si>
    <t>Tailors</t>
  </si>
  <si>
    <t>Tanners, Curriers, and Leather-sellers</t>
  </si>
  <si>
    <t>Turners</t>
  </si>
  <si>
    <t>Weavers</t>
  </si>
  <si>
    <t>Wood-cutters</t>
  </si>
  <si>
    <t>Woolwashers</t>
  </si>
  <si>
    <t>Brought forward</t>
  </si>
  <si>
    <t>LABOURERS</t>
  </si>
  <si>
    <t>Agricultural</t>
  </si>
  <si>
    <t>Porters and Messengers</t>
  </si>
  <si>
    <t>Washermen and Women</t>
  </si>
  <si>
    <t>Other</t>
  </si>
  <si>
    <t>DOMESTIC SERVANTS</t>
  </si>
  <si>
    <t>LITERARY, SCIENTIFIC, AND PROFESSIONAL</t>
  </si>
  <si>
    <t>Advocates</t>
  </si>
  <si>
    <t>Apothecaries, Chemists, and Druggists</t>
  </si>
  <si>
    <t>Attorneys, Notaries, Conveyancers and Law Agents</t>
  </si>
  <si>
    <t>Church Clerks and Sextons</t>
  </si>
  <si>
    <t>Clergymen and Catechists</t>
  </si>
  <si>
    <t>Medical Practitioners</t>
  </si>
  <si>
    <t>Midwives</t>
  </si>
  <si>
    <t>Priests- Jewish and Mohammedan</t>
  </si>
  <si>
    <t>Students</t>
  </si>
  <si>
    <t>Teachers</t>
  </si>
  <si>
    <t>Translators</t>
  </si>
  <si>
    <t>Professional (not otherwise enumerated)</t>
  </si>
  <si>
    <t>INDEPENDENT PROPRIETORS</t>
  </si>
  <si>
    <t>MILITARY SERVICE</t>
  </si>
  <si>
    <t>NAVAL SERVICE</t>
  </si>
  <si>
    <t>MARINERS, BOATMEN, FISHERMEN, AND STEVEDORES</t>
  </si>
  <si>
    <t>CIVIL SERVICE</t>
  </si>
  <si>
    <t>FEMALES ABOVE 16 (not otherwise enumerated)</t>
  </si>
  <si>
    <t>CHILDREN UNDER 16 AT SCHOOL</t>
  </si>
  <si>
    <t>CHILDREN UNDER 16 NOT AT SCHOOL (not otherwise enumerated)</t>
  </si>
  <si>
    <t>CONVICTS</t>
  </si>
  <si>
    <t>PRISONERS OF WAR</t>
  </si>
  <si>
    <t>RESIDUE OF POPULATION</t>
  </si>
  <si>
    <t>TOTAL</t>
  </si>
  <si>
    <t>Carriers and Conveyers (including Railway Officials)</t>
  </si>
  <si>
    <t>Tin and Coppersmiths, and Plumbers</t>
  </si>
  <si>
    <t>Carried forward</t>
  </si>
  <si>
    <t>Architects</t>
  </si>
  <si>
    <t>Engineers and Surveyors</t>
  </si>
  <si>
    <t>CLASS.</t>
  </si>
  <si>
    <t>ORDER.</t>
  </si>
  <si>
    <t xml:space="preserve">SUB-ORDER. </t>
  </si>
  <si>
    <t>OCCUPATIONS</t>
  </si>
  <si>
    <t>TOTAL.</t>
  </si>
  <si>
    <t>MARCH, 1865.</t>
  </si>
  <si>
    <t xml:space="preserve">Persons. </t>
  </si>
  <si>
    <t>Males.</t>
  </si>
  <si>
    <t>Females</t>
  </si>
  <si>
    <t xml:space="preserve">MARCH, 1875. </t>
  </si>
  <si>
    <t>EUROPEAN OR WHITE.</t>
  </si>
  <si>
    <t>EXCLUSIVE OF EUROPEAN OR WHITE.</t>
  </si>
  <si>
    <t>Total Population</t>
  </si>
  <si>
    <t>Total of Specified Occupations</t>
  </si>
  <si>
    <t>I.</t>
  </si>
  <si>
    <t>Officers of General Government</t>
  </si>
  <si>
    <t>II.</t>
  </si>
  <si>
    <t>III.</t>
  </si>
  <si>
    <t xml:space="preserve">IV. </t>
  </si>
  <si>
    <t>V.</t>
  </si>
  <si>
    <t>VI.</t>
  </si>
  <si>
    <t>IV.</t>
  </si>
  <si>
    <t>VII.</t>
  </si>
  <si>
    <t>VIII.</t>
  </si>
  <si>
    <t>IX.</t>
  </si>
  <si>
    <t>X.</t>
  </si>
  <si>
    <t>XIII.</t>
  </si>
  <si>
    <t>XI.</t>
  </si>
  <si>
    <t>XII.</t>
  </si>
  <si>
    <t>XV.</t>
  </si>
  <si>
    <t>XVI.</t>
  </si>
  <si>
    <t>Officers of Local Government</t>
  </si>
  <si>
    <t>Engaged in Defence</t>
  </si>
  <si>
    <t>Clergymen,  Ministers, and Church Officers</t>
  </si>
  <si>
    <t>Law Court Officers, Barristers, Attorneys and Law Agents and Immediate Subordinates</t>
  </si>
  <si>
    <t>Physicians, Surgeons, Chemists, &amp;c.</t>
  </si>
  <si>
    <t>Literary Persons</t>
  </si>
  <si>
    <t>Scientific Persons</t>
  </si>
  <si>
    <t>Teachers, &amp;c.</t>
  </si>
  <si>
    <t>Artists</t>
  </si>
  <si>
    <t>Musicians, Music Teachers</t>
  </si>
  <si>
    <t>Actors, &amp;c.</t>
  </si>
  <si>
    <t>Wives and Mistresses of Families</t>
  </si>
  <si>
    <t>Engaged in Board and Lodging</t>
  </si>
  <si>
    <t>Engaged in Attendance</t>
  </si>
  <si>
    <t>Engaged in Merchantile Pursuits</t>
  </si>
  <si>
    <t>Other General Dealers</t>
  </si>
  <si>
    <t xml:space="preserve">Carriers on Railways </t>
  </si>
  <si>
    <t>Carriers on Roads</t>
  </si>
  <si>
    <t>Carriers on Seas and Rivers</t>
  </si>
  <si>
    <t>Engaged in Storage</t>
  </si>
  <si>
    <t>Messangers and Porters</t>
  </si>
  <si>
    <t>Engaged in Agriculture Pursuits</t>
  </si>
  <si>
    <t>Engaged in Pastoral Pursuits</t>
  </si>
  <si>
    <t>Engaged on Land (not cultivating or grazing)</t>
  </si>
  <si>
    <t>Engaged about Animals</t>
  </si>
  <si>
    <t>Engaged in Books</t>
  </si>
  <si>
    <t>Engaged in Musical Instrumemts</t>
  </si>
  <si>
    <t>Engaged in Prints and Pictures</t>
  </si>
  <si>
    <t>Engaged in Carving and Figures</t>
  </si>
  <si>
    <t>Engaged in Designs</t>
  </si>
  <si>
    <t>Engaged in Watches</t>
  </si>
  <si>
    <t>Engaged in Arms</t>
  </si>
  <si>
    <t>Engaged in Machines and Tools</t>
  </si>
  <si>
    <t>Engaged in Carriages, Implements, and Harnesses</t>
  </si>
  <si>
    <t>Engaged in Ships and Boats</t>
  </si>
  <si>
    <t>Engaged in Houses and Buildings</t>
  </si>
  <si>
    <t>Engaged in Furniture</t>
  </si>
  <si>
    <t>Engaged in Chemicals</t>
  </si>
  <si>
    <t>Engaged in Textile Fabrics</t>
  </si>
  <si>
    <t>Engaged in Dress</t>
  </si>
  <si>
    <t>Engaged in Fibrous Materials</t>
  </si>
  <si>
    <t>Dealing in Animal Food</t>
  </si>
  <si>
    <t>Dealing in Vegetable Food</t>
  </si>
  <si>
    <t>Dealing in Drinks and Stimulants</t>
  </si>
  <si>
    <t>Dealing in Animal Matters</t>
  </si>
  <si>
    <t>Dealing in Vegetable Matters</t>
  </si>
  <si>
    <t>Engaged in Mining</t>
  </si>
  <si>
    <t>Engaged in Coal</t>
  </si>
  <si>
    <t>Engaged in Stone, Clay, and Glass</t>
  </si>
  <si>
    <t>Engaged in Salt</t>
  </si>
  <si>
    <t>Engaged in Water</t>
  </si>
  <si>
    <t>Engaged in Gold, Silver, and Diamonds</t>
  </si>
  <si>
    <t>Dealing in Metals other than Gold or Silver</t>
  </si>
  <si>
    <t>General Labourers</t>
  </si>
  <si>
    <t>Other Indefinite Occupations</t>
  </si>
  <si>
    <t>Persons of Property or Rank not returned under any Occupation</t>
  </si>
  <si>
    <t>Persons supported by the Community or from the Public Revenue</t>
  </si>
  <si>
    <t>Criminal Classes</t>
  </si>
  <si>
    <t>Scholars</t>
  </si>
  <si>
    <t>Persons and Children of no stated Occupation</t>
  </si>
  <si>
    <t>Persons ministering to Amusement</t>
  </si>
  <si>
    <t>Engaged in Woods and Forests</t>
  </si>
  <si>
    <t>Engaged in Agriculture Pursuits and Pastoral Pursuits</t>
  </si>
  <si>
    <t>Engaged in the Construction and Repair of Railways</t>
  </si>
  <si>
    <t>Engaged in the Construction and Repair of Roads, Harbours, Bridges, Earthworks, Waterworks and Houses and Buildings</t>
  </si>
  <si>
    <t>Engaged in Surgical Instruments</t>
  </si>
  <si>
    <t>Engaged in Working and Dealing in Machine - Tools - and Implements</t>
  </si>
  <si>
    <t>Engaged in the Construction and Repair of Water and Irrigation Works</t>
  </si>
  <si>
    <t>Persons engaged in the Disposal of Dead Matter and Refuse</t>
  </si>
  <si>
    <t>Dealing in Textile Fabrics</t>
  </si>
  <si>
    <t>Dealing in Dress</t>
  </si>
  <si>
    <t>Dealing in Fibrous Materials</t>
  </si>
  <si>
    <t>Persons engaged in Mechanical Operations or Labour, the nature of which is undefined</t>
  </si>
  <si>
    <t>Persons of Independent Means</t>
  </si>
  <si>
    <t>Persons of Imperfectly Defined Pursuits</t>
  </si>
  <si>
    <t>Persons Returned as of no Occupation</t>
  </si>
  <si>
    <t>Students, Scholars and Children</t>
  </si>
  <si>
    <t>XVII.</t>
  </si>
  <si>
    <t>Persons Supported from Voluntary Sources and Public Revenue</t>
  </si>
  <si>
    <t>XVIII.</t>
  </si>
  <si>
    <t>Persons whose Occupation is Unknown or Unspecified</t>
  </si>
  <si>
    <t>Malay</t>
  </si>
  <si>
    <t>Hottentot.</t>
  </si>
  <si>
    <t>Fingo.</t>
  </si>
  <si>
    <t>Kafir and Bechuana</t>
  </si>
  <si>
    <t>Mixed and Other.</t>
  </si>
  <si>
    <t>TABLE XII. - OCCUPATIONS. - Shewing the Occupations of the Population of the Colony, according to the Censuses of March, 1865, and March, 1875, arranged in Sixty-one Sub Orders.</t>
  </si>
  <si>
    <t>TABLE VII.. - OCCUPATIONS. - Shewing the Occupations of the Population of the Colony, according to the Censuses of 1904</t>
  </si>
  <si>
    <t>Engineering, Surveying and Architechture</t>
  </si>
  <si>
    <t>Wives, Widows, Daughters, and other Relatives engaged in Domestic Duties</t>
  </si>
  <si>
    <t>Postal and Electronic Telegraph Services</t>
  </si>
  <si>
    <t>Messengers and Porter</t>
  </si>
  <si>
    <t>TABLE VII. - OCCUPATIONS. - Shewing the Occupations of the Population of the Colony, according to the Censuses of 1891</t>
  </si>
  <si>
    <t>Page</t>
  </si>
  <si>
    <t>Urban</t>
  </si>
  <si>
    <t>Rural</t>
  </si>
  <si>
    <t>European/White working age male population</t>
  </si>
  <si>
    <t>The Union Of South Africa</t>
  </si>
  <si>
    <t>European or White</t>
  </si>
  <si>
    <t>Other than European or White</t>
  </si>
  <si>
    <t>Male</t>
  </si>
  <si>
    <t>Female</t>
  </si>
  <si>
    <t>White collar</t>
  </si>
  <si>
    <t>Occupations</t>
  </si>
  <si>
    <t>Farmer</t>
  </si>
  <si>
    <t>I Proffesional</t>
  </si>
  <si>
    <t>674- 675</t>
  </si>
  <si>
    <t>Skilled/semi-skilled</t>
  </si>
  <si>
    <t>A)  General or Local Government</t>
  </si>
  <si>
    <t>Unskilled</t>
  </si>
  <si>
    <t>Union and Provincial Government</t>
  </si>
  <si>
    <t>Local Government</t>
  </si>
  <si>
    <t>Defence of the Country</t>
  </si>
  <si>
    <t>Officers of Foreign Government</t>
  </si>
  <si>
    <t>B) Religion, Charity, Law, Health, Educ etc.</t>
  </si>
  <si>
    <t>Religion and Charity</t>
  </si>
  <si>
    <t>Law</t>
  </si>
  <si>
    <t>Public Healt</t>
  </si>
  <si>
    <t>Literature</t>
  </si>
  <si>
    <t>Science</t>
  </si>
  <si>
    <t>Engineering, Surveying, Architecture</t>
  </si>
  <si>
    <t>Education</t>
  </si>
  <si>
    <t>Fine Arts</t>
  </si>
  <si>
    <t>Music</t>
  </si>
  <si>
    <t>Amusement</t>
  </si>
  <si>
    <t>II  Domestic</t>
  </si>
  <si>
    <t>C)  Domestic Offices or Household Duties</t>
  </si>
  <si>
    <t>Wives, Widows, Daughters, other Relatives</t>
  </si>
  <si>
    <t>D) Supply of Board and Lodging, Attendance</t>
  </si>
  <si>
    <t>Supply of Board and Lodging</t>
  </si>
  <si>
    <t>III  Commercial</t>
  </si>
  <si>
    <t>E) Buying, Selling, Exchanging, Insuring etc.</t>
  </si>
  <si>
    <t>Mercantile Persons</t>
  </si>
  <si>
    <t>F) Conveyance of Men, Animals, Goods etc.</t>
  </si>
  <si>
    <t>Rail</t>
  </si>
  <si>
    <t>Tramways and Roads</t>
  </si>
  <si>
    <t>Sea and River</t>
  </si>
  <si>
    <t>Storage</t>
  </si>
  <si>
    <t>Post and Telegraph Service</t>
  </si>
  <si>
    <t>Others engaged in Conveyance</t>
  </si>
  <si>
    <t>IV Agricultural</t>
  </si>
  <si>
    <t>676- 677</t>
  </si>
  <si>
    <t>G) Working, Cultivating Land and Animals</t>
  </si>
  <si>
    <t>Agricultural or Pastoral Pursuits</t>
  </si>
  <si>
    <t>Woods and Forests</t>
  </si>
  <si>
    <t>Lands (not cultivating or grazing)</t>
  </si>
  <si>
    <t>Animals</t>
  </si>
  <si>
    <t>V  Idustrial</t>
  </si>
  <si>
    <t>H) Working, Dealing in Art, Mechanic Prod.</t>
  </si>
  <si>
    <t>Books, Publications, Advertising</t>
  </si>
  <si>
    <t>Musical Instruments</t>
  </si>
  <si>
    <t>Prints, Pictures</t>
  </si>
  <si>
    <t>Figures, Ornaments, Small Wares</t>
  </si>
  <si>
    <t>Design, Medals, Dies</t>
  </si>
  <si>
    <t>Watches, Philosophical Instruments</t>
  </si>
  <si>
    <t>Surgical Instruments</t>
  </si>
  <si>
    <t>Arms, Explosives</t>
  </si>
  <si>
    <t>Machines, Tools, Implements</t>
  </si>
  <si>
    <t>Carriages, Saddlery, Harness</t>
  </si>
  <si>
    <t>Ships, Boats</t>
  </si>
  <si>
    <t>Furniture</t>
  </si>
  <si>
    <t>Chemicals</t>
  </si>
  <si>
    <t>I) Construction or Repair</t>
  </si>
  <si>
    <t>Railways</t>
  </si>
  <si>
    <t>Roads, Harbours, Bridges, Earthworks, Houses</t>
  </si>
  <si>
    <t>Water, Irrigation works</t>
  </si>
  <si>
    <t>Disposal of the Dead, Dead Matter, Refuse</t>
  </si>
  <si>
    <t>J) Working or Dealing in Textile Fabrics etc.</t>
  </si>
  <si>
    <t>Textile Fabrics</t>
  </si>
  <si>
    <t>Dress</t>
  </si>
  <si>
    <t>Fibrous Materials</t>
  </si>
  <si>
    <t>K) Working or Dealing with Food, Drink etc.</t>
  </si>
  <si>
    <t>678- 679</t>
  </si>
  <si>
    <t>Animal Food</t>
  </si>
  <si>
    <t>Vegetable Food</t>
  </si>
  <si>
    <t>Drinks, Narcotics, Stimulants</t>
  </si>
  <si>
    <t>L) Working or Dealing in Animals, Vegt Subst.</t>
  </si>
  <si>
    <t>Animal Matters</t>
  </si>
  <si>
    <t>Vegetable Matters</t>
  </si>
  <si>
    <t>M) Working or Dealing with Minerals</t>
  </si>
  <si>
    <t>Mining</t>
  </si>
  <si>
    <t>Coal</t>
  </si>
  <si>
    <t>Stone, Clay, Earthenware, Glass</t>
  </si>
  <si>
    <t>Salt</t>
  </si>
  <si>
    <t>Water</t>
  </si>
  <si>
    <t>Gold, Silver, Precious Stones</t>
  </si>
  <si>
    <t>Metals Other than Gold and Silver</t>
  </si>
  <si>
    <t>N) Mechanical Operations or Labour</t>
  </si>
  <si>
    <t>Mechanical operations or Labour</t>
  </si>
  <si>
    <t>VI Indefinite</t>
  </si>
  <si>
    <t>O) Independent, Imperfectly Described</t>
  </si>
  <si>
    <t>Independent Means</t>
  </si>
  <si>
    <t>Occupations imperfectly defined</t>
  </si>
  <si>
    <t>No Occupation</t>
  </si>
  <si>
    <t>VII  Dependents</t>
  </si>
  <si>
    <t>P) Supported by Natural Guardians</t>
  </si>
  <si>
    <t>Students, Scholars, Children</t>
  </si>
  <si>
    <t>Q) Supported by the Community</t>
  </si>
  <si>
    <t>Supported from Voluntary Sources, Public Rev</t>
  </si>
  <si>
    <t>Criminal Class</t>
  </si>
  <si>
    <t>VIII  Unspecified</t>
  </si>
  <si>
    <t>R) Occupations Unkown and Unspecified</t>
  </si>
  <si>
    <t>Unkown and Unspecified</t>
  </si>
  <si>
    <t>Total- The Union of South Africa</t>
  </si>
  <si>
    <t>Cape of Good Hope</t>
  </si>
  <si>
    <t>Other than Eropean or White</t>
  </si>
  <si>
    <t>680- 681</t>
  </si>
  <si>
    <t>682- 683</t>
  </si>
  <si>
    <t>684- 685</t>
  </si>
  <si>
    <t>VIII  Uncpecified</t>
  </si>
  <si>
    <t>Total- Cape of Good Hope</t>
  </si>
  <si>
    <t>Natal</t>
  </si>
  <si>
    <t>686- 687</t>
  </si>
  <si>
    <t>688- 689</t>
  </si>
  <si>
    <t>690- 691</t>
  </si>
  <si>
    <t>Total- Natal</t>
  </si>
  <si>
    <t>Transvaal</t>
  </si>
  <si>
    <t>692-693</t>
  </si>
  <si>
    <t>694- 695</t>
  </si>
  <si>
    <t>696- 697</t>
  </si>
  <si>
    <t>Total- Transvaal</t>
  </si>
  <si>
    <t>Orange Free State</t>
  </si>
  <si>
    <t>698- 699</t>
  </si>
  <si>
    <t>700- 701</t>
  </si>
  <si>
    <t>702- 703</t>
  </si>
  <si>
    <t>Total- Orange Free State</t>
  </si>
  <si>
    <t>Total working age</t>
  </si>
  <si>
    <t>Total working age pop</t>
  </si>
  <si>
    <t>SAF Slavery</t>
  </si>
  <si>
    <t>Census 1865</t>
  </si>
  <si>
    <t>SAF Stagnation</t>
  </si>
  <si>
    <t>SAF Diamonds</t>
  </si>
  <si>
    <t>Census 1875</t>
  </si>
  <si>
    <t>Census 1891</t>
  </si>
  <si>
    <t>Census 1911</t>
  </si>
  <si>
    <t>SAF Gold</t>
  </si>
  <si>
    <t>European/White working age male population from available censuses (frequencies)</t>
  </si>
  <si>
    <t xml:space="preserve">European/White working age male population from available censuses (proportions) compared to SAF occupational 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</si>
</sst>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0" xfId="0" applyFill="1" applyBorder="1"/>
    <xf numFmtId="0" fontId="0" fillId="0" borderId="19" xfId="0" applyBorder="1"/>
    <xf numFmtId="0" fontId="0" fillId="0" borderId="21" xfId="0" applyBorder="1"/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/>
    <xf numFmtId="0" fontId="0" fillId="0" borderId="7" xfId="0" applyBorder="1" applyAlignment="1">
      <alignment wrapText="1"/>
    </xf>
    <xf numFmtId="0" fontId="0" fillId="0" borderId="6" xfId="0" applyBorder="1"/>
    <xf numFmtId="0" fontId="0" fillId="0" borderId="19" xfId="0" applyFill="1" applyBorder="1"/>
    <xf numFmtId="0" fontId="0" fillId="0" borderId="7" xfId="0" applyFill="1" applyBorder="1"/>
    <xf numFmtId="0" fontId="0" fillId="0" borderId="10" xfId="0" applyBorder="1"/>
    <xf numFmtId="0" fontId="0" fillId="0" borderId="9" xfId="0" applyBorder="1"/>
    <xf numFmtId="0" fontId="0" fillId="0" borderId="21" xfId="0" applyBorder="1" applyAlignment="1">
      <alignment wrapText="1"/>
    </xf>
    <xf numFmtId="0" fontId="0" fillId="0" borderId="0" xfId="0" applyAlignment="1">
      <alignment wrapText="1"/>
    </xf>
    <xf numFmtId="0" fontId="0" fillId="0" borderId="19" xfId="0" applyBorder="1" applyAlignment="1">
      <alignment wrapText="1"/>
    </xf>
    <xf numFmtId="0" fontId="0" fillId="0" borderId="15" xfId="0" applyFill="1" applyBorder="1"/>
    <xf numFmtId="0" fontId="3" fillId="0" borderId="30" xfId="0" applyFont="1" applyFill="1" applyBorder="1" applyAlignment="1">
      <alignment vertical="center"/>
    </xf>
    <xf numFmtId="0" fontId="3" fillId="0" borderId="37" xfId="0" applyFont="1" applyFill="1" applyBorder="1" applyAlignment="1">
      <alignment vertical="center"/>
    </xf>
    <xf numFmtId="0" fontId="0" fillId="2" borderId="2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3" fontId="0" fillId="2" borderId="27" xfId="0" applyNumberFormat="1" applyFont="1" applyFill="1" applyBorder="1" applyAlignment="1">
      <alignment vertical="center"/>
    </xf>
    <xf numFmtId="3" fontId="0" fillId="2" borderId="40" xfId="0" applyNumberFormat="1" applyFont="1" applyFill="1" applyBorder="1" applyAlignment="1">
      <alignment horizontal="right"/>
    </xf>
    <xf numFmtId="3" fontId="0" fillId="2" borderId="28" xfId="0" applyNumberFormat="1" applyFont="1" applyFill="1" applyBorder="1" applyAlignment="1">
      <alignment horizontal="right"/>
    </xf>
    <xf numFmtId="3" fontId="0" fillId="2" borderId="27" xfId="0" applyNumberFormat="1" applyFont="1" applyFill="1" applyBorder="1" applyAlignment="1">
      <alignment horizontal="right"/>
    </xf>
    <xf numFmtId="3" fontId="0" fillId="2" borderId="7" xfId="0" applyNumberFormat="1" applyFont="1" applyFill="1" applyBorder="1" applyAlignment="1">
      <alignment horizontal="right"/>
    </xf>
    <xf numFmtId="3" fontId="0" fillId="2" borderId="26" xfId="0" applyNumberFormat="1" applyFont="1" applyFill="1" applyBorder="1" applyAlignment="1">
      <alignment horizontal="right"/>
    </xf>
    <xf numFmtId="3" fontId="0" fillId="2" borderId="39" xfId="0" applyNumberFormat="1" applyFont="1" applyFill="1" applyBorder="1" applyAlignment="1">
      <alignment horizontal="right"/>
    </xf>
    <xf numFmtId="3" fontId="0" fillId="2" borderId="41" xfId="0" applyNumberFormat="1" applyFont="1" applyFill="1" applyBorder="1" applyAlignment="1">
      <alignment horizontal="right"/>
    </xf>
    <xf numFmtId="3" fontId="3" fillId="2" borderId="0" xfId="0" applyNumberFormat="1" applyFont="1" applyFill="1" applyBorder="1"/>
    <xf numFmtId="3" fontId="3" fillId="2" borderId="7" xfId="0" applyNumberFormat="1" applyFont="1" applyFill="1" applyBorder="1"/>
    <xf numFmtId="3" fontId="3" fillId="2" borderId="39" xfId="0" applyNumberFormat="1" applyFont="1" applyFill="1" applyBorder="1"/>
    <xf numFmtId="3" fontId="3" fillId="2" borderId="41" xfId="0" applyNumberFormat="1" applyFont="1" applyFill="1" applyBorder="1"/>
    <xf numFmtId="3" fontId="0" fillId="0" borderId="27" xfId="0" applyNumberFormat="1" applyFont="1" applyFill="1" applyBorder="1" applyAlignment="1">
      <alignment vertical="center"/>
    </xf>
    <xf numFmtId="3" fontId="3" fillId="0" borderId="0" xfId="0" applyNumberFormat="1" applyFont="1" applyFill="1" applyBorder="1"/>
    <xf numFmtId="3" fontId="3" fillId="0" borderId="7" xfId="0" applyNumberFormat="1" applyFont="1" applyFill="1" applyBorder="1"/>
    <xf numFmtId="3" fontId="0" fillId="0" borderId="26" xfId="0" applyNumberFormat="1" applyFont="1" applyFill="1" applyBorder="1" applyAlignment="1">
      <alignment horizontal="right"/>
    </xf>
    <xf numFmtId="3" fontId="3" fillId="0" borderId="39" xfId="0" applyNumberFormat="1" applyFont="1" applyFill="1" applyBorder="1"/>
    <xf numFmtId="3" fontId="3" fillId="0" borderId="41" xfId="0" applyNumberFormat="1" applyFont="1" applyFill="1" applyBorder="1"/>
    <xf numFmtId="3" fontId="0" fillId="5" borderId="27" xfId="0" applyNumberFormat="1" applyFont="1" applyFill="1" applyBorder="1" applyAlignment="1">
      <alignment vertical="center"/>
    </xf>
    <xf numFmtId="3" fontId="3" fillId="5" borderId="0" xfId="0" applyNumberFormat="1" applyFont="1" applyFill="1" applyBorder="1"/>
    <xf numFmtId="3" fontId="3" fillId="5" borderId="7" xfId="0" applyNumberFormat="1" applyFont="1" applyFill="1" applyBorder="1"/>
    <xf numFmtId="3" fontId="0" fillId="5" borderId="26" xfId="0" applyNumberFormat="1" applyFont="1" applyFill="1" applyBorder="1" applyAlignment="1">
      <alignment horizontal="right"/>
    </xf>
    <xf numFmtId="3" fontId="3" fillId="5" borderId="39" xfId="0" applyNumberFormat="1" applyFont="1" applyFill="1" applyBorder="1"/>
    <xf numFmtId="3" fontId="3" fillId="5" borderId="41" xfId="0" applyNumberFormat="1" applyFont="1" applyFill="1" applyBorder="1"/>
    <xf numFmtId="3" fontId="3" fillId="2" borderId="29" xfId="0" applyNumberFormat="1" applyFont="1" applyFill="1" applyBorder="1"/>
    <xf numFmtId="3" fontId="0" fillId="3" borderId="27" xfId="0" applyNumberFormat="1" applyFont="1" applyFill="1" applyBorder="1" applyAlignment="1">
      <alignment vertical="center"/>
    </xf>
    <xf numFmtId="3" fontId="3" fillId="3" borderId="0" xfId="0" applyNumberFormat="1" applyFont="1" applyFill="1" applyBorder="1"/>
    <xf numFmtId="3" fontId="0" fillId="3" borderId="26" xfId="0" applyNumberFormat="1" applyFont="1" applyFill="1" applyBorder="1" applyAlignment="1">
      <alignment horizontal="right"/>
    </xf>
    <xf numFmtId="3" fontId="3" fillId="3" borderId="39" xfId="0" applyNumberFormat="1" applyFont="1" applyFill="1" applyBorder="1"/>
    <xf numFmtId="3" fontId="3" fillId="3" borderId="29" xfId="0" applyNumberFormat="1" applyFont="1" applyFill="1" applyBorder="1"/>
    <xf numFmtId="3" fontId="3" fillId="0" borderId="29" xfId="0" applyNumberFormat="1" applyFont="1" applyFill="1" applyBorder="1"/>
    <xf numFmtId="3" fontId="0" fillId="4" borderId="27" xfId="0" applyNumberFormat="1" applyFont="1" applyFill="1" applyBorder="1" applyAlignment="1">
      <alignment vertical="center"/>
    </xf>
    <xf numFmtId="3" fontId="3" fillId="4" borderId="0" xfId="0" applyNumberFormat="1" applyFont="1" applyFill="1" applyBorder="1"/>
    <xf numFmtId="3" fontId="0" fillId="4" borderId="26" xfId="0" applyNumberFormat="1" applyFont="1" applyFill="1" applyBorder="1" applyAlignment="1">
      <alignment horizontal="right"/>
    </xf>
    <xf numFmtId="3" fontId="3" fillId="4" borderId="39" xfId="0" applyNumberFormat="1" applyFont="1" applyFill="1" applyBorder="1"/>
    <xf numFmtId="3" fontId="3" fillId="4" borderId="29" xfId="0" applyNumberFormat="1" applyFont="1" applyFill="1" applyBorder="1"/>
    <xf numFmtId="3" fontId="3" fillId="5" borderId="29" xfId="0" applyNumberFormat="1" applyFont="1" applyFill="1" applyBorder="1"/>
    <xf numFmtId="3" fontId="0" fillId="0" borderId="46" xfId="0" applyNumberFormat="1" applyFont="1" applyFill="1" applyBorder="1" applyAlignment="1">
      <alignment horizontal="right"/>
    </xf>
    <xf numFmtId="3" fontId="3" fillId="0" borderId="22" xfId="0" applyNumberFormat="1" applyFont="1" applyFill="1" applyBorder="1"/>
    <xf numFmtId="3" fontId="3" fillId="0" borderId="23" xfId="0" applyNumberFormat="1" applyFont="1" applyFill="1" applyBorder="1"/>
    <xf numFmtId="3" fontId="3" fillId="0" borderId="44" xfId="0" applyNumberFormat="1" applyFont="1" applyFill="1" applyBorder="1"/>
    <xf numFmtId="3" fontId="3" fillId="0" borderId="48" xfId="0" applyNumberFormat="1" applyFont="1" applyFill="1" applyBorder="1"/>
    <xf numFmtId="0" fontId="3" fillId="0" borderId="0" xfId="0" applyFont="1" applyFill="1" applyBorder="1"/>
    <xf numFmtId="0" fontId="3" fillId="0" borderId="22" xfId="0" applyFont="1" applyFill="1" applyBorder="1"/>
    <xf numFmtId="0" fontId="0" fillId="0" borderId="28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/>
    </xf>
    <xf numFmtId="0" fontId="3" fillId="0" borderId="27" xfId="0" applyFont="1" applyFill="1" applyBorder="1" applyAlignment="1">
      <alignment vertical="center"/>
    </xf>
    <xf numFmtId="3" fontId="0" fillId="0" borderId="40" xfId="0" applyNumberFormat="1" applyFont="1" applyFill="1" applyBorder="1" applyAlignment="1">
      <alignment horizontal="right"/>
    </xf>
    <xf numFmtId="3" fontId="0" fillId="0" borderId="28" xfId="0" applyNumberFormat="1" applyFont="1" applyFill="1" applyBorder="1" applyAlignment="1">
      <alignment horizontal="right"/>
    </xf>
    <xf numFmtId="3" fontId="0" fillId="0" borderId="27" xfId="0" applyNumberFormat="1" applyFont="1" applyFill="1" applyBorder="1" applyAlignment="1">
      <alignment horizontal="right"/>
    </xf>
    <xf numFmtId="3" fontId="0" fillId="0" borderId="7" xfId="0" applyNumberFormat="1" applyFont="1" applyFill="1" applyBorder="1" applyAlignment="1">
      <alignment horizontal="right"/>
    </xf>
    <xf numFmtId="3" fontId="0" fillId="0" borderId="39" xfId="0" applyNumberFormat="1" applyFont="1" applyFill="1" applyBorder="1" applyAlignment="1">
      <alignment horizontal="right"/>
    </xf>
    <xf numFmtId="3" fontId="0" fillId="0" borderId="41" xfId="0" applyNumberFormat="1" applyFont="1" applyFill="1" applyBorder="1" applyAlignment="1">
      <alignment horizontal="right"/>
    </xf>
    <xf numFmtId="3" fontId="3" fillId="0" borderId="27" xfId="0" applyNumberFormat="1" applyFont="1" applyFill="1" applyBorder="1" applyAlignment="1">
      <alignment horizontal="right"/>
    </xf>
    <xf numFmtId="3" fontId="3" fillId="0" borderId="40" xfId="0" applyNumberFormat="1" applyFont="1" applyFill="1" applyBorder="1" applyAlignment="1">
      <alignment horizontal="right"/>
    </xf>
    <xf numFmtId="0" fontId="3" fillId="0" borderId="23" xfId="0" applyFont="1" applyFill="1" applyBorder="1"/>
    <xf numFmtId="0" fontId="3" fillId="0" borderId="44" xfId="0" applyFont="1" applyFill="1" applyBorder="1"/>
    <xf numFmtId="0" fontId="3" fillId="0" borderId="48" xfId="0" applyFont="1" applyFill="1" applyBorder="1"/>
    <xf numFmtId="0" fontId="3" fillId="0" borderId="8" xfId="0" applyFont="1" applyFill="1" applyBorder="1"/>
    <xf numFmtId="0" fontId="3" fillId="0" borderId="3" xfId="0" applyFont="1" applyFill="1" applyBorder="1"/>
    <xf numFmtId="0" fontId="3" fillId="0" borderId="51" xfId="0" applyFont="1" applyFill="1" applyBorder="1"/>
    <xf numFmtId="0" fontId="3" fillId="0" borderId="49" xfId="0" applyFont="1" applyFill="1" applyBorder="1"/>
    <xf numFmtId="0" fontId="3" fillId="0" borderId="54" xfId="0" applyFont="1" applyFill="1" applyBorder="1"/>
    <xf numFmtId="0" fontId="0" fillId="0" borderId="55" xfId="0" applyFont="1" applyFill="1" applyBorder="1" applyAlignment="1">
      <alignment vertical="center"/>
    </xf>
    <xf numFmtId="0" fontId="0" fillId="0" borderId="26" xfId="0" applyFont="1" applyFill="1" applyBorder="1" applyAlignment="1">
      <alignment vertical="center"/>
    </xf>
    <xf numFmtId="3" fontId="0" fillId="0" borderId="26" xfId="0" applyNumberFormat="1" applyFont="1" applyFill="1" applyBorder="1"/>
    <xf numFmtId="3" fontId="3" fillId="0" borderId="26" xfId="0" applyNumberFormat="1" applyFont="1" applyFill="1" applyBorder="1"/>
    <xf numFmtId="0" fontId="3" fillId="0" borderId="56" xfId="0" applyFont="1" applyFill="1" applyBorder="1"/>
    <xf numFmtId="0" fontId="0" fillId="0" borderId="0" xfId="0" applyFont="1"/>
    <xf numFmtId="0" fontId="0" fillId="0" borderId="0" xfId="0" applyFont="1" applyFill="1" applyBorder="1"/>
    <xf numFmtId="0" fontId="0" fillId="2" borderId="9" xfId="0" applyFont="1" applyFill="1" applyBorder="1"/>
    <xf numFmtId="0" fontId="0" fillId="0" borderId="37" xfId="0" applyFont="1" applyFill="1" applyBorder="1" applyAlignment="1">
      <alignment vertical="center"/>
    </xf>
    <xf numFmtId="0" fontId="0" fillId="0" borderId="38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31" xfId="0" applyFont="1" applyFill="1" applyBorder="1" applyAlignment="1">
      <alignment vertical="center"/>
    </xf>
    <xf numFmtId="0" fontId="0" fillId="0" borderId="32" xfId="0" applyFont="1" applyFill="1" applyBorder="1" applyAlignment="1">
      <alignment vertical="center"/>
    </xf>
    <xf numFmtId="0" fontId="0" fillId="3" borderId="9" xfId="0" applyFont="1" applyFill="1" applyBorder="1"/>
    <xf numFmtId="0" fontId="0" fillId="2" borderId="39" xfId="0" applyFont="1" applyFill="1" applyBorder="1" applyAlignment="1"/>
    <xf numFmtId="0" fontId="0" fillId="2" borderId="27" xfId="0" applyFont="1" applyFill="1" applyBorder="1" applyAlignment="1">
      <alignment vertical="center"/>
    </xf>
    <xf numFmtId="0" fontId="0" fillId="2" borderId="28" xfId="0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0" fillId="2" borderId="26" xfId="0" applyFont="1" applyFill="1" applyBorder="1" applyAlignment="1">
      <alignment vertical="center"/>
    </xf>
    <xf numFmtId="0" fontId="0" fillId="2" borderId="39" xfId="0" applyFont="1" applyFill="1" applyBorder="1" applyAlignment="1">
      <alignment vertical="center"/>
    </xf>
    <xf numFmtId="0" fontId="0" fillId="2" borderId="41" xfId="0" applyFont="1" applyFill="1" applyBorder="1" applyAlignment="1">
      <alignment vertical="center"/>
    </xf>
    <xf numFmtId="0" fontId="0" fillId="4" borderId="9" xfId="0" applyFont="1" applyFill="1" applyBorder="1"/>
    <xf numFmtId="0" fontId="0" fillId="2" borderId="28" xfId="0" applyFont="1" applyFill="1" applyBorder="1"/>
    <xf numFmtId="3" fontId="0" fillId="2" borderId="28" xfId="0" applyNumberFormat="1" applyFont="1" applyFill="1" applyBorder="1"/>
    <xf numFmtId="3" fontId="0" fillId="2" borderId="7" xfId="0" applyNumberFormat="1" applyFont="1" applyFill="1" applyBorder="1"/>
    <xf numFmtId="3" fontId="0" fillId="2" borderId="26" xfId="0" applyNumberFormat="1" applyFont="1" applyFill="1" applyBorder="1"/>
    <xf numFmtId="3" fontId="0" fillId="2" borderId="39" xfId="0" applyNumberFormat="1" applyFont="1" applyFill="1" applyBorder="1"/>
    <xf numFmtId="3" fontId="0" fillId="2" borderId="41" xfId="0" applyNumberFormat="1" applyFont="1" applyFill="1" applyBorder="1"/>
    <xf numFmtId="0" fontId="0" fillId="5" borderId="9" xfId="0" applyFont="1" applyFill="1" applyBorder="1"/>
    <xf numFmtId="0" fontId="0" fillId="2" borderId="0" xfId="0" applyFont="1" applyFill="1" applyBorder="1" applyAlignment="1">
      <alignment horizontal="left"/>
    </xf>
    <xf numFmtId="0" fontId="0" fillId="2" borderId="28" xfId="0" applyFont="1" applyFill="1" applyBorder="1" applyAlignment="1"/>
    <xf numFmtId="3" fontId="0" fillId="2" borderId="40" xfId="0" applyNumberFormat="1" applyFont="1" applyFill="1" applyBorder="1"/>
    <xf numFmtId="3" fontId="0" fillId="2" borderId="27" xfId="0" applyNumberFormat="1" applyFont="1" applyFill="1" applyBorder="1"/>
    <xf numFmtId="0" fontId="0" fillId="0" borderId="0" xfId="0" applyFont="1" applyBorder="1"/>
    <xf numFmtId="0" fontId="0" fillId="2" borderId="43" xfId="0" applyFont="1" applyFill="1" applyBorder="1" applyAlignment="1">
      <alignment horizontal="left"/>
    </xf>
    <xf numFmtId="3" fontId="0" fillId="0" borderId="0" xfId="0" applyNumberFormat="1" applyFont="1"/>
    <xf numFmtId="0" fontId="6" fillId="0" borderId="0" xfId="0" applyFont="1" applyFill="1" applyBorder="1" applyAlignment="1">
      <alignment horizontal="left"/>
    </xf>
    <xf numFmtId="0" fontId="0" fillId="0" borderId="28" xfId="0" applyFont="1" applyFill="1" applyBorder="1"/>
    <xf numFmtId="3" fontId="0" fillId="0" borderId="40" xfId="0" applyNumberFormat="1" applyFont="1" applyFill="1" applyBorder="1"/>
    <xf numFmtId="3" fontId="0" fillId="0" borderId="27" xfId="0" applyNumberFormat="1" applyFont="1" applyFill="1" applyBorder="1"/>
    <xf numFmtId="0" fontId="0" fillId="5" borderId="28" xfId="0" applyFont="1" applyFill="1" applyBorder="1"/>
    <xf numFmtId="3" fontId="0" fillId="5" borderId="40" xfId="0" applyNumberFormat="1" applyFont="1" applyFill="1" applyBorder="1"/>
    <xf numFmtId="3" fontId="0" fillId="5" borderId="27" xfId="0" applyNumberFormat="1" applyFont="1" applyFill="1" applyBorder="1"/>
    <xf numFmtId="0" fontId="0" fillId="5" borderId="0" xfId="0" applyFont="1" applyFill="1" applyBorder="1" applyAlignment="1">
      <alignment horizontal="left"/>
    </xf>
    <xf numFmtId="3" fontId="0" fillId="5" borderId="40" xfId="0" applyNumberFormat="1" applyFont="1" applyFill="1" applyBorder="1" applyAlignment="1">
      <alignment horizontal="right"/>
    </xf>
    <xf numFmtId="3" fontId="0" fillId="5" borderId="27" xfId="0" applyNumberFormat="1" applyFont="1" applyFill="1" applyBorder="1" applyAlignment="1">
      <alignment horizontal="right"/>
    </xf>
    <xf numFmtId="0" fontId="0" fillId="2" borderId="0" xfId="0" applyFont="1" applyFill="1" applyBorder="1"/>
    <xf numFmtId="0" fontId="0" fillId="2" borderId="40" xfId="0" applyFont="1" applyFill="1" applyBorder="1"/>
    <xf numFmtId="0" fontId="0" fillId="2" borderId="0" xfId="0" applyFont="1" applyFill="1"/>
    <xf numFmtId="0" fontId="6" fillId="3" borderId="0" xfId="0" applyFont="1" applyFill="1" applyBorder="1"/>
    <xf numFmtId="0" fontId="0" fillId="3" borderId="0" xfId="0" applyFont="1" applyFill="1" applyBorder="1" applyAlignment="1">
      <alignment horizontal="center"/>
    </xf>
    <xf numFmtId="3" fontId="0" fillId="3" borderId="40" xfId="0" applyNumberFormat="1" applyFont="1" applyFill="1" applyBorder="1" applyAlignment="1">
      <alignment horizontal="right"/>
    </xf>
    <xf numFmtId="3" fontId="0" fillId="3" borderId="27" xfId="0" applyNumberFormat="1" applyFont="1" applyFill="1" applyBorder="1" applyAlignment="1">
      <alignment horizontal="right"/>
    </xf>
    <xf numFmtId="0" fontId="0" fillId="3" borderId="0" xfId="0" applyFont="1" applyFill="1" applyBorder="1"/>
    <xf numFmtId="0" fontId="0" fillId="3" borderId="0" xfId="0" applyFont="1" applyFill="1" applyBorder="1" applyAlignment="1">
      <alignment horizontal="left"/>
    </xf>
    <xf numFmtId="0" fontId="6" fillId="0" borderId="0" xfId="0" applyFont="1" applyFill="1" applyBorder="1"/>
    <xf numFmtId="0" fontId="0" fillId="4" borderId="0" xfId="0" applyFont="1" applyFill="1" applyBorder="1"/>
    <xf numFmtId="3" fontId="0" fillId="4" borderId="40" xfId="0" applyNumberFormat="1" applyFont="1" applyFill="1" applyBorder="1" applyAlignment="1">
      <alignment horizontal="right"/>
    </xf>
    <xf numFmtId="3" fontId="0" fillId="4" borderId="27" xfId="0" applyNumberFormat="1" applyFont="1" applyFill="1" applyBorder="1" applyAlignment="1">
      <alignment horizontal="right"/>
    </xf>
    <xf numFmtId="0" fontId="0" fillId="4" borderId="0" xfId="0" applyFont="1" applyFill="1" applyBorder="1" applyAlignment="1">
      <alignment horizontal="left"/>
    </xf>
    <xf numFmtId="0" fontId="0" fillId="4" borderId="0" xfId="0" applyFont="1" applyFill="1" applyBorder="1" applyAlignment="1">
      <alignment horizontal="center"/>
    </xf>
    <xf numFmtId="0" fontId="0" fillId="5" borderId="0" xfId="0" applyFont="1" applyFill="1" applyBorder="1"/>
    <xf numFmtId="0" fontId="0" fillId="5" borderId="43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3" fontId="0" fillId="0" borderId="0" xfId="0" applyNumberFormat="1" applyFont="1" applyFill="1" applyBorder="1" applyAlignment="1">
      <alignment horizontal="right"/>
    </xf>
    <xf numFmtId="0" fontId="0" fillId="0" borderId="22" xfId="0" applyFont="1" applyFill="1" applyBorder="1" applyAlignment="1">
      <alignment horizontal="left"/>
    </xf>
    <xf numFmtId="0" fontId="0" fillId="0" borderId="45" xfId="0" applyFont="1" applyFill="1" applyBorder="1"/>
    <xf numFmtId="3" fontId="0" fillId="0" borderId="47" xfId="0" applyNumberFormat="1" applyFont="1" applyFill="1" applyBorder="1" applyAlignment="1">
      <alignment horizontal="right"/>
    </xf>
    <xf numFmtId="0" fontId="0" fillId="0" borderId="3" xfId="0" applyFont="1" applyFill="1" applyBorder="1"/>
    <xf numFmtId="0" fontId="0" fillId="0" borderId="49" xfId="0" applyFont="1" applyFill="1" applyBorder="1"/>
    <xf numFmtId="0" fontId="0" fillId="0" borderId="50" xfId="0" applyFont="1" applyFill="1" applyBorder="1"/>
    <xf numFmtId="3" fontId="0" fillId="0" borderId="51" xfId="0" applyNumberFormat="1" applyFont="1" applyFill="1" applyBorder="1" applyAlignment="1">
      <alignment horizontal="right"/>
    </xf>
    <xf numFmtId="3" fontId="0" fillId="0" borderId="3" xfId="0" applyNumberFormat="1" applyFont="1" applyFill="1" applyBorder="1" applyAlignment="1">
      <alignment horizontal="right"/>
    </xf>
    <xf numFmtId="3" fontId="3" fillId="0" borderId="8" xfId="0" applyNumberFormat="1" applyFont="1" applyFill="1" applyBorder="1"/>
    <xf numFmtId="3" fontId="0" fillId="0" borderId="52" xfId="0" applyNumberFormat="1" applyFont="1" applyFill="1" applyBorder="1" applyAlignment="1">
      <alignment horizontal="right"/>
    </xf>
    <xf numFmtId="3" fontId="3" fillId="0" borderId="3" xfId="0" applyNumberFormat="1" applyFont="1" applyFill="1" applyBorder="1"/>
    <xf numFmtId="3" fontId="3" fillId="0" borderId="51" xfId="0" applyNumberFormat="1" applyFont="1" applyFill="1" applyBorder="1"/>
    <xf numFmtId="3" fontId="0" fillId="0" borderId="53" xfId="0" applyNumberFormat="1" applyFont="1" applyFill="1" applyBorder="1" applyAlignment="1">
      <alignment horizontal="right"/>
    </xf>
    <xf numFmtId="3" fontId="3" fillId="0" borderId="49" xfId="0" applyNumberFormat="1" applyFont="1" applyFill="1" applyBorder="1"/>
    <xf numFmtId="3" fontId="3" fillId="0" borderId="54" xfId="0" applyNumberFormat="1" applyFont="1" applyFill="1" applyBorder="1"/>
    <xf numFmtId="3" fontId="0" fillId="0" borderId="22" xfId="0" applyNumberFormat="1" applyFont="1" applyFill="1" applyBorder="1" applyAlignment="1">
      <alignment horizontal="right"/>
    </xf>
    <xf numFmtId="0" fontId="0" fillId="0" borderId="0" xfId="0" applyFont="1" applyFill="1" applyBorder="1" applyAlignment="1">
      <alignment vertical="center"/>
    </xf>
    <xf numFmtId="0" fontId="0" fillId="0" borderId="39" xfId="0" applyFont="1" applyFill="1" applyBorder="1" applyAlignment="1"/>
    <xf numFmtId="0" fontId="0" fillId="0" borderId="27" xfId="0" applyFont="1" applyFill="1" applyBorder="1" applyAlignment="1">
      <alignment vertical="center"/>
    </xf>
    <xf numFmtId="0" fontId="0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39" xfId="0" applyFont="1" applyFill="1" applyBorder="1" applyAlignment="1">
      <alignment vertical="center"/>
    </xf>
    <xf numFmtId="0" fontId="0" fillId="0" borderId="41" xfId="0" applyFont="1" applyFill="1" applyBorder="1" applyAlignment="1">
      <alignment vertical="center"/>
    </xf>
    <xf numFmtId="3" fontId="0" fillId="0" borderId="28" xfId="0" applyNumberFormat="1" applyFont="1" applyFill="1" applyBorder="1"/>
    <xf numFmtId="3" fontId="0" fillId="0" borderId="7" xfId="0" applyNumberFormat="1" applyFont="1" applyFill="1" applyBorder="1"/>
    <xf numFmtId="3" fontId="0" fillId="0" borderId="39" xfId="0" applyNumberFormat="1" applyFont="1" applyFill="1" applyBorder="1"/>
    <xf numFmtId="3" fontId="0" fillId="0" borderId="41" xfId="0" applyNumberFormat="1" applyFont="1" applyFill="1" applyBorder="1"/>
    <xf numFmtId="0" fontId="0" fillId="0" borderId="28" xfId="0" applyFont="1" applyFill="1" applyBorder="1" applyAlignment="1"/>
    <xf numFmtId="0" fontId="0" fillId="0" borderId="43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3" fontId="3" fillId="0" borderId="39" xfId="0" applyNumberFormat="1" applyFont="1" applyFill="1" applyBorder="1" applyAlignment="1">
      <alignment horizontal="right"/>
    </xf>
    <xf numFmtId="3" fontId="3" fillId="0" borderId="7" xfId="0" applyNumberFormat="1" applyFont="1" applyFill="1" applyBorder="1" applyAlignment="1">
      <alignment horizontal="right"/>
    </xf>
    <xf numFmtId="3" fontId="3" fillId="0" borderId="26" xfId="0" applyNumberFormat="1" applyFont="1" applyFill="1" applyBorder="1" applyAlignment="1">
      <alignment horizontal="right"/>
    </xf>
    <xf numFmtId="3" fontId="3" fillId="0" borderId="41" xfId="0" applyNumberFormat="1" applyFont="1" applyFill="1" applyBorder="1" applyAlignment="1">
      <alignment horizontal="right"/>
    </xf>
    <xf numFmtId="3" fontId="0" fillId="0" borderId="0" xfId="0" applyNumberFormat="1" applyFont="1" applyFill="1" applyBorder="1"/>
    <xf numFmtId="0" fontId="0" fillId="0" borderId="28" xfId="0" applyFont="1" applyFill="1" applyBorder="1" applyAlignment="1">
      <alignment horizontal="center"/>
    </xf>
    <xf numFmtId="3" fontId="3" fillId="0" borderId="0" xfId="0" applyNumberFormat="1" applyFont="1" applyFill="1" applyBorder="1" applyAlignment="1">
      <alignment horizontal="right"/>
    </xf>
    <xf numFmtId="0" fontId="0" fillId="0" borderId="0" xfId="0" applyFont="1" applyFill="1"/>
    <xf numFmtId="3" fontId="1" fillId="0" borderId="27" xfId="0" applyNumberFormat="1" applyFont="1" applyFill="1" applyBorder="1" applyAlignment="1">
      <alignment horizontal="right"/>
    </xf>
    <xf numFmtId="3" fontId="1" fillId="0" borderId="39" xfId="0" applyNumberFormat="1" applyFont="1" applyFill="1" applyBorder="1" applyAlignment="1">
      <alignment horizontal="right"/>
    </xf>
    <xf numFmtId="0" fontId="0" fillId="0" borderId="0" xfId="0" applyFont="1" applyFill="1" applyBorder="1" applyAlignment="1"/>
    <xf numFmtId="0" fontId="0" fillId="0" borderId="31" xfId="0" applyFont="1" applyFill="1" applyBorder="1" applyAlignment="1"/>
    <xf numFmtId="0" fontId="0" fillId="2" borderId="42" xfId="0" applyFont="1" applyFill="1" applyBorder="1" applyAlignment="1">
      <alignment horizontal="left"/>
    </xf>
    <xf numFmtId="0" fontId="0" fillId="2" borderId="39" xfId="0" applyFont="1" applyFill="1" applyBorder="1"/>
    <xf numFmtId="0" fontId="0" fillId="0" borderId="39" xfId="0" applyFont="1" applyFill="1" applyBorder="1"/>
    <xf numFmtId="0" fontId="0" fillId="5" borderId="42" xfId="0" applyFont="1" applyFill="1" applyBorder="1" applyAlignment="1">
      <alignment horizontal="left"/>
    </xf>
    <xf numFmtId="0" fontId="0" fillId="5" borderId="39" xfId="0" applyFont="1" applyFill="1" applyBorder="1"/>
    <xf numFmtId="0" fontId="0" fillId="5" borderId="39" xfId="0" applyFont="1" applyFill="1" applyBorder="1" applyAlignment="1">
      <alignment horizontal="left"/>
    </xf>
    <xf numFmtId="0" fontId="0" fillId="3" borderId="39" xfId="0" applyFont="1" applyFill="1" applyBorder="1"/>
    <xf numFmtId="0" fontId="0" fillId="3" borderId="42" xfId="0" applyFont="1" applyFill="1" applyBorder="1"/>
    <xf numFmtId="0" fontId="0" fillId="2" borderId="42" xfId="0" applyFont="1" applyFill="1" applyBorder="1"/>
    <xf numFmtId="0" fontId="0" fillId="4" borderId="42" xfId="0" applyFont="1" applyFill="1" applyBorder="1" applyAlignment="1">
      <alignment horizontal="left"/>
    </xf>
    <xf numFmtId="0" fontId="0" fillId="4" borderId="39" xfId="0" applyFont="1" applyFill="1" applyBorder="1"/>
    <xf numFmtId="0" fontId="0" fillId="0" borderId="42" xfId="0" applyFont="1" applyFill="1" applyBorder="1" applyAlignment="1">
      <alignment horizontal="left"/>
    </xf>
    <xf numFmtId="0" fontId="0" fillId="0" borderId="44" xfId="0" applyFont="1" applyFill="1" applyBorder="1"/>
    <xf numFmtId="0" fontId="0" fillId="0" borderId="39" xfId="0" applyFont="1" applyFill="1" applyBorder="1" applyAlignment="1">
      <alignment horizontal="left"/>
    </xf>
    <xf numFmtId="0" fontId="0" fillId="0" borderId="42" xfId="0" applyFont="1" applyFill="1" applyBorder="1"/>
    <xf numFmtId="0" fontId="6" fillId="0" borderId="0" xfId="0" applyFont="1" applyFill="1" applyBorder="1" applyAlignment="1"/>
    <xf numFmtId="0" fontId="0" fillId="0" borderId="11" xfId="0" applyFont="1" applyFill="1" applyBorder="1" applyAlignment="1">
      <alignment horizontal="left" vertical="center"/>
    </xf>
    <xf numFmtId="0" fontId="6" fillId="2" borderId="0" xfId="0" applyFont="1" applyFill="1" applyBorder="1" applyAlignment="1"/>
    <xf numFmtId="0" fontId="0" fillId="5" borderId="19" xfId="0" applyFill="1" applyBorder="1"/>
    <xf numFmtId="0" fontId="0" fillId="5" borderId="7" xfId="0" applyFill="1" applyBorder="1"/>
    <xf numFmtId="0" fontId="0" fillId="3" borderId="19" xfId="0" applyFill="1" applyBorder="1"/>
    <xf numFmtId="0" fontId="0" fillId="3" borderId="7" xfId="0" applyFill="1" applyBorder="1"/>
    <xf numFmtId="0" fontId="0" fillId="2" borderId="19" xfId="0" applyFill="1" applyBorder="1"/>
    <xf numFmtId="0" fontId="0" fillId="2" borderId="7" xfId="0" applyFill="1" applyBorder="1"/>
    <xf numFmtId="0" fontId="0" fillId="2" borderId="19" xfId="0" applyFill="1" applyBorder="1" applyAlignment="1">
      <alignment horizontal="right"/>
    </xf>
    <xf numFmtId="0" fontId="0" fillId="2" borderId="0" xfId="0" applyFill="1" applyBorder="1"/>
    <xf numFmtId="0" fontId="0" fillId="2" borderId="7" xfId="0" applyFill="1" applyBorder="1" applyAlignment="1">
      <alignment wrapText="1"/>
    </xf>
    <xf numFmtId="0" fontId="0" fillId="6" borderId="19" xfId="0" applyFill="1" applyBorder="1"/>
    <xf numFmtId="0" fontId="0" fillId="6" borderId="7" xfId="0" applyFill="1" applyBorder="1"/>
    <xf numFmtId="0" fontId="0" fillId="7" borderId="19" xfId="0" applyFill="1" applyBorder="1"/>
    <xf numFmtId="0" fontId="0" fillId="7" borderId="7" xfId="0" applyFill="1" applyBorder="1"/>
    <xf numFmtId="0" fontId="0" fillId="7" borderId="0" xfId="0" applyFill="1" applyBorder="1"/>
    <xf numFmtId="0" fontId="3" fillId="2" borderId="19" xfId="0" applyFont="1" applyFill="1" applyBorder="1"/>
    <xf numFmtId="0" fontId="3" fillId="2" borderId="7" xfId="0" applyFont="1" applyFill="1" applyBorder="1"/>
    <xf numFmtId="0" fontId="3" fillId="5" borderId="19" xfId="0" applyFont="1" applyFill="1" applyBorder="1"/>
    <xf numFmtId="0" fontId="3" fillId="5" borderId="7" xfId="0" applyFont="1" applyFill="1" applyBorder="1"/>
    <xf numFmtId="0" fontId="0" fillId="0" borderId="0" xfId="0" applyFill="1"/>
    <xf numFmtId="0" fontId="0" fillId="6" borderId="0" xfId="0" applyFill="1"/>
    <xf numFmtId="9" fontId="0" fillId="0" borderId="9" xfId="0" applyNumberFormat="1" applyBorder="1"/>
    <xf numFmtId="0" fontId="0" fillId="6" borderId="15" xfId="0" applyFill="1" applyBorder="1"/>
    <xf numFmtId="0" fontId="0" fillId="2" borderId="15" xfId="0" applyFill="1" applyBorder="1"/>
    <xf numFmtId="0" fontId="0" fillId="3" borderId="7" xfId="0" applyFill="1" applyBorder="1" applyAlignment="1">
      <alignment wrapText="1"/>
    </xf>
    <xf numFmtId="0" fontId="0" fillId="3" borderId="15" xfId="0" applyFill="1" applyBorder="1"/>
    <xf numFmtId="0" fontId="0" fillId="3" borderId="0" xfId="0" applyFill="1" applyAlignment="1">
      <alignment wrapText="1"/>
    </xf>
    <xf numFmtId="0" fontId="0" fillId="2" borderId="7" xfId="0" applyFill="1" applyBorder="1" applyAlignment="1">
      <alignment horizontal="left" wrapText="1"/>
    </xf>
    <xf numFmtId="0" fontId="0" fillId="6" borderId="7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5" borderId="15" xfId="0" applyFill="1" applyBorder="1"/>
    <xf numFmtId="0" fontId="0" fillId="8" borderId="19" xfId="0" applyFill="1" applyBorder="1"/>
    <xf numFmtId="0" fontId="0" fillId="8" borderId="7" xfId="0" applyFill="1" applyBorder="1"/>
    <xf numFmtId="0" fontId="0" fillId="8" borderId="7" xfId="0" applyFill="1" applyBorder="1" applyAlignment="1">
      <alignment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9" fontId="0" fillId="0" borderId="0" xfId="0" applyNumberFormat="1" applyFont="1" applyBorder="1" applyAlignment="1">
      <alignment horizontal="center" vertical="center" wrapText="1"/>
    </xf>
    <xf numFmtId="16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/>
    <xf numFmtId="164" fontId="0" fillId="0" borderId="0" xfId="0" applyNumberFormat="1" applyFont="1" applyBorder="1"/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8" xfId="0" applyBorder="1" applyAlignment="1">
      <alignment horizontal="center" textRotation="90"/>
    </xf>
    <xf numFmtId="0" fontId="0" fillId="0" borderId="19" xfId="0" applyBorder="1" applyAlignment="1">
      <alignment horizontal="center" textRotation="90"/>
    </xf>
    <xf numFmtId="0" fontId="0" fillId="0" borderId="20" xfId="0" applyBorder="1" applyAlignment="1">
      <alignment horizontal="center" textRotation="90"/>
    </xf>
    <xf numFmtId="0" fontId="0" fillId="0" borderId="17" xfId="0" applyBorder="1" applyAlignment="1">
      <alignment horizontal="center" textRotation="90"/>
    </xf>
    <xf numFmtId="0" fontId="0" fillId="0" borderId="7" xfId="0" applyBorder="1" applyAlignment="1">
      <alignment horizontal="center" textRotation="90"/>
    </xf>
    <xf numFmtId="0" fontId="0" fillId="0" borderId="6" xfId="0" applyBorder="1" applyAlignment="1">
      <alignment horizontal="center" textRotation="90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Font="1" applyBorder="1" applyAlignment="1">
      <alignment horizontal="left"/>
    </xf>
    <xf numFmtId="0" fontId="0" fillId="0" borderId="31" xfId="0" applyFont="1" applyFill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 wrapText="1"/>
    </xf>
    <xf numFmtId="0" fontId="0" fillId="0" borderId="30" xfId="0" applyFont="1" applyFill="1" applyBorder="1" applyAlignment="1">
      <alignment horizontal="center" vertical="center" wrapText="1"/>
    </xf>
    <xf numFmtId="0" fontId="0" fillId="0" borderId="34" xfId="0" applyFont="1" applyFill="1" applyBorder="1" applyAlignment="1">
      <alignment horizontal="center" vertical="center" wrapText="1"/>
    </xf>
    <xf numFmtId="0" fontId="0" fillId="0" borderId="32" xfId="0" applyFont="1" applyFill="1" applyBorder="1" applyAlignment="1">
      <alignment horizontal="center" vertical="center" wrapText="1"/>
    </xf>
    <xf numFmtId="0" fontId="0" fillId="0" borderId="36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6" xfId="0" applyFont="1" applyFill="1" applyBorder="1" applyAlignment="1">
      <alignment horizontal="center" vertical="center" wrapText="1"/>
    </xf>
    <xf numFmtId="0" fontId="0" fillId="0" borderId="33" xfId="0" applyFont="1" applyFill="1" applyBorder="1" applyAlignment="1">
      <alignment horizontal="center" vertical="center" wrapText="1"/>
    </xf>
    <xf numFmtId="0" fontId="0" fillId="0" borderId="25" xfId="0" applyFont="1" applyFill="1" applyBorder="1" applyAlignment="1">
      <alignment horizontal="center" vertical="center" wrapText="1"/>
    </xf>
    <xf numFmtId="0" fontId="0" fillId="0" borderId="27" xfId="0" applyFont="1" applyFill="1" applyBorder="1" applyAlignment="1">
      <alignment horizontal="center" vertical="center" wrapText="1"/>
    </xf>
    <xf numFmtId="0" fontId="0" fillId="0" borderId="28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SAF 'Stagnation' vs. Census 1865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Summaries!$A$11:$A$14</c:f>
              <c:strCache>
                <c:ptCount val="4"/>
                <c:pt idx="0">
                  <c:v>White collar</c:v>
                </c:pt>
                <c:pt idx="1">
                  <c:v>Farmer</c:v>
                </c:pt>
                <c:pt idx="2">
                  <c:v>Skilled/semi-skilled</c:v>
                </c:pt>
                <c:pt idx="3">
                  <c:v>Unskilled</c:v>
                </c:pt>
              </c:strCache>
            </c:strRef>
          </c:cat>
          <c:val>
            <c:numRef>
              <c:f>Summaries!$C$11:$C$14</c:f>
              <c:numCache>
                <c:formatCode>0.0</c:formatCode>
                <c:ptCount val="4"/>
                <c:pt idx="0">
                  <c:v>20.59</c:v>
                </c:pt>
                <c:pt idx="1">
                  <c:v>61.74</c:v>
                </c:pt>
                <c:pt idx="2">
                  <c:v>8.11</c:v>
                </c:pt>
                <c:pt idx="3">
                  <c:v>9.56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CC8-4974-9EB2-6FFD59811C70}"/>
            </c:ext>
          </c:extLst>
        </c:ser>
        <c:ser>
          <c:idx val="1"/>
          <c:order val="1"/>
          <c:tx>
            <c:v>Census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Summaries!$A$11:$A$14</c:f>
              <c:strCache>
                <c:ptCount val="4"/>
                <c:pt idx="0">
                  <c:v>White collar</c:v>
                </c:pt>
                <c:pt idx="1">
                  <c:v>Farmer</c:v>
                </c:pt>
                <c:pt idx="2">
                  <c:v>Skilled/semi-skilled</c:v>
                </c:pt>
                <c:pt idx="3">
                  <c:v>Unskilled</c:v>
                </c:pt>
              </c:strCache>
            </c:strRef>
          </c:cat>
          <c:val>
            <c:numRef>
              <c:f>Summaries!$D$11:$D$14</c:f>
              <c:numCache>
                <c:formatCode>0.0</c:formatCode>
                <c:ptCount val="4"/>
                <c:pt idx="0">
                  <c:v>29.747344539548315</c:v>
                </c:pt>
                <c:pt idx="1">
                  <c:v>55.334639579251309</c:v>
                </c:pt>
                <c:pt idx="2">
                  <c:v>7.4662266680416618</c:v>
                </c:pt>
                <c:pt idx="3">
                  <c:v>7.4517892131587091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CC8-4974-9EB2-6FFD59811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266736"/>
        <c:axId val="320266344"/>
      </c:barChart>
      <c:catAx>
        <c:axId val="32026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66344"/>
        <c:crosses val="autoZero"/>
        <c:auto val="1"/>
        <c:lblAlgn val="ctr"/>
        <c:lblOffset val="100"/>
        <c:noMultiLvlLbl val="0"/>
      </c:catAx>
      <c:valAx>
        <c:axId val="32026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6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SAF</a:t>
            </a:r>
            <a:r>
              <a:rPr lang="en-ZA" baseline="0"/>
              <a:t> 'Diamonds' vs. Census 1875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Summaries!$A$11:$A$14</c:f>
              <c:strCache>
                <c:ptCount val="4"/>
                <c:pt idx="0">
                  <c:v>White collar</c:v>
                </c:pt>
                <c:pt idx="1">
                  <c:v>Farmer</c:v>
                </c:pt>
                <c:pt idx="2">
                  <c:v>Skilled/semi-skilled</c:v>
                </c:pt>
                <c:pt idx="3">
                  <c:v>Unskilled</c:v>
                </c:pt>
              </c:strCache>
            </c:strRef>
          </c:cat>
          <c:val>
            <c:numRef>
              <c:f>Summaries!$E$11:$E$14</c:f>
              <c:numCache>
                <c:formatCode>0.0</c:formatCode>
                <c:ptCount val="4"/>
                <c:pt idx="0">
                  <c:v>26.6</c:v>
                </c:pt>
                <c:pt idx="1">
                  <c:v>60.18</c:v>
                </c:pt>
                <c:pt idx="2">
                  <c:v>9.0299999999999994</c:v>
                </c:pt>
                <c:pt idx="3">
                  <c:v>4.1900000000000004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1A1-4F34-80B9-838E98110AD8}"/>
            </c:ext>
          </c:extLst>
        </c:ser>
        <c:ser>
          <c:idx val="1"/>
          <c:order val="1"/>
          <c:tx>
            <c:v>Census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Summaries!$A$11:$A$14</c:f>
              <c:strCache>
                <c:ptCount val="4"/>
                <c:pt idx="0">
                  <c:v>White collar</c:v>
                </c:pt>
                <c:pt idx="1">
                  <c:v>Farmer</c:v>
                </c:pt>
                <c:pt idx="2">
                  <c:v>Skilled/semi-skilled</c:v>
                </c:pt>
                <c:pt idx="3">
                  <c:v>Unskilled</c:v>
                </c:pt>
              </c:strCache>
            </c:strRef>
          </c:cat>
          <c:val>
            <c:numRef>
              <c:f>Summaries!$F$11:$F$14</c:f>
              <c:numCache>
                <c:formatCode>0.0</c:formatCode>
                <c:ptCount val="4"/>
                <c:pt idx="0">
                  <c:v>33.814350163772325</c:v>
                </c:pt>
                <c:pt idx="1">
                  <c:v>52.637352450404798</c:v>
                </c:pt>
                <c:pt idx="2">
                  <c:v>8.8066250540757665</c:v>
                </c:pt>
                <c:pt idx="3">
                  <c:v>4.741672331747111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1A1-4F34-80B9-838E98110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267128"/>
        <c:axId val="320267520"/>
      </c:barChart>
      <c:catAx>
        <c:axId val="32026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67520"/>
        <c:crosses val="autoZero"/>
        <c:auto val="1"/>
        <c:lblAlgn val="ctr"/>
        <c:lblOffset val="100"/>
        <c:noMultiLvlLbl val="0"/>
      </c:catAx>
      <c:valAx>
        <c:axId val="32026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6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SAF 'Gold'</a:t>
            </a:r>
            <a:r>
              <a:rPr lang="en-ZA" baseline="0"/>
              <a:t> vs. Census 1891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Summaries!$A$11:$A$14</c:f>
              <c:strCache>
                <c:ptCount val="4"/>
                <c:pt idx="0">
                  <c:v>White collar</c:v>
                </c:pt>
                <c:pt idx="1">
                  <c:v>Farmer</c:v>
                </c:pt>
                <c:pt idx="2">
                  <c:v>Skilled/semi-skilled</c:v>
                </c:pt>
                <c:pt idx="3">
                  <c:v>Unskilled</c:v>
                </c:pt>
              </c:strCache>
            </c:strRef>
          </c:cat>
          <c:val>
            <c:numRef>
              <c:f>Summaries!$H$11:$H$14</c:f>
              <c:numCache>
                <c:formatCode>0.0</c:formatCode>
                <c:ptCount val="4"/>
                <c:pt idx="0">
                  <c:v>34.79</c:v>
                </c:pt>
                <c:pt idx="1">
                  <c:v>49.73</c:v>
                </c:pt>
                <c:pt idx="2">
                  <c:v>12.45</c:v>
                </c:pt>
                <c:pt idx="3">
                  <c:v>3.04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DB8-41F9-8AF7-178C412D955B}"/>
            </c:ext>
          </c:extLst>
        </c:ser>
        <c:ser>
          <c:idx val="1"/>
          <c:order val="1"/>
          <c:tx>
            <c:v>Census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Summaries!$A$11:$A$14</c:f>
              <c:strCache>
                <c:ptCount val="4"/>
                <c:pt idx="0">
                  <c:v>White collar</c:v>
                </c:pt>
                <c:pt idx="1">
                  <c:v>Farmer</c:v>
                </c:pt>
                <c:pt idx="2">
                  <c:v>Skilled/semi-skilled</c:v>
                </c:pt>
                <c:pt idx="3">
                  <c:v>Unskilled</c:v>
                </c:pt>
              </c:strCache>
            </c:strRef>
          </c:cat>
          <c:val>
            <c:numRef>
              <c:f>Summaries!$G$11:$G$14</c:f>
              <c:numCache>
                <c:formatCode>0.0</c:formatCode>
                <c:ptCount val="4"/>
                <c:pt idx="0">
                  <c:v>27.926000281769515</c:v>
                </c:pt>
                <c:pt idx="1">
                  <c:v>52.399443505212737</c:v>
                </c:pt>
                <c:pt idx="2">
                  <c:v>17.676634263172726</c:v>
                </c:pt>
                <c:pt idx="3">
                  <c:v>1.9979219498450267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DB8-41F9-8AF7-178C412D9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8950992"/>
        <c:axId val="318951384"/>
      </c:barChart>
      <c:catAx>
        <c:axId val="31895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951384"/>
        <c:crosses val="autoZero"/>
        <c:auto val="1"/>
        <c:lblAlgn val="ctr"/>
        <c:lblOffset val="100"/>
        <c:noMultiLvlLbl val="0"/>
      </c:catAx>
      <c:valAx>
        <c:axId val="318951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95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</xdr:row>
      <xdr:rowOff>23812</xdr:rowOff>
    </xdr:from>
    <xdr:to>
      <xdr:col>17</xdr:col>
      <xdr:colOff>190500</xdr:colOff>
      <xdr:row>13</xdr:row>
      <xdr:rowOff>80962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13</xdr:row>
      <xdr:rowOff>157162</xdr:rowOff>
    </xdr:from>
    <xdr:to>
      <xdr:col>17</xdr:col>
      <xdr:colOff>190500</xdr:colOff>
      <xdr:row>28</xdr:row>
      <xdr:rowOff>33337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476250</xdr:colOff>
      <xdr:row>28</xdr:row>
      <xdr:rowOff>80962</xdr:rowOff>
    </xdr:from>
    <xdr:to>
      <xdr:col>17</xdr:col>
      <xdr:colOff>171450</xdr:colOff>
      <xdr:row>42</xdr:row>
      <xdr:rowOff>157162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zoomScale="80" zoomScaleNormal="80" workbookViewId="0">
      <selection activeCell="M17" sqref="M17"/>
    </sheetView>
  </sheetViews>
  <sheetFormatPr defaultRowHeight="15" x14ac:dyDescent="0.25"/>
  <cols>
    <col min="1" max="1" width="60.7109375" customWidth="1"/>
    <col min="2" max="5" width="10.85546875" customWidth="1"/>
    <col min="6" max="6" width="55.5703125" customWidth="1"/>
    <col min="7" max="10" width="10.85546875" customWidth="1"/>
  </cols>
  <sheetData>
    <row r="1" spans="1:11" ht="15.75" thickBot="1" x14ac:dyDescent="0.3">
      <c r="A1" s="268" t="s">
        <v>1</v>
      </c>
      <c r="B1" s="268"/>
      <c r="C1" s="268"/>
      <c r="D1" s="268"/>
      <c r="E1" s="268"/>
      <c r="F1" s="268"/>
      <c r="G1" s="268"/>
      <c r="H1" s="268"/>
      <c r="I1" s="268"/>
      <c r="J1" s="268"/>
    </row>
    <row r="2" spans="1:11" ht="15.75" thickTop="1" x14ac:dyDescent="0.25">
      <c r="A2" s="269" t="s">
        <v>3</v>
      </c>
      <c r="B2" s="270"/>
      <c r="C2" s="270"/>
      <c r="D2" s="270"/>
      <c r="E2" s="270"/>
      <c r="F2" s="270"/>
      <c r="G2" s="270"/>
      <c r="H2" s="270"/>
      <c r="I2" s="270"/>
      <c r="J2" s="271"/>
      <c r="K2" s="7"/>
    </row>
    <row r="3" spans="1:11" x14ac:dyDescent="0.25">
      <c r="A3" s="272" t="s">
        <v>2</v>
      </c>
      <c r="B3" s="273"/>
      <c r="C3" s="273"/>
      <c r="D3" s="273"/>
      <c r="E3" s="273"/>
      <c r="F3" s="273"/>
      <c r="G3" s="273"/>
      <c r="H3" s="273"/>
      <c r="I3" s="273"/>
      <c r="J3" s="274"/>
      <c r="K3" s="7"/>
    </row>
    <row r="4" spans="1:11" x14ac:dyDescent="0.25">
      <c r="A4" s="7"/>
      <c r="B4" s="262" t="s">
        <v>4</v>
      </c>
      <c r="C4" s="263"/>
      <c r="D4" s="262" t="s">
        <v>5</v>
      </c>
      <c r="E4" s="264"/>
      <c r="F4" s="5"/>
      <c r="G4" s="265" t="s">
        <v>8</v>
      </c>
      <c r="H4" s="266"/>
      <c r="I4" s="265" t="s">
        <v>9</v>
      </c>
      <c r="J4" s="267"/>
      <c r="K4" s="7"/>
    </row>
    <row r="5" spans="1:11" x14ac:dyDescent="0.25">
      <c r="A5" s="6"/>
      <c r="B5" s="6" t="s">
        <v>6</v>
      </c>
      <c r="C5" s="3" t="s">
        <v>7</v>
      </c>
      <c r="D5" s="6" t="s">
        <v>6</v>
      </c>
      <c r="E5" s="3" t="s">
        <v>7</v>
      </c>
      <c r="F5" s="6"/>
      <c r="G5" s="6" t="s">
        <v>6</v>
      </c>
      <c r="H5" s="3" t="s">
        <v>7</v>
      </c>
      <c r="I5" s="6" t="s">
        <v>6</v>
      </c>
      <c r="J5" s="10" t="s">
        <v>10</v>
      </c>
      <c r="K5" s="7"/>
    </row>
    <row r="6" spans="1:11" x14ac:dyDescent="0.25">
      <c r="A6" s="7" t="s">
        <v>11</v>
      </c>
      <c r="B6" s="7"/>
      <c r="C6" s="9"/>
      <c r="D6" s="7"/>
      <c r="E6" s="9"/>
      <c r="F6" s="7" t="s">
        <v>68</v>
      </c>
      <c r="G6" s="7">
        <v>36885</v>
      </c>
      <c r="H6" s="9">
        <v>1124</v>
      </c>
      <c r="I6" s="7">
        <v>11255</v>
      </c>
      <c r="J6" s="11">
        <v>548</v>
      </c>
      <c r="K6" s="7"/>
    </row>
    <row r="7" spans="1:11" x14ac:dyDescent="0.25">
      <c r="A7" s="7" t="s">
        <v>12</v>
      </c>
      <c r="B7" s="7">
        <v>9926</v>
      </c>
      <c r="C7" s="9">
        <v>57</v>
      </c>
      <c r="D7" s="7">
        <v>4470</v>
      </c>
      <c r="E7" s="13">
        <v>13</v>
      </c>
      <c r="F7" s="7"/>
      <c r="G7" s="7"/>
      <c r="H7" s="9"/>
      <c r="I7" s="7"/>
      <c r="J7" s="11"/>
      <c r="K7" s="7"/>
    </row>
    <row r="8" spans="1:11" x14ac:dyDescent="0.25">
      <c r="A8" s="7" t="s">
        <v>13</v>
      </c>
      <c r="B8" s="7">
        <v>11746</v>
      </c>
      <c r="C8" s="9">
        <v>97</v>
      </c>
      <c r="D8" s="7">
        <v>1750</v>
      </c>
      <c r="E8" s="13">
        <v>20</v>
      </c>
      <c r="F8" s="7" t="s">
        <v>69</v>
      </c>
      <c r="G8" s="7"/>
      <c r="H8" s="9"/>
      <c r="I8" s="7"/>
      <c r="J8" s="11"/>
      <c r="K8" s="7"/>
    </row>
    <row r="9" spans="1:11" x14ac:dyDescent="0.25">
      <c r="A9" s="7" t="s">
        <v>14</v>
      </c>
      <c r="B9" s="7">
        <v>1272</v>
      </c>
      <c r="C9" s="9">
        <v>6</v>
      </c>
      <c r="D9" s="7">
        <v>15</v>
      </c>
      <c r="E9" s="13">
        <v>0</v>
      </c>
      <c r="F9" s="7" t="s">
        <v>70</v>
      </c>
      <c r="G9" s="7">
        <v>3594</v>
      </c>
      <c r="H9" s="13">
        <v>19</v>
      </c>
      <c r="I9" s="7">
        <v>40012</v>
      </c>
      <c r="J9" s="11">
        <v>1310</v>
      </c>
      <c r="K9" s="7"/>
    </row>
    <row r="10" spans="1:11" x14ac:dyDescent="0.25">
      <c r="A10" s="7" t="s">
        <v>15</v>
      </c>
      <c r="B10" s="7">
        <v>263</v>
      </c>
      <c r="C10" s="13">
        <v>9</v>
      </c>
      <c r="D10" s="7">
        <v>92</v>
      </c>
      <c r="E10" s="13">
        <v>3</v>
      </c>
      <c r="F10" s="7" t="s">
        <v>71</v>
      </c>
      <c r="G10" s="7">
        <v>158</v>
      </c>
      <c r="H10" s="13">
        <v>1</v>
      </c>
      <c r="I10" s="7">
        <v>45</v>
      </c>
      <c r="J10" s="11">
        <v>17</v>
      </c>
      <c r="K10" s="7"/>
    </row>
    <row r="11" spans="1:11" x14ac:dyDescent="0.25">
      <c r="A11" s="7"/>
      <c r="B11" s="7"/>
      <c r="C11" s="9"/>
      <c r="D11" s="7"/>
      <c r="E11" s="9"/>
      <c r="F11" s="7" t="s">
        <v>72</v>
      </c>
      <c r="G11" s="7">
        <v>8</v>
      </c>
      <c r="H11" s="13">
        <v>279</v>
      </c>
      <c r="I11" s="7">
        <v>28</v>
      </c>
      <c r="J11" s="11">
        <v>2177</v>
      </c>
      <c r="K11" s="7"/>
    </row>
    <row r="12" spans="1:11" x14ac:dyDescent="0.25">
      <c r="A12" s="7" t="s">
        <v>16</v>
      </c>
      <c r="B12" s="7"/>
      <c r="C12" s="9"/>
      <c r="D12" s="7"/>
      <c r="E12" s="9"/>
      <c r="F12" s="7" t="s">
        <v>73</v>
      </c>
      <c r="G12" s="7">
        <v>2422</v>
      </c>
      <c r="H12" s="13">
        <v>100</v>
      </c>
      <c r="I12" s="7">
        <v>18627</v>
      </c>
      <c r="J12" s="11">
        <v>520</v>
      </c>
      <c r="K12" s="7"/>
    </row>
    <row r="13" spans="1:11" x14ac:dyDescent="0.25">
      <c r="A13" s="7" t="s">
        <v>17</v>
      </c>
      <c r="B13" s="7">
        <v>64</v>
      </c>
      <c r="C13" s="13">
        <v>0</v>
      </c>
      <c r="D13" s="7">
        <v>0</v>
      </c>
      <c r="E13" s="9">
        <v>0</v>
      </c>
      <c r="F13" s="7"/>
      <c r="G13" s="7"/>
      <c r="H13" s="9"/>
      <c r="I13" s="7"/>
      <c r="J13" s="11"/>
      <c r="K13" s="7"/>
    </row>
    <row r="14" spans="1:11" x14ac:dyDescent="0.25">
      <c r="A14" s="7" t="s">
        <v>18</v>
      </c>
      <c r="B14" s="7">
        <v>33</v>
      </c>
      <c r="C14" s="9">
        <v>37</v>
      </c>
      <c r="D14" s="7">
        <v>1</v>
      </c>
      <c r="E14" s="13">
        <v>3</v>
      </c>
      <c r="F14" s="7" t="s">
        <v>74</v>
      </c>
      <c r="G14" s="7">
        <v>1000</v>
      </c>
      <c r="H14" s="13">
        <v>1946</v>
      </c>
      <c r="I14" s="7">
        <v>5133</v>
      </c>
      <c r="J14" s="11">
        <v>22413</v>
      </c>
      <c r="K14" s="7"/>
    </row>
    <row r="15" spans="1:11" x14ac:dyDescent="0.25">
      <c r="A15" s="7" t="s">
        <v>19</v>
      </c>
      <c r="B15" s="7">
        <v>29</v>
      </c>
      <c r="C15" s="13">
        <v>0</v>
      </c>
      <c r="D15" s="7">
        <v>1</v>
      </c>
      <c r="E15" s="13">
        <v>0</v>
      </c>
      <c r="F15" s="7"/>
      <c r="G15" s="7"/>
      <c r="H15" s="9"/>
      <c r="I15" s="7"/>
      <c r="J15" s="11"/>
      <c r="K15" s="7"/>
    </row>
    <row r="16" spans="1:11" x14ac:dyDescent="0.25">
      <c r="A16" s="7" t="s">
        <v>20</v>
      </c>
      <c r="B16" s="7">
        <v>252</v>
      </c>
      <c r="C16" s="9">
        <v>3</v>
      </c>
      <c r="D16" s="7">
        <v>126</v>
      </c>
      <c r="E16" s="13">
        <v>0</v>
      </c>
      <c r="F16" s="7" t="s">
        <v>75</v>
      </c>
      <c r="G16" s="7"/>
      <c r="H16" s="9"/>
      <c r="I16" s="7"/>
      <c r="J16" s="11"/>
      <c r="K16" s="7"/>
    </row>
    <row r="17" spans="1:11" x14ac:dyDescent="0.25">
      <c r="A17" s="7" t="s">
        <v>21</v>
      </c>
      <c r="B17" s="7">
        <v>149</v>
      </c>
      <c r="C17" s="9">
        <v>5</v>
      </c>
      <c r="D17" s="7">
        <v>26</v>
      </c>
      <c r="E17" s="13">
        <v>3</v>
      </c>
      <c r="F17" s="7" t="s">
        <v>76</v>
      </c>
      <c r="G17" s="7">
        <v>8</v>
      </c>
      <c r="H17" s="13">
        <v>0</v>
      </c>
      <c r="I17" s="7">
        <v>0</v>
      </c>
      <c r="J17" s="11">
        <v>0</v>
      </c>
      <c r="K17" s="7"/>
    </row>
    <row r="18" spans="1:11" x14ac:dyDescent="0.25">
      <c r="A18" s="7" t="s">
        <v>100</v>
      </c>
      <c r="B18" s="7">
        <v>549</v>
      </c>
      <c r="C18" s="13">
        <v>1</v>
      </c>
      <c r="D18" s="7">
        <v>510</v>
      </c>
      <c r="E18" s="13">
        <v>1</v>
      </c>
      <c r="F18" s="7" t="s">
        <v>77</v>
      </c>
      <c r="G18" s="7">
        <v>118</v>
      </c>
      <c r="H18" s="13">
        <v>0</v>
      </c>
      <c r="I18" s="7">
        <v>0</v>
      </c>
      <c r="J18" s="11">
        <v>0</v>
      </c>
      <c r="K18" s="7"/>
    </row>
    <row r="19" spans="1:11" x14ac:dyDescent="0.25">
      <c r="A19" s="7" t="s">
        <v>22</v>
      </c>
      <c r="B19" s="7">
        <v>42</v>
      </c>
      <c r="C19" s="13">
        <v>0</v>
      </c>
      <c r="D19" s="7">
        <v>4</v>
      </c>
      <c r="E19" s="13">
        <v>0</v>
      </c>
      <c r="F19" s="7" t="s">
        <v>103</v>
      </c>
      <c r="G19" s="7">
        <v>13</v>
      </c>
      <c r="H19" s="13">
        <v>0</v>
      </c>
      <c r="I19" s="7">
        <v>0</v>
      </c>
      <c r="J19" s="11">
        <v>0</v>
      </c>
      <c r="K19" s="7"/>
    </row>
    <row r="20" spans="1:11" x14ac:dyDescent="0.25">
      <c r="A20" s="7" t="s">
        <v>23</v>
      </c>
      <c r="B20" s="7">
        <v>94</v>
      </c>
      <c r="C20" s="13">
        <v>0</v>
      </c>
      <c r="D20" s="7">
        <v>10</v>
      </c>
      <c r="E20" s="9">
        <v>4</v>
      </c>
      <c r="F20" s="7" t="s">
        <v>78</v>
      </c>
      <c r="G20" s="7">
        <v>195</v>
      </c>
      <c r="H20" s="13">
        <v>0</v>
      </c>
      <c r="I20" s="7">
        <v>2</v>
      </c>
      <c r="J20" s="11">
        <v>0</v>
      </c>
      <c r="K20" s="7"/>
    </row>
    <row r="21" spans="1:11" x14ac:dyDescent="0.25">
      <c r="A21" s="7" t="s">
        <v>24</v>
      </c>
      <c r="B21" s="7">
        <v>338</v>
      </c>
      <c r="C21" s="13">
        <v>35</v>
      </c>
      <c r="D21" s="7">
        <v>11</v>
      </c>
      <c r="E21" s="13">
        <v>2</v>
      </c>
      <c r="F21" s="7" t="s">
        <v>79</v>
      </c>
      <c r="G21" s="7">
        <v>13</v>
      </c>
      <c r="H21" s="13">
        <v>0</v>
      </c>
      <c r="I21" s="7">
        <v>1</v>
      </c>
      <c r="J21" s="11">
        <v>0</v>
      </c>
      <c r="K21" s="7"/>
    </row>
    <row r="22" spans="1:11" x14ac:dyDescent="0.25">
      <c r="A22" s="7" t="s">
        <v>25</v>
      </c>
      <c r="B22" s="7">
        <v>4</v>
      </c>
      <c r="C22" s="13">
        <v>0</v>
      </c>
      <c r="D22" s="7">
        <v>0</v>
      </c>
      <c r="E22" s="13">
        <v>0</v>
      </c>
      <c r="F22" s="7" t="s">
        <v>80</v>
      </c>
      <c r="G22" s="7">
        <v>305</v>
      </c>
      <c r="H22" s="13">
        <v>0</v>
      </c>
      <c r="I22" s="7">
        <v>6</v>
      </c>
      <c r="J22" s="11">
        <v>0</v>
      </c>
      <c r="K22" s="7"/>
    </row>
    <row r="23" spans="1:11" x14ac:dyDescent="0.25">
      <c r="A23" s="7" t="s">
        <v>26</v>
      </c>
      <c r="B23" s="7">
        <v>9</v>
      </c>
      <c r="C23" s="13">
        <v>0</v>
      </c>
      <c r="D23" s="7">
        <v>2</v>
      </c>
      <c r="E23" s="13">
        <v>0</v>
      </c>
      <c r="F23" s="7" t="s">
        <v>104</v>
      </c>
      <c r="G23" s="7">
        <v>137</v>
      </c>
      <c r="H23" s="13">
        <v>0</v>
      </c>
      <c r="I23" s="7">
        <v>2</v>
      </c>
      <c r="J23" s="11">
        <v>0</v>
      </c>
      <c r="K23" s="7"/>
    </row>
    <row r="24" spans="1:11" x14ac:dyDescent="0.25">
      <c r="A24" s="7" t="s">
        <v>27</v>
      </c>
      <c r="B24" s="7">
        <v>3947</v>
      </c>
      <c r="C24" s="9">
        <v>209</v>
      </c>
      <c r="D24" s="7">
        <v>189</v>
      </c>
      <c r="E24" s="13">
        <v>41</v>
      </c>
      <c r="F24" s="7" t="s">
        <v>81</v>
      </c>
      <c r="G24" s="7">
        <v>143</v>
      </c>
      <c r="H24" s="13">
        <v>0</v>
      </c>
      <c r="I24" s="7">
        <v>5</v>
      </c>
      <c r="J24" s="11">
        <v>0</v>
      </c>
      <c r="K24" s="7"/>
    </row>
    <row r="25" spans="1:11" x14ac:dyDescent="0.25">
      <c r="A25" s="7" t="s">
        <v>28</v>
      </c>
      <c r="B25" s="7">
        <v>148</v>
      </c>
      <c r="C25" s="13">
        <v>0</v>
      </c>
      <c r="D25" s="7">
        <v>5</v>
      </c>
      <c r="E25" s="13">
        <v>0</v>
      </c>
      <c r="F25" s="7" t="s">
        <v>82</v>
      </c>
      <c r="G25" s="7">
        <v>0</v>
      </c>
      <c r="H25" s="9">
        <v>46</v>
      </c>
      <c r="I25" s="7">
        <v>0</v>
      </c>
      <c r="J25" s="11">
        <v>77</v>
      </c>
      <c r="K25" s="7"/>
    </row>
    <row r="26" spans="1:11" x14ac:dyDescent="0.25">
      <c r="A26" s="7"/>
      <c r="B26" s="7"/>
      <c r="C26" s="9"/>
      <c r="D26" s="7"/>
      <c r="E26" s="9"/>
      <c r="F26" s="7" t="s">
        <v>83</v>
      </c>
      <c r="G26" s="7">
        <v>3</v>
      </c>
      <c r="H26" s="13">
        <v>0</v>
      </c>
      <c r="I26" s="7">
        <v>19</v>
      </c>
      <c r="J26" s="11">
        <v>0</v>
      </c>
      <c r="K26" s="7"/>
    </row>
    <row r="27" spans="1:11" x14ac:dyDescent="0.25">
      <c r="A27" s="7" t="s">
        <v>29</v>
      </c>
      <c r="B27" s="7"/>
      <c r="C27" s="9"/>
      <c r="D27" s="7"/>
      <c r="E27" s="9"/>
      <c r="F27" s="7" t="s">
        <v>84</v>
      </c>
      <c r="G27" s="7">
        <v>58</v>
      </c>
      <c r="H27" s="13">
        <v>0</v>
      </c>
      <c r="I27" s="7">
        <v>0</v>
      </c>
      <c r="J27" s="11">
        <v>0</v>
      </c>
      <c r="K27" s="7"/>
    </row>
    <row r="28" spans="1:11" x14ac:dyDescent="0.25">
      <c r="A28" s="7" t="s">
        <v>30</v>
      </c>
      <c r="B28" s="7">
        <v>274</v>
      </c>
      <c r="C28" s="9">
        <v>4</v>
      </c>
      <c r="D28" s="7">
        <v>84</v>
      </c>
      <c r="E28" s="13">
        <v>2</v>
      </c>
      <c r="F28" s="7" t="s">
        <v>85</v>
      </c>
      <c r="G28" s="7">
        <v>806</v>
      </c>
      <c r="H28" s="13">
        <v>463</v>
      </c>
      <c r="I28" s="7">
        <v>102</v>
      </c>
      <c r="J28" s="11">
        <v>39</v>
      </c>
      <c r="K28" s="7"/>
    </row>
    <row r="29" spans="1:11" x14ac:dyDescent="0.25">
      <c r="A29" s="7" t="s">
        <v>31</v>
      </c>
      <c r="B29" s="7">
        <v>14</v>
      </c>
      <c r="C29" s="9">
        <v>2</v>
      </c>
      <c r="D29" s="7">
        <v>32</v>
      </c>
      <c r="E29" s="13">
        <v>0</v>
      </c>
      <c r="F29" s="7" t="s">
        <v>86</v>
      </c>
      <c r="G29" s="7">
        <v>2</v>
      </c>
      <c r="H29" s="13">
        <v>0</v>
      </c>
      <c r="I29" s="7">
        <v>5</v>
      </c>
      <c r="J29" s="11">
        <v>0</v>
      </c>
      <c r="K29" s="7"/>
    </row>
    <row r="30" spans="1:11" x14ac:dyDescent="0.25">
      <c r="A30" s="7" t="s">
        <v>32</v>
      </c>
      <c r="B30" s="7">
        <v>798</v>
      </c>
      <c r="C30" s="13">
        <v>0</v>
      </c>
      <c r="D30" s="7">
        <v>245</v>
      </c>
      <c r="E30" s="13">
        <v>0</v>
      </c>
      <c r="F30" s="7" t="s">
        <v>87</v>
      </c>
      <c r="G30" s="7">
        <v>108</v>
      </c>
      <c r="H30" s="9">
        <v>2</v>
      </c>
      <c r="I30" s="7">
        <v>0</v>
      </c>
      <c r="J30" s="11">
        <v>0</v>
      </c>
      <c r="K30" s="7"/>
    </row>
    <row r="31" spans="1:11" x14ac:dyDescent="0.25">
      <c r="A31" s="7" t="s">
        <v>33</v>
      </c>
      <c r="B31" s="7">
        <v>32</v>
      </c>
      <c r="C31" s="13">
        <v>0</v>
      </c>
      <c r="D31" s="7">
        <v>15</v>
      </c>
      <c r="E31" s="13">
        <v>0</v>
      </c>
      <c r="F31" s="7"/>
      <c r="G31" s="7"/>
      <c r="H31" s="9"/>
      <c r="I31" s="7"/>
      <c r="J31" s="11"/>
      <c r="K31" s="7"/>
    </row>
    <row r="32" spans="1:11" x14ac:dyDescent="0.25">
      <c r="A32" s="7" t="s">
        <v>34</v>
      </c>
      <c r="B32" s="7">
        <v>741</v>
      </c>
      <c r="C32" s="9">
        <v>1</v>
      </c>
      <c r="D32" s="7">
        <v>441</v>
      </c>
      <c r="E32" s="13">
        <v>2</v>
      </c>
      <c r="F32" s="7" t="s">
        <v>88</v>
      </c>
      <c r="G32" s="7">
        <v>169</v>
      </c>
      <c r="H32" s="13">
        <v>22</v>
      </c>
      <c r="I32" s="7">
        <v>3</v>
      </c>
      <c r="J32" s="11">
        <v>0</v>
      </c>
      <c r="K32" s="7"/>
    </row>
    <row r="33" spans="1:11" x14ac:dyDescent="0.25">
      <c r="A33" s="7" t="s">
        <v>35</v>
      </c>
      <c r="B33" s="7">
        <v>29</v>
      </c>
      <c r="C33" s="13">
        <v>0</v>
      </c>
      <c r="D33" s="7">
        <v>4</v>
      </c>
      <c r="E33" s="13">
        <v>0</v>
      </c>
      <c r="F33" s="7"/>
      <c r="G33" s="7"/>
      <c r="H33" s="9"/>
      <c r="I33" s="7"/>
      <c r="J33" s="11"/>
      <c r="K33" s="7"/>
    </row>
    <row r="34" spans="1:11" x14ac:dyDescent="0.25">
      <c r="A34" s="7" t="s">
        <v>36</v>
      </c>
      <c r="B34" s="7">
        <v>70</v>
      </c>
      <c r="C34" s="13">
        <v>0</v>
      </c>
      <c r="D34" s="7">
        <v>108</v>
      </c>
      <c r="E34" s="9">
        <v>2</v>
      </c>
      <c r="F34" s="7" t="s">
        <v>89</v>
      </c>
      <c r="G34" s="7">
        <v>715</v>
      </c>
      <c r="H34" s="13">
        <v>0</v>
      </c>
      <c r="I34" s="7">
        <v>8</v>
      </c>
      <c r="J34" s="11">
        <v>0</v>
      </c>
      <c r="K34" s="7"/>
    </row>
    <row r="35" spans="1:11" x14ac:dyDescent="0.25">
      <c r="A35" s="7" t="s">
        <v>37</v>
      </c>
      <c r="B35" s="7">
        <v>1161</v>
      </c>
      <c r="C35" s="13">
        <v>0</v>
      </c>
      <c r="D35" s="7">
        <v>987</v>
      </c>
      <c r="E35" s="13">
        <v>0</v>
      </c>
      <c r="F35" s="7"/>
      <c r="G35" s="7"/>
      <c r="H35" s="9"/>
      <c r="I35" s="7"/>
      <c r="J35" s="11"/>
      <c r="K35" s="7"/>
    </row>
    <row r="36" spans="1:11" x14ac:dyDescent="0.25">
      <c r="A36" s="7" t="s">
        <v>38</v>
      </c>
      <c r="B36" s="7">
        <v>1605</v>
      </c>
      <c r="C36" s="13">
        <v>0</v>
      </c>
      <c r="D36" s="7">
        <v>399</v>
      </c>
      <c r="E36" s="13">
        <v>0</v>
      </c>
      <c r="F36" s="7" t="s">
        <v>90</v>
      </c>
      <c r="G36" s="7">
        <v>36</v>
      </c>
      <c r="H36" s="13">
        <v>0</v>
      </c>
      <c r="I36" s="7">
        <v>2</v>
      </c>
      <c r="J36" s="11">
        <v>0</v>
      </c>
      <c r="K36" s="7"/>
    </row>
    <row r="37" spans="1:11" x14ac:dyDescent="0.25">
      <c r="A37" s="7" t="s">
        <v>39</v>
      </c>
      <c r="B37" s="7">
        <v>15</v>
      </c>
      <c r="C37" s="13">
        <v>0</v>
      </c>
      <c r="D37" s="7">
        <v>5</v>
      </c>
      <c r="E37" s="13">
        <v>0</v>
      </c>
      <c r="F37" s="7"/>
      <c r="G37" s="7"/>
      <c r="H37" s="9"/>
      <c r="I37" s="7"/>
      <c r="J37" s="11"/>
      <c r="K37" s="7"/>
    </row>
    <row r="38" spans="1:11" x14ac:dyDescent="0.25">
      <c r="A38" s="7" t="s">
        <v>40</v>
      </c>
      <c r="B38" s="7">
        <v>112</v>
      </c>
      <c r="C38" s="13">
        <v>0</v>
      </c>
      <c r="D38" s="7">
        <v>11</v>
      </c>
      <c r="E38" s="13">
        <v>0</v>
      </c>
      <c r="F38" s="7" t="s">
        <v>91</v>
      </c>
      <c r="G38" s="7">
        <v>674</v>
      </c>
      <c r="H38" s="13">
        <v>0</v>
      </c>
      <c r="I38" s="7">
        <v>721</v>
      </c>
      <c r="J38" s="11">
        <v>0</v>
      </c>
      <c r="K38" s="7"/>
    </row>
    <row r="39" spans="1:11" x14ac:dyDescent="0.25">
      <c r="A39" s="7" t="s">
        <v>41</v>
      </c>
      <c r="B39" s="7">
        <v>781</v>
      </c>
      <c r="C39" s="13">
        <v>0</v>
      </c>
      <c r="D39" s="7">
        <v>224</v>
      </c>
      <c r="E39" s="13">
        <v>0</v>
      </c>
      <c r="F39" s="7"/>
      <c r="G39" s="7"/>
      <c r="H39" s="9"/>
      <c r="I39" s="7"/>
      <c r="J39" s="11"/>
      <c r="K39" s="7"/>
    </row>
    <row r="40" spans="1:11" x14ac:dyDescent="0.25">
      <c r="A40" s="7" t="s">
        <v>42</v>
      </c>
      <c r="B40" s="7">
        <v>95</v>
      </c>
      <c r="C40" s="13">
        <v>0</v>
      </c>
      <c r="D40" s="7">
        <v>84</v>
      </c>
      <c r="E40" s="13">
        <v>0</v>
      </c>
      <c r="F40" s="7" t="s">
        <v>92</v>
      </c>
      <c r="G40" s="7">
        <v>1142</v>
      </c>
      <c r="H40" s="9">
        <v>12</v>
      </c>
      <c r="I40" s="7">
        <v>136</v>
      </c>
      <c r="J40" s="11">
        <v>0</v>
      </c>
      <c r="K40" s="7"/>
    </row>
    <row r="41" spans="1:11" x14ac:dyDescent="0.25">
      <c r="A41" s="7" t="s">
        <v>43</v>
      </c>
      <c r="B41" s="7">
        <v>27</v>
      </c>
      <c r="C41" s="13">
        <v>0</v>
      </c>
      <c r="D41" s="7">
        <v>12</v>
      </c>
      <c r="E41" s="13">
        <v>0</v>
      </c>
      <c r="F41" s="7"/>
      <c r="G41" s="7"/>
      <c r="H41" s="9"/>
      <c r="I41" s="7"/>
      <c r="J41" s="11"/>
      <c r="K41" s="7"/>
    </row>
    <row r="42" spans="1:11" x14ac:dyDescent="0.25">
      <c r="A42" s="7" t="s">
        <v>44</v>
      </c>
      <c r="B42" s="7">
        <v>7</v>
      </c>
      <c r="C42" s="9">
        <v>638</v>
      </c>
      <c r="D42" s="7">
        <v>6</v>
      </c>
      <c r="E42" s="13">
        <v>425</v>
      </c>
      <c r="F42" s="7" t="s">
        <v>93</v>
      </c>
      <c r="G42" s="7">
        <v>0</v>
      </c>
      <c r="H42" s="9">
        <v>40036</v>
      </c>
      <c r="I42" s="7">
        <v>0</v>
      </c>
      <c r="J42" s="11">
        <v>68016</v>
      </c>
      <c r="K42" s="7"/>
    </row>
    <row r="43" spans="1:11" x14ac:dyDescent="0.25">
      <c r="A43" s="7" t="s">
        <v>45</v>
      </c>
      <c r="B43" s="7">
        <v>13</v>
      </c>
      <c r="C43" s="9">
        <v>4</v>
      </c>
      <c r="D43" s="7">
        <v>5</v>
      </c>
      <c r="E43" s="13">
        <v>3</v>
      </c>
      <c r="F43" s="7"/>
      <c r="G43" s="7"/>
      <c r="H43" s="9"/>
      <c r="I43" s="7"/>
      <c r="J43" s="11"/>
      <c r="K43" s="7"/>
    </row>
    <row r="44" spans="1:11" x14ac:dyDescent="0.25">
      <c r="A44" s="7" t="s">
        <v>46</v>
      </c>
      <c r="B44" s="7">
        <v>28</v>
      </c>
      <c r="C44" s="13">
        <v>0</v>
      </c>
      <c r="D44" s="7">
        <v>10</v>
      </c>
      <c r="E44" s="13">
        <v>0</v>
      </c>
      <c r="F44" s="7" t="s">
        <v>94</v>
      </c>
      <c r="G44" s="7">
        <v>8915</v>
      </c>
      <c r="H44" s="9">
        <v>8397</v>
      </c>
      <c r="I44" s="7">
        <v>6549</v>
      </c>
      <c r="J44" s="11">
        <v>7122</v>
      </c>
      <c r="K44" s="7"/>
    </row>
    <row r="45" spans="1:11" x14ac:dyDescent="0.25">
      <c r="A45" s="7" t="s">
        <v>47</v>
      </c>
      <c r="B45" s="7">
        <v>43</v>
      </c>
      <c r="C45" s="13">
        <v>0</v>
      </c>
      <c r="D45" s="7">
        <v>1</v>
      </c>
      <c r="E45" s="13">
        <v>0</v>
      </c>
      <c r="F45" s="7"/>
      <c r="G45" s="7"/>
      <c r="H45" s="9"/>
      <c r="I45" s="7"/>
      <c r="J45" s="11"/>
      <c r="K45" s="7"/>
    </row>
    <row r="46" spans="1:11" x14ac:dyDescent="0.25">
      <c r="A46" s="7" t="s">
        <v>48</v>
      </c>
      <c r="B46" s="7">
        <v>13</v>
      </c>
      <c r="C46" s="13">
        <v>0</v>
      </c>
      <c r="D46" s="7">
        <v>7</v>
      </c>
      <c r="E46" s="13">
        <v>0</v>
      </c>
      <c r="F46" s="7" t="s">
        <v>95</v>
      </c>
      <c r="G46" s="7">
        <v>33462</v>
      </c>
      <c r="H46" s="9">
        <v>33689</v>
      </c>
      <c r="I46" s="7">
        <v>50988</v>
      </c>
      <c r="J46" s="11">
        <v>51893</v>
      </c>
      <c r="K46" s="7"/>
    </row>
    <row r="47" spans="1:11" x14ac:dyDescent="0.25">
      <c r="A47" s="7" t="s">
        <v>49</v>
      </c>
      <c r="B47" s="7">
        <v>15</v>
      </c>
      <c r="C47" s="13">
        <v>0</v>
      </c>
      <c r="D47" s="7">
        <v>12</v>
      </c>
      <c r="E47" s="9">
        <v>1</v>
      </c>
      <c r="F47" s="7"/>
      <c r="G47" s="7"/>
      <c r="H47" s="9"/>
      <c r="I47" s="7"/>
      <c r="J47" s="11"/>
      <c r="K47" s="7"/>
    </row>
    <row r="48" spans="1:11" x14ac:dyDescent="0.25">
      <c r="A48" s="7" t="s">
        <v>50</v>
      </c>
      <c r="B48" s="7">
        <v>40</v>
      </c>
      <c r="C48" s="13">
        <v>0</v>
      </c>
      <c r="D48" s="7">
        <v>18</v>
      </c>
      <c r="E48" s="13">
        <v>0</v>
      </c>
      <c r="F48" s="7" t="s">
        <v>96</v>
      </c>
      <c r="G48" s="7">
        <v>115</v>
      </c>
      <c r="H48" s="13">
        <v>0</v>
      </c>
      <c r="I48" s="7">
        <v>539</v>
      </c>
      <c r="J48" s="11">
        <v>0</v>
      </c>
      <c r="K48" s="7"/>
    </row>
    <row r="49" spans="1:11" x14ac:dyDescent="0.25">
      <c r="A49" s="7" t="s">
        <v>51</v>
      </c>
      <c r="B49" s="7">
        <v>123</v>
      </c>
      <c r="C49" s="13">
        <v>0</v>
      </c>
      <c r="D49" s="7">
        <v>26</v>
      </c>
      <c r="E49" s="13">
        <v>0</v>
      </c>
      <c r="F49" s="7"/>
      <c r="G49" s="7"/>
      <c r="H49" s="9"/>
      <c r="I49" s="7"/>
      <c r="J49" s="11"/>
      <c r="K49" s="7"/>
    </row>
    <row r="50" spans="1:11" x14ac:dyDescent="0.25">
      <c r="A50" s="7" t="s">
        <v>52</v>
      </c>
      <c r="B50" s="7">
        <v>116</v>
      </c>
      <c r="C50" s="13">
        <v>0</v>
      </c>
      <c r="D50" s="7">
        <v>192</v>
      </c>
      <c r="E50" s="13">
        <v>0</v>
      </c>
      <c r="F50" s="7" t="s">
        <v>97</v>
      </c>
      <c r="G50" s="7">
        <v>0</v>
      </c>
      <c r="H50" s="13">
        <v>0</v>
      </c>
      <c r="I50" s="7">
        <v>1</v>
      </c>
      <c r="J50" s="11">
        <v>0</v>
      </c>
      <c r="K50" s="7"/>
    </row>
    <row r="51" spans="1:11" x14ac:dyDescent="0.25">
      <c r="A51" s="7" t="s">
        <v>53</v>
      </c>
      <c r="B51" s="7">
        <v>220</v>
      </c>
      <c r="C51" s="13">
        <v>0</v>
      </c>
      <c r="D51" s="7">
        <v>176</v>
      </c>
      <c r="E51" s="13">
        <v>0</v>
      </c>
      <c r="F51" s="7"/>
      <c r="G51" s="7"/>
      <c r="H51" s="9"/>
      <c r="I51" s="7"/>
      <c r="J51" s="11"/>
      <c r="K51" s="7"/>
    </row>
    <row r="52" spans="1:11" x14ac:dyDescent="0.25">
      <c r="A52" s="7" t="s">
        <v>54</v>
      </c>
      <c r="B52" s="7">
        <v>31</v>
      </c>
      <c r="C52" s="9">
        <v>10</v>
      </c>
      <c r="D52" s="7">
        <v>4</v>
      </c>
      <c r="E52" s="13">
        <v>1</v>
      </c>
      <c r="F52" s="7" t="s">
        <v>98</v>
      </c>
      <c r="G52" s="7">
        <v>4206</v>
      </c>
      <c r="H52" s="13">
        <v>46</v>
      </c>
      <c r="I52" s="7">
        <v>26161</v>
      </c>
      <c r="J52" s="11">
        <v>307</v>
      </c>
      <c r="K52" s="7"/>
    </row>
    <row r="53" spans="1:11" x14ac:dyDescent="0.25">
      <c r="A53" s="7" t="s">
        <v>55</v>
      </c>
      <c r="B53" s="7">
        <v>22</v>
      </c>
      <c r="C53" s="13">
        <v>0</v>
      </c>
      <c r="D53" s="7">
        <v>0</v>
      </c>
      <c r="E53" s="13">
        <v>0</v>
      </c>
      <c r="F53" s="7"/>
      <c r="G53" s="7"/>
      <c r="H53" s="9"/>
      <c r="I53" s="7"/>
      <c r="J53" s="11"/>
      <c r="K53" s="7"/>
    </row>
    <row r="54" spans="1:11" x14ac:dyDescent="0.25">
      <c r="A54" s="7" t="s">
        <v>56</v>
      </c>
      <c r="B54" s="7">
        <v>268</v>
      </c>
      <c r="C54" s="13">
        <v>0</v>
      </c>
      <c r="D54" s="7">
        <v>47</v>
      </c>
      <c r="E54" s="13">
        <v>0</v>
      </c>
      <c r="F54" s="7"/>
      <c r="G54" s="7"/>
      <c r="H54" s="9"/>
      <c r="I54" s="7"/>
      <c r="J54" s="11"/>
      <c r="K54" s="7"/>
    </row>
    <row r="55" spans="1:11" x14ac:dyDescent="0.25">
      <c r="A55" s="7" t="s">
        <v>57</v>
      </c>
      <c r="B55" s="7">
        <v>303</v>
      </c>
      <c r="C55" s="13">
        <v>0</v>
      </c>
      <c r="D55" s="7">
        <v>160</v>
      </c>
      <c r="E55" s="13">
        <v>0</v>
      </c>
      <c r="F55" s="7"/>
      <c r="G55" s="7"/>
      <c r="H55" s="9"/>
      <c r="I55" s="7"/>
      <c r="J55" s="11"/>
      <c r="K55" s="7"/>
    </row>
    <row r="56" spans="1:11" x14ac:dyDescent="0.25">
      <c r="A56" s="7" t="s">
        <v>58</v>
      </c>
      <c r="B56" s="7">
        <v>26</v>
      </c>
      <c r="C56" s="13">
        <v>0</v>
      </c>
      <c r="D56" s="7">
        <v>12</v>
      </c>
      <c r="E56" s="13">
        <v>0</v>
      </c>
      <c r="F56" s="7"/>
      <c r="G56" s="7"/>
      <c r="H56" s="9"/>
      <c r="I56" s="7"/>
      <c r="J56" s="11"/>
      <c r="K56" s="7"/>
    </row>
    <row r="57" spans="1:11" x14ac:dyDescent="0.25">
      <c r="A57" s="7" t="s">
        <v>59</v>
      </c>
      <c r="B57" s="7">
        <v>92</v>
      </c>
      <c r="C57" s="13">
        <v>0</v>
      </c>
      <c r="D57" s="7">
        <v>170</v>
      </c>
      <c r="E57" s="13">
        <v>0</v>
      </c>
      <c r="F57" s="7"/>
      <c r="G57" s="7"/>
      <c r="H57" s="9"/>
      <c r="I57" s="7"/>
      <c r="J57" s="11"/>
      <c r="K57" s="7"/>
    </row>
    <row r="58" spans="1:11" x14ac:dyDescent="0.25">
      <c r="A58" s="7" t="s">
        <v>60</v>
      </c>
      <c r="B58" s="7">
        <v>50</v>
      </c>
      <c r="C58" s="13">
        <v>0</v>
      </c>
      <c r="D58" s="7">
        <v>17</v>
      </c>
      <c r="E58" s="13">
        <v>0</v>
      </c>
      <c r="F58" s="7"/>
      <c r="G58" s="7"/>
      <c r="H58" s="9"/>
      <c r="I58" s="7"/>
      <c r="J58" s="11"/>
      <c r="K58" s="7"/>
    </row>
    <row r="59" spans="1:11" x14ac:dyDescent="0.25">
      <c r="A59" s="7" t="s">
        <v>61</v>
      </c>
      <c r="B59" s="7">
        <v>17</v>
      </c>
      <c r="C59" s="13">
        <v>0</v>
      </c>
      <c r="D59" s="7">
        <v>1</v>
      </c>
      <c r="E59" s="13">
        <v>0</v>
      </c>
      <c r="F59" s="7"/>
      <c r="G59" s="7"/>
      <c r="H59" s="9"/>
      <c r="I59" s="7"/>
      <c r="J59" s="11"/>
      <c r="K59" s="7"/>
    </row>
    <row r="60" spans="1:11" x14ac:dyDescent="0.25">
      <c r="A60" s="7" t="s">
        <v>62</v>
      </c>
      <c r="B60" s="7">
        <v>305</v>
      </c>
      <c r="C60" s="9">
        <v>4</v>
      </c>
      <c r="D60" s="7">
        <v>345</v>
      </c>
      <c r="E60" s="13">
        <v>12</v>
      </c>
      <c r="F60" s="7"/>
      <c r="G60" s="7"/>
      <c r="H60" s="9"/>
      <c r="I60" s="7"/>
      <c r="J60" s="11"/>
      <c r="K60" s="7"/>
    </row>
    <row r="61" spans="1:11" x14ac:dyDescent="0.25">
      <c r="A61" s="7" t="s">
        <v>63</v>
      </c>
      <c r="B61" s="7">
        <v>108</v>
      </c>
      <c r="C61" s="13">
        <v>0</v>
      </c>
      <c r="D61" s="7">
        <v>36</v>
      </c>
      <c r="E61" s="13">
        <v>0</v>
      </c>
      <c r="F61" s="7"/>
      <c r="G61" s="7"/>
      <c r="H61" s="9"/>
      <c r="I61" s="7"/>
      <c r="J61" s="11"/>
      <c r="K61" s="7"/>
    </row>
    <row r="62" spans="1:11" x14ac:dyDescent="0.25">
      <c r="A62" s="7" t="s">
        <v>101</v>
      </c>
      <c r="B62" s="7">
        <v>196</v>
      </c>
      <c r="C62" s="9">
        <v>1</v>
      </c>
      <c r="D62" s="7">
        <v>37</v>
      </c>
      <c r="E62" s="13">
        <v>0</v>
      </c>
      <c r="F62" s="7"/>
      <c r="G62" s="7"/>
      <c r="H62" s="9"/>
      <c r="I62" s="7"/>
      <c r="J62" s="11"/>
      <c r="K62" s="7"/>
    </row>
    <row r="63" spans="1:11" x14ac:dyDescent="0.25">
      <c r="A63" s="7" t="s">
        <v>64</v>
      </c>
      <c r="B63" s="7">
        <v>20</v>
      </c>
      <c r="C63" s="13">
        <v>0</v>
      </c>
      <c r="D63" s="7">
        <v>5</v>
      </c>
      <c r="E63" s="9">
        <v>4</v>
      </c>
      <c r="F63" s="7"/>
      <c r="G63" s="7"/>
      <c r="H63" s="9"/>
      <c r="I63" s="7"/>
      <c r="J63" s="11"/>
      <c r="K63" s="7"/>
    </row>
    <row r="64" spans="1:11" x14ac:dyDescent="0.25">
      <c r="A64" s="7" t="s">
        <v>65</v>
      </c>
      <c r="B64" s="7">
        <v>1</v>
      </c>
      <c r="C64" s="13">
        <v>0</v>
      </c>
      <c r="D64" s="7">
        <v>0</v>
      </c>
      <c r="E64" s="13">
        <v>0</v>
      </c>
      <c r="F64" s="7"/>
      <c r="G64" s="7"/>
      <c r="H64" s="9"/>
      <c r="I64" s="7"/>
      <c r="J64" s="11"/>
      <c r="K64" s="7"/>
    </row>
    <row r="65" spans="1:11" x14ac:dyDescent="0.25">
      <c r="A65" s="7" t="s">
        <v>66</v>
      </c>
      <c r="B65" s="7">
        <v>202</v>
      </c>
      <c r="C65" s="9">
        <v>1</v>
      </c>
      <c r="D65" s="7">
        <v>104</v>
      </c>
      <c r="E65" s="13">
        <v>2</v>
      </c>
      <c r="F65" s="7"/>
      <c r="G65" s="7"/>
      <c r="H65" s="9"/>
      <c r="I65" s="7"/>
      <c r="J65" s="11"/>
      <c r="K65" s="7"/>
    </row>
    <row r="66" spans="1:11" x14ac:dyDescent="0.25">
      <c r="A66" s="7" t="s">
        <v>67</v>
      </c>
      <c r="B66" s="7">
        <v>7</v>
      </c>
      <c r="C66" s="13">
        <v>0</v>
      </c>
      <c r="D66" s="7">
        <v>1</v>
      </c>
      <c r="E66" s="9">
        <v>4</v>
      </c>
      <c r="F66" s="7"/>
      <c r="G66" s="7"/>
      <c r="H66" s="9"/>
      <c r="I66" s="7"/>
      <c r="J66" s="11"/>
      <c r="K66" s="7"/>
    </row>
    <row r="67" spans="1:11" x14ac:dyDescent="0.25">
      <c r="A67" s="7"/>
      <c r="B67" s="7"/>
      <c r="C67" s="9"/>
      <c r="D67" s="7"/>
      <c r="E67" s="9"/>
      <c r="F67" s="7"/>
      <c r="G67" s="7"/>
      <c r="H67" s="9"/>
      <c r="I67" s="7"/>
      <c r="J67" s="11"/>
      <c r="K67" s="7"/>
    </row>
    <row r="68" spans="1:11" ht="15.75" thickBot="1" x14ac:dyDescent="0.3">
      <c r="A68" s="8" t="s">
        <v>102</v>
      </c>
      <c r="B68" s="8">
        <v>36885</v>
      </c>
      <c r="C68" s="4">
        <v>1124</v>
      </c>
      <c r="D68" s="8">
        <v>11255</v>
      </c>
      <c r="E68" s="4">
        <v>548</v>
      </c>
      <c r="F68" s="8" t="s">
        <v>99</v>
      </c>
      <c r="G68" s="8">
        <v>95410</v>
      </c>
      <c r="H68" s="4">
        <v>86182</v>
      </c>
      <c r="I68" s="8">
        <v>160350</v>
      </c>
      <c r="J68" s="12">
        <v>154439</v>
      </c>
      <c r="K68" s="7"/>
    </row>
    <row r="69" spans="1:11" ht="15.75" thickTop="1" x14ac:dyDescent="0.25"/>
  </sheetData>
  <mergeCells count="7">
    <mergeCell ref="B4:C4"/>
    <mergeCell ref="D4:E4"/>
    <mergeCell ref="G4:H4"/>
    <mergeCell ref="I4:J4"/>
    <mergeCell ref="A1:J1"/>
    <mergeCell ref="A2:J2"/>
    <mergeCell ref="A3:J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"/>
  <sheetViews>
    <sheetView zoomScale="80" zoomScaleNormal="80" workbookViewId="0">
      <selection activeCell="U25" sqref="U25"/>
    </sheetView>
  </sheetViews>
  <sheetFormatPr defaultRowHeight="15" x14ac:dyDescent="0.25"/>
  <cols>
    <col min="1" max="1" width="4" customWidth="1"/>
    <col min="2" max="2" width="5.7109375" customWidth="1"/>
    <col min="3" max="3" width="4.85546875" customWidth="1"/>
    <col min="4" max="4" width="60.7109375" customWidth="1"/>
    <col min="5" max="10" width="10.7109375" hidden="1" customWidth="1"/>
    <col min="11" max="14" width="10.7109375" customWidth="1"/>
    <col min="15" max="18" width="10.7109375" hidden="1" customWidth="1"/>
    <col min="21" max="21" width="26.140625" customWidth="1"/>
  </cols>
  <sheetData>
    <row r="1" spans="1:19" ht="15.75" thickBot="1" x14ac:dyDescent="0.3">
      <c r="A1" s="277" t="s">
        <v>222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</row>
    <row r="2" spans="1:19" ht="15.75" thickTop="1" x14ac:dyDescent="0.25">
      <c r="A2" s="279" t="s">
        <v>105</v>
      </c>
      <c r="B2" s="282" t="s">
        <v>106</v>
      </c>
      <c r="C2" s="282" t="s">
        <v>107</v>
      </c>
      <c r="D2" s="285" t="s">
        <v>108</v>
      </c>
      <c r="E2" s="269" t="s">
        <v>109</v>
      </c>
      <c r="F2" s="270"/>
      <c r="G2" s="270"/>
      <c r="H2" s="270"/>
      <c r="I2" s="270"/>
      <c r="J2" s="270"/>
      <c r="K2" s="269" t="s">
        <v>115</v>
      </c>
      <c r="L2" s="270"/>
      <c r="M2" s="270"/>
      <c r="N2" s="270"/>
      <c r="O2" s="269" t="s">
        <v>116</v>
      </c>
      <c r="P2" s="270"/>
      <c r="Q2" s="270"/>
      <c r="R2" s="271"/>
      <c r="S2" s="7"/>
    </row>
    <row r="3" spans="1:19" ht="41.25" customHeight="1" x14ac:dyDescent="0.25">
      <c r="A3" s="280"/>
      <c r="B3" s="283"/>
      <c r="C3" s="283"/>
      <c r="D3" s="286"/>
      <c r="E3" s="275" t="s">
        <v>110</v>
      </c>
      <c r="F3" s="276"/>
      <c r="G3" s="276"/>
      <c r="H3" s="275" t="s">
        <v>114</v>
      </c>
      <c r="I3" s="276"/>
      <c r="J3" s="276"/>
      <c r="K3" s="275" t="s">
        <v>110</v>
      </c>
      <c r="L3" s="276"/>
      <c r="M3" s="275" t="s">
        <v>114</v>
      </c>
      <c r="N3" s="276"/>
      <c r="O3" s="275" t="s">
        <v>110</v>
      </c>
      <c r="P3" s="276"/>
      <c r="Q3" s="275" t="s">
        <v>114</v>
      </c>
      <c r="R3" s="276"/>
      <c r="S3" s="7"/>
    </row>
    <row r="4" spans="1:19" s="2" customFormat="1" ht="27" customHeight="1" x14ac:dyDescent="0.25">
      <c r="A4" s="281"/>
      <c r="B4" s="284"/>
      <c r="C4" s="284"/>
      <c r="D4" s="287"/>
      <c r="E4" s="16" t="s">
        <v>111</v>
      </c>
      <c r="F4" s="18" t="s">
        <v>112</v>
      </c>
      <c r="G4" s="17" t="s">
        <v>113</v>
      </c>
      <c r="H4" s="16" t="s">
        <v>111</v>
      </c>
      <c r="I4" s="18" t="s">
        <v>112</v>
      </c>
      <c r="J4" s="17" t="s">
        <v>113</v>
      </c>
      <c r="K4" s="16" t="s">
        <v>112</v>
      </c>
      <c r="L4" s="18" t="s">
        <v>113</v>
      </c>
      <c r="M4" s="17" t="s">
        <v>112</v>
      </c>
      <c r="N4" s="18" t="s">
        <v>113</v>
      </c>
      <c r="O4" s="17" t="s">
        <v>112</v>
      </c>
      <c r="P4" s="18" t="s">
        <v>113</v>
      </c>
      <c r="Q4" s="17" t="s">
        <v>112</v>
      </c>
      <c r="R4" s="18" t="s">
        <v>113</v>
      </c>
    </row>
    <row r="5" spans="1:19" x14ac:dyDescent="0.25">
      <c r="A5" s="14"/>
      <c r="B5" s="7"/>
      <c r="C5" s="7"/>
      <c r="D5" s="21" t="s">
        <v>117</v>
      </c>
      <c r="E5" s="21">
        <v>496381</v>
      </c>
      <c r="F5" s="19">
        <v>255760</v>
      </c>
      <c r="G5" s="1">
        <v>240621</v>
      </c>
      <c r="H5" s="21">
        <v>720984</v>
      </c>
      <c r="I5" s="19">
        <v>369628</v>
      </c>
      <c r="J5" s="1">
        <v>351356</v>
      </c>
      <c r="K5" s="21">
        <v>95410</v>
      </c>
      <c r="L5" s="19">
        <v>86182</v>
      </c>
      <c r="M5" s="1">
        <v>123910</v>
      </c>
      <c r="N5" s="19">
        <v>112873</v>
      </c>
      <c r="O5" s="1">
        <v>160350</v>
      </c>
      <c r="P5" s="19">
        <v>154439</v>
      </c>
      <c r="Q5" s="1">
        <v>245718</v>
      </c>
      <c r="R5" s="19">
        <v>238483</v>
      </c>
    </row>
    <row r="6" spans="1:19" x14ac:dyDescent="0.25">
      <c r="A6" s="14"/>
      <c r="B6" s="7"/>
      <c r="C6" s="7"/>
      <c r="D6" s="21" t="s">
        <v>118</v>
      </c>
      <c r="E6" s="21">
        <v>187577</v>
      </c>
      <c r="F6" s="19">
        <v>140943</v>
      </c>
      <c r="G6" s="1">
        <v>46634</v>
      </c>
      <c r="H6" s="21">
        <v>400100</v>
      </c>
      <c r="I6" s="19">
        <v>213377</v>
      </c>
      <c r="J6" s="1">
        <v>186723</v>
      </c>
      <c r="K6" s="21">
        <v>57742</v>
      </c>
      <c r="L6" s="19">
        <v>12411</v>
      </c>
      <c r="M6" s="1">
        <v>78365</v>
      </c>
      <c r="N6" s="19">
        <v>62535</v>
      </c>
      <c r="O6" s="1">
        <v>83201</v>
      </c>
      <c r="P6" s="19">
        <v>34223</v>
      </c>
      <c r="Q6" s="1">
        <v>135012</v>
      </c>
      <c r="R6" s="19">
        <v>124188</v>
      </c>
    </row>
    <row r="7" spans="1:19" x14ac:dyDescent="0.25">
      <c r="A7" s="14"/>
      <c r="B7" s="7"/>
      <c r="C7" s="7"/>
      <c r="D7" s="7"/>
      <c r="E7" s="7"/>
      <c r="F7" s="14"/>
      <c r="G7" s="9"/>
      <c r="H7" s="7"/>
      <c r="I7" s="14"/>
      <c r="J7" s="9"/>
      <c r="K7" s="7"/>
      <c r="L7" s="14"/>
      <c r="M7" s="9"/>
      <c r="N7" s="14"/>
      <c r="O7" s="9"/>
      <c r="P7" s="14"/>
      <c r="Q7" s="9"/>
      <c r="R7" s="14"/>
    </row>
    <row r="8" spans="1:19" x14ac:dyDescent="0.25">
      <c r="A8" s="227" t="s">
        <v>119</v>
      </c>
      <c r="B8" s="228" t="s">
        <v>119</v>
      </c>
      <c r="C8" s="228">
        <v>1</v>
      </c>
      <c r="D8" s="228" t="s">
        <v>120</v>
      </c>
      <c r="E8" s="228">
        <v>1290</v>
      </c>
      <c r="F8" s="227">
        <v>1278</v>
      </c>
      <c r="G8" s="227">
        <v>12</v>
      </c>
      <c r="H8" s="228">
        <v>1290</v>
      </c>
      <c r="I8" s="227">
        <v>1237</v>
      </c>
      <c r="J8" s="227">
        <v>53</v>
      </c>
      <c r="K8" s="228">
        <v>1142</v>
      </c>
      <c r="L8" s="227">
        <v>12</v>
      </c>
      <c r="M8" s="227">
        <v>954</v>
      </c>
      <c r="N8" s="227">
        <v>52</v>
      </c>
      <c r="O8" s="227">
        <v>136</v>
      </c>
      <c r="P8" s="227">
        <v>0</v>
      </c>
      <c r="Q8" s="227">
        <v>283</v>
      </c>
      <c r="R8" s="227">
        <v>1</v>
      </c>
    </row>
    <row r="9" spans="1:19" x14ac:dyDescent="0.25">
      <c r="A9" s="227"/>
      <c r="B9" s="228"/>
      <c r="C9" s="228">
        <v>2</v>
      </c>
      <c r="D9" s="228" t="s">
        <v>136</v>
      </c>
      <c r="E9" s="229">
        <v>0</v>
      </c>
      <c r="F9" s="227">
        <v>0</v>
      </c>
      <c r="G9" s="227">
        <v>0</v>
      </c>
      <c r="H9" s="228">
        <v>80</v>
      </c>
      <c r="I9" s="227">
        <v>80</v>
      </c>
      <c r="J9" s="227">
        <v>0</v>
      </c>
      <c r="K9" s="228">
        <v>0</v>
      </c>
      <c r="L9" s="227">
        <v>0</v>
      </c>
      <c r="M9" s="227">
        <v>65</v>
      </c>
      <c r="N9" s="227">
        <v>0</v>
      </c>
      <c r="O9" s="227">
        <v>0</v>
      </c>
      <c r="P9" s="227">
        <v>0</v>
      </c>
      <c r="Q9" s="227">
        <v>15</v>
      </c>
      <c r="R9" s="227">
        <v>0</v>
      </c>
    </row>
    <row r="10" spans="1:19" x14ac:dyDescent="0.25">
      <c r="A10" s="227"/>
      <c r="B10" s="228"/>
      <c r="C10" s="228">
        <v>3</v>
      </c>
      <c r="D10" s="228" t="s">
        <v>137</v>
      </c>
      <c r="E10" s="228">
        <v>761</v>
      </c>
      <c r="F10" s="227">
        <v>761</v>
      </c>
      <c r="G10" s="227">
        <v>0</v>
      </c>
      <c r="H10" s="228">
        <v>3165</v>
      </c>
      <c r="I10" s="227">
        <v>3165</v>
      </c>
      <c r="J10" s="227">
        <v>0</v>
      </c>
      <c r="K10" s="228">
        <v>751</v>
      </c>
      <c r="L10" s="227">
        <v>0</v>
      </c>
      <c r="M10" s="227">
        <v>3952</v>
      </c>
      <c r="N10" s="227">
        <v>0</v>
      </c>
      <c r="O10" s="230">
        <v>10</v>
      </c>
      <c r="P10" s="227">
        <v>0</v>
      </c>
      <c r="Q10" s="227">
        <v>213</v>
      </c>
      <c r="R10" s="227">
        <v>0</v>
      </c>
    </row>
    <row r="11" spans="1:19" x14ac:dyDescent="0.25">
      <c r="A11" s="14"/>
      <c r="B11" s="7"/>
      <c r="C11" s="7"/>
      <c r="D11" s="7"/>
      <c r="E11" s="7"/>
      <c r="F11" s="14"/>
      <c r="G11" s="9"/>
      <c r="H11" s="7"/>
      <c r="I11" s="14"/>
      <c r="J11" s="9"/>
      <c r="K11" s="7"/>
      <c r="L11" s="14"/>
      <c r="M11" s="22"/>
      <c r="N11" s="14"/>
      <c r="O11" s="9"/>
      <c r="P11" s="14"/>
      <c r="Q11" s="9"/>
      <c r="R11" s="14"/>
    </row>
    <row r="12" spans="1:19" x14ac:dyDescent="0.25">
      <c r="A12" s="227"/>
      <c r="B12" s="228" t="s">
        <v>121</v>
      </c>
      <c r="C12" s="228">
        <v>1</v>
      </c>
      <c r="D12" s="228" t="s">
        <v>138</v>
      </c>
      <c r="E12" s="228">
        <v>347</v>
      </c>
      <c r="F12" s="227">
        <v>347</v>
      </c>
      <c r="G12" s="227">
        <v>0</v>
      </c>
      <c r="H12" s="228">
        <v>538</v>
      </c>
      <c r="I12" s="227">
        <v>481</v>
      </c>
      <c r="J12" s="227">
        <v>57</v>
      </c>
      <c r="K12" s="228">
        <v>321</v>
      </c>
      <c r="L12" s="227">
        <v>0</v>
      </c>
      <c r="M12" s="227">
        <v>396</v>
      </c>
      <c r="N12" s="227">
        <v>57</v>
      </c>
      <c r="O12" s="227">
        <v>26</v>
      </c>
      <c r="P12" s="227">
        <v>0</v>
      </c>
      <c r="Q12" s="227">
        <v>85</v>
      </c>
      <c r="R12" s="227">
        <v>0</v>
      </c>
    </row>
    <row r="13" spans="1:19" ht="30" x14ac:dyDescent="0.25">
      <c r="A13" s="227"/>
      <c r="B13" s="228"/>
      <c r="C13" s="228">
        <v>2</v>
      </c>
      <c r="D13" s="231" t="s">
        <v>139</v>
      </c>
      <c r="E13" s="228">
        <v>205</v>
      </c>
      <c r="F13" s="227">
        <v>205</v>
      </c>
      <c r="G13" s="227">
        <v>0</v>
      </c>
      <c r="H13" s="228">
        <v>216</v>
      </c>
      <c r="I13" s="227">
        <v>216</v>
      </c>
      <c r="J13" s="227">
        <v>0</v>
      </c>
      <c r="K13" s="228">
        <v>203</v>
      </c>
      <c r="L13" s="227">
        <v>0</v>
      </c>
      <c r="M13" s="227">
        <v>215</v>
      </c>
      <c r="N13" s="227">
        <v>0</v>
      </c>
      <c r="O13" s="227">
        <v>2</v>
      </c>
      <c r="P13" s="227">
        <v>0</v>
      </c>
      <c r="Q13" s="227">
        <v>1</v>
      </c>
      <c r="R13" s="227">
        <v>0</v>
      </c>
    </row>
    <row r="14" spans="1:19" x14ac:dyDescent="0.25">
      <c r="A14" s="227"/>
      <c r="B14" s="228"/>
      <c r="C14" s="228">
        <v>3</v>
      </c>
      <c r="D14" s="228" t="s">
        <v>140</v>
      </c>
      <c r="E14" s="228">
        <v>389</v>
      </c>
      <c r="F14" s="227">
        <v>266</v>
      </c>
      <c r="G14" s="227">
        <v>123</v>
      </c>
      <c r="H14" s="228">
        <v>542</v>
      </c>
      <c r="I14" s="227">
        <v>285</v>
      </c>
      <c r="J14" s="227">
        <v>257</v>
      </c>
      <c r="K14" s="228">
        <v>261</v>
      </c>
      <c r="L14" s="227">
        <v>46</v>
      </c>
      <c r="M14" s="227">
        <v>274</v>
      </c>
      <c r="N14" s="227">
        <v>85</v>
      </c>
      <c r="O14" s="227">
        <v>5</v>
      </c>
      <c r="P14" s="227">
        <v>77</v>
      </c>
      <c r="Q14" s="227">
        <v>11</v>
      </c>
      <c r="R14" s="227">
        <v>172</v>
      </c>
    </row>
    <row r="15" spans="1:19" x14ac:dyDescent="0.25">
      <c r="A15" s="227"/>
      <c r="B15" s="228"/>
      <c r="C15" s="228">
        <v>4</v>
      </c>
      <c r="D15" s="228" t="s">
        <v>141</v>
      </c>
      <c r="E15" s="228">
        <v>7</v>
      </c>
      <c r="F15" s="227">
        <v>7</v>
      </c>
      <c r="G15" s="227">
        <v>0</v>
      </c>
      <c r="H15" s="228">
        <v>23</v>
      </c>
      <c r="I15" s="227">
        <v>23</v>
      </c>
      <c r="J15" s="227">
        <v>0</v>
      </c>
      <c r="K15" s="228">
        <v>2</v>
      </c>
      <c r="L15" s="227">
        <v>0</v>
      </c>
      <c r="M15" s="227">
        <v>14</v>
      </c>
      <c r="N15" s="227">
        <v>0</v>
      </c>
      <c r="O15" s="227">
        <v>5</v>
      </c>
      <c r="P15" s="227">
        <v>0</v>
      </c>
      <c r="Q15" s="227">
        <v>9</v>
      </c>
      <c r="R15" s="227">
        <v>0</v>
      </c>
    </row>
    <row r="16" spans="1:19" x14ac:dyDescent="0.25">
      <c r="A16" s="227"/>
      <c r="B16" s="228"/>
      <c r="C16" s="228">
        <v>5</v>
      </c>
      <c r="D16" s="228" t="s">
        <v>142</v>
      </c>
      <c r="E16" s="228">
        <v>249</v>
      </c>
      <c r="F16" s="227">
        <v>247</v>
      </c>
      <c r="G16" s="227">
        <v>2</v>
      </c>
      <c r="H16" s="228">
        <v>98</v>
      </c>
      <c r="I16" s="227">
        <v>98</v>
      </c>
      <c r="J16" s="227">
        <v>0</v>
      </c>
      <c r="K16" s="228">
        <v>245</v>
      </c>
      <c r="L16" s="227">
        <v>2</v>
      </c>
      <c r="M16" s="227">
        <v>97</v>
      </c>
      <c r="N16" s="227">
        <v>0</v>
      </c>
      <c r="O16" s="227">
        <v>2</v>
      </c>
      <c r="P16" s="227">
        <v>0</v>
      </c>
      <c r="Q16" s="227">
        <v>1</v>
      </c>
      <c r="R16" s="227">
        <v>0</v>
      </c>
    </row>
    <row r="17" spans="1:18" x14ac:dyDescent="0.25">
      <c r="A17" s="227"/>
      <c r="B17" s="228"/>
      <c r="C17" s="228">
        <v>6</v>
      </c>
      <c r="D17" s="228" t="s">
        <v>143</v>
      </c>
      <c r="E17" s="228">
        <v>1410</v>
      </c>
      <c r="F17" s="227">
        <v>908</v>
      </c>
      <c r="G17" s="227">
        <v>502</v>
      </c>
      <c r="H17" s="228">
        <v>1787</v>
      </c>
      <c r="I17" s="227">
        <v>926</v>
      </c>
      <c r="J17" s="227">
        <v>861</v>
      </c>
      <c r="K17" s="228">
        <v>806</v>
      </c>
      <c r="L17" s="227">
        <v>463</v>
      </c>
      <c r="M17" s="227">
        <v>783</v>
      </c>
      <c r="N17" s="227">
        <v>815</v>
      </c>
      <c r="O17" s="227">
        <v>102</v>
      </c>
      <c r="P17" s="227">
        <v>39</v>
      </c>
      <c r="Q17" s="227">
        <v>143</v>
      </c>
      <c r="R17" s="227">
        <v>46</v>
      </c>
    </row>
    <row r="18" spans="1:18" x14ac:dyDescent="0.25">
      <c r="A18" s="227"/>
      <c r="B18" s="228"/>
      <c r="C18" s="228">
        <v>7</v>
      </c>
      <c r="D18" s="228" t="s">
        <v>144</v>
      </c>
      <c r="E18" s="228">
        <v>22</v>
      </c>
      <c r="F18" s="227">
        <v>22</v>
      </c>
      <c r="G18" s="227">
        <v>0</v>
      </c>
      <c r="H18" s="228">
        <v>79</v>
      </c>
      <c r="I18" s="227">
        <v>76</v>
      </c>
      <c r="J18" s="227">
        <v>3</v>
      </c>
      <c r="K18" s="228">
        <v>22</v>
      </c>
      <c r="L18" s="227">
        <v>0</v>
      </c>
      <c r="M18" s="227">
        <v>75</v>
      </c>
      <c r="N18" s="227">
        <v>3</v>
      </c>
      <c r="O18" s="227">
        <v>0</v>
      </c>
      <c r="P18" s="227">
        <v>0</v>
      </c>
      <c r="Q18" s="227">
        <v>1</v>
      </c>
      <c r="R18" s="227">
        <v>0</v>
      </c>
    </row>
    <row r="19" spans="1:18" x14ac:dyDescent="0.25">
      <c r="A19" s="227"/>
      <c r="B19" s="228"/>
      <c r="C19" s="228">
        <v>8</v>
      </c>
      <c r="D19" s="228" t="s">
        <v>145</v>
      </c>
      <c r="E19" s="228">
        <v>0</v>
      </c>
      <c r="F19" s="228">
        <v>0</v>
      </c>
      <c r="G19" s="228">
        <v>0</v>
      </c>
      <c r="H19" s="228">
        <v>76</v>
      </c>
      <c r="I19" s="227">
        <v>50</v>
      </c>
      <c r="J19" s="227">
        <v>26</v>
      </c>
      <c r="K19" s="228">
        <v>0</v>
      </c>
      <c r="L19" s="227">
        <v>0</v>
      </c>
      <c r="M19" s="227">
        <v>39</v>
      </c>
      <c r="N19" s="227">
        <v>26</v>
      </c>
      <c r="O19" s="227">
        <v>0</v>
      </c>
      <c r="P19" s="227">
        <v>0</v>
      </c>
      <c r="Q19" s="227">
        <v>11</v>
      </c>
      <c r="R19" s="227">
        <v>0</v>
      </c>
    </row>
    <row r="20" spans="1:18" x14ac:dyDescent="0.25">
      <c r="A20" s="227"/>
      <c r="B20" s="228"/>
      <c r="C20" s="228">
        <v>9</v>
      </c>
      <c r="D20" s="228" t="s">
        <v>146</v>
      </c>
      <c r="E20" s="228">
        <v>0</v>
      </c>
      <c r="F20" s="228">
        <v>0</v>
      </c>
      <c r="G20" s="228">
        <v>0</v>
      </c>
      <c r="H20" s="228">
        <v>22</v>
      </c>
      <c r="I20" s="227">
        <v>18</v>
      </c>
      <c r="J20" s="227">
        <v>4</v>
      </c>
      <c r="K20" s="228">
        <v>0</v>
      </c>
      <c r="L20" s="227">
        <v>0</v>
      </c>
      <c r="M20" s="227">
        <v>16</v>
      </c>
      <c r="N20" s="227">
        <v>4</v>
      </c>
      <c r="O20" s="227">
        <v>0</v>
      </c>
      <c r="P20" s="227">
        <v>0</v>
      </c>
      <c r="Q20" s="227">
        <v>2</v>
      </c>
      <c r="R20" s="227">
        <v>0</v>
      </c>
    </row>
    <row r="21" spans="1:18" x14ac:dyDescent="0.25">
      <c r="A21" s="14"/>
      <c r="B21" s="7"/>
      <c r="C21" s="7"/>
      <c r="D21" s="7"/>
      <c r="E21" s="7"/>
      <c r="F21" s="14"/>
      <c r="G21" s="9"/>
      <c r="H21" s="7"/>
      <c r="I21" s="14"/>
      <c r="J21" s="9"/>
      <c r="K21" s="7"/>
      <c r="L21" s="14"/>
      <c r="M21" s="9"/>
      <c r="N21" s="14"/>
      <c r="O21" s="9"/>
      <c r="P21" s="14"/>
      <c r="Q21" s="9"/>
      <c r="R21" s="14"/>
    </row>
    <row r="22" spans="1:18" s="241" customFormat="1" x14ac:dyDescent="0.25">
      <c r="A22" s="22" t="s">
        <v>121</v>
      </c>
      <c r="B22" s="23" t="s">
        <v>122</v>
      </c>
      <c r="C22" s="23"/>
      <c r="D22" s="23" t="s">
        <v>147</v>
      </c>
      <c r="E22" s="23">
        <v>0</v>
      </c>
      <c r="F22" s="22">
        <v>0</v>
      </c>
      <c r="G22" s="13">
        <v>0</v>
      </c>
      <c r="H22" s="23">
        <v>51923</v>
      </c>
      <c r="I22" s="22">
        <v>0</v>
      </c>
      <c r="J22" s="13">
        <v>51923</v>
      </c>
      <c r="K22" s="23">
        <v>0</v>
      </c>
      <c r="L22" s="22">
        <v>0</v>
      </c>
      <c r="M22" s="22">
        <v>0</v>
      </c>
      <c r="N22" s="22">
        <v>16770</v>
      </c>
      <c r="O22" s="22">
        <v>0</v>
      </c>
      <c r="P22" s="22">
        <v>0</v>
      </c>
      <c r="Q22" s="22">
        <v>0</v>
      </c>
      <c r="R22" s="22">
        <v>35153</v>
      </c>
    </row>
    <row r="23" spans="1:18" x14ac:dyDescent="0.25">
      <c r="A23" s="14"/>
      <c r="B23" s="7"/>
      <c r="C23" s="7"/>
      <c r="D23" s="7"/>
      <c r="E23" s="7"/>
      <c r="F23" s="14"/>
      <c r="G23" s="9"/>
      <c r="H23" s="7"/>
      <c r="I23" s="14"/>
      <c r="J23" s="9"/>
      <c r="K23" s="7"/>
      <c r="L23" s="14"/>
      <c r="M23" s="9"/>
      <c r="N23" s="14"/>
      <c r="O23" s="9"/>
      <c r="P23" s="14"/>
      <c r="Q23" s="9"/>
      <c r="R23" s="14"/>
    </row>
    <row r="24" spans="1:18" x14ac:dyDescent="0.25">
      <c r="A24" s="237"/>
      <c r="B24" s="238" t="s">
        <v>123</v>
      </c>
      <c r="C24" s="238">
        <v>1</v>
      </c>
      <c r="D24" s="238" t="s">
        <v>148</v>
      </c>
      <c r="E24" s="238">
        <v>460</v>
      </c>
      <c r="F24" s="237">
        <v>383</v>
      </c>
      <c r="G24" s="237">
        <v>77</v>
      </c>
      <c r="H24" s="238">
        <v>933</v>
      </c>
      <c r="I24" s="237">
        <v>507</v>
      </c>
      <c r="J24" s="237">
        <v>426</v>
      </c>
      <c r="K24" s="238">
        <v>371</v>
      </c>
      <c r="L24" s="237">
        <v>72</v>
      </c>
      <c r="M24" s="237">
        <v>477</v>
      </c>
      <c r="N24" s="237">
        <v>408</v>
      </c>
      <c r="O24" s="237">
        <v>12</v>
      </c>
      <c r="P24" s="237">
        <v>5</v>
      </c>
      <c r="Q24" s="237">
        <v>30</v>
      </c>
      <c r="R24" s="237">
        <v>18</v>
      </c>
    </row>
    <row r="25" spans="1:18" x14ac:dyDescent="0.25">
      <c r="A25" s="239"/>
      <c r="B25" s="240"/>
      <c r="C25" s="240">
        <v>2</v>
      </c>
      <c r="D25" s="240" t="s">
        <v>149</v>
      </c>
      <c r="E25" s="240">
        <v>30675</v>
      </c>
      <c r="F25" s="239">
        <v>6308</v>
      </c>
      <c r="G25" s="239">
        <v>24367</v>
      </c>
      <c r="H25" s="240">
        <v>30410</v>
      </c>
      <c r="I25" s="239">
        <v>8299</v>
      </c>
      <c r="J25" s="239">
        <v>22111</v>
      </c>
      <c r="K25" s="240">
        <v>1149</v>
      </c>
      <c r="L25" s="239">
        <v>1951</v>
      </c>
      <c r="M25" s="239">
        <v>1255</v>
      </c>
      <c r="N25" s="239">
        <v>2381</v>
      </c>
      <c r="O25" s="239">
        <v>5159</v>
      </c>
      <c r="P25" s="239">
        <v>22416</v>
      </c>
      <c r="Q25" s="239">
        <v>7044</v>
      </c>
      <c r="R25" s="239">
        <v>19730</v>
      </c>
    </row>
    <row r="26" spans="1:18" x14ac:dyDescent="0.25">
      <c r="A26" s="14"/>
      <c r="B26" s="7"/>
      <c r="C26" s="7"/>
      <c r="D26" s="7"/>
      <c r="E26" s="7"/>
      <c r="F26" s="14"/>
      <c r="G26" s="9"/>
      <c r="H26" s="7"/>
      <c r="I26" s="14"/>
      <c r="J26" s="9"/>
      <c r="K26" s="7"/>
      <c r="L26" s="14"/>
      <c r="M26" s="9"/>
      <c r="N26" s="14"/>
      <c r="O26" s="9"/>
      <c r="P26" s="14"/>
      <c r="Q26" s="9">
        <v>41</v>
      </c>
      <c r="R26" s="14">
        <v>2</v>
      </c>
    </row>
    <row r="27" spans="1:18" x14ac:dyDescent="0.25">
      <c r="A27" s="237" t="s">
        <v>122</v>
      </c>
      <c r="B27" s="238" t="s">
        <v>124</v>
      </c>
      <c r="C27" s="238">
        <v>1</v>
      </c>
      <c r="D27" s="238" t="s">
        <v>150</v>
      </c>
      <c r="E27" s="238">
        <v>4741</v>
      </c>
      <c r="F27" s="237">
        <v>4487</v>
      </c>
      <c r="G27" s="237">
        <v>254</v>
      </c>
      <c r="H27" s="238">
        <v>3538</v>
      </c>
      <c r="I27" s="237">
        <v>3498</v>
      </c>
      <c r="J27" s="237">
        <v>40</v>
      </c>
      <c r="K27" s="238">
        <v>4282</v>
      </c>
      <c r="L27" s="237">
        <v>209</v>
      </c>
      <c r="M27" s="237">
        <v>3457</v>
      </c>
      <c r="N27" s="237">
        <v>38</v>
      </c>
      <c r="O27" s="237">
        <v>205</v>
      </c>
      <c r="P27" s="237">
        <v>45</v>
      </c>
      <c r="Q27" s="237">
        <v>160</v>
      </c>
      <c r="R27" s="237">
        <v>14</v>
      </c>
    </row>
    <row r="28" spans="1:18" x14ac:dyDescent="0.25">
      <c r="A28" s="237"/>
      <c r="B28" s="238"/>
      <c r="C28" s="238">
        <v>2</v>
      </c>
      <c r="D28" s="238" t="s">
        <v>151</v>
      </c>
      <c r="E28" s="238">
        <v>0</v>
      </c>
      <c r="F28" s="237">
        <v>0</v>
      </c>
      <c r="G28" s="237">
        <v>0</v>
      </c>
      <c r="H28" s="238">
        <v>3436</v>
      </c>
      <c r="I28" s="237">
        <v>2179</v>
      </c>
      <c r="J28" s="237">
        <v>257</v>
      </c>
      <c r="K28" s="238">
        <v>0</v>
      </c>
      <c r="L28" s="237">
        <v>0</v>
      </c>
      <c r="M28" s="237">
        <v>2019</v>
      </c>
      <c r="N28" s="237">
        <v>243</v>
      </c>
      <c r="O28" s="237">
        <v>0</v>
      </c>
      <c r="P28" s="237">
        <v>0</v>
      </c>
      <c r="Q28" s="237">
        <v>0</v>
      </c>
      <c r="R28" s="237">
        <v>0</v>
      </c>
    </row>
    <row r="29" spans="1:18" x14ac:dyDescent="0.25">
      <c r="A29" s="14"/>
      <c r="B29" s="7"/>
      <c r="C29" s="7"/>
      <c r="D29" s="7"/>
      <c r="E29" s="7"/>
      <c r="F29" s="14"/>
      <c r="G29" s="9"/>
      <c r="H29" s="7"/>
      <c r="I29" s="14"/>
      <c r="J29" s="9"/>
      <c r="K29" s="7"/>
      <c r="L29" s="14"/>
      <c r="M29" s="9"/>
      <c r="N29" s="14"/>
      <c r="O29" s="9"/>
      <c r="P29" s="14"/>
      <c r="R29" s="14"/>
    </row>
    <row r="30" spans="1:18" x14ac:dyDescent="0.25">
      <c r="A30" s="227"/>
      <c r="B30" s="228" t="s">
        <v>125</v>
      </c>
      <c r="C30" s="228">
        <v>1</v>
      </c>
      <c r="D30" s="228" t="s">
        <v>152</v>
      </c>
      <c r="E30" s="228">
        <v>1072</v>
      </c>
      <c r="F30" s="227">
        <v>1070</v>
      </c>
      <c r="G30" s="227">
        <v>2</v>
      </c>
      <c r="H30" s="228">
        <v>333</v>
      </c>
      <c r="I30" s="227">
        <v>329</v>
      </c>
      <c r="J30" s="227">
        <v>4</v>
      </c>
      <c r="K30" s="228">
        <v>558</v>
      </c>
      <c r="L30" s="227">
        <v>1</v>
      </c>
      <c r="M30" s="227">
        <v>309</v>
      </c>
      <c r="N30" s="227">
        <v>4</v>
      </c>
      <c r="O30" s="227">
        <v>512</v>
      </c>
      <c r="P30" s="227">
        <v>1</v>
      </c>
      <c r="Q30" s="230">
        <v>20</v>
      </c>
      <c r="R30" s="227">
        <v>4</v>
      </c>
    </row>
    <row r="31" spans="1:18" x14ac:dyDescent="0.25">
      <c r="A31" s="227"/>
      <c r="B31" s="228"/>
      <c r="C31" s="228">
        <v>2</v>
      </c>
      <c r="D31" s="228" t="s">
        <v>153</v>
      </c>
      <c r="E31" s="227">
        <v>0</v>
      </c>
      <c r="F31" s="227">
        <v>0</v>
      </c>
      <c r="G31" s="227">
        <v>0</v>
      </c>
      <c r="H31" s="228">
        <v>4137</v>
      </c>
      <c r="I31" s="227">
        <v>4126</v>
      </c>
      <c r="J31" s="227">
        <v>11</v>
      </c>
      <c r="K31" s="228">
        <v>0</v>
      </c>
      <c r="L31" s="227">
        <v>0</v>
      </c>
      <c r="M31" s="227">
        <v>1476</v>
      </c>
      <c r="N31" s="227">
        <v>7</v>
      </c>
      <c r="O31" s="227">
        <v>0</v>
      </c>
      <c r="P31" s="227">
        <v>0</v>
      </c>
      <c r="Q31" s="227">
        <v>2650</v>
      </c>
      <c r="R31" s="227"/>
    </row>
    <row r="32" spans="1:18" x14ac:dyDescent="0.25">
      <c r="A32" s="227"/>
      <c r="B32" s="228"/>
      <c r="C32" s="228">
        <v>3</v>
      </c>
      <c r="D32" s="228" t="s">
        <v>154</v>
      </c>
      <c r="E32" s="228">
        <v>1395</v>
      </c>
      <c r="F32" s="227">
        <v>1395</v>
      </c>
      <c r="G32" s="227">
        <v>0</v>
      </c>
      <c r="H32" s="228">
        <v>1921</v>
      </c>
      <c r="I32" s="227">
        <v>1909</v>
      </c>
      <c r="J32" s="227">
        <v>12</v>
      </c>
      <c r="K32" s="228">
        <v>674</v>
      </c>
      <c r="L32" s="227">
        <v>0</v>
      </c>
      <c r="M32" s="227">
        <v>1742</v>
      </c>
      <c r="N32" s="227">
        <v>11</v>
      </c>
      <c r="O32" s="227">
        <v>721</v>
      </c>
      <c r="P32" s="227">
        <v>0</v>
      </c>
      <c r="Q32" s="227">
        <v>167</v>
      </c>
      <c r="R32" s="227">
        <v>1</v>
      </c>
    </row>
    <row r="33" spans="1:18" x14ac:dyDescent="0.25">
      <c r="A33" s="227"/>
      <c r="B33" s="228"/>
      <c r="C33" s="228">
        <v>4</v>
      </c>
      <c r="D33" s="228" t="s">
        <v>155</v>
      </c>
      <c r="E33" s="227">
        <v>0</v>
      </c>
      <c r="F33" s="227">
        <v>0</v>
      </c>
      <c r="G33" s="227">
        <v>0</v>
      </c>
      <c r="H33" s="228">
        <v>564</v>
      </c>
      <c r="I33" s="227">
        <v>564</v>
      </c>
      <c r="J33" s="227">
        <v>0</v>
      </c>
      <c r="K33" s="228">
        <v>0</v>
      </c>
      <c r="L33" s="227">
        <v>0</v>
      </c>
      <c r="M33" s="227">
        <v>326</v>
      </c>
      <c r="N33" s="227">
        <v>0</v>
      </c>
      <c r="O33" s="227">
        <v>0</v>
      </c>
      <c r="P33" s="227">
        <v>0</v>
      </c>
      <c r="Q33" s="227">
        <v>238</v>
      </c>
      <c r="R33" s="227"/>
    </row>
    <row r="34" spans="1:18" x14ac:dyDescent="0.25">
      <c r="A34" s="227"/>
      <c r="B34" s="228"/>
      <c r="C34" s="228">
        <v>5</v>
      </c>
      <c r="D34" s="228" t="s">
        <v>156</v>
      </c>
      <c r="E34" s="228">
        <v>221</v>
      </c>
      <c r="F34" s="227">
        <v>203</v>
      </c>
      <c r="G34" s="227">
        <v>18</v>
      </c>
      <c r="H34" s="228">
        <v>388</v>
      </c>
      <c r="I34" s="227">
        <v>387</v>
      </c>
      <c r="J34" s="227">
        <v>1</v>
      </c>
      <c r="K34" s="228">
        <v>158</v>
      </c>
      <c r="L34" s="227">
        <v>1</v>
      </c>
      <c r="M34" s="227">
        <v>177</v>
      </c>
      <c r="N34" s="227">
        <v>0</v>
      </c>
      <c r="O34" s="227">
        <v>45</v>
      </c>
      <c r="P34" s="227">
        <v>17</v>
      </c>
      <c r="Q34" s="227">
        <v>210</v>
      </c>
      <c r="R34" s="227">
        <v>1</v>
      </c>
    </row>
    <row r="35" spans="1:18" x14ac:dyDescent="0.25">
      <c r="A35" s="14"/>
      <c r="B35" s="7"/>
      <c r="C35" s="7"/>
      <c r="D35" s="7"/>
      <c r="E35" s="7"/>
      <c r="F35" s="14"/>
      <c r="G35" s="9"/>
      <c r="H35" s="7"/>
      <c r="I35" s="14"/>
      <c r="J35" s="9"/>
      <c r="K35" s="7"/>
      <c r="L35" s="14"/>
      <c r="M35" s="9"/>
      <c r="N35" s="14"/>
      <c r="O35" s="9"/>
      <c r="P35" s="14"/>
      <c r="Q35" s="9"/>
      <c r="R35" s="14"/>
    </row>
    <row r="36" spans="1:18" x14ac:dyDescent="0.25">
      <c r="A36" s="225" t="s">
        <v>126</v>
      </c>
      <c r="B36" s="226" t="s">
        <v>127</v>
      </c>
      <c r="C36" s="226">
        <v>1</v>
      </c>
      <c r="D36" s="226" t="s">
        <v>157</v>
      </c>
      <c r="E36" s="226">
        <v>61061</v>
      </c>
      <c r="F36" s="225">
        <v>59644</v>
      </c>
      <c r="G36" s="225">
        <v>1417</v>
      </c>
      <c r="H36" s="226">
        <v>181785</v>
      </c>
      <c r="I36" s="225">
        <v>101586</v>
      </c>
      <c r="J36" s="225">
        <v>80199</v>
      </c>
      <c r="K36" s="226">
        <v>15055</v>
      </c>
      <c r="L36" s="225">
        <v>91</v>
      </c>
      <c r="M36" s="225">
        <v>25341</v>
      </c>
      <c r="N36" s="225">
        <v>26193</v>
      </c>
      <c r="O36" s="225">
        <v>44589</v>
      </c>
      <c r="P36" s="225">
        <v>1326</v>
      </c>
      <c r="Q36" s="225">
        <v>76245</v>
      </c>
      <c r="R36" s="225">
        <v>54006</v>
      </c>
    </row>
    <row r="37" spans="1:18" x14ac:dyDescent="0.25">
      <c r="A37" s="225"/>
      <c r="B37" s="226"/>
      <c r="C37" s="226">
        <v>2</v>
      </c>
      <c r="D37" s="226" t="s">
        <v>158</v>
      </c>
      <c r="E37" s="226">
        <v>13613</v>
      </c>
      <c r="F37" s="225">
        <v>13496</v>
      </c>
      <c r="G37" s="225">
        <v>117</v>
      </c>
      <c r="H37" s="226">
        <v>26071</v>
      </c>
      <c r="I37" s="225">
        <v>25748</v>
      </c>
      <c r="J37" s="225">
        <v>323</v>
      </c>
      <c r="K37" s="226">
        <v>11746</v>
      </c>
      <c r="L37" s="225">
        <v>97</v>
      </c>
      <c r="M37" s="225">
        <v>8327</v>
      </c>
      <c r="N37" s="225">
        <v>192</v>
      </c>
      <c r="O37" s="225">
        <v>1750</v>
      </c>
      <c r="P37" s="225">
        <v>20</v>
      </c>
      <c r="Q37" s="225">
        <v>17421</v>
      </c>
      <c r="R37" s="225">
        <v>131</v>
      </c>
    </row>
    <row r="38" spans="1:18" x14ac:dyDescent="0.25">
      <c r="A38" s="225"/>
      <c r="B38" s="226"/>
      <c r="C38" s="226">
        <v>3</v>
      </c>
      <c r="D38" s="226" t="s">
        <v>159</v>
      </c>
      <c r="E38" s="226">
        <v>0</v>
      </c>
      <c r="F38" s="225">
        <v>0</v>
      </c>
      <c r="G38" s="225">
        <v>0</v>
      </c>
      <c r="H38" s="226">
        <v>139</v>
      </c>
      <c r="I38" s="225">
        <v>126</v>
      </c>
      <c r="J38" s="225">
        <v>13</v>
      </c>
      <c r="K38" s="226">
        <v>0</v>
      </c>
      <c r="L38" s="225">
        <v>0</v>
      </c>
      <c r="M38" s="225">
        <v>71</v>
      </c>
      <c r="N38" s="225">
        <v>3</v>
      </c>
      <c r="O38" s="225">
        <v>0</v>
      </c>
      <c r="P38" s="225">
        <v>0</v>
      </c>
      <c r="Q38" s="225">
        <v>55</v>
      </c>
      <c r="R38" s="225">
        <v>10</v>
      </c>
    </row>
    <row r="39" spans="1:18" x14ac:dyDescent="0.25">
      <c r="A39" s="225"/>
      <c r="B39" s="226"/>
      <c r="C39" s="226">
        <v>4</v>
      </c>
      <c r="D39" s="226" t="s">
        <v>160</v>
      </c>
      <c r="E39" s="226">
        <v>38</v>
      </c>
      <c r="F39" s="225">
        <v>38</v>
      </c>
      <c r="G39" s="225">
        <v>0</v>
      </c>
      <c r="H39" s="226">
        <v>1141</v>
      </c>
      <c r="I39" s="225">
        <v>1140</v>
      </c>
      <c r="J39" s="225">
        <v>1</v>
      </c>
      <c r="K39" s="226">
        <v>28</v>
      </c>
      <c r="L39" s="225">
        <v>0</v>
      </c>
      <c r="M39" s="225">
        <v>330</v>
      </c>
      <c r="N39" s="225">
        <v>1</v>
      </c>
      <c r="O39" s="225">
        <v>10</v>
      </c>
      <c r="P39" s="225">
        <v>0</v>
      </c>
      <c r="Q39" s="225">
        <v>810</v>
      </c>
      <c r="R39" s="225">
        <v>0</v>
      </c>
    </row>
    <row r="40" spans="1:18" x14ac:dyDescent="0.25">
      <c r="A40" s="14"/>
      <c r="B40" s="7"/>
      <c r="C40" s="7"/>
      <c r="D40" s="7"/>
      <c r="E40" s="7"/>
      <c r="F40" s="14"/>
      <c r="G40" s="9"/>
      <c r="H40" s="7"/>
      <c r="I40" s="14"/>
      <c r="J40" s="9"/>
      <c r="K40" s="7"/>
      <c r="L40" s="14"/>
      <c r="M40" s="9"/>
      <c r="N40" s="14"/>
      <c r="O40" s="9"/>
      <c r="P40" s="14"/>
      <c r="Q40" s="9"/>
      <c r="R40" s="14"/>
    </row>
    <row r="41" spans="1:18" x14ac:dyDescent="0.25">
      <c r="A41" s="227" t="s">
        <v>124</v>
      </c>
      <c r="B41" s="228" t="s">
        <v>128</v>
      </c>
      <c r="C41" s="228">
        <v>1</v>
      </c>
      <c r="D41" s="228" t="s">
        <v>161</v>
      </c>
      <c r="E41" s="228">
        <v>362</v>
      </c>
      <c r="F41" s="227">
        <v>362</v>
      </c>
      <c r="G41" s="227">
        <v>0</v>
      </c>
      <c r="H41" s="228">
        <v>415</v>
      </c>
      <c r="I41" s="227">
        <v>405</v>
      </c>
      <c r="J41" s="227">
        <v>10</v>
      </c>
      <c r="K41" s="228">
        <v>300</v>
      </c>
      <c r="L41" s="227">
        <v>0</v>
      </c>
      <c r="M41" s="227">
        <v>362</v>
      </c>
      <c r="N41" s="227">
        <v>10</v>
      </c>
      <c r="O41" s="227">
        <v>62</v>
      </c>
      <c r="P41" s="227">
        <v>0</v>
      </c>
      <c r="Q41" s="227">
        <v>43</v>
      </c>
      <c r="R41" s="227">
        <v>0</v>
      </c>
    </row>
    <row r="42" spans="1:18" x14ac:dyDescent="0.25">
      <c r="A42" s="227"/>
      <c r="B42" s="228"/>
      <c r="C42" s="228">
        <v>2</v>
      </c>
      <c r="D42" s="228" t="s">
        <v>162</v>
      </c>
      <c r="E42" s="228">
        <v>0</v>
      </c>
      <c r="F42" s="228">
        <v>0</v>
      </c>
      <c r="G42" s="228">
        <v>0</v>
      </c>
      <c r="H42" s="228">
        <v>19</v>
      </c>
      <c r="I42" s="227">
        <v>19</v>
      </c>
      <c r="J42" s="227">
        <v>0</v>
      </c>
      <c r="K42" s="228">
        <v>0</v>
      </c>
      <c r="L42" s="227">
        <v>0</v>
      </c>
      <c r="M42" s="227">
        <v>19</v>
      </c>
      <c r="N42" s="227">
        <v>0</v>
      </c>
      <c r="O42" s="227">
        <v>0</v>
      </c>
      <c r="P42" s="227">
        <v>0</v>
      </c>
      <c r="Q42" s="227">
        <v>0</v>
      </c>
      <c r="R42" s="227">
        <v>0</v>
      </c>
    </row>
    <row r="43" spans="1:18" x14ac:dyDescent="0.25">
      <c r="A43" s="227"/>
      <c r="B43" s="228"/>
      <c r="C43" s="228">
        <v>3</v>
      </c>
      <c r="D43" s="228" t="s">
        <v>163</v>
      </c>
      <c r="E43" s="228">
        <v>0</v>
      </c>
      <c r="F43" s="228">
        <v>0</v>
      </c>
      <c r="G43" s="228">
        <v>0</v>
      </c>
      <c r="H43" s="228">
        <v>1</v>
      </c>
      <c r="I43" s="227">
        <v>1</v>
      </c>
      <c r="J43" s="227">
        <v>0</v>
      </c>
      <c r="K43" s="228">
        <v>0</v>
      </c>
      <c r="L43" s="227">
        <v>0</v>
      </c>
      <c r="M43" s="227">
        <v>1</v>
      </c>
      <c r="N43" s="227">
        <v>0</v>
      </c>
      <c r="O43" s="227">
        <v>0</v>
      </c>
      <c r="P43" s="227">
        <v>0</v>
      </c>
      <c r="Q43" s="227">
        <v>0</v>
      </c>
      <c r="R43" s="227">
        <v>0</v>
      </c>
    </row>
    <row r="44" spans="1:18" x14ac:dyDescent="0.25">
      <c r="A44" s="227"/>
      <c r="B44" s="228"/>
      <c r="C44" s="228">
        <v>4</v>
      </c>
      <c r="D44" s="228" t="s">
        <v>164</v>
      </c>
      <c r="E44" s="228">
        <v>0</v>
      </c>
      <c r="F44" s="228">
        <v>0</v>
      </c>
      <c r="G44" s="228">
        <v>0</v>
      </c>
      <c r="H44" s="228">
        <v>21</v>
      </c>
      <c r="I44" s="227">
        <v>20</v>
      </c>
      <c r="J44" s="230">
        <v>1</v>
      </c>
      <c r="K44" s="228">
        <v>0</v>
      </c>
      <c r="L44" s="227">
        <v>0</v>
      </c>
      <c r="M44" s="227">
        <v>2</v>
      </c>
      <c r="N44" s="227">
        <v>1</v>
      </c>
      <c r="O44" s="227">
        <v>0</v>
      </c>
      <c r="P44" s="227">
        <v>0</v>
      </c>
      <c r="Q44" s="230">
        <v>18</v>
      </c>
      <c r="R44" s="227">
        <v>0</v>
      </c>
    </row>
    <row r="45" spans="1:18" x14ac:dyDescent="0.25">
      <c r="A45" s="227"/>
      <c r="B45" s="228"/>
      <c r="C45" s="228">
        <v>5</v>
      </c>
      <c r="D45" s="228" t="s">
        <v>165</v>
      </c>
      <c r="E45" s="228">
        <v>0</v>
      </c>
      <c r="F45" s="228">
        <v>0</v>
      </c>
      <c r="G45" s="228">
        <v>0</v>
      </c>
      <c r="H45" s="228">
        <v>4</v>
      </c>
      <c r="I45" s="227">
        <v>4</v>
      </c>
      <c r="J45" s="227">
        <v>0</v>
      </c>
      <c r="K45" s="228">
        <v>0</v>
      </c>
      <c r="L45" s="227">
        <v>0</v>
      </c>
      <c r="M45" s="227">
        <v>4</v>
      </c>
      <c r="N45" s="227">
        <v>0</v>
      </c>
      <c r="O45" s="227">
        <v>0</v>
      </c>
      <c r="P45" s="227">
        <v>0</v>
      </c>
      <c r="Q45" s="227">
        <v>0</v>
      </c>
      <c r="R45" s="227">
        <v>0</v>
      </c>
    </row>
    <row r="46" spans="1:18" x14ac:dyDescent="0.25">
      <c r="A46" s="227"/>
      <c r="B46" s="228"/>
      <c r="C46" s="228">
        <v>6</v>
      </c>
      <c r="D46" s="228" t="s">
        <v>166</v>
      </c>
      <c r="E46" s="228">
        <v>123</v>
      </c>
      <c r="F46" s="227">
        <v>123</v>
      </c>
      <c r="G46" s="228">
        <v>0</v>
      </c>
      <c r="H46" s="228">
        <v>90</v>
      </c>
      <c r="I46" s="227">
        <v>90</v>
      </c>
      <c r="J46" s="227">
        <v>0</v>
      </c>
      <c r="K46" s="228">
        <v>112</v>
      </c>
      <c r="L46" s="227">
        <v>0</v>
      </c>
      <c r="M46" s="227">
        <v>84</v>
      </c>
      <c r="N46" s="227">
        <v>0</v>
      </c>
      <c r="O46" s="230">
        <v>11</v>
      </c>
      <c r="P46" s="227">
        <v>0</v>
      </c>
      <c r="Q46" s="230">
        <v>6</v>
      </c>
      <c r="R46" s="227">
        <v>0</v>
      </c>
    </row>
    <row r="47" spans="1:18" x14ac:dyDescent="0.25">
      <c r="A47" s="227"/>
      <c r="B47" s="228"/>
      <c r="C47" s="228">
        <v>7</v>
      </c>
      <c r="D47" s="228" t="s">
        <v>167</v>
      </c>
      <c r="E47" s="228">
        <v>44</v>
      </c>
      <c r="F47" s="227">
        <v>44</v>
      </c>
      <c r="G47" s="228">
        <v>0</v>
      </c>
      <c r="H47" s="228">
        <v>32</v>
      </c>
      <c r="I47" s="227">
        <v>32</v>
      </c>
      <c r="J47" s="227">
        <v>0</v>
      </c>
      <c r="K47" s="228">
        <v>43</v>
      </c>
      <c r="L47" s="227">
        <v>0</v>
      </c>
      <c r="M47" s="227">
        <v>32</v>
      </c>
      <c r="N47" s="227">
        <v>0</v>
      </c>
      <c r="O47" s="230">
        <v>1</v>
      </c>
      <c r="P47" s="227">
        <v>0</v>
      </c>
      <c r="Q47" s="227">
        <v>0</v>
      </c>
      <c r="R47" s="227">
        <v>0</v>
      </c>
    </row>
    <row r="48" spans="1:18" x14ac:dyDescent="0.25">
      <c r="A48" s="227"/>
      <c r="B48" s="228"/>
      <c r="C48" s="228">
        <v>8</v>
      </c>
      <c r="D48" s="228" t="s">
        <v>168</v>
      </c>
      <c r="E48" s="228">
        <v>0</v>
      </c>
      <c r="F48" s="227">
        <v>0</v>
      </c>
      <c r="G48" s="228">
        <v>0</v>
      </c>
      <c r="H48" s="228">
        <v>57</v>
      </c>
      <c r="I48" s="227">
        <v>57</v>
      </c>
      <c r="J48" s="227">
        <v>0</v>
      </c>
      <c r="K48" s="228">
        <v>0</v>
      </c>
      <c r="L48" s="227">
        <v>0</v>
      </c>
      <c r="M48" s="227">
        <v>52</v>
      </c>
      <c r="N48" s="227">
        <v>0</v>
      </c>
      <c r="O48" s="227">
        <v>0</v>
      </c>
      <c r="P48" s="227">
        <v>0</v>
      </c>
      <c r="Q48" s="230">
        <v>5</v>
      </c>
      <c r="R48" s="227">
        <v>0</v>
      </c>
    </row>
    <row r="49" spans="1:19" x14ac:dyDescent="0.25">
      <c r="A49" s="227"/>
      <c r="B49" s="228"/>
      <c r="C49" s="228">
        <v>9</v>
      </c>
      <c r="D49" s="228" t="s">
        <v>169</v>
      </c>
      <c r="E49" s="228">
        <v>1468</v>
      </c>
      <c r="F49" s="227">
        <v>1468</v>
      </c>
      <c r="G49" s="228">
        <v>0</v>
      </c>
      <c r="H49" s="228">
        <v>1905</v>
      </c>
      <c r="I49" s="227">
        <v>1904</v>
      </c>
      <c r="J49" s="227">
        <v>1</v>
      </c>
      <c r="K49" s="228">
        <v>1084</v>
      </c>
      <c r="L49" s="227">
        <v>0</v>
      </c>
      <c r="M49" s="227">
        <v>1334</v>
      </c>
      <c r="N49" s="227">
        <v>1</v>
      </c>
      <c r="O49" s="227">
        <v>384</v>
      </c>
      <c r="P49" s="227">
        <v>0</v>
      </c>
      <c r="Q49" s="227">
        <v>570</v>
      </c>
      <c r="R49" s="227">
        <v>0</v>
      </c>
    </row>
    <row r="50" spans="1:19" x14ac:dyDescent="0.25">
      <c r="A50" s="227"/>
      <c r="B50" s="228"/>
      <c r="C50" s="228">
        <v>10</v>
      </c>
      <c r="D50" s="228" t="s">
        <v>170</v>
      </c>
      <c r="E50" s="228">
        <v>105</v>
      </c>
      <c r="F50" s="227">
        <v>105</v>
      </c>
      <c r="G50" s="228">
        <v>0</v>
      </c>
      <c r="H50" s="228">
        <v>158</v>
      </c>
      <c r="I50" s="227">
        <v>158</v>
      </c>
      <c r="J50" s="227">
        <v>0</v>
      </c>
      <c r="K50" s="228">
        <v>76</v>
      </c>
      <c r="L50" s="227">
        <v>0</v>
      </c>
      <c r="M50" s="227">
        <v>133</v>
      </c>
      <c r="N50" s="227">
        <v>0</v>
      </c>
      <c r="O50" s="227">
        <v>29</v>
      </c>
      <c r="P50" s="227">
        <v>0</v>
      </c>
      <c r="Q50" s="227">
        <v>25</v>
      </c>
      <c r="R50" s="227">
        <v>0</v>
      </c>
    </row>
    <row r="51" spans="1:19" x14ac:dyDescent="0.25">
      <c r="A51" s="227"/>
      <c r="B51" s="228"/>
      <c r="C51" s="228">
        <v>11</v>
      </c>
      <c r="D51" s="228" t="s">
        <v>171</v>
      </c>
      <c r="E51" s="228">
        <v>4561</v>
      </c>
      <c r="F51" s="227">
        <v>4561</v>
      </c>
      <c r="G51" s="228">
        <v>0</v>
      </c>
      <c r="H51" s="228">
        <v>4937</v>
      </c>
      <c r="I51" s="227">
        <v>4936</v>
      </c>
      <c r="J51" s="227">
        <v>1</v>
      </c>
      <c r="K51" s="228">
        <v>2999</v>
      </c>
      <c r="L51" s="227">
        <v>0</v>
      </c>
      <c r="M51" s="227">
        <v>2883</v>
      </c>
      <c r="N51" s="227">
        <v>1</v>
      </c>
      <c r="O51" s="227">
        <v>1562</v>
      </c>
      <c r="P51" s="227">
        <v>0</v>
      </c>
      <c r="Q51" s="227">
        <v>2053</v>
      </c>
      <c r="R51" s="227">
        <v>0</v>
      </c>
    </row>
    <row r="52" spans="1:19" x14ac:dyDescent="0.25">
      <c r="A52" s="227"/>
      <c r="B52" s="228"/>
      <c r="C52" s="228">
        <v>12</v>
      </c>
      <c r="D52" s="228" t="s">
        <v>172</v>
      </c>
      <c r="E52" s="228">
        <v>0</v>
      </c>
      <c r="F52" s="227">
        <v>0</v>
      </c>
      <c r="G52" s="228">
        <v>0</v>
      </c>
      <c r="H52" s="228">
        <v>134</v>
      </c>
      <c r="I52" s="227">
        <v>132</v>
      </c>
      <c r="J52" s="230">
        <v>2</v>
      </c>
      <c r="K52" s="228">
        <v>0</v>
      </c>
      <c r="L52" s="227">
        <v>0</v>
      </c>
      <c r="M52" s="227">
        <v>116</v>
      </c>
      <c r="N52" s="227">
        <v>2</v>
      </c>
      <c r="O52" s="227">
        <v>0</v>
      </c>
      <c r="P52" s="227">
        <v>0</v>
      </c>
      <c r="Q52" s="227">
        <v>16</v>
      </c>
      <c r="R52" s="227">
        <v>0</v>
      </c>
    </row>
    <row r="53" spans="1:19" x14ac:dyDescent="0.25">
      <c r="A53" s="227"/>
      <c r="B53" s="228"/>
      <c r="C53" s="228">
        <v>13</v>
      </c>
      <c r="D53" s="228" t="s">
        <v>173</v>
      </c>
      <c r="E53" s="228">
        <v>25</v>
      </c>
      <c r="F53" s="227">
        <v>18</v>
      </c>
      <c r="G53" s="227">
        <v>7</v>
      </c>
      <c r="H53" s="228">
        <v>3</v>
      </c>
      <c r="I53" s="227">
        <v>1</v>
      </c>
      <c r="J53" s="227">
        <v>2</v>
      </c>
      <c r="K53" s="228">
        <v>13</v>
      </c>
      <c r="L53" s="227">
        <v>4</v>
      </c>
      <c r="M53" s="227">
        <v>1</v>
      </c>
      <c r="N53" s="227">
        <v>0</v>
      </c>
      <c r="O53" s="227">
        <v>5</v>
      </c>
      <c r="P53" s="227">
        <v>3</v>
      </c>
      <c r="Q53" s="227">
        <v>0</v>
      </c>
      <c r="R53" s="227">
        <v>2</v>
      </c>
    </row>
    <row r="54" spans="1:19" s="241" customFormat="1" x14ac:dyDescent="0.25">
      <c r="A54" s="22"/>
      <c r="B54" s="23"/>
      <c r="C54" s="23"/>
      <c r="D54" s="23"/>
      <c r="E54" s="23"/>
      <c r="F54" s="22"/>
      <c r="G54" s="13"/>
      <c r="H54" s="23"/>
      <c r="I54" s="22"/>
      <c r="J54" s="13"/>
      <c r="K54" s="23"/>
      <c r="L54" s="22"/>
      <c r="M54" s="22"/>
      <c r="N54" s="22"/>
      <c r="O54" s="13"/>
      <c r="P54" s="22"/>
      <c r="Q54" s="13"/>
      <c r="R54" s="22"/>
    </row>
    <row r="55" spans="1:19" x14ac:dyDescent="0.25">
      <c r="A55" s="234"/>
      <c r="B55" s="235" t="s">
        <v>129</v>
      </c>
      <c r="C55" s="235">
        <v>1</v>
      </c>
      <c r="D55" s="235" t="s">
        <v>174</v>
      </c>
      <c r="E55" s="235">
        <v>1</v>
      </c>
      <c r="F55" s="234">
        <v>1</v>
      </c>
      <c r="G55" s="236"/>
      <c r="H55" s="235">
        <v>168</v>
      </c>
      <c r="I55" s="234">
        <v>161</v>
      </c>
      <c r="J55" s="234">
        <v>7</v>
      </c>
      <c r="K55" s="235">
        <v>1</v>
      </c>
      <c r="L55" s="234"/>
      <c r="M55" s="234">
        <v>161</v>
      </c>
      <c r="N55" s="234">
        <v>7</v>
      </c>
      <c r="O55" s="236"/>
      <c r="P55" s="234"/>
      <c r="Q55" s="236"/>
      <c r="R55" s="234"/>
    </row>
    <row r="56" spans="1:19" x14ac:dyDescent="0.25">
      <c r="A56" s="234"/>
      <c r="B56" s="235"/>
      <c r="C56" s="235">
        <v>2</v>
      </c>
      <c r="D56" s="235" t="s">
        <v>175</v>
      </c>
      <c r="E56" s="235">
        <v>5467</v>
      </c>
      <c r="F56" s="234">
        <v>1928</v>
      </c>
      <c r="G56" s="234">
        <v>3539</v>
      </c>
      <c r="H56" s="235">
        <v>7199</v>
      </c>
      <c r="I56" s="234">
        <v>1808</v>
      </c>
      <c r="J56" s="234">
        <v>5391</v>
      </c>
      <c r="K56" s="235">
        <v>1089</v>
      </c>
      <c r="L56" s="234">
        <v>922</v>
      </c>
      <c r="M56" s="234">
        <v>1028</v>
      </c>
      <c r="N56" s="234">
        <v>1509</v>
      </c>
      <c r="O56" s="234">
        <v>839</v>
      </c>
      <c r="P56" s="234">
        <v>2617</v>
      </c>
      <c r="Q56" s="234">
        <v>780</v>
      </c>
      <c r="R56" s="234">
        <v>3882</v>
      </c>
    </row>
    <row r="57" spans="1:19" x14ac:dyDescent="0.25">
      <c r="A57" s="234"/>
      <c r="B57" s="235"/>
      <c r="C57" s="235">
        <v>3</v>
      </c>
      <c r="D57" s="235" t="s">
        <v>176</v>
      </c>
      <c r="E57" s="235">
        <v>0</v>
      </c>
      <c r="F57" s="234">
        <v>0</v>
      </c>
      <c r="G57" s="234">
        <v>0</v>
      </c>
      <c r="H57" s="235">
        <v>18</v>
      </c>
      <c r="I57" s="234">
        <v>13</v>
      </c>
      <c r="J57" s="234">
        <v>5</v>
      </c>
      <c r="K57" s="235">
        <v>0</v>
      </c>
      <c r="L57" s="234">
        <v>0</v>
      </c>
      <c r="M57" s="234">
        <v>7</v>
      </c>
      <c r="N57" s="234">
        <v>0</v>
      </c>
      <c r="O57" s="234">
        <v>0</v>
      </c>
      <c r="P57" s="234">
        <v>0</v>
      </c>
      <c r="Q57" s="236">
        <v>6</v>
      </c>
      <c r="R57" s="234">
        <v>5</v>
      </c>
    </row>
    <row r="58" spans="1:19" s="241" customFormat="1" x14ac:dyDescent="0.25">
      <c r="A58" s="22"/>
      <c r="B58" s="23"/>
      <c r="C58" s="23"/>
      <c r="D58" s="23"/>
      <c r="E58" s="23"/>
      <c r="F58" s="23"/>
      <c r="G58" s="22"/>
      <c r="H58" s="23"/>
      <c r="I58" s="22"/>
      <c r="J58" s="13"/>
      <c r="K58" s="23"/>
      <c r="L58" s="22"/>
      <c r="M58" s="13"/>
      <c r="N58" s="22"/>
      <c r="O58" s="13"/>
      <c r="P58" s="22"/>
      <c r="Q58" s="13"/>
      <c r="R58" s="22"/>
      <c r="S58" s="23"/>
    </row>
    <row r="59" spans="1:19" x14ac:dyDescent="0.25">
      <c r="A59" s="234"/>
      <c r="B59" s="235" t="s">
        <v>130</v>
      </c>
      <c r="C59" s="235">
        <v>1</v>
      </c>
      <c r="D59" s="235" t="s">
        <v>177</v>
      </c>
      <c r="E59" s="235">
        <v>381</v>
      </c>
      <c r="F59" s="234">
        <v>378</v>
      </c>
      <c r="G59" s="234">
        <v>3</v>
      </c>
      <c r="H59" s="235">
        <v>517</v>
      </c>
      <c r="I59" s="234">
        <v>475</v>
      </c>
      <c r="J59" s="234">
        <v>42</v>
      </c>
      <c r="K59" s="235">
        <v>252</v>
      </c>
      <c r="L59" s="234">
        <v>3</v>
      </c>
      <c r="M59" s="234">
        <v>308</v>
      </c>
      <c r="N59" s="234">
        <v>18</v>
      </c>
      <c r="O59" s="234">
        <v>126</v>
      </c>
      <c r="P59" s="234">
        <v>0</v>
      </c>
      <c r="Q59" s="234">
        <v>167</v>
      </c>
      <c r="R59" s="234">
        <v>24</v>
      </c>
    </row>
    <row r="60" spans="1:19" x14ac:dyDescent="0.25">
      <c r="A60" s="234"/>
      <c r="B60" s="235"/>
      <c r="C60" s="235">
        <v>2</v>
      </c>
      <c r="D60" s="235" t="s">
        <v>178</v>
      </c>
      <c r="E60" s="235">
        <v>559</v>
      </c>
      <c r="F60" s="234">
        <v>542</v>
      </c>
      <c r="G60" s="234">
        <v>17</v>
      </c>
      <c r="H60" s="235">
        <v>721</v>
      </c>
      <c r="I60" s="234">
        <v>680</v>
      </c>
      <c r="J60" s="234">
        <v>41</v>
      </c>
      <c r="K60" s="235">
        <v>428</v>
      </c>
      <c r="L60" s="234">
        <v>14</v>
      </c>
      <c r="M60" s="234">
        <v>506</v>
      </c>
      <c r="N60" s="234">
        <v>19</v>
      </c>
      <c r="O60" s="234">
        <v>114</v>
      </c>
      <c r="P60" s="234">
        <v>3</v>
      </c>
      <c r="Q60" s="234">
        <v>174</v>
      </c>
      <c r="R60" s="234">
        <v>22</v>
      </c>
    </row>
    <row r="61" spans="1:19" x14ac:dyDescent="0.25">
      <c r="A61" s="234"/>
      <c r="B61" s="235"/>
      <c r="C61" s="235">
        <v>3</v>
      </c>
      <c r="D61" s="235" t="s">
        <v>179</v>
      </c>
      <c r="E61" s="235">
        <v>72</v>
      </c>
      <c r="F61" s="234">
        <v>72</v>
      </c>
      <c r="G61" s="234">
        <v>0</v>
      </c>
      <c r="H61" s="235">
        <v>216</v>
      </c>
      <c r="I61" s="234">
        <v>205</v>
      </c>
      <c r="J61" s="234">
        <v>11</v>
      </c>
      <c r="K61" s="235">
        <v>56</v>
      </c>
      <c r="L61" s="234">
        <v>0</v>
      </c>
      <c r="M61" s="234">
        <v>182</v>
      </c>
      <c r="N61" s="234">
        <v>10</v>
      </c>
      <c r="O61" s="234">
        <v>16</v>
      </c>
      <c r="P61" s="234">
        <v>0</v>
      </c>
      <c r="Q61" s="234">
        <v>23</v>
      </c>
      <c r="R61" s="234">
        <v>1</v>
      </c>
    </row>
    <row r="62" spans="1:19" x14ac:dyDescent="0.25">
      <c r="A62" s="14"/>
      <c r="B62" s="7"/>
      <c r="C62" s="7"/>
      <c r="D62" s="7"/>
      <c r="E62" s="7"/>
      <c r="F62" s="14"/>
      <c r="G62" s="9"/>
      <c r="H62" s="7"/>
      <c r="I62" s="14"/>
      <c r="J62" s="9"/>
      <c r="K62" s="7"/>
      <c r="L62" s="14"/>
      <c r="M62" s="9"/>
      <c r="N62" s="14"/>
      <c r="O62" s="9"/>
      <c r="P62" s="14"/>
      <c r="Q62" s="9"/>
      <c r="R62" s="14"/>
    </row>
    <row r="63" spans="1:19" x14ac:dyDescent="0.25">
      <c r="A63" s="234" t="s">
        <v>125</v>
      </c>
      <c r="B63" s="235" t="s">
        <v>132</v>
      </c>
      <c r="C63" s="235">
        <v>1</v>
      </c>
      <c r="D63" s="235" t="s">
        <v>180</v>
      </c>
      <c r="E63" s="235">
        <v>156</v>
      </c>
      <c r="F63" s="234">
        <v>152</v>
      </c>
      <c r="G63" s="234">
        <v>4</v>
      </c>
      <c r="H63" s="235">
        <v>753</v>
      </c>
      <c r="I63" s="234">
        <v>661</v>
      </c>
      <c r="J63" s="234">
        <v>92</v>
      </c>
      <c r="K63" s="235">
        <v>115</v>
      </c>
      <c r="L63" s="234">
        <v>0</v>
      </c>
      <c r="M63" s="234">
        <v>214</v>
      </c>
      <c r="N63" s="234">
        <v>2</v>
      </c>
      <c r="O63" s="234">
        <v>37</v>
      </c>
      <c r="P63" s="234">
        <v>4</v>
      </c>
      <c r="Q63" s="234">
        <v>447</v>
      </c>
      <c r="R63" s="234">
        <v>90</v>
      </c>
    </row>
    <row r="64" spans="1:19" x14ac:dyDescent="0.25">
      <c r="A64" s="234"/>
      <c r="B64" s="235"/>
      <c r="C64" s="235">
        <v>2</v>
      </c>
      <c r="D64" s="235" t="s">
        <v>181</v>
      </c>
      <c r="E64" s="235">
        <v>827</v>
      </c>
      <c r="F64" s="234">
        <v>818</v>
      </c>
      <c r="G64" s="234">
        <v>9</v>
      </c>
      <c r="H64" s="235">
        <v>1596</v>
      </c>
      <c r="I64" s="234">
        <v>1498</v>
      </c>
      <c r="J64" s="234">
        <v>98</v>
      </c>
      <c r="K64" s="235">
        <v>423</v>
      </c>
      <c r="L64" s="234">
        <v>3</v>
      </c>
      <c r="M64" s="234">
        <v>620</v>
      </c>
      <c r="N64" s="234">
        <v>1</v>
      </c>
      <c r="O64" s="234">
        <v>395</v>
      </c>
      <c r="P64" s="234">
        <v>6</v>
      </c>
      <c r="Q64" s="234">
        <v>878</v>
      </c>
      <c r="R64" s="234">
        <v>97</v>
      </c>
    </row>
    <row r="65" spans="1:18" x14ac:dyDescent="0.25">
      <c r="A65" s="14"/>
      <c r="B65" s="7"/>
      <c r="C65" s="7"/>
      <c r="D65" s="7"/>
      <c r="E65" s="7"/>
      <c r="F65" s="14"/>
      <c r="G65" s="9"/>
      <c r="H65" s="7"/>
      <c r="I65" s="14"/>
      <c r="J65" s="9"/>
      <c r="K65" s="7"/>
      <c r="L65" s="14"/>
      <c r="M65" s="9"/>
      <c r="N65" s="14"/>
      <c r="O65" s="9"/>
      <c r="P65" s="14"/>
      <c r="Q65" s="9"/>
      <c r="R65" s="14"/>
    </row>
    <row r="66" spans="1:18" x14ac:dyDescent="0.25">
      <c r="A66" s="234"/>
      <c r="B66" s="235" t="s">
        <v>133</v>
      </c>
      <c r="C66" s="235">
        <v>1</v>
      </c>
      <c r="D66" s="235" t="s">
        <v>182</v>
      </c>
      <c r="E66" s="235">
        <v>308</v>
      </c>
      <c r="F66" s="234">
        <v>308</v>
      </c>
      <c r="G66" s="234">
        <v>0</v>
      </c>
      <c r="H66" s="235">
        <v>409</v>
      </c>
      <c r="I66" s="234">
        <v>385</v>
      </c>
      <c r="J66" s="234">
        <v>24</v>
      </c>
      <c r="K66" s="235">
        <v>116</v>
      </c>
      <c r="L66" s="234">
        <v>0</v>
      </c>
      <c r="M66" s="234">
        <v>213</v>
      </c>
      <c r="N66" s="234">
        <v>0</v>
      </c>
      <c r="O66" s="234">
        <v>192</v>
      </c>
      <c r="P66" s="234">
        <v>0</v>
      </c>
      <c r="Q66" s="236">
        <v>172</v>
      </c>
      <c r="R66" s="234">
        <v>24</v>
      </c>
    </row>
    <row r="67" spans="1:18" x14ac:dyDescent="0.25">
      <c r="A67" s="234"/>
      <c r="B67" s="235"/>
      <c r="C67" s="235">
        <v>2</v>
      </c>
      <c r="D67" s="235" t="s">
        <v>183</v>
      </c>
      <c r="E67" s="235">
        <v>20</v>
      </c>
      <c r="F67" s="234">
        <v>20</v>
      </c>
      <c r="G67" s="234">
        <v>0</v>
      </c>
      <c r="H67" s="235">
        <v>16</v>
      </c>
      <c r="I67" s="234">
        <v>16</v>
      </c>
      <c r="J67" s="234">
        <v>0</v>
      </c>
      <c r="K67" s="235">
        <v>15</v>
      </c>
      <c r="L67" s="234">
        <v>0</v>
      </c>
      <c r="M67" s="234">
        <v>11</v>
      </c>
      <c r="N67" s="234">
        <v>0</v>
      </c>
      <c r="O67" s="234">
        <v>5</v>
      </c>
      <c r="P67" s="234">
        <v>0</v>
      </c>
      <c r="Q67" s="236">
        <v>5</v>
      </c>
      <c r="R67" s="234">
        <v>0</v>
      </c>
    </row>
    <row r="68" spans="1:18" x14ac:dyDescent="0.25">
      <c r="A68" s="234"/>
      <c r="B68" s="235"/>
      <c r="C68" s="235">
        <v>3</v>
      </c>
      <c r="D68" s="235" t="s">
        <v>184</v>
      </c>
      <c r="E68" s="235">
        <v>256</v>
      </c>
      <c r="F68" s="234">
        <v>254</v>
      </c>
      <c r="G68" s="234">
        <v>2</v>
      </c>
      <c r="H68" s="235">
        <v>2641</v>
      </c>
      <c r="I68" s="234">
        <v>2637</v>
      </c>
      <c r="J68" s="234">
        <v>4</v>
      </c>
      <c r="K68" s="235">
        <v>127</v>
      </c>
      <c r="L68" s="234">
        <v>0</v>
      </c>
      <c r="M68" s="234">
        <v>998</v>
      </c>
      <c r="N68" s="234">
        <v>3</v>
      </c>
      <c r="O68" s="234">
        <v>127</v>
      </c>
      <c r="P68" s="234">
        <v>2</v>
      </c>
      <c r="Q68" s="234">
        <v>1639</v>
      </c>
      <c r="R68" s="234">
        <v>1</v>
      </c>
    </row>
    <row r="69" spans="1:18" x14ac:dyDescent="0.25">
      <c r="A69" s="234"/>
      <c r="B69" s="235"/>
      <c r="C69" s="235">
        <v>4</v>
      </c>
      <c r="D69" s="235" t="s">
        <v>185</v>
      </c>
      <c r="E69" s="235">
        <v>0</v>
      </c>
      <c r="F69" s="235">
        <v>0</v>
      </c>
      <c r="G69" s="235">
        <v>0</v>
      </c>
      <c r="H69" s="235">
        <v>31</v>
      </c>
      <c r="I69" s="234">
        <v>29</v>
      </c>
      <c r="J69" s="234">
        <v>2</v>
      </c>
      <c r="K69" s="235">
        <v>0</v>
      </c>
      <c r="L69" s="234">
        <v>0</v>
      </c>
      <c r="M69" s="234">
        <v>0</v>
      </c>
      <c r="N69" s="234">
        <v>0</v>
      </c>
      <c r="O69" s="234">
        <v>0</v>
      </c>
      <c r="P69" s="234">
        <v>0</v>
      </c>
      <c r="Q69" s="234">
        <v>29</v>
      </c>
      <c r="R69" s="234">
        <v>2</v>
      </c>
    </row>
    <row r="70" spans="1:18" x14ac:dyDescent="0.25">
      <c r="A70" s="234"/>
      <c r="B70" s="235"/>
      <c r="C70" s="235">
        <v>5</v>
      </c>
      <c r="D70" s="235" t="s">
        <v>186</v>
      </c>
      <c r="E70" s="235">
        <v>0</v>
      </c>
      <c r="F70" s="235">
        <v>0</v>
      </c>
      <c r="G70" s="235">
        <v>0</v>
      </c>
      <c r="H70" s="235">
        <v>428</v>
      </c>
      <c r="I70" s="234">
        <v>418</v>
      </c>
      <c r="J70" s="234">
        <v>10</v>
      </c>
      <c r="K70" s="235">
        <v>0</v>
      </c>
      <c r="L70" s="234">
        <v>0</v>
      </c>
      <c r="M70" s="234">
        <v>117</v>
      </c>
      <c r="N70" s="234">
        <v>0</v>
      </c>
      <c r="O70" s="234">
        <v>0</v>
      </c>
      <c r="P70" s="234">
        <v>0</v>
      </c>
      <c r="Q70" s="234">
        <v>301</v>
      </c>
      <c r="R70" s="234">
        <v>10</v>
      </c>
    </row>
    <row r="71" spans="1:18" x14ac:dyDescent="0.25">
      <c r="A71" s="234"/>
      <c r="B71" s="235"/>
      <c r="C71" s="235">
        <v>6</v>
      </c>
      <c r="D71" s="235" t="s">
        <v>187</v>
      </c>
      <c r="E71" s="235">
        <v>0</v>
      </c>
      <c r="F71" s="235">
        <v>0</v>
      </c>
      <c r="G71" s="235">
        <v>0</v>
      </c>
      <c r="H71" s="235">
        <v>53</v>
      </c>
      <c r="I71" s="234">
        <v>53</v>
      </c>
      <c r="J71" s="234">
        <v>0</v>
      </c>
      <c r="K71" s="235">
        <v>0</v>
      </c>
      <c r="L71" s="234"/>
      <c r="M71" s="234">
        <v>50</v>
      </c>
      <c r="N71" s="234">
        <v>0</v>
      </c>
      <c r="O71" s="234">
        <v>0</v>
      </c>
      <c r="P71" s="234">
        <v>0</v>
      </c>
      <c r="Q71" s="234">
        <v>3</v>
      </c>
      <c r="R71" s="234">
        <v>0</v>
      </c>
    </row>
    <row r="72" spans="1:18" x14ac:dyDescent="0.25">
      <c r="A72" s="234"/>
      <c r="B72" s="235"/>
      <c r="C72" s="235">
        <v>7</v>
      </c>
      <c r="D72" s="235" t="s">
        <v>188</v>
      </c>
      <c r="E72" s="235">
        <v>1281</v>
      </c>
      <c r="F72" s="234">
        <v>1280</v>
      </c>
      <c r="G72" s="234">
        <v>1</v>
      </c>
      <c r="H72" s="235">
        <v>1737</v>
      </c>
      <c r="I72" s="234">
        <v>1737</v>
      </c>
      <c r="J72" s="234">
        <v>0</v>
      </c>
      <c r="K72" s="235">
        <v>998</v>
      </c>
      <c r="L72" s="234">
        <v>1</v>
      </c>
      <c r="M72" s="234">
        <v>1335</v>
      </c>
      <c r="N72" s="234">
        <v>0</v>
      </c>
      <c r="O72" s="234">
        <v>282</v>
      </c>
      <c r="P72" s="234">
        <v>0</v>
      </c>
      <c r="Q72" s="234">
        <v>402</v>
      </c>
      <c r="R72" s="234">
        <v>0</v>
      </c>
    </row>
    <row r="73" spans="1:18" x14ac:dyDescent="0.25">
      <c r="A73" s="14"/>
      <c r="B73" s="7"/>
      <c r="C73" s="7"/>
      <c r="D73" s="7"/>
      <c r="E73" s="7"/>
      <c r="F73" s="14"/>
      <c r="G73" s="9"/>
      <c r="H73" s="7"/>
      <c r="I73" s="14"/>
      <c r="J73" s="9"/>
      <c r="K73" s="7"/>
      <c r="L73" s="14"/>
      <c r="M73" s="9"/>
      <c r="N73" s="14"/>
      <c r="O73" s="9"/>
      <c r="P73" s="14"/>
      <c r="Q73" s="9"/>
      <c r="R73" s="14"/>
    </row>
    <row r="74" spans="1:18" x14ac:dyDescent="0.25">
      <c r="A74" s="223" t="s">
        <v>127</v>
      </c>
      <c r="B74" s="224" t="s">
        <v>131</v>
      </c>
      <c r="C74" s="224">
        <v>1</v>
      </c>
      <c r="D74" s="224" t="s">
        <v>189</v>
      </c>
      <c r="E74" s="224">
        <v>21669</v>
      </c>
      <c r="F74" s="223">
        <v>21049</v>
      </c>
      <c r="G74" s="223">
        <v>620</v>
      </c>
      <c r="H74" s="224">
        <v>11402</v>
      </c>
      <c r="I74" s="223">
        <v>11401</v>
      </c>
      <c r="J74" s="223">
        <v>1</v>
      </c>
      <c r="K74" s="224">
        <v>2422</v>
      </c>
      <c r="L74" s="223">
        <v>100</v>
      </c>
      <c r="M74" s="223">
        <v>1179</v>
      </c>
      <c r="N74" s="223">
        <v>0</v>
      </c>
      <c r="O74" s="223">
        <v>18627</v>
      </c>
      <c r="P74" s="223">
        <v>520</v>
      </c>
      <c r="Q74" s="223">
        <v>10222</v>
      </c>
      <c r="R74" s="223">
        <v>1</v>
      </c>
    </row>
    <row r="75" spans="1:18" x14ac:dyDescent="0.25">
      <c r="A75" s="223"/>
      <c r="B75" s="224"/>
      <c r="C75" s="224">
        <v>2</v>
      </c>
      <c r="D75" s="224" t="s">
        <v>190</v>
      </c>
      <c r="E75" s="224">
        <v>46</v>
      </c>
      <c r="F75" s="223">
        <v>46</v>
      </c>
      <c r="G75" s="223">
        <v>0</v>
      </c>
      <c r="H75" s="224">
        <v>896</v>
      </c>
      <c r="I75" s="223">
        <v>832</v>
      </c>
      <c r="J75" s="223">
        <v>64</v>
      </c>
      <c r="K75" s="224">
        <v>42</v>
      </c>
      <c r="L75" s="223">
        <v>0</v>
      </c>
      <c r="M75" s="223">
        <v>635</v>
      </c>
      <c r="N75" s="223">
        <v>45</v>
      </c>
      <c r="O75" s="223">
        <v>4</v>
      </c>
      <c r="P75" s="223">
        <v>0</v>
      </c>
      <c r="Q75" s="223">
        <v>197</v>
      </c>
      <c r="R75" s="223">
        <v>19</v>
      </c>
    </row>
    <row r="76" spans="1:18" x14ac:dyDescent="0.25">
      <c r="A76" s="14"/>
      <c r="B76" s="7"/>
      <c r="C76" s="7"/>
      <c r="D76" s="7"/>
      <c r="E76" s="7"/>
      <c r="F76" s="14"/>
      <c r="G76" s="9"/>
      <c r="H76" s="7"/>
      <c r="I76" s="14"/>
      <c r="J76" s="9"/>
      <c r="K76" s="7"/>
      <c r="L76" s="14"/>
      <c r="M76" s="9"/>
      <c r="N76" s="14"/>
      <c r="O76" s="9"/>
      <c r="P76" s="14"/>
      <c r="Q76" s="9"/>
      <c r="R76" s="14"/>
    </row>
    <row r="77" spans="1:18" x14ac:dyDescent="0.25">
      <c r="A77" s="14"/>
      <c r="B77" s="7" t="s">
        <v>135</v>
      </c>
      <c r="C77" s="7"/>
      <c r="D77" s="7" t="s">
        <v>191</v>
      </c>
      <c r="E77" s="7">
        <v>194</v>
      </c>
      <c r="F77" s="14">
        <v>172</v>
      </c>
      <c r="G77" s="9">
        <v>22</v>
      </c>
      <c r="H77" s="7">
        <v>375</v>
      </c>
      <c r="I77" s="14">
        <v>235</v>
      </c>
      <c r="J77" s="22">
        <v>140</v>
      </c>
      <c r="K77" s="7">
        <v>169</v>
      </c>
      <c r="L77" s="14">
        <v>22</v>
      </c>
      <c r="M77" s="22">
        <v>226</v>
      </c>
      <c r="N77" s="14">
        <v>136</v>
      </c>
      <c r="O77" s="22">
        <v>3</v>
      </c>
      <c r="P77" s="14">
        <v>0</v>
      </c>
      <c r="Q77" s="22">
        <v>9</v>
      </c>
      <c r="R77" s="14">
        <v>4</v>
      </c>
    </row>
    <row r="78" spans="1:18" x14ac:dyDescent="0.25">
      <c r="A78" s="14"/>
      <c r="B78" s="7"/>
      <c r="C78" s="7"/>
      <c r="D78" s="7"/>
      <c r="E78" s="7"/>
      <c r="F78" s="14"/>
      <c r="G78" s="9"/>
      <c r="H78" s="7"/>
      <c r="I78" s="14"/>
      <c r="J78" s="9"/>
      <c r="K78" s="7"/>
      <c r="L78" s="14"/>
      <c r="M78" s="9"/>
      <c r="N78" s="14"/>
      <c r="O78" s="9"/>
      <c r="P78" s="14"/>
      <c r="Q78" s="9"/>
      <c r="R78" s="14"/>
    </row>
    <row r="79" spans="1:18" x14ac:dyDescent="0.25">
      <c r="A79" s="14"/>
      <c r="B79" s="7" t="s">
        <v>134</v>
      </c>
      <c r="C79" s="7">
        <v>1</v>
      </c>
      <c r="D79" s="7" t="s">
        <v>192</v>
      </c>
      <c r="E79" s="7">
        <v>0</v>
      </c>
      <c r="F79" s="14">
        <v>0</v>
      </c>
      <c r="G79" s="22">
        <v>0</v>
      </c>
      <c r="H79" s="7">
        <v>1069</v>
      </c>
      <c r="I79" s="14">
        <v>756</v>
      </c>
      <c r="J79" s="13">
        <v>313</v>
      </c>
      <c r="K79" s="7">
        <v>115</v>
      </c>
      <c r="L79" s="14">
        <v>0</v>
      </c>
      <c r="M79" s="22">
        <v>387</v>
      </c>
      <c r="N79" s="14">
        <v>115</v>
      </c>
      <c r="O79" s="22">
        <v>0</v>
      </c>
      <c r="P79" s="14">
        <v>0</v>
      </c>
      <c r="Q79" s="13">
        <v>369</v>
      </c>
      <c r="R79" s="14">
        <v>198</v>
      </c>
    </row>
    <row r="80" spans="1:18" x14ac:dyDescent="0.25">
      <c r="A80" s="14"/>
      <c r="B80" s="7"/>
      <c r="C80" s="7">
        <v>2</v>
      </c>
      <c r="D80" s="7" t="s">
        <v>193</v>
      </c>
      <c r="E80" s="7">
        <v>655</v>
      </c>
      <c r="F80" s="14">
        <v>655</v>
      </c>
      <c r="G80" s="22">
        <v>0</v>
      </c>
      <c r="H80" s="7">
        <v>1861</v>
      </c>
      <c r="I80" s="14">
        <v>1726</v>
      </c>
      <c r="J80" s="22">
        <v>135</v>
      </c>
      <c r="K80" s="7">
        <v>0</v>
      </c>
      <c r="L80" s="14">
        <v>0</v>
      </c>
      <c r="M80" s="22">
        <v>170</v>
      </c>
      <c r="N80" s="14">
        <v>31</v>
      </c>
      <c r="O80" s="22">
        <v>540</v>
      </c>
      <c r="P80" s="14">
        <v>0</v>
      </c>
      <c r="Q80" s="22">
        <v>1556</v>
      </c>
      <c r="R80" s="14">
        <v>104</v>
      </c>
    </row>
    <row r="81" spans="1:18" x14ac:dyDescent="0.25">
      <c r="A81" s="14"/>
      <c r="B81" s="7"/>
      <c r="C81" s="7"/>
      <c r="D81" s="14"/>
      <c r="E81" s="7"/>
      <c r="F81" s="14"/>
      <c r="G81" s="9"/>
      <c r="H81" s="7"/>
      <c r="I81" s="14"/>
      <c r="J81" s="9"/>
      <c r="K81" s="7"/>
      <c r="L81" s="14"/>
      <c r="M81" s="9"/>
      <c r="N81" s="14"/>
      <c r="O81" s="9"/>
      <c r="P81" s="14"/>
      <c r="Q81" s="22"/>
      <c r="R81" s="14"/>
    </row>
    <row r="82" spans="1:18" x14ac:dyDescent="0.25">
      <c r="A82" s="14"/>
      <c r="B82" s="7" t="s">
        <v>135</v>
      </c>
      <c r="C82" s="7">
        <v>1</v>
      </c>
      <c r="D82" s="14" t="s">
        <v>194</v>
      </c>
      <c r="E82" s="7">
        <v>31041</v>
      </c>
      <c r="F82" s="14">
        <v>15522</v>
      </c>
      <c r="G82" s="22">
        <v>15519</v>
      </c>
      <c r="H82" s="7">
        <v>46583</v>
      </c>
      <c r="I82" s="14">
        <v>22839</v>
      </c>
      <c r="J82" s="22">
        <v>23744</v>
      </c>
      <c r="K82" s="7">
        <v>8973</v>
      </c>
      <c r="L82" s="14">
        <v>8397</v>
      </c>
      <c r="M82" s="22">
        <v>13808</v>
      </c>
      <c r="N82" s="14">
        <v>13331</v>
      </c>
      <c r="O82" s="22">
        <v>6549</v>
      </c>
      <c r="P82" s="14">
        <v>7122</v>
      </c>
      <c r="Q82" s="22">
        <v>9031</v>
      </c>
      <c r="R82" s="14">
        <v>10413</v>
      </c>
    </row>
    <row r="83" spans="1:18" x14ac:dyDescent="0.25">
      <c r="A83" s="14"/>
      <c r="B83" s="7"/>
      <c r="C83" s="7">
        <v>2</v>
      </c>
      <c r="D83" s="14" t="s">
        <v>195</v>
      </c>
      <c r="E83" s="7">
        <v>308804</v>
      </c>
      <c r="F83" s="14">
        <v>114817</v>
      </c>
      <c r="G83" s="22">
        <v>193987</v>
      </c>
      <c r="H83" s="7">
        <v>320884</v>
      </c>
      <c r="I83" s="14">
        <v>156251</v>
      </c>
      <c r="J83" s="22">
        <v>164633</v>
      </c>
      <c r="K83" s="7">
        <v>37668</v>
      </c>
      <c r="L83" s="14">
        <v>73771</v>
      </c>
      <c r="M83" s="22">
        <v>45545</v>
      </c>
      <c r="N83" s="14">
        <v>50338</v>
      </c>
      <c r="O83" s="22">
        <v>77149</v>
      </c>
      <c r="P83" s="14">
        <v>120216</v>
      </c>
      <c r="Q83" s="22">
        <v>110706</v>
      </c>
      <c r="R83" s="14">
        <v>114295</v>
      </c>
    </row>
    <row r="84" spans="1:18" ht="15.75" thickBot="1" x14ac:dyDescent="0.3">
      <c r="A84" s="15"/>
      <c r="B84" s="8"/>
      <c r="C84" s="8"/>
      <c r="D84" s="15"/>
      <c r="E84" s="8"/>
      <c r="F84" s="15"/>
      <c r="G84" s="15"/>
      <c r="H84" s="8"/>
      <c r="I84" s="15"/>
      <c r="J84" s="4"/>
      <c r="K84" s="8"/>
      <c r="L84" s="15"/>
      <c r="M84" s="4"/>
      <c r="N84" s="15"/>
      <c r="O84" s="4"/>
      <c r="P84" s="15"/>
      <c r="Q84" s="4"/>
      <c r="R84" s="15"/>
    </row>
    <row r="85" spans="1:18" ht="15.75" thickTop="1" x14ac:dyDescent="0.25">
      <c r="G85" s="9"/>
      <c r="H85" s="13"/>
      <c r="P85" s="9"/>
      <c r="Q85" s="9"/>
    </row>
  </sheetData>
  <mergeCells count="14">
    <mergeCell ref="O2:R2"/>
    <mergeCell ref="Q3:R3"/>
    <mergeCell ref="A1:R1"/>
    <mergeCell ref="A2:A4"/>
    <mergeCell ref="B2:B4"/>
    <mergeCell ref="C2:C4"/>
    <mergeCell ref="D2:D4"/>
    <mergeCell ref="E2:J2"/>
    <mergeCell ref="K2:N2"/>
    <mergeCell ref="E3:G3"/>
    <mergeCell ref="H3:J3"/>
    <mergeCell ref="K3:L3"/>
    <mergeCell ref="M3:N3"/>
    <mergeCell ref="O3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0"/>
  <sheetViews>
    <sheetView zoomScale="80" zoomScaleNormal="80" workbookViewId="0">
      <selection activeCell="AA5" sqref="AA5:AC11"/>
    </sheetView>
  </sheetViews>
  <sheetFormatPr defaultRowHeight="15" customHeight="1" x14ac:dyDescent="0.25"/>
  <cols>
    <col min="1" max="3" width="4.7109375" style="27" customWidth="1"/>
    <col min="4" max="4" width="60.7109375" style="27" customWidth="1"/>
    <col min="5" max="7" width="10.7109375" style="27" customWidth="1"/>
    <col min="8" max="25" width="10.7109375" style="27" hidden="1" customWidth="1"/>
    <col min="26" max="26" width="9.140625" style="27"/>
    <col min="27" max="27" width="21.5703125" style="27" bestFit="1" customWidth="1"/>
    <col min="28" max="16384" width="9.140625" style="27"/>
  </cols>
  <sheetData>
    <row r="1" spans="1:29" ht="15" customHeight="1" thickBot="1" x14ac:dyDescent="0.3">
      <c r="A1" s="277" t="s">
        <v>228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</row>
    <row r="2" spans="1:29" ht="15" customHeight="1" thickTop="1" x14ac:dyDescent="0.25">
      <c r="A2" s="279" t="s">
        <v>105</v>
      </c>
      <c r="B2" s="282" t="s">
        <v>106</v>
      </c>
      <c r="C2" s="282" t="s">
        <v>107</v>
      </c>
      <c r="D2" s="285" t="s">
        <v>108</v>
      </c>
      <c r="E2" s="269" t="s">
        <v>115</v>
      </c>
      <c r="F2" s="270"/>
      <c r="G2" s="270"/>
      <c r="H2" s="269" t="s">
        <v>217</v>
      </c>
      <c r="I2" s="270"/>
      <c r="J2" s="270"/>
      <c r="K2" s="269" t="s">
        <v>218</v>
      </c>
      <c r="L2" s="270"/>
      <c r="M2" s="270"/>
      <c r="N2" s="269" t="s">
        <v>219</v>
      </c>
      <c r="O2" s="270"/>
      <c r="P2" s="270"/>
      <c r="Q2" s="269" t="s">
        <v>220</v>
      </c>
      <c r="R2" s="270"/>
      <c r="S2" s="270"/>
      <c r="T2" s="269" t="s">
        <v>221</v>
      </c>
      <c r="U2" s="270"/>
      <c r="V2" s="271"/>
      <c r="W2" s="269" t="s">
        <v>109</v>
      </c>
      <c r="X2" s="270"/>
      <c r="Y2" s="270"/>
      <c r="Z2" s="20"/>
    </row>
    <row r="3" spans="1:29" ht="15" customHeight="1" x14ac:dyDescent="0.25">
      <c r="A3" s="280"/>
      <c r="B3" s="283"/>
      <c r="C3" s="283"/>
      <c r="D3" s="286"/>
      <c r="E3" s="16" t="s">
        <v>111</v>
      </c>
      <c r="F3" s="16" t="s">
        <v>112</v>
      </c>
      <c r="G3" s="16" t="s">
        <v>113</v>
      </c>
      <c r="H3" s="16" t="s">
        <v>111</v>
      </c>
      <c r="I3" s="17" t="s">
        <v>112</v>
      </c>
      <c r="J3" s="18" t="s">
        <v>113</v>
      </c>
      <c r="K3" s="16" t="s">
        <v>111</v>
      </c>
      <c r="L3" s="17" t="s">
        <v>112</v>
      </c>
      <c r="M3" s="16" t="s">
        <v>113</v>
      </c>
      <c r="N3" s="18" t="s">
        <v>111</v>
      </c>
      <c r="O3" s="17" t="s">
        <v>112</v>
      </c>
      <c r="P3" s="18" t="s">
        <v>113</v>
      </c>
      <c r="Q3" s="16" t="s">
        <v>111</v>
      </c>
      <c r="R3" s="18" t="s">
        <v>112</v>
      </c>
      <c r="S3" s="16" t="s">
        <v>113</v>
      </c>
      <c r="T3" s="16" t="s">
        <v>111</v>
      </c>
      <c r="U3" s="16" t="s">
        <v>112</v>
      </c>
      <c r="V3" s="16" t="s">
        <v>113</v>
      </c>
      <c r="W3" s="16" t="s">
        <v>111</v>
      </c>
      <c r="X3" s="16" t="s">
        <v>112</v>
      </c>
      <c r="Y3" s="16" t="s">
        <v>113</v>
      </c>
      <c r="Z3" s="20"/>
    </row>
    <row r="4" spans="1:29" ht="38.25" customHeight="1" x14ac:dyDescent="0.25">
      <c r="A4" s="281"/>
      <c r="B4" s="284"/>
      <c r="C4" s="284"/>
      <c r="D4" s="287"/>
      <c r="E4" s="21"/>
      <c r="F4" s="21"/>
      <c r="G4" s="21"/>
      <c r="H4" s="21"/>
      <c r="I4" s="24"/>
      <c r="J4" s="24"/>
      <c r="K4" s="24"/>
      <c r="L4" s="24"/>
      <c r="M4" s="24"/>
      <c r="N4" s="25"/>
      <c r="O4" s="1"/>
      <c r="P4" s="19"/>
      <c r="Q4" s="21"/>
      <c r="R4" s="19"/>
      <c r="S4" s="21"/>
      <c r="T4" s="21"/>
      <c r="U4" s="21"/>
      <c r="V4" s="21"/>
      <c r="W4" s="21"/>
      <c r="X4" s="21"/>
      <c r="Y4" s="21"/>
      <c r="Z4" s="20"/>
    </row>
    <row r="5" spans="1:29" ht="15" customHeight="1" x14ac:dyDescent="0.25">
      <c r="A5" s="14"/>
      <c r="B5" s="7"/>
      <c r="C5" s="7"/>
      <c r="D5" s="21" t="s">
        <v>117</v>
      </c>
      <c r="E5" s="21">
        <v>376987</v>
      </c>
      <c r="F5" s="21">
        <v>195956</v>
      </c>
      <c r="G5" s="21">
        <v>181031</v>
      </c>
      <c r="H5" s="21">
        <v>13907</v>
      </c>
      <c r="I5" s="21">
        <v>6713</v>
      </c>
      <c r="J5" s="21">
        <v>7194</v>
      </c>
      <c r="K5" s="21">
        <v>50388</v>
      </c>
      <c r="L5" s="21">
        <v>26248</v>
      </c>
      <c r="M5" s="21">
        <v>24140</v>
      </c>
      <c r="N5" s="25">
        <v>229680</v>
      </c>
      <c r="O5" s="1">
        <v>108566</v>
      </c>
      <c r="P5" s="19">
        <v>121114</v>
      </c>
      <c r="Q5" s="21">
        <v>608456</v>
      </c>
      <c r="R5" s="19">
        <v>306635</v>
      </c>
      <c r="S5" s="21">
        <v>301821</v>
      </c>
      <c r="T5" s="21">
        <v>247806</v>
      </c>
      <c r="U5" s="21">
        <v>123209</v>
      </c>
      <c r="V5" s="21">
        <v>124597</v>
      </c>
      <c r="W5" s="21">
        <v>1527224</v>
      </c>
      <c r="X5" s="21">
        <v>767327</v>
      </c>
      <c r="Y5" s="21">
        <v>759897</v>
      </c>
      <c r="Z5" s="20"/>
      <c r="AA5" s="288" t="s">
        <v>232</v>
      </c>
      <c r="AB5" s="288"/>
      <c r="AC5" s="288"/>
    </row>
    <row r="6" spans="1:29" ht="15" customHeight="1" x14ac:dyDescent="0.25">
      <c r="A6" s="14"/>
      <c r="B6" s="7"/>
      <c r="C6" s="7"/>
      <c r="D6" s="7"/>
      <c r="E6" s="23"/>
      <c r="F6" s="7"/>
      <c r="G6" s="7"/>
      <c r="H6" s="7"/>
      <c r="I6" s="23"/>
      <c r="J6" s="7"/>
      <c r="K6" s="7"/>
      <c r="L6" s="23"/>
      <c r="M6" s="7"/>
      <c r="N6" s="14"/>
      <c r="O6" s="29"/>
      <c r="P6" s="14"/>
      <c r="Q6" s="7"/>
      <c r="R6" s="22"/>
      <c r="S6" s="7"/>
      <c r="T6" s="7"/>
      <c r="U6" s="23"/>
      <c r="V6" s="7"/>
      <c r="W6" s="7"/>
      <c r="X6" s="7"/>
      <c r="Y6" s="23"/>
      <c r="Z6" s="20"/>
      <c r="AA6" s="25"/>
      <c r="AB6" s="25">
        <v>1891</v>
      </c>
      <c r="AC6" s="243">
        <v>18.91</v>
      </c>
    </row>
    <row r="7" spans="1:29" ht="15" customHeight="1" x14ac:dyDescent="0.25">
      <c r="A7" s="227" t="s">
        <v>119</v>
      </c>
      <c r="B7" s="228" t="s">
        <v>119</v>
      </c>
      <c r="C7" s="228">
        <v>1</v>
      </c>
      <c r="D7" s="228" t="s">
        <v>120</v>
      </c>
      <c r="E7" s="228">
        <v>2578</v>
      </c>
      <c r="F7" s="228">
        <v>2504</v>
      </c>
      <c r="G7" s="228">
        <v>74</v>
      </c>
      <c r="H7" s="228">
        <v>4</v>
      </c>
      <c r="I7" s="228">
        <v>4</v>
      </c>
      <c r="J7" s="228">
        <v>0</v>
      </c>
      <c r="K7" s="228">
        <v>18</v>
      </c>
      <c r="L7" s="228">
        <v>18</v>
      </c>
      <c r="M7" s="228">
        <v>0</v>
      </c>
      <c r="N7" s="227">
        <v>373</v>
      </c>
      <c r="O7" s="245">
        <v>373</v>
      </c>
      <c r="P7" s="227">
        <v>0</v>
      </c>
      <c r="Q7" s="228">
        <v>870</v>
      </c>
      <c r="R7" s="227">
        <v>867</v>
      </c>
      <c r="S7" s="228">
        <v>3</v>
      </c>
      <c r="T7" s="228">
        <v>173</v>
      </c>
      <c r="U7" s="228">
        <v>160</v>
      </c>
      <c r="V7" s="228">
        <v>13</v>
      </c>
      <c r="W7" s="229">
        <v>4016</v>
      </c>
      <c r="X7" s="228">
        <v>3926</v>
      </c>
      <c r="Y7" s="228">
        <v>90</v>
      </c>
      <c r="Z7" s="20"/>
      <c r="AA7" s="105" t="s">
        <v>238</v>
      </c>
      <c r="AB7" s="25">
        <f>F7+F8+F9+F11+F12+F13+F14+F15+F16+F17+F18+F19+F20+F24+F27+F29+F30+F31+F32+F34+F33+F41+F42+F43+F44+F45+F46+F47+F48+F49+F50+F51+F52</f>
        <v>31715</v>
      </c>
      <c r="AC7" s="25">
        <f>AB7/$AB$11*100</f>
        <v>27.926000281769515</v>
      </c>
    </row>
    <row r="8" spans="1:29" ht="15" customHeight="1" x14ac:dyDescent="0.25">
      <c r="A8" s="227"/>
      <c r="B8" s="228"/>
      <c r="C8" s="228">
        <v>2</v>
      </c>
      <c r="D8" s="228" t="s">
        <v>136</v>
      </c>
      <c r="E8" s="228">
        <v>241</v>
      </c>
      <c r="F8" s="228">
        <v>240</v>
      </c>
      <c r="G8" s="228">
        <v>1</v>
      </c>
      <c r="H8" s="228">
        <v>1</v>
      </c>
      <c r="I8" s="228">
        <v>1</v>
      </c>
      <c r="J8" s="228">
        <v>0</v>
      </c>
      <c r="K8" s="228">
        <v>1</v>
      </c>
      <c r="L8" s="228">
        <v>1</v>
      </c>
      <c r="M8" s="228">
        <v>0</v>
      </c>
      <c r="N8" s="227">
        <v>1</v>
      </c>
      <c r="O8" s="245">
        <v>1</v>
      </c>
      <c r="P8" s="227">
        <v>0</v>
      </c>
      <c r="Q8" s="228">
        <v>14</v>
      </c>
      <c r="R8" s="227">
        <v>14</v>
      </c>
      <c r="S8" s="228">
        <v>0</v>
      </c>
      <c r="T8" s="228">
        <v>20</v>
      </c>
      <c r="U8" s="228">
        <v>18</v>
      </c>
      <c r="V8" s="228">
        <v>2</v>
      </c>
      <c r="W8" s="228">
        <v>278</v>
      </c>
      <c r="X8" s="228">
        <v>275</v>
      </c>
      <c r="Y8" s="228">
        <v>3</v>
      </c>
      <c r="Z8" s="20"/>
      <c r="AA8" s="111" t="s">
        <v>240</v>
      </c>
      <c r="AB8" s="25">
        <f>F36+F37+F38+F39</f>
        <v>59509</v>
      </c>
      <c r="AC8" s="25">
        <f t="shared" ref="AC8:AC11" si="0">AB8/$AB$11*100</f>
        <v>52.399443505212737</v>
      </c>
    </row>
    <row r="9" spans="1:29" ht="15" customHeight="1" x14ac:dyDescent="0.25">
      <c r="A9" s="227"/>
      <c r="B9" s="228"/>
      <c r="C9" s="228">
        <v>3</v>
      </c>
      <c r="D9" s="228" t="s">
        <v>137</v>
      </c>
      <c r="E9" s="228">
        <v>3207</v>
      </c>
      <c r="F9" s="228">
        <v>3207</v>
      </c>
      <c r="G9" s="228">
        <v>0</v>
      </c>
      <c r="H9" s="228">
        <v>0</v>
      </c>
      <c r="I9" s="228">
        <v>0</v>
      </c>
      <c r="J9" s="228">
        <v>0</v>
      </c>
      <c r="K9" s="228">
        <v>0</v>
      </c>
      <c r="L9" s="228">
        <v>0</v>
      </c>
      <c r="M9" s="228">
        <v>0</v>
      </c>
      <c r="N9" s="227">
        <v>0</v>
      </c>
      <c r="O9" s="245">
        <v>0</v>
      </c>
      <c r="P9" s="227">
        <v>0</v>
      </c>
      <c r="Q9" s="228">
        <v>1</v>
      </c>
      <c r="R9" s="227">
        <v>1</v>
      </c>
      <c r="S9" s="228">
        <v>0</v>
      </c>
      <c r="T9" s="228">
        <v>148</v>
      </c>
      <c r="U9" s="228">
        <v>148</v>
      </c>
      <c r="V9" s="228">
        <v>0</v>
      </c>
      <c r="W9" s="228">
        <v>3356</v>
      </c>
      <c r="X9" s="228">
        <v>3356</v>
      </c>
      <c r="Y9" s="228">
        <v>0</v>
      </c>
      <c r="Z9" s="20"/>
      <c r="AA9" s="119" t="s">
        <v>243</v>
      </c>
      <c r="AB9" s="25">
        <f>F54+F55+F56+F57+F59+F60+F61+F64+F63+F65+F67+F68+F70+F71+F72+F73+F74+F75+F76</f>
        <v>20075</v>
      </c>
      <c r="AC9" s="25">
        <f t="shared" si="0"/>
        <v>17.676634263172726</v>
      </c>
    </row>
    <row r="10" spans="1:29" ht="15" customHeight="1" x14ac:dyDescent="0.25">
      <c r="A10" s="14"/>
      <c r="B10" s="7"/>
      <c r="C10" s="7"/>
      <c r="D10" s="7"/>
      <c r="E10" s="7"/>
      <c r="F10" s="7"/>
      <c r="G10" s="7"/>
      <c r="H10" s="7"/>
      <c r="I10" s="23"/>
      <c r="J10" s="7"/>
      <c r="K10" s="7"/>
      <c r="L10" s="23"/>
      <c r="M10" s="7"/>
      <c r="N10" s="14"/>
      <c r="O10" s="29"/>
      <c r="P10" s="14"/>
      <c r="Q10" s="7"/>
      <c r="R10" s="22"/>
      <c r="S10" s="7"/>
      <c r="T10" s="7"/>
      <c r="U10" s="23"/>
      <c r="V10" s="7"/>
      <c r="W10" s="7"/>
      <c r="X10" s="7"/>
      <c r="Y10" s="7"/>
      <c r="Z10" s="20"/>
      <c r="AA10" s="126" t="s">
        <v>245</v>
      </c>
      <c r="AB10" s="25">
        <f>F78</f>
        <v>2269</v>
      </c>
      <c r="AC10" s="25">
        <f t="shared" si="0"/>
        <v>1.9979219498450267</v>
      </c>
    </row>
    <row r="11" spans="1:29" ht="15" customHeight="1" x14ac:dyDescent="0.25">
      <c r="A11" s="227"/>
      <c r="B11" s="228" t="s">
        <v>121</v>
      </c>
      <c r="C11" s="228">
        <v>1</v>
      </c>
      <c r="D11" s="228" t="s">
        <v>138</v>
      </c>
      <c r="E11" s="228">
        <v>996</v>
      </c>
      <c r="F11" s="228">
        <v>800</v>
      </c>
      <c r="G11" s="228">
        <v>196</v>
      </c>
      <c r="H11" s="228">
        <v>19</v>
      </c>
      <c r="I11" s="228">
        <v>19</v>
      </c>
      <c r="J11" s="228">
        <v>0</v>
      </c>
      <c r="K11" s="228">
        <v>1</v>
      </c>
      <c r="L11" s="228">
        <v>1</v>
      </c>
      <c r="M11" s="228">
        <v>0</v>
      </c>
      <c r="N11" s="227">
        <v>126</v>
      </c>
      <c r="O11" s="245">
        <v>124</v>
      </c>
      <c r="P11" s="227">
        <v>2</v>
      </c>
      <c r="Q11" s="228">
        <v>108</v>
      </c>
      <c r="R11" s="227">
        <v>105</v>
      </c>
      <c r="S11" s="228">
        <v>3</v>
      </c>
      <c r="T11" s="228">
        <v>39</v>
      </c>
      <c r="U11" s="228">
        <v>34</v>
      </c>
      <c r="V11" s="228">
        <v>5</v>
      </c>
      <c r="W11" s="228">
        <v>1289</v>
      </c>
      <c r="X11" s="228">
        <v>1083</v>
      </c>
      <c r="Y11" s="228">
        <v>206</v>
      </c>
      <c r="Z11" s="20"/>
      <c r="AA11" s="25" t="s">
        <v>362</v>
      </c>
      <c r="AB11" s="25">
        <f>SUM(AB7:AB10)</f>
        <v>113568</v>
      </c>
      <c r="AC11" s="25">
        <f t="shared" si="0"/>
        <v>100</v>
      </c>
    </row>
    <row r="12" spans="1:29" ht="15" customHeight="1" x14ac:dyDescent="0.25">
      <c r="A12" s="227"/>
      <c r="B12" s="228"/>
      <c r="C12" s="228">
        <v>2</v>
      </c>
      <c r="D12" s="231" t="s">
        <v>139</v>
      </c>
      <c r="E12" s="228">
        <v>676</v>
      </c>
      <c r="F12" s="228">
        <v>671</v>
      </c>
      <c r="G12" s="228">
        <v>5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7">
        <v>4</v>
      </c>
      <c r="O12" s="245">
        <v>4</v>
      </c>
      <c r="P12" s="227"/>
      <c r="Q12" s="228">
        <v>7</v>
      </c>
      <c r="R12" s="227">
        <v>7</v>
      </c>
      <c r="S12" s="228"/>
      <c r="T12" s="228">
        <v>7</v>
      </c>
      <c r="U12" s="228">
        <v>7</v>
      </c>
      <c r="V12" s="228"/>
      <c r="W12" s="228">
        <v>694</v>
      </c>
      <c r="X12" s="228">
        <v>689</v>
      </c>
      <c r="Y12" s="228">
        <v>5</v>
      </c>
      <c r="Z12" s="20"/>
    </row>
    <row r="13" spans="1:29" ht="15" customHeight="1" x14ac:dyDescent="0.25">
      <c r="A13" s="227"/>
      <c r="B13" s="228"/>
      <c r="C13" s="228">
        <v>3</v>
      </c>
      <c r="D13" s="231" t="s">
        <v>140</v>
      </c>
      <c r="E13" s="228">
        <v>1159</v>
      </c>
      <c r="F13" s="228">
        <v>794</v>
      </c>
      <c r="G13" s="228">
        <v>365</v>
      </c>
      <c r="H13" s="228">
        <v>18</v>
      </c>
      <c r="I13" s="228">
        <v>1</v>
      </c>
      <c r="J13" s="228">
        <v>17</v>
      </c>
      <c r="K13" s="228">
        <v>28</v>
      </c>
      <c r="L13" s="228">
        <v>2</v>
      </c>
      <c r="M13" s="228">
        <v>26</v>
      </c>
      <c r="N13" s="227">
        <v>39</v>
      </c>
      <c r="O13" s="245">
        <v>35</v>
      </c>
      <c r="P13" s="227">
        <v>4</v>
      </c>
      <c r="Q13" s="228">
        <v>86</v>
      </c>
      <c r="R13" s="227">
        <v>64</v>
      </c>
      <c r="S13" s="228">
        <v>22</v>
      </c>
      <c r="T13" s="228">
        <v>326</v>
      </c>
      <c r="U13" s="228">
        <v>39</v>
      </c>
      <c r="V13" s="228">
        <v>287</v>
      </c>
      <c r="W13" s="228">
        <v>1656</v>
      </c>
      <c r="X13" s="228">
        <v>935</v>
      </c>
      <c r="Y13" s="228">
        <v>721</v>
      </c>
      <c r="Z13" s="20"/>
    </row>
    <row r="14" spans="1:29" ht="15" customHeight="1" x14ac:dyDescent="0.25">
      <c r="A14" s="227"/>
      <c r="B14" s="228"/>
      <c r="C14" s="228">
        <v>4</v>
      </c>
      <c r="D14" s="228" t="s">
        <v>141</v>
      </c>
      <c r="E14" s="228">
        <v>132</v>
      </c>
      <c r="F14" s="228">
        <v>105</v>
      </c>
      <c r="G14" s="228">
        <v>27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7">
        <v>1</v>
      </c>
      <c r="O14" s="245">
        <v>1</v>
      </c>
      <c r="P14" s="227">
        <v>0</v>
      </c>
      <c r="Q14" s="227">
        <v>0</v>
      </c>
      <c r="R14" s="227">
        <v>0</v>
      </c>
      <c r="S14" s="227">
        <v>0</v>
      </c>
      <c r="T14" s="228">
        <v>2</v>
      </c>
      <c r="U14" s="228">
        <v>1</v>
      </c>
      <c r="V14" s="228">
        <v>1</v>
      </c>
      <c r="W14" s="228">
        <v>135</v>
      </c>
      <c r="X14" s="228">
        <v>107</v>
      </c>
      <c r="Y14" s="228">
        <v>28</v>
      </c>
      <c r="Z14" s="20"/>
    </row>
    <row r="15" spans="1:29" ht="15" customHeight="1" x14ac:dyDescent="0.25">
      <c r="A15" s="227"/>
      <c r="B15" s="228"/>
      <c r="C15" s="228">
        <v>5</v>
      </c>
      <c r="D15" s="228" t="s">
        <v>142</v>
      </c>
      <c r="E15" s="228">
        <v>13</v>
      </c>
      <c r="F15" s="228">
        <v>13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8">
        <v>0</v>
      </c>
      <c r="U15" s="228">
        <v>0</v>
      </c>
      <c r="V15" s="228">
        <v>0</v>
      </c>
      <c r="W15" s="228">
        <v>13</v>
      </c>
      <c r="X15" s="228">
        <v>13</v>
      </c>
      <c r="Y15" s="228">
        <v>0</v>
      </c>
      <c r="Z15" s="20"/>
    </row>
    <row r="16" spans="1:29" ht="15" customHeight="1" x14ac:dyDescent="0.25">
      <c r="A16" s="227"/>
      <c r="B16" s="228"/>
      <c r="C16" s="228">
        <v>6</v>
      </c>
      <c r="D16" s="228" t="s">
        <v>224</v>
      </c>
      <c r="E16" s="228">
        <v>231</v>
      </c>
      <c r="F16" s="228">
        <v>230</v>
      </c>
      <c r="G16" s="228">
        <v>1</v>
      </c>
      <c r="H16" s="228">
        <v>0</v>
      </c>
      <c r="I16" s="228">
        <v>0</v>
      </c>
      <c r="J16" s="228">
        <v>0</v>
      </c>
      <c r="K16" s="228">
        <v>0</v>
      </c>
      <c r="L16" s="228">
        <v>0</v>
      </c>
      <c r="M16" s="228">
        <v>0</v>
      </c>
      <c r="N16" s="227">
        <v>2</v>
      </c>
      <c r="O16" s="227">
        <v>2</v>
      </c>
      <c r="P16" s="227">
        <v>0</v>
      </c>
      <c r="Q16" s="227">
        <v>14</v>
      </c>
      <c r="R16" s="227">
        <v>14</v>
      </c>
      <c r="S16" s="227"/>
      <c r="T16" s="228">
        <v>2</v>
      </c>
      <c r="U16" s="228">
        <v>2</v>
      </c>
      <c r="V16" s="228">
        <v>0</v>
      </c>
      <c r="W16" s="228">
        <v>249</v>
      </c>
      <c r="X16" s="228">
        <v>248</v>
      </c>
      <c r="Y16" s="228">
        <v>1</v>
      </c>
      <c r="Z16" s="20"/>
    </row>
    <row r="17" spans="1:26" ht="15" customHeight="1" x14ac:dyDescent="0.25">
      <c r="A17" s="227"/>
      <c r="B17" s="228"/>
      <c r="C17" s="228">
        <v>7</v>
      </c>
      <c r="D17" s="228" t="s">
        <v>143</v>
      </c>
      <c r="E17" s="228">
        <v>4217</v>
      </c>
      <c r="F17" s="228">
        <v>1069</v>
      </c>
      <c r="G17" s="228">
        <v>3148</v>
      </c>
      <c r="H17" s="228">
        <v>12</v>
      </c>
      <c r="I17" s="228">
        <v>8</v>
      </c>
      <c r="J17" s="228">
        <v>4</v>
      </c>
      <c r="K17" s="228">
        <v>11</v>
      </c>
      <c r="L17" s="228">
        <v>7</v>
      </c>
      <c r="M17" s="228">
        <v>4</v>
      </c>
      <c r="N17" s="227">
        <v>450</v>
      </c>
      <c r="O17" s="245">
        <v>277</v>
      </c>
      <c r="P17" s="227">
        <v>173</v>
      </c>
      <c r="Q17" s="228">
        <v>269</v>
      </c>
      <c r="R17" s="227">
        <v>179</v>
      </c>
      <c r="S17" s="228">
        <v>90</v>
      </c>
      <c r="T17" s="228">
        <v>292</v>
      </c>
      <c r="U17" s="228">
        <v>107</v>
      </c>
      <c r="V17" s="228">
        <v>185</v>
      </c>
      <c r="W17" s="228">
        <v>5251</v>
      </c>
      <c r="X17" s="228">
        <v>1647</v>
      </c>
      <c r="Y17" s="228">
        <v>3604</v>
      </c>
      <c r="Z17" s="20"/>
    </row>
    <row r="18" spans="1:26" ht="15" customHeight="1" x14ac:dyDescent="0.25">
      <c r="A18" s="227"/>
      <c r="B18" s="228"/>
      <c r="C18" s="228">
        <v>8</v>
      </c>
      <c r="D18" s="228" t="s">
        <v>144</v>
      </c>
      <c r="E18" s="228">
        <v>267</v>
      </c>
      <c r="F18" s="228">
        <v>210</v>
      </c>
      <c r="G18" s="228">
        <v>57</v>
      </c>
      <c r="H18" s="228">
        <v>0</v>
      </c>
      <c r="I18" s="228">
        <v>0</v>
      </c>
      <c r="J18" s="228">
        <v>0</v>
      </c>
      <c r="K18" s="228">
        <v>0</v>
      </c>
      <c r="L18" s="228">
        <v>0</v>
      </c>
      <c r="M18" s="228">
        <v>0</v>
      </c>
      <c r="N18" s="228">
        <v>0</v>
      </c>
      <c r="O18" s="228">
        <v>0</v>
      </c>
      <c r="P18" s="228">
        <v>0</v>
      </c>
      <c r="Q18" s="228">
        <v>0</v>
      </c>
      <c r="R18" s="228">
        <v>0</v>
      </c>
      <c r="S18" s="228">
        <v>0</v>
      </c>
      <c r="T18" s="228">
        <v>9</v>
      </c>
      <c r="U18" s="228">
        <v>7</v>
      </c>
      <c r="V18" s="228">
        <v>2</v>
      </c>
      <c r="W18" s="228">
        <v>276</v>
      </c>
      <c r="X18" s="228">
        <v>217</v>
      </c>
      <c r="Y18" s="228">
        <v>59</v>
      </c>
      <c r="Z18" s="20"/>
    </row>
    <row r="19" spans="1:26" ht="15" customHeight="1" x14ac:dyDescent="0.25">
      <c r="A19" s="227"/>
      <c r="B19" s="228"/>
      <c r="C19" s="228">
        <v>9</v>
      </c>
      <c r="D19" s="228" t="s">
        <v>145</v>
      </c>
      <c r="E19" s="228">
        <v>381</v>
      </c>
      <c r="F19" s="228">
        <v>122</v>
      </c>
      <c r="G19" s="228">
        <v>259</v>
      </c>
      <c r="H19" s="228">
        <v>2</v>
      </c>
      <c r="I19" s="228">
        <v>2</v>
      </c>
      <c r="J19" s="228">
        <v>0</v>
      </c>
      <c r="K19" s="228">
        <v>0</v>
      </c>
      <c r="L19" s="228">
        <v>0</v>
      </c>
      <c r="M19" s="228">
        <v>0</v>
      </c>
      <c r="N19" s="228">
        <v>3</v>
      </c>
      <c r="O19" s="228">
        <v>3</v>
      </c>
      <c r="P19" s="228"/>
      <c r="Q19" s="228">
        <v>6</v>
      </c>
      <c r="R19" s="227">
        <v>3</v>
      </c>
      <c r="S19" s="228">
        <v>3</v>
      </c>
      <c r="T19" s="228">
        <v>7</v>
      </c>
      <c r="U19" s="228">
        <v>6</v>
      </c>
      <c r="V19" s="228">
        <v>1</v>
      </c>
      <c r="W19" s="228">
        <v>399</v>
      </c>
      <c r="X19" s="228">
        <v>136</v>
      </c>
      <c r="Y19" s="228">
        <v>263</v>
      </c>
      <c r="Z19" s="20"/>
    </row>
    <row r="20" spans="1:26" ht="15" customHeight="1" x14ac:dyDescent="0.25">
      <c r="A20" s="227"/>
      <c r="B20" s="228"/>
      <c r="C20" s="228">
        <v>10</v>
      </c>
      <c r="D20" s="228" t="s">
        <v>196</v>
      </c>
      <c r="E20" s="228">
        <v>155</v>
      </c>
      <c r="F20" s="228">
        <v>120</v>
      </c>
      <c r="G20" s="228">
        <v>35</v>
      </c>
      <c r="H20" s="228">
        <v>0</v>
      </c>
      <c r="I20" s="228">
        <v>0</v>
      </c>
      <c r="J20" s="228">
        <v>0</v>
      </c>
      <c r="K20" s="228">
        <v>1</v>
      </c>
      <c r="L20" s="228">
        <v>1</v>
      </c>
      <c r="M20" s="228">
        <v>0</v>
      </c>
      <c r="N20" s="228">
        <v>0</v>
      </c>
      <c r="O20" s="228">
        <v>0</v>
      </c>
      <c r="P20" s="228">
        <v>0</v>
      </c>
      <c r="Q20" s="228">
        <v>6</v>
      </c>
      <c r="R20" s="227">
        <v>6</v>
      </c>
      <c r="S20" s="228">
        <v>0</v>
      </c>
      <c r="T20" s="228">
        <v>13</v>
      </c>
      <c r="U20" s="228">
        <v>10</v>
      </c>
      <c r="V20" s="228">
        <v>3</v>
      </c>
      <c r="W20" s="228">
        <v>175</v>
      </c>
      <c r="X20" s="228">
        <v>137</v>
      </c>
      <c r="Y20" s="228">
        <v>38</v>
      </c>
      <c r="Z20" s="20"/>
    </row>
    <row r="21" spans="1:26" ht="15" customHeight="1" x14ac:dyDescent="0.25">
      <c r="A21" s="1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4"/>
      <c r="O21" s="9"/>
      <c r="P21" s="14"/>
      <c r="Q21" s="7"/>
      <c r="R21" s="14"/>
      <c r="S21" s="7"/>
      <c r="T21" s="7"/>
      <c r="U21" s="7"/>
      <c r="V21" s="7"/>
      <c r="W21" s="7"/>
      <c r="X21" s="7"/>
      <c r="Y21" s="7"/>
      <c r="Z21" s="20"/>
    </row>
    <row r="22" spans="1:26" ht="15" customHeight="1" x14ac:dyDescent="0.25">
      <c r="A22" s="14" t="s">
        <v>121</v>
      </c>
      <c r="B22" s="7" t="s">
        <v>122</v>
      </c>
      <c r="C22" s="7"/>
      <c r="D22" s="20" t="s">
        <v>225</v>
      </c>
      <c r="E22" s="7">
        <v>69730</v>
      </c>
      <c r="F22" s="7">
        <v>13</v>
      </c>
      <c r="G22" s="7">
        <v>48717</v>
      </c>
      <c r="H22" s="7">
        <v>2312</v>
      </c>
      <c r="I22" s="7">
        <v>0</v>
      </c>
      <c r="J22" s="7">
        <v>2312</v>
      </c>
      <c r="K22" s="7">
        <v>5721</v>
      </c>
      <c r="L22" s="7">
        <v>1</v>
      </c>
      <c r="M22" s="7">
        <v>5720</v>
      </c>
      <c r="N22" s="14">
        <v>2679</v>
      </c>
      <c r="O22" s="22">
        <v>3</v>
      </c>
      <c r="P22" s="14">
        <v>2676</v>
      </c>
      <c r="Q22" s="7">
        <v>14828</v>
      </c>
      <c r="R22" s="14">
        <v>6</v>
      </c>
      <c r="S22" s="7">
        <v>14822</v>
      </c>
      <c r="T22" s="7">
        <v>33675</v>
      </c>
      <c r="U22" s="7">
        <v>12</v>
      </c>
      <c r="V22" s="7">
        <v>33663</v>
      </c>
      <c r="W22" s="7">
        <v>128945</v>
      </c>
      <c r="X22" s="7">
        <v>35</v>
      </c>
      <c r="Y22" s="7">
        <v>128910</v>
      </c>
      <c r="Z22" s="20"/>
    </row>
    <row r="23" spans="1:26" ht="15" customHeight="1" x14ac:dyDescent="0.25">
      <c r="A23" s="14"/>
      <c r="B23" s="7"/>
      <c r="C23" s="7"/>
      <c r="D23" s="7"/>
      <c r="E23" s="23"/>
      <c r="F23" s="7"/>
      <c r="G23" s="7"/>
      <c r="H23" s="7"/>
      <c r="I23" s="23"/>
      <c r="J23" s="7"/>
      <c r="K23" s="7"/>
      <c r="L23" s="23"/>
      <c r="M23" s="7"/>
      <c r="N23" s="14"/>
      <c r="O23" s="29"/>
      <c r="P23" s="14"/>
      <c r="Q23" s="7"/>
      <c r="R23" s="22"/>
      <c r="S23" s="7"/>
      <c r="T23" s="7"/>
      <c r="U23" s="23"/>
      <c r="V23" s="7"/>
      <c r="W23" s="7"/>
      <c r="X23" s="7"/>
      <c r="Y23" s="23"/>
      <c r="Z23" s="20"/>
    </row>
    <row r="24" spans="1:26" ht="15" customHeight="1" x14ac:dyDescent="0.25">
      <c r="A24" s="227"/>
      <c r="B24" s="228" t="s">
        <v>123</v>
      </c>
      <c r="C24" s="228">
        <v>1</v>
      </c>
      <c r="D24" s="228" t="s">
        <v>148</v>
      </c>
      <c r="E24" s="228">
        <v>1492</v>
      </c>
      <c r="F24" s="228">
        <v>708</v>
      </c>
      <c r="G24" s="228">
        <v>604</v>
      </c>
      <c r="H24" s="228">
        <v>5</v>
      </c>
      <c r="I24" s="228">
        <v>1</v>
      </c>
      <c r="J24" s="228">
        <v>4</v>
      </c>
      <c r="K24" s="228">
        <v>1</v>
      </c>
      <c r="L24" s="228">
        <v>0</v>
      </c>
      <c r="M24" s="228">
        <v>1</v>
      </c>
      <c r="N24" s="227">
        <v>13</v>
      </c>
      <c r="O24" s="245">
        <v>7</v>
      </c>
      <c r="P24" s="227">
        <v>6</v>
      </c>
      <c r="Q24" s="228">
        <v>47</v>
      </c>
      <c r="R24" s="227">
        <v>27</v>
      </c>
      <c r="S24" s="228">
        <v>20</v>
      </c>
      <c r="T24" s="228">
        <v>51</v>
      </c>
      <c r="U24" s="228">
        <v>21</v>
      </c>
      <c r="V24" s="228">
        <v>30</v>
      </c>
      <c r="W24" s="228">
        <v>1609</v>
      </c>
      <c r="X24" s="228">
        <v>854</v>
      </c>
      <c r="Y24" s="228">
        <v>755</v>
      </c>
      <c r="Z24" s="20"/>
    </row>
    <row r="25" spans="1:26" ht="15" customHeight="1" x14ac:dyDescent="0.25">
      <c r="A25" s="223"/>
      <c r="B25" s="224"/>
      <c r="C25" s="224">
        <v>2</v>
      </c>
      <c r="D25" s="224" t="s">
        <v>149</v>
      </c>
      <c r="E25" s="224">
        <v>5896</v>
      </c>
      <c r="F25" s="224">
        <v>1437</v>
      </c>
      <c r="G25" s="224">
        <v>4459</v>
      </c>
      <c r="H25" s="224">
        <v>2364</v>
      </c>
      <c r="I25" s="224">
        <v>359</v>
      </c>
      <c r="J25" s="224">
        <v>2005</v>
      </c>
      <c r="K25" s="224">
        <v>7884</v>
      </c>
      <c r="L25" s="224">
        <v>1477</v>
      </c>
      <c r="M25" s="224">
        <v>6407</v>
      </c>
      <c r="N25" s="223">
        <v>3154</v>
      </c>
      <c r="O25" s="223">
        <v>674</v>
      </c>
      <c r="P25" s="223">
        <v>2480</v>
      </c>
      <c r="Q25" s="224">
        <v>18304</v>
      </c>
      <c r="R25" s="223">
        <v>5126</v>
      </c>
      <c r="S25" s="224">
        <v>13178</v>
      </c>
      <c r="T25" s="224">
        <v>34982</v>
      </c>
      <c r="U25" s="224">
        <v>5980</v>
      </c>
      <c r="V25" s="224">
        <v>29002</v>
      </c>
      <c r="W25" s="224">
        <v>72584</v>
      </c>
      <c r="X25" s="224">
        <v>15053</v>
      </c>
      <c r="Y25" s="224">
        <v>57531</v>
      </c>
      <c r="Z25" s="20"/>
    </row>
    <row r="26" spans="1:26" ht="15" customHeight="1" x14ac:dyDescent="0.25">
      <c r="A26" s="14"/>
      <c r="B26" s="7"/>
      <c r="C26" s="7"/>
      <c r="D26" s="7"/>
      <c r="E26" s="23"/>
      <c r="F26" s="7"/>
      <c r="G26" s="7"/>
      <c r="H26" s="7"/>
      <c r="I26" s="23"/>
      <c r="J26" s="7"/>
      <c r="K26" s="7"/>
      <c r="L26" s="23"/>
      <c r="M26" s="7"/>
      <c r="N26" s="14"/>
      <c r="O26" s="29"/>
      <c r="P26" s="14"/>
      <c r="Q26" s="7"/>
      <c r="R26" s="22"/>
      <c r="S26" s="7"/>
      <c r="T26" s="7"/>
      <c r="U26" s="23"/>
      <c r="V26" s="7"/>
      <c r="W26" s="7"/>
      <c r="X26" s="7"/>
      <c r="Y26" s="23"/>
      <c r="Z26" s="20"/>
    </row>
    <row r="27" spans="1:26" ht="15" customHeight="1" x14ac:dyDescent="0.25">
      <c r="A27" s="227" t="s">
        <v>122</v>
      </c>
      <c r="B27" s="228" t="s">
        <v>124</v>
      </c>
      <c r="C27" s="228">
        <v>1</v>
      </c>
      <c r="D27" s="228" t="s">
        <v>150</v>
      </c>
      <c r="E27" s="228">
        <v>10788</v>
      </c>
      <c r="F27" s="228">
        <v>9490</v>
      </c>
      <c r="G27" s="228">
        <v>1298</v>
      </c>
      <c r="H27" s="228">
        <v>92</v>
      </c>
      <c r="I27" s="228">
        <v>74</v>
      </c>
      <c r="J27" s="228">
        <v>18</v>
      </c>
      <c r="K27" s="228">
        <v>13</v>
      </c>
      <c r="L27" s="228">
        <v>12</v>
      </c>
      <c r="M27" s="228">
        <v>1</v>
      </c>
      <c r="N27" s="227">
        <v>41</v>
      </c>
      <c r="O27" s="245">
        <v>40</v>
      </c>
      <c r="P27" s="227">
        <v>1</v>
      </c>
      <c r="Q27" s="228">
        <v>144</v>
      </c>
      <c r="R27" s="227">
        <v>123</v>
      </c>
      <c r="S27" s="228">
        <v>21</v>
      </c>
      <c r="T27" s="228">
        <v>1007</v>
      </c>
      <c r="U27" s="228">
        <v>897</v>
      </c>
      <c r="V27" s="228">
        <v>110</v>
      </c>
      <c r="W27" s="228">
        <v>12085</v>
      </c>
      <c r="X27" s="228">
        <v>10636</v>
      </c>
      <c r="Y27" s="228">
        <v>1449</v>
      </c>
      <c r="Z27" s="20"/>
    </row>
    <row r="28" spans="1:26" ht="15" customHeight="1" x14ac:dyDescent="0.25">
      <c r="A28" s="14"/>
      <c r="B28" s="7"/>
      <c r="C28" s="7"/>
      <c r="D28" s="7"/>
      <c r="E28" s="23"/>
      <c r="F28" s="7"/>
      <c r="G28" s="7"/>
      <c r="H28" s="7"/>
      <c r="I28" s="23"/>
      <c r="J28" s="7"/>
      <c r="K28" s="7"/>
      <c r="L28" s="23"/>
      <c r="M28" s="7"/>
      <c r="N28" s="14"/>
      <c r="O28" s="13"/>
      <c r="P28" s="14"/>
      <c r="Q28" s="7"/>
      <c r="R28" s="22"/>
      <c r="S28" s="7"/>
      <c r="T28" s="7"/>
      <c r="U28" s="23"/>
      <c r="V28" s="7"/>
      <c r="W28" s="7"/>
      <c r="X28" s="7"/>
      <c r="Y28" s="23"/>
      <c r="Z28" s="20"/>
    </row>
    <row r="29" spans="1:26" ht="15" customHeight="1" x14ac:dyDescent="0.25">
      <c r="A29" s="227"/>
      <c r="B29" s="228" t="s">
        <v>125</v>
      </c>
      <c r="C29" s="228">
        <v>1</v>
      </c>
      <c r="D29" s="228" t="s">
        <v>152</v>
      </c>
      <c r="E29" s="228">
        <v>1733</v>
      </c>
      <c r="F29" s="228">
        <v>1720</v>
      </c>
      <c r="G29" s="228">
        <v>13</v>
      </c>
      <c r="H29" s="228">
        <v>7</v>
      </c>
      <c r="I29" s="228">
        <v>7</v>
      </c>
      <c r="J29" s="227">
        <v>0</v>
      </c>
      <c r="K29" s="228">
        <v>10</v>
      </c>
      <c r="L29" s="228">
        <v>9</v>
      </c>
      <c r="M29" s="228">
        <v>1</v>
      </c>
      <c r="N29" s="227">
        <v>49</v>
      </c>
      <c r="O29" s="245">
        <v>49</v>
      </c>
      <c r="P29" s="227">
        <v>0</v>
      </c>
      <c r="Q29" s="228">
        <v>107</v>
      </c>
      <c r="R29" s="227">
        <v>107</v>
      </c>
      <c r="S29" s="228">
        <v>0</v>
      </c>
      <c r="T29" s="228">
        <v>286</v>
      </c>
      <c r="U29" s="228">
        <v>278</v>
      </c>
      <c r="V29" s="228">
        <v>8</v>
      </c>
      <c r="W29" s="227">
        <v>2192</v>
      </c>
      <c r="X29" s="228">
        <v>2170</v>
      </c>
      <c r="Y29" s="228">
        <v>22</v>
      </c>
      <c r="Z29" s="20"/>
    </row>
    <row r="30" spans="1:26" ht="15" customHeight="1" x14ac:dyDescent="0.25">
      <c r="A30" s="227"/>
      <c r="B30" s="228"/>
      <c r="C30" s="228">
        <v>2</v>
      </c>
      <c r="D30" s="228" t="s">
        <v>153</v>
      </c>
      <c r="E30" s="228">
        <v>2122</v>
      </c>
      <c r="F30" s="228">
        <v>2074</v>
      </c>
      <c r="G30" s="228">
        <v>48</v>
      </c>
      <c r="H30" s="228">
        <v>369</v>
      </c>
      <c r="I30" s="228">
        <v>367</v>
      </c>
      <c r="J30" s="228">
        <v>2</v>
      </c>
      <c r="K30" s="228">
        <v>329</v>
      </c>
      <c r="L30" s="228">
        <v>328</v>
      </c>
      <c r="M30" s="228">
        <v>1</v>
      </c>
      <c r="N30" s="227">
        <v>356</v>
      </c>
      <c r="O30" s="245">
        <v>354</v>
      </c>
      <c r="P30" s="227">
        <v>2</v>
      </c>
      <c r="Q30" s="228">
        <v>1249</v>
      </c>
      <c r="R30" s="227">
        <v>1247</v>
      </c>
      <c r="S30" s="228">
        <v>2</v>
      </c>
      <c r="T30" s="228">
        <v>1952</v>
      </c>
      <c r="U30" s="228">
        <v>1940</v>
      </c>
      <c r="V30" s="228">
        <v>12</v>
      </c>
      <c r="W30" s="228">
        <v>6377</v>
      </c>
      <c r="X30" s="228">
        <v>6310</v>
      </c>
      <c r="Y30" s="228">
        <v>67</v>
      </c>
      <c r="Z30" s="20"/>
    </row>
    <row r="31" spans="1:26" ht="15" customHeight="1" x14ac:dyDescent="0.25">
      <c r="A31" s="227"/>
      <c r="B31" s="228"/>
      <c r="C31" s="228">
        <v>3</v>
      </c>
      <c r="D31" s="228" t="s">
        <v>154</v>
      </c>
      <c r="E31" s="228">
        <v>1822</v>
      </c>
      <c r="F31" s="228">
        <v>1817</v>
      </c>
      <c r="G31" s="228">
        <v>5</v>
      </c>
      <c r="H31" s="228">
        <v>31</v>
      </c>
      <c r="I31" s="228">
        <v>31</v>
      </c>
      <c r="J31" s="228">
        <v>0</v>
      </c>
      <c r="K31" s="228">
        <v>15</v>
      </c>
      <c r="L31" s="228">
        <v>15</v>
      </c>
      <c r="M31" s="228">
        <v>0</v>
      </c>
      <c r="N31" s="227">
        <v>12</v>
      </c>
      <c r="O31" s="245">
        <v>12</v>
      </c>
      <c r="P31" s="227">
        <v>0</v>
      </c>
      <c r="Q31" s="228">
        <v>43</v>
      </c>
      <c r="R31" s="227">
        <v>43</v>
      </c>
      <c r="S31" s="228">
        <v>0</v>
      </c>
      <c r="T31" s="228">
        <v>217</v>
      </c>
      <c r="U31" s="228">
        <v>217</v>
      </c>
      <c r="V31" s="228">
        <v>0</v>
      </c>
      <c r="W31" s="227">
        <v>2140</v>
      </c>
      <c r="X31" s="228">
        <v>2135</v>
      </c>
      <c r="Y31" s="228">
        <v>5</v>
      </c>
      <c r="Z31" s="20"/>
    </row>
    <row r="32" spans="1:26" ht="15" customHeight="1" x14ac:dyDescent="0.25">
      <c r="A32" s="227"/>
      <c r="B32" s="228"/>
      <c r="C32" s="228">
        <v>4</v>
      </c>
      <c r="D32" s="228" t="s">
        <v>155</v>
      </c>
      <c r="E32" s="228">
        <v>245</v>
      </c>
      <c r="F32" s="228">
        <v>245</v>
      </c>
      <c r="G32" s="228">
        <v>0</v>
      </c>
      <c r="H32" s="228">
        <v>35</v>
      </c>
      <c r="I32" s="228">
        <v>35</v>
      </c>
      <c r="J32" s="228">
        <v>0</v>
      </c>
      <c r="K32" s="228">
        <v>30</v>
      </c>
      <c r="L32" s="228">
        <v>30</v>
      </c>
      <c r="M32" s="228">
        <v>0</v>
      </c>
      <c r="N32" s="227">
        <v>142</v>
      </c>
      <c r="O32" s="245">
        <v>142</v>
      </c>
      <c r="P32" s="227">
        <v>0</v>
      </c>
      <c r="Q32" s="228">
        <v>673</v>
      </c>
      <c r="R32" s="227">
        <v>669</v>
      </c>
      <c r="S32" s="228">
        <v>4</v>
      </c>
      <c r="T32" s="228">
        <v>389</v>
      </c>
      <c r="U32" s="228">
        <v>389</v>
      </c>
      <c r="V32" s="228">
        <v>0</v>
      </c>
      <c r="W32" s="228">
        <v>1514</v>
      </c>
      <c r="X32" s="228">
        <v>1510</v>
      </c>
      <c r="Y32" s="228">
        <v>4</v>
      </c>
      <c r="Z32" s="20"/>
    </row>
    <row r="33" spans="1:26" ht="15" customHeight="1" x14ac:dyDescent="0.25">
      <c r="A33" s="227"/>
      <c r="B33" s="228"/>
      <c r="C33" s="228">
        <v>5</v>
      </c>
      <c r="D33" s="228" t="s">
        <v>226</v>
      </c>
      <c r="E33" s="228">
        <v>1040</v>
      </c>
      <c r="F33" s="228">
        <v>1003</v>
      </c>
      <c r="G33" s="228">
        <v>37</v>
      </c>
      <c r="H33" s="228">
        <v>4</v>
      </c>
      <c r="I33" s="228">
        <v>4</v>
      </c>
      <c r="J33" s="228">
        <v>0</v>
      </c>
      <c r="K33" s="228">
        <v>10</v>
      </c>
      <c r="L33" s="228">
        <v>10</v>
      </c>
      <c r="M33" s="228">
        <v>0</v>
      </c>
      <c r="N33" s="227">
        <v>27</v>
      </c>
      <c r="O33" s="245">
        <v>27</v>
      </c>
      <c r="P33" s="227">
        <v>0</v>
      </c>
      <c r="Q33" s="228">
        <v>55</v>
      </c>
      <c r="R33" s="227">
        <v>54</v>
      </c>
      <c r="S33" s="228">
        <v>1</v>
      </c>
      <c r="T33" s="228">
        <v>149</v>
      </c>
      <c r="U33" s="228">
        <v>148</v>
      </c>
      <c r="V33" s="228">
        <v>1</v>
      </c>
      <c r="W33" s="228">
        <v>1285</v>
      </c>
      <c r="X33" s="228">
        <v>1246</v>
      </c>
      <c r="Y33" s="228">
        <v>39</v>
      </c>
      <c r="Z33" s="20"/>
    </row>
    <row r="34" spans="1:26" ht="15" customHeight="1" x14ac:dyDescent="0.25">
      <c r="A34" s="227"/>
      <c r="B34" s="228"/>
      <c r="C34" s="228">
        <v>6</v>
      </c>
      <c r="D34" s="228" t="s">
        <v>227</v>
      </c>
      <c r="E34" s="228">
        <v>172</v>
      </c>
      <c r="F34" s="228">
        <v>170</v>
      </c>
      <c r="G34" s="228">
        <v>2</v>
      </c>
      <c r="H34" s="228">
        <v>29</v>
      </c>
      <c r="I34" s="228">
        <v>19</v>
      </c>
      <c r="J34" s="228">
        <v>1</v>
      </c>
      <c r="K34" s="228">
        <v>18</v>
      </c>
      <c r="L34" s="228">
        <v>15</v>
      </c>
      <c r="M34" s="228">
        <v>3</v>
      </c>
      <c r="N34" s="227">
        <v>11</v>
      </c>
      <c r="O34" s="245">
        <v>11</v>
      </c>
      <c r="P34" s="227">
        <v>0</v>
      </c>
      <c r="Q34" s="228">
        <v>86</v>
      </c>
      <c r="R34" s="227">
        <v>82</v>
      </c>
      <c r="S34" s="228">
        <v>4</v>
      </c>
      <c r="T34" s="228">
        <v>216</v>
      </c>
      <c r="U34" s="228">
        <v>208</v>
      </c>
      <c r="V34" s="228">
        <v>8</v>
      </c>
      <c r="W34" s="228">
        <v>523</v>
      </c>
      <c r="X34" s="228">
        <v>505</v>
      </c>
      <c r="Y34" s="228">
        <v>18</v>
      </c>
      <c r="Z34" s="20"/>
    </row>
    <row r="35" spans="1:26" ht="15" customHeight="1" x14ac:dyDescent="0.25">
      <c r="A35" s="14"/>
      <c r="B35" s="7"/>
      <c r="C35" s="7"/>
      <c r="D35" s="7"/>
      <c r="E35" s="23"/>
      <c r="F35" s="7"/>
      <c r="G35" s="7"/>
      <c r="H35" s="7"/>
      <c r="I35" s="23"/>
      <c r="J35" s="7"/>
      <c r="K35" s="7"/>
      <c r="L35" s="23"/>
      <c r="M35" s="7"/>
      <c r="N35" s="14"/>
      <c r="O35" s="29"/>
      <c r="P35" s="14"/>
      <c r="Q35" s="7"/>
      <c r="R35" s="22"/>
      <c r="S35" s="7"/>
      <c r="T35" s="7"/>
      <c r="U35" s="23"/>
      <c r="V35" s="7"/>
      <c r="W35" s="7"/>
      <c r="X35" s="7"/>
      <c r="Y35" s="23"/>
      <c r="Z35" s="20"/>
    </row>
    <row r="36" spans="1:26" ht="15" customHeight="1" x14ac:dyDescent="0.25">
      <c r="A36" s="225" t="s">
        <v>126</v>
      </c>
      <c r="B36" s="226" t="s">
        <v>127</v>
      </c>
      <c r="C36" s="226">
        <v>1</v>
      </c>
      <c r="D36" s="246" t="s">
        <v>198</v>
      </c>
      <c r="E36" s="226">
        <v>72645</v>
      </c>
      <c r="F36" s="226">
        <v>58064</v>
      </c>
      <c r="G36" s="226">
        <v>14581</v>
      </c>
      <c r="H36" s="226">
        <v>188</v>
      </c>
      <c r="I36" s="226">
        <v>171</v>
      </c>
      <c r="J36" s="226">
        <v>14</v>
      </c>
      <c r="K36" s="226">
        <v>16506</v>
      </c>
      <c r="L36" s="226">
        <v>13250</v>
      </c>
      <c r="M36" s="226">
        <v>3256</v>
      </c>
      <c r="N36" s="225">
        <v>142388</v>
      </c>
      <c r="O36" s="247">
        <v>66913</v>
      </c>
      <c r="P36" s="225">
        <v>75475</v>
      </c>
      <c r="Q36" s="226">
        <v>382397</v>
      </c>
      <c r="R36" s="225">
        <v>195171</v>
      </c>
      <c r="S36" s="226">
        <v>187226</v>
      </c>
      <c r="T36" s="226">
        <v>52100</v>
      </c>
      <c r="U36" s="226">
        <v>43868</v>
      </c>
      <c r="V36" s="226">
        <v>8232</v>
      </c>
      <c r="W36" s="226">
        <v>666224</v>
      </c>
      <c r="X36" s="226">
        <v>377440</v>
      </c>
      <c r="Y36" s="226">
        <v>288784</v>
      </c>
      <c r="Z36" s="20"/>
    </row>
    <row r="37" spans="1:26" ht="15" customHeight="1" x14ac:dyDescent="0.25">
      <c r="A37" s="225"/>
      <c r="B37" s="226"/>
      <c r="C37" s="226">
        <v>2</v>
      </c>
      <c r="D37" s="226" t="s">
        <v>197</v>
      </c>
      <c r="E37" s="226">
        <v>971</v>
      </c>
      <c r="F37" s="226">
        <v>966</v>
      </c>
      <c r="G37" s="226">
        <v>5</v>
      </c>
      <c r="H37" s="226">
        <v>76</v>
      </c>
      <c r="I37" s="226">
        <v>76</v>
      </c>
      <c r="J37" s="226">
        <v>0</v>
      </c>
      <c r="K37" s="226">
        <v>175</v>
      </c>
      <c r="L37" s="226">
        <v>175</v>
      </c>
      <c r="M37" s="226">
        <v>0</v>
      </c>
      <c r="N37" s="225">
        <v>65</v>
      </c>
      <c r="O37" s="247">
        <v>62</v>
      </c>
      <c r="P37" s="225">
        <v>3</v>
      </c>
      <c r="Q37" s="226">
        <v>335</v>
      </c>
      <c r="R37" s="225">
        <v>305</v>
      </c>
      <c r="S37" s="226">
        <v>30</v>
      </c>
      <c r="T37" s="226">
        <v>612</v>
      </c>
      <c r="U37" s="226">
        <v>601</v>
      </c>
      <c r="V37" s="226">
        <v>11</v>
      </c>
      <c r="W37" s="226">
        <v>2234</v>
      </c>
      <c r="X37" s="226">
        <v>2185</v>
      </c>
      <c r="Y37" s="226">
        <v>49</v>
      </c>
      <c r="Z37" s="20"/>
    </row>
    <row r="38" spans="1:26" ht="15" customHeight="1" x14ac:dyDescent="0.25">
      <c r="A38" s="225"/>
      <c r="B38" s="226"/>
      <c r="C38" s="226">
        <v>3</v>
      </c>
      <c r="D38" s="226" t="s">
        <v>159</v>
      </c>
      <c r="E38" s="226">
        <v>21</v>
      </c>
      <c r="F38" s="226">
        <v>21</v>
      </c>
      <c r="G38" s="226">
        <v>0</v>
      </c>
      <c r="H38" s="226">
        <v>0</v>
      </c>
      <c r="I38" s="226">
        <v>0</v>
      </c>
      <c r="J38" s="226">
        <v>0</v>
      </c>
      <c r="K38" s="226">
        <v>6</v>
      </c>
      <c r="L38" s="226">
        <v>6</v>
      </c>
      <c r="M38" s="226">
        <v>0</v>
      </c>
      <c r="N38" s="225">
        <v>6</v>
      </c>
      <c r="O38" s="247">
        <v>6</v>
      </c>
      <c r="P38" s="248">
        <v>0</v>
      </c>
      <c r="Q38" s="225">
        <v>29</v>
      </c>
      <c r="R38" s="226">
        <v>29</v>
      </c>
      <c r="S38" s="225">
        <v>0</v>
      </c>
      <c r="T38" s="226">
        <v>6</v>
      </c>
      <c r="U38" s="226">
        <v>6</v>
      </c>
      <c r="V38" s="226">
        <v>0</v>
      </c>
      <c r="W38" s="226">
        <v>68</v>
      </c>
      <c r="X38" s="226">
        <v>68</v>
      </c>
      <c r="Y38" s="226">
        <v>0</v>
      </c>
      <c r="Z38" s="20"/>
    </row>
    <row r="39" spans="1:26" ht="15" customHeight="1" x14ac:dyDescent="0.25">
      <c r="A39" s="225"/>
      <c r="B39" s="226"/>
      <c r="C39" s="226">
        <v>4</v>
      </c>
      <c r="D39" s="226" t="s">
        <v>160</v>
      </c>
      <c r="E39" s="226">
        <v>458</v>
      </c>
      <c r="F39" s="226">
        <v>458</v>
      </c>
      <c r="G39" s="226">
        <v>0</v>
      </c>
      <c r="H39" s="226">
        <v>252</v>
      </c>
      <c r="I39" s="226">
        <v>252</v>
      </c>
      <c r="J39" s="226">
        <v>0</v>
      </c>
      <c r="K39" s="226">
        <v>173</v>
      </c>
      <c r="L39" s="226">
        <v>171</v>
      </c>
      <c r="M39" s="226">
        <v>2</v>
      </c>
      <c r="N39" s="225">
        <v>484</v>
      </c>
      <c r="O39" s="247">
        <v>484</v>
      </c>
      <c r="P39" s="225">
        <v>0</v>
      </c>
      <c r="Q39" s="226">
        <v>1199</v>
      </c>
      <c r="R39" s="225">
        <v>1195</v>
      </c>
      <c r="S39" s="226">
        <v>4</v>
      </c>
      <c r="T39" s="226">
        <v>1366</v>
      </c>
      <c r="U39" s="226">
        <v>1359</v>
      </c>
      <c r="V39" s="226">
        <v>7</v>
      </c>
      <c r="W39" s="226">
        <v>3932</v>
      </c>
      <c r="X39" s="226">
        <v>3919</v>
      </c>
      <c r="Y39" s="226">
        <v>13</v>
      </c>
      <c r="Z39" s="20"/>
    </row>
    <row r="40" spans="1:26" ht="15" customHeight="1" x14ac:dyDescent="0.25">
      <c r="A40" s="14"/>
      <c r="B40" s="7"/>
      <c r="C40" s="7"/>
      <c r="D40" s="7"/>
      <c r="E40" s="7"/>
      <c r="F40" s="7"/>
      <c r="G40" s="7"/>
      <c r="H40" s="7"/>
      <c r="I40" s="23"/>
      <c r="J40" s="7"/>
      <c r="K40" s="7"/>
      <c r="L40" s="23"/>
      <c r="M40" s="7"/>
      <c r="N40" s="14"/>
      <c r="O40" s="29"/>
      <c r="P40" s="14"/>
      <c r="R40" s="28"/>
      <c r="T40" s="28"/>
      <c r="V40" s="28"/>
      <c r="X40" s="28"/>
      <c r="Z40" s="20"/>
    </row>
    <row r="41" spans="1:26" ht="15" customHeight="1" x14ac:dyDescent="0.25">
      <c r="A41" s="227" t="s">
        <v>124</v>
      </c>
      <c r="B41" s="228" t="s">
        <v>128</v>
      </c>
      <c r="C41" s="228">
        <v>1</v>
      </c>
      <c r="D41" s="228" t="s">
        <v>161</v>
      </c>
      <c r="E41" s="228">
        <v>946</v>
      </c>
      <c r="F41" s="228">
        <v>887</v>
      </c>
      <c r="G41" s="228">
        <v>59</v>
      </c>
      <c r="H41" s="228">
        <v>8</v>
      </c>
      <c r="I41" s="228">
        <v>8</v>
      </c>
      <c r="J41" s="228">
        <v>0</v>
      </c>
      <c r="K41" s="228">
        <v>1</v>
      </c>
      <c r="L41" s="228">
        <v>1</v>
      </c>
      <c r="M41" s="228">
        <v>0</v>
      </c>
      <c r="N41" s="227">
        <v>15</v>
      </c>
      <c r="O41" s="245">
        <v>15</v>
      </c>
      <c r="P41" s="227">
        <v>0</v>
      </c>
      <c r="Q41" s="228">
        <v>34</v>
      </c>
      <c r="R41" s="227">
        <v>34</v>
      </c>
      <c r="S41" s="228">
        <v>0</v>
      </c>
      <c r="T41" s="228">
        <v>157</v>
      </c>
      <c r="U41" s="228">
        <v>141</v>
      </c>
      <c r="V41" s="228">
        <v>16</v>
      </c>
      <c r="W41" s="228">
        <v>1161</v>
      </c>
      <c r="X41" s="228">
        <v>1086</v>
      </c>
      <c r="Y41" s="228">
        <v>75</v>
      </c>
      <c r="Z41" s="20"/>
    </row>
    <row r="42" spans="1:26" ht="15" customHeight="1" x14ac:dyDescent="0.25">
      <c r="A42" s="227"/>
      <c r="B42" s="228"/>
      <c r="C42" s="228">
        <v>2</v>
      </c>
      <c r="D42" s="228" t="s">
        <v>162</v>
      </c>
      <c r="E42" s="228">
        <v>48</v>
      </c>
      <c r="F42" s="228">
        <v>48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1</v>
      </c>
      <c r="U42" s="228">
        <v>1</v>
      </c>
      <c r="V42" s="228"/>
      <c r="W42" s="228">
        <v>49</v>
      </c>
      <c r="X42" s="228">
        <v>49</v>
      </c>
      <c r="Y42" s="228">
        <v>0</v>
      </c>
      <c r="Z42" s="20"/>
    </row>
    <row r="43" spans="1:26" ht="15" customHeight="1" x14ac:dyDescent="0.25">
      <c r="A43" s="227"/>
      <c r="B43" s="228"/>
      <c r="C43" s="228">
        <v>3</v>
      </c>
      <c r="D43" s="228" t="s">
        <v>163</v>
      </c>
      <c r="E43" s="228">
        <v>21</v>
      </c>
      <c r="F43" s="228">
        <v>21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4</v>
      </c>
      <c r="U43" s="228">
        <v>1</v>
      </c>
      <c r="V43" s="228">
        <v>3</v>
      </c>
      <c r="W43" s="228">
        <v>25</v>
      </c>
      <c r="X43" s="228">
        <v>22</v>
      </c>
      <c r="Y43" s="228">
        <v>3</v>
      </c>
      <c r="Z43" s="20"/>
    </row>
    <row r="44" spans="1:26" ht="15" customHeight="1" x14ac:dyDescent="0.25">
      <c r="A44" s="227"/>
      <c r="B44" s="228"/>
      <c r="C44" s="228">
        <v>4</v>
      </c>
      <c r="D44" s="228" t="s">
        <v>164</v>
      </c>
      <c r="E44" s="228">
        <v>4</v>
      </c>
      <c r="F44" s="228">
        <v>4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4</v>
      </c>
      <c r="X44" s="228">
        <v>4</v>
      </c>
      <c r="Y44" s="228">
        <v>0</v>
      </c>
      <c r="Z44" s="20"/>
    </row>
    <row r="45" spans="1:26" ht="15" customHeight="1" x14ac:dyDescent="0.25">
      <c r="A45" s="227"/>
      <c r="B45" s="228"/>
      <c r="C45" s="228">
        <v>5</v>
      </c>
      <c r="D45" s="228" t="s">
        <v>165</v>
      </c>
      <c r="E45" s="228">
        <v>15</v>
      </c>
      <c r="F45" s="228">
        <v>15</v>
      </c>
      <c r="G45" s="228">
        <v>0</v>
      </c>
      <c r="H45" s="228">
        <v>0</v>
      </c>
      <c r="I45" s="228">
        <v>0</v>
      </c>
      <c r="J45" s="228">
        <v>0</v>
      </c>
      <c r="K45" s="228">
        <v>0</v>
      </c>
      <c r="L45" s="228">
        <v>0</v>
      </c>
      <c r="M45" s="228">
        <v>0</v>
      </c>
      <c r="N45" s="228">
        <v>0</v>
      </c>
      <c r="O45" s="228">
        <v>0</v>
      </c>
      <c r="P45" s="228">
        <v>0</v>
      </c>
      <c r="Q45" s="228">
        <v>0</v>
      </c>
      <c r="R45" s="228">
        <v>0</v>
      </c>
      <c r="S45" s="228">
        <v>0</v>
      </c>
      <c r="T45" s="228">
        <v>0</v>
      </c>
      <c r="U45" s="228">
        <v>0</v>
      </c>
      <c r="V45" s="228">
        <v>0</v>
      </c>
      <c r="W45" s="228">
        <v>15</v>
      </c>
      <c r="X45" s="228">
        <v>15</v>
      </c>
      <c r="Y45" s="228">
        <v>0</v>
      </c>
      <c r="Z45" s="20"/>
    </row>
    <row r="46" spans="1:26" ht="15" customHeight="1" x14ac:dyDescent="0.25">
      <c r="A46" s="227"/>
      <c r="B46" s="228"/>
      <c r="C46" s="228">
        <v>6</v>
      </c>
      <c r="D46" s="228" t="s">
        <v>166</v>
      </c>
      <c r="E46" s="228">
        <v>205</v>
      </c>
      <c r="F46" s="228">
        <v>205</v>
      </c>
      <c r="G46" s="228">
        <v>0</v>
      </c>
      <c r="H46" s="228">
        <v>3</v>
      </c>
      <c r="I46" s="228">
        <v>3</v>
      </c>
      <c r="J46" s="228">
        <v>0</v>
      </c>
      <c r="K46" s="228">
        <v>0</v>
      </c>
      <c r="L46" s="228">
        <v>0</v>
      </c>
      <c r="M46" s="228">
        <v>0</v>
      </c>
      <c r="N46" s="228">
        <v>0</v>
      </c>
      <c r="O46" s="228">
        <v>0</v>
      </c>
      <c r="P46" s="228">
        <v>0</v>
      </c>
      <c r="Q46" s="228">
        <v>0</v>
      </c>
      <c r="R46" s="228">
        <v>0</v>
      </c>
      <c r="S46" s="228">
        <v>0</v>
      </c>
      <c r="T46" s="228">
        <v>7</v>
      </c>
      <c r="U46" s="228">
        <v>7</v>
      </c>
      <c r="V46" s="228"/>
      <c r="W46" s="228">
        <v>215</v>
      </c>
      <c r="X46" s="228">
        <v>215</v>
      </c>
      <c r="Y46" s="228">
        <v>0</v>
      </c>
      <c r="Z46" s="20"/>
    </row>
    <row r="47" spans="1:26" ht="15" customHeight="1" x14ac:dyDescent="0.25">
      <c r="A47" s="227"/>
      <c r="B47" s="228"/>
      <c r="C47" s="228">
        <v>7</v>
      </c>
      <c r="D47" s="228" t="s">
        <v>201</v>
      </c>
      <c r="E47" s="228">
        <v>6</v>
      </c>
      <c r="F47" s="228">
        <v>6</v>
      </c>
      <c r="G47" s="228">
        <v>0</v>
      </c>
      <c r="H47" s="228">
        <v>0</v>
      </c>
      <c r="I47" s="228">
        <v>0</v>
      </c>
      <c r="J47" s="228">
        <v>0</v>
      </c>
      <c r="K47" s="228">
        <v>0</v>
      </c>
      <c r="L47" s="228">
        <v>0</v>
      </c>
      <c r="M47" s="228">
        <v>0</v>
      </c>
      <c r="N47" s="228">
        <v>0</v>
      </c>
      <c r="O47" s="228">
        <v>0</v>
      </c>
      <c r="P47" s="228">
        <v>0</v>
      </c>
      <c r="Q47" s="228">
        <v>0</v>
      </c>
      <c r="R47" s="228">
        <v>0</v>
      </c>
      <c r="S47" s="228">
        <v>0</v>
      </c>
      <c r="T47" s="228">
        <v>0</v>
      </c>
      <c r="U47" s="228">
        <v>0</v>
      </c>
      <c r="V47" s="228">
        <v>0</v>
      </c>
      <c r="W47" s="228">
        <v>6</v>
      </c>
      <c r="X47" s="228">
        <v>6</v>
      </c>
      <c r="Y47" s="228">
        <v>0</v>
      </c>
      <c r="Z47" s="20"/>
    </row>
    <row r="48" spans="1:26" ht="15" customHeight="1" x14ac:dyDescent="0.25">
      <c r="A48" s="227"/>
      <c r="B48" s="228"/>
      <c r="C48" s="228">
        <v>8</v>
      </c>
      <c r="D48" s="228" t="s">
        <v>167</v>
      </c>
      <c r="E48" s="228">
        <v>52</v>
      </c>
      <c r="F48" s="228">
        <v>52</v>
      </c>
      <c r="G48" s="228">
        <v>0</v>
      </c>
      <c r="H48" s="228">
        <v>0</v>
      </c>
      <c r="I48" s="228">
        <v>0</v>
      </c>
      <c r="J48" s="228">
        <v>0</v>
      </c>
      <c r="K48" s="228">
        <v>0</v>
      </c>
      <c r="L48" s="228">
        <v>0</v>
      </c>
      <c r="M48" s="228">
        <v>0</v>
      </c>
      <c r="N48" s="228">
        <v>0</v>
      </c>
      <c r="O48" s="228">
        <v>0</v>
      </c>
      <c r="P48" s="228">
        <v>0</v>
      </c>
      <c r="Q48" s="228">
        <v>2</v>
      </c>
      <c r="R48" s="227">
        <v>2</v>
      </c>
      <c r="S48" s="228">
        <v>0</v>
      </c>
      <c r="T48" s="228">
        <v>0</v>
      </c>
      <c r="U48" s="228">
        <v>0</v>
      </c>
      <c r="V48" s="228">
        <v>0</v>
      </c>
      <c r="W48" s="228">
        <v>54</v>
      </c>
      <c r="X48" s="228">
        <v>54</v>
      </c>
      <c r="Y48" s="228">
        <v>0</v>
      </c>
      <c r="Z48" s="20"/>
    </row>
    <row r="49" spans="1:26" ht="15" customHeight="1" x14ac:dyDescent="0.25">
      <c r="A49" s="227"/>
      <c r="B49" s="228"/>
      <c r="C49" s="228">
        <v>9</v>
      </c>
      <c r="D49" s="231" t="s">
        <v>202</v>
      </c>
      <c r="E49" s="228">
        <v>588</v>
      </c>
      <c r="F49" s="228">
        <v>587</v>
      </c>
      <c r="G49" s="228">
        <v>1</v>
      </c>
      <c r="H49" s="228">
        <v>0</v>
      </c>
      <c r="I49" s="228">
        <v>0</v>
      </c>
      <c r="J49" s="228">
        <v>0</v>
      </c>
      <c r="K49" s="228">
        <v>0</v>
      </c>
      <c r="L49" s="228">
        <v>0</v>
      </c>
      <c r="M49" s="228">
        <v>0</v>
      </c>
      <c r="N49" s="228">
        <v>0</v>
      </c>
      <c r="O49" s="228">
        <v>0</v>
      </c>
      <c r="P49" s="228">
        <v>0</v>
      </c>
      <c r="Q49" s="228">
        <v>1</v>
      </c>
      <c r="R49" s="227">
        <v>1</v>
      </c>
      <c r="S49" s="228">
        <v>0</v>
      </c>
      <c r="T49" s="228">
        <v>28</v>
      </c>
      <c r="U49" s="228">
        <v>27</v>
      </c>
      <c r="V49" s="228">
        <v>1</v>
      </c>
      <c r="W49" s="228">
        <v>617</v>
      </c>
      <c r="X49" s="228">
        <v>615</v>
      </c>
      <c r="Y49" s="228">
        <v>2</v>
      </c>
      <c r="Z49" s="20"/>
    </row>
    <row r="50" spans="1:26" ht="15" customHeight="1" x14ac:dyDescent="0.25">
      <c r="A50" s="227"/>
      <c r="B50" s="228"/>
      <c r="C50" s="228">
        <v>10</v>
      </c>
      <c r="D50" s="249" t="s">
        <v>169</v>
      </c>
      <c r="E50" s="228">
        <v>2150</v>
      </c>
      <c r="F50" s="228">
        <v>2144</v>
      </c>
      <c r="G50" s="228">
        <v>6</v>
      </c>
      <c r="H50" s="228">
        <v>157</v>
      </c>
      <c r="I50" s="228">
        <v>156</v>
      </c>
      <c r="J50" s="228">
        <v>1</v>
      </c>
      <c r="K50" s="228">
        <v>21</v>
      </c>
      <c r="L50" s="228">
        <v>21</v>
      </c>
      <c r="M50" s="228">
        <v>0</v>
      </c>
      <c r="N50" s="227">
        <v>42</v>
      </c>
      <c r="O50" s="245">
        <v>42</v>
      </c>
      <c r="P50" s="227">
        <v>0</v>
      </c>
      <c r="Q50" s="228">
        <v>38</v>
      </c>
      <c r="R50" s="227">
        <v>38</v>
      </c>
      <c r="S50" s="228">
        <v>0</v>
      </c>
      <c r="T50" s="228">
        <v>965</v>
      </c>
      <c r="U50" s="228">
        <v>959</v>
      </c>
      <c r="V50" s="228">
        <v>6</v>
      </c>
      <c r="W50" s="228">
        <v>3373</v>
      </c>
      <c r="X50" s="228">
        <v>3360</v>
      </c>
      <c r="Y50" s="228">
        <v>13</v>
      </c>
      <c r="Z50" s="20"/>
    </row>
    <row r="51" spans="1:26" ht="15" customHeight="1" x14ac:dyDescent="0.25">
      <c r="A51" s="227"/>
      <c r="B51" s="228"/>
      <c r="C51" s="228">
        <v>11</v>
      </c>
      <c r="D51" s="228" t="s">
        <v>170</v>
      </c>
      <c r="E51" s="228">
        <v>147</v>
      </c>
      <c r="F51" s="228">
        <v>147</v>
      </c>
      <c r="G51" s="228">
        <v>0</v>
      </c>
      <c r="H51" s="228">
        <v>7</v>
      </c>
      <c r="I51" s="228">
        <v>7</v>
      </c>
      <c r="J51" s="228">
        <v>0</v>
      </c>
      <c r="K51" s="228">
        <v>2</v>
      </c>
      <c r="L51" s="228">
        <v>2</v>
      </c>
      <c r="M51" s="228">
        <v>0</v>
      </c>
      <c r="N51" s="228">
        <v>0</v>
      </c>
      <c r="O51" s="228">
        <v>0</v>
      </c>
      <c r="P51" s="228">
        <v>0</v>
      </c>
      <c r="Q51" s="228">
        <v>2</v>
      </c>
      <c r="R51" s="227">
        <v>2</v>
      </c>
      <c r="S51" s="228">
        <v>0</v>
      </c>
      <c r="T51" s="228">
        <v>30</v>
      </c>
      <c r="U51" s="228">
        <v>30</v>
      </c>
      <c r="V51" s="228"/>
      <c r="W51" s="228">
        <v>188</v>
      </c>
      <c r="X51" s="228">
        <v>188</v>
      </c>
      <c r="Y51" s="228">
        <v>0</v>
      </c>
      <c r="Z51" s="20"/>
    </row>
    <row r="52" spans="1:26" ht="15" customHeight="1" x14ac:dyDescent="0.25">
      <c r="A52" s="227"/>
      <c r="B52" s="228"/>
      <c r="C52" s="228">
        <v>12</v>
      </c>
      <c r="D52" s="228" t="s">
        <v>172</v>
      </c>
      <c r="E52" s="228">
        <v>305</v>
      </c>
      <c r="F52" s="228">
        <v>287</v>
      </c>
      <c r="G52" s="228">
        <v>18</v>
      </c>
      <c r="H52" s="228">
        <v>25</v>
      </c>
      <c r="I52" s="228">
        <v>22</v>
      </c>
      <c r="J52" s="228">
        <v>3</v>
      </c>
      <c r="K52" s="228">
        <v>0</v>
      </c>
      <c r="L52" s="228">
        <v>0</v>
      </c>
      <c r="M52" s="228">
        <v>0</v>
      </c>
      <c r="N52" s="228">
        <v>0</v>
      </c>
      <c r="O52" s="228">
        <v>0</v>
      </c>
      <c r="P52" s="228">
        <v>0</v>
      </c>
      <c r="Q52" s="228">
        <v>1</v>
      </c>
      <c r="R52" s="227">
        <v>1</v>
      </c>
      <c r="S52" s="228">
        <v>0</v>
      </c>
      <c r="T52" s="228">
        <v>89</v>
      </c>
      <c r="U52" s="228">
        <v>82</v>
      </c>
      <c r="V52" s="228">
        <v>7</v>
      </c>
      <c r="W52" s="228">
        <v>420</v>
      </c>
      <c r="X52" s="228">
        <v>392</v>
      </c>
      <c r="Y52" s="228">
        <v>28</v>
      </c>
      <c r="Z52" s="20"/>
    </row>
    <row r="53" spans="1:26" ht="15" customHeight="1" x14ac:dyDescent="0.25">
      <c r="A53" s="14"/>
      <c r="B53" s="7"/>
      <c r="C53" s="7"/>
      <c r="D53" s="7"/>
      <c r="E53" s="7"/>
      <c r="F53" s="7"/>
      <c r="G53" s="7"/>
      <c r="H53" s="7"/>
      <c r="I53" s="23"/>
      <c r="J53" s="7"/>
      <c r="K53" s="7"/>
      <c r="L53" s="7"/>
      <c r="M53" s="7"/>
      <c r="N53" s="7"/>
      <c r="O53" s="14"/>
      <c r="P53" s="7"/>
      <c r="Q53" s="20"/>
      <c r="R53" s="20"/>
      <c r="S53" s="20"/>
      <c r="T53" s="20"/>
      <c r="U53" s="28"/>
      <c r="V53" s="20"/>
      <c r="W53" s="28"/>
      <c r="X53" s="20"/>
      <c r="Y53" s="28"/>
      <c r="Z53" s="20"/>
    </row>
    <row r="54" spans="1:26" ht="15" customHeight="1" x14ac:dyDescent="0.25">
      <c r="A54" s="232"/>
      <c r="B54" s="233" t="s">
        <v>129</v>
      </c>
      <c r="C54" s="233">
        <v>1</v>
      </c>
      <c r="D54" s="250" t="s">
        <v>199</v>
      </c>
      <c r="E54" s="233">
        <v>1204</v>
      </c>
      <c r="F54" s="233">
        <v>1204</v>
      </c>
      <c r="G54" s="233">
        <v>0</v>
      </c>
      <c r="H54" s="233">
        <v>2</v>
      </c>
      <c r="I54" s="233">
        <v>2</v>
      </c>
      <c r="J54" s="233">
        <v>0</v>
      </c>
      <c r="K54" s="233">
        <v>256</v>
      </c>
      <c r="L54" s="233">
        <v>256</v>
      </c>
      <c r="M54" s="233">
        <v>0</v>
      </c>
      <c r="N54" s="232">
        <v>1057</v>
      </c>
      <c r="O54" s="232">
        <v>1056</v>
      </c>
      <c r="P54" s="232">
        <v>1</v>
      </c>
      <c r="Q54" s="233">
        <v>3880</v>
      </c>
      <c r="R54" s="232">
        <v>3876</v>
      </c>
      <c r="S54" s="233">
        <v>4</v>
      </c>
      <c r="T54" s="233">
        <v>1215</v>
      </c>
      <c r="U54" s="233">
        <v>1209</v>
      </c>
      <c r="V54" s="233">
        <v>6</v>
      </c>
      <c r="W54" s="233">
        <v>7614</v>
      </c>
      <c r="X54" s="233">
        <v>7603</v>
      </c>
      <c r="Y54" s="233">
        <v>11</v>
      </c>
      <c r="Z54" s="20"/>
    </row>
    <row r="55" spans="1:26" ht="15" customHeight="1" x14ac:dyDescent="0.25">
      <c r="A55" s="232"/>
      <c r="B55" s="233"/>
      <c r="C55" s="233">
        <v>2</v>
      </c>
      <c r="D55" s="250" t="s">
        <v>200</v>
      </c>
      <c r="E55" s="233">
        <v>5957</v>
      </c>
      <c r="F55" s="233">
        <v>5953</v>
      </c>
      <c r="G55" s="233">
        <v>4</v>
      </c>
      <c r="H55" s="233">
        <v>1181</v>
      </c>
      <c r="I55" s="233">
        <v>1180</v>
      </c>
      <c r="J55" s="233">
        <v>1</v>
      </c>
      <c r="K55" s="233">
        <v>229</v>
      </c>
      <c r="L55" s="233">
        <v>224</v>
      </c>
      <c r="M55" s="233">
        <v>5</v>
      </c>
      <c r="N55" s="232">
        <v>275</v>
      </c>
      <c r="O55" s="244">
        <v>274</v>
      </c>
      <c r="P55" s="232">
        <v>1</v>
      </c>
      <c r="Q55" s="233">
        <v>1120</v>
      </c>
      <c r="R55" s="232">
        <v>1120</v>
      </c>
      <c r="S55" s="233">
        <v>0</v>
      </c>
      <c r="T55" s="233">
        <v>4346</v>
      </c>
      <c r="U55" s="233">
        <v>4333</v>
      </c>
      <c r="V55" s="233">
        <v>13</v>
      </c>
      <c r="W55" s="233">
        <v>13108</v>
      </c>
      <c r="X55" s="233">
        <v>13084</v>
      </c>
      <c r="Y55" s="233">
        <v>24</v>
      </c>
      <c r="Z55" s="20"/>
    </row>
    <row r="56" spans="1:26" ht="15" customHeight="1" x14ac:dyDescent="0.25">
      <c r="A56" s="232"/>
      <c r="B56" s="233"/>
      <c r="C56" s="233">
        <v>3</v>
      </c>
      <c r="D56" s="250" t="s">
        <v>203</v>
      </c>
      <c r="E56" s="233">
        <v>252</v>
      </c>
      <c r="F56" s="233">
        <v>252</v>
      </c>
      <c r="G56" s="233">
        <v>0</v>
      </c>
      <c r="H56" s="233">
        <v>0</v>
      </c>
      <c r="I56" s="233">
        <v>0</v>
      </c>
      <c r="J56" s="233">
        <v>0</v>
      </c>
      <c r="K56" s="233">
        <v>53</v>
      </c>
      <c r="L56" s="233">
        <v>52</v>
      </c>
      <c r="M56" s="233">
        <v>1</v>
      </c>
      <c r="N56" s="232">
        <v>13</v>
      </c>
      <c r="O56" s="232">
        <v>13</v>
      </c>
      <c r="P56" s="232">
        <v>0</v>
      </c>
      <c r="Q56" s="233">
        <v>106</v>
      </c>
      <c r="R56" s="232">
        <v>106</v>
      </c>
      <c r="S56" s="233">
        <v>0</v>
      </c>
      <c r="T56" s="233">
        <v>247</v>
      </c>
      <c r="U56" s="233">
        <v>239</v>
      </c>
      <c r="V56" s="233">
        <v>8</v>
      </c>
      <c r="W56" s="233">
        <v>671</v>
      </c>
      <c r="X56" s="233">
        <v>662</v>
      </c>
      <c r="Y56" s="233">
        <v>9</v>
      </c>
      <c r="Z56" s="20"/>
    </row>
    <row r="57" spans="1:26" ht="15" customHeight="1" x14ac:dyDescent="0.25">
      <c r="A57" s="232"/>
      <c r="B57" s="233"/>
      <c r="C57" s="233">
        <v>4</v>
      </c>
      <c r="D57" s="250" t="s">
        <v>204</v>
      </c>
      <c r="E57" s="233">
        <v>84</v>
      </c>
      <c r="F57" s="233">
        <v>83</v>
      </c>
      <c r="G57" s="233">
        <v>1</v>
      </c>
      <c r="H57" s="233">
        <v>18</v>
      </c>
      <c r="I57" s="233">
        <v>18</v>
      </c>
      <c r="J57" s="233">
        <v>0</v>
      </c>
      <c r="K57" s="233">
        <v>3</v>
      </c>
      <c r="L57" s="233">
        <v>3</v>
      </c>
      <c r="M57" s="233">
        <v>0</v>
      </c>
      <c r="N57" s="233">
        <v>0</v>
      </c>
      <c r="O57" s="233">
        <v>0</v>
      </c>
      <c r="P57" s="233">
        <v>0</v>
      </c>
      <c r="Q57" s="233">
        <v>19</v>
      </c>
      <c r="R57" s="232">
        <v>19</v>
      </c>
      <c r="S57" s="233">
        <v>0</v>
      </c>
      <c r="T57" s="233">
        <v>63</v>
      </c>
      <c r="U57" s="233">
        <v>60</v>
      </c>
      <c r="V57" s="233">
        <v>3</v>
      </c>
      <c r="W57" s="233">
        <v>187</v>
      </c>
      <c r="X57" s="233">
        <v>183</v>
      </c>
      <c r="Y57" s="233">
        <v>4</v>
      </c>
      <c r="Z57" s="20"/>
    </row>
    <row r="58" spans="1:26" ht="15" customHeight="1" x14ac:dyDescent="0.25">
      <c r="A58" s="14"/>
      <c r="B58" s="7"/>
      <c r="C58" s="7"/>
      <c r="D58" s="7"/>
      <c r="E58" s="23"/>
      <c r="F58" s="7"/>
      <c r="G58" s="7"/>
      <c r="H58" s="7"/>
      <c r="I58" s="23"/>
      <c r="J58" s="7"/>
      <c r="K58" s="7"/>
      <c r="L58" s="23"/>
      <c r="M58" s="7"/>
      <c r="N58" s="14"/>
      <c r="O58" s="29"/>
      <c r="P58" s="14"/>
      <c r="Q58" s="7"/>
      <c r="R58" s="14"/>
      <c r="S58" s="7"/>
      <c r="T58" s="7"/>
      <c r="U58" s="7"/>
      <c r="V58" s="7"/>
      <c r="W58" s="7"/>
      <c r="X58" s="7"/>
      <c r="Y58" s="23"/>
      <c r="Z58" s="20"/>
    </row>
    <row r="59" spans="1:26" ht="15" customHeight="1" x14ac:dyDescent="0.25">
      <c r="A59" s="232"/>
      <c r="B59" s="233" t="s">
        <v>130</v>
      </c>
      <c r="C59" s="233">
        <v>1</v>
      </c>
      <c r="D59" s="233" t="s">
        <v>205</v>
      </c>
      <c r="E59" s="233">
        <v>1355</v>
      </c>
      <c r="F59" s="233">
        <v>987</v>
      </c>
      <c r="G59" s="233">
        <v>368</v>
      </c>
      <c r="H59" s="233">
        <v>4</v>
      </c>
      <c r="I59" s="233">
        <v>3</v>
      </c>
      <c r="J59" s="233">
        <v>1</v>
      </c>
      <c r="K59" s="233">
        <v>3</v>
      </c>
      <c r="L59" s="233">
        <v>2</v>
      </c>
      <c r="M59" s="233">
        <v>1</v>
      </c>
      <c r="N59" s="232">
        <v>0</v>
      </c>
      <c r="O59" s="232">
        <v>0</v>
      </c>
      <c r="P59" s="232">
        <v>0</v>
      </c>
      <c r="Q59" s="233">
        <v>3</v>
      </c>
      <c r="R59" s="232">
        <v>3</v>
      </c>
      <c r="S59" s="233"/>
      <c r="T59" s="233">
        <v>43</v>
      </c>
      <c r="U59" s="233">
        <v>30</v>
      </c>
      <c r="V59" s="233">
        <v>13</v>
      </c>
      <c r="W59" s="233">
        <v>1408</v>
      </c>
      <c r="X59" s="233">
        <v>1025</v>
      </c>
      <c r="Y59" s="233">
        <v>383</v>
      </c>
      <c r="Z59" s="20"/>
    </row>
    <row r="60" spans="1:26" ht="15" customHeight="1" x14ac:dyDescent="0.25">
      <c r="A60" s="232"/>
      <c r="B60" s="233"/>
      <c r="C60" s="233">
        <v>2</v>
      </c>
      <c r="D60" s="233" t="s">
        <v>206</v>
      </c>
      <c r="E60" s="233">
        <v>4667</v>
      </c>
      <c r="F60" s="233">
        <v>1365</v>
      </c>
      <c r="G60" s="233">
        <v>3302</v>
      </c>
      <c r="H60" s="233">
        <v>603</v>
      </c>
      <c r="I60" s="233">
        <v>510</v>
      </c>
      <c r="J60" s="233">
        <v>93</v>
      </c>
      <c r="K60" s="233">
        <v>45</v>
      </c>
      <c r="L60" s="233">
        <v>16</v>
      </c>
      <c r="M60" s="233">
        <v>29</v>
      </c>
      <c r="N60" s="232">
        <v>61</v>
      </c>
      <c r="O60" s="244">
        <v>31</v>
      </c>
      <c r="P60" s="232">
        <v>30</v>
      </c>
      <c r="Q60" s="233">
        <v>49</v>
      </c>
      <c r="R60" s="232">
        <v>34</v>
      </c>
      <c r="S60" s="233">
        <v>15</v>
      </c>
      <c r="T60" s="233">
        <v>1584</v>
      </c>
      <c r="U60" s="233">
        <v>736</v>
      </c>
      <c r="V60" s="233">
        <v>848</v>
      </c>
      <c r="W60" s="233">
        <v>7009</v>
      </c>
      <c r="X60" s="233">
        <v>2692</v>
      </c>
      <c r="Y60" s="233">
        <v>4317</v>
      </c>
      <c r="Z60" s="20"/>
    </row>
    <row r="61" spans="1:26" ht="15" customHeight="1" x14ac:dyDescent="0.25">
      <c r="A61" s="232"/>
      <c r="B61" s="233"/>
      <c r="C61" s="233">
        <v>3</v>
      </c>
      <c r="D61" s="233" t="s">
        <v>207</v>
      </c>
      <c r="E61" s="233">
        <v>20</v>
      </c>
      <c r="F61" s="233">
        <v>19</v>
      </c>
      <c r="G61" s="233">
        <v>1</v>
      </c>
      <c r="H61" s="233">
        <v>0</v>
      </c>
      <c r="I61" s="233">
        <v>0</v>
      </c>
      <c r="J61" s="233">
        <v>0</v>
      </c>
      <c r="K61" s="233">
        <v>5</v>
      </c>
      <c r="L61" s="233">
        <v>0</v>
      </c>
      <c r="M61" s="233">
        <v>5</v>
      </c>
      <c r="N61" s="232">
        <v>2</v>
      </c>
      <c r="O61" s="244">
        <v>0</v>
      </c>
      <c r="P61" s="232">
        <v>2</v>
      </c>
      <c r="Q61" s="233">
        <v>0</v>
      </c>
      <c r="R61" s="233">
        <v>0</v>
      </c>
      <c r="S61" s="233">
        <v>0</v>
      </c>
      <c r="T61" s="233">
        <v>24</v>
      </c>
      <c r="U61" s="233">
        <v>5</v>
      </c>
      <c r="V61" s="233">
        <v>19</v>
      </c>
      <c r="W61" s="233">
        <v>51</v>
      </c>
      <c r="X61" s="233">
        <v>24</v>
      </c>
      <c r="Y61" s="233">
        <v>27</v>
      </c>
      <c r="Z61" s="20"/>
    </row>
    <row r="62" spans="1:26" ht="15" customHeight="1" x14ac:dyDescent="0.25">
      <c r="A62" s="1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14"/>
      <c r="O62" s="9"/>
      <c r="P62" s="14"/>
      <c r="Q62" s="7"/>
      <c r="R62" s="14"/>
      <c r="S62" s="7"/>
      <c r="T62" s="7"/>
      <c r="U62" s="7"/>
      <c r="V62" s="7"/>
      <c r="W62" s="7"/>
      <c r="X62" s="7"/>
      <c r="Y62" s="7"/>
      <c r="Z62" s="20"/>
    </row>
    <row r="63" spans="1:26" ht="15" customHeight="1" x14ac:dyDescent="0.25">
      <c r="A63" s="232"/>
      <c r="B63" s="233" t="s">
        <v>132</v>
      </c>
      <c r="C63" s="233">
        <v>1</v>
      </c>
      <c r="D63" s="233" t="s">
        <v>177</v>
      </c>
      <c r="E63" s="233">
        <v>1123</v>
      </c>
      <c r="F63" s="233">
        <v>1035</v>
      </c>
      <c r="G63" s="233">
        <v>88</v>
      </c>
      <c r="H63" s="233">
        <v>141</v>
      </c>
      <c r="I63" s="233">
        <v>121</v>
      </c>
      <c r="J63" s="233">
        <v>20</v>
      </c>
      <c r="K63" s="233">
        <v>85</v>
      </c>
      <c r="L63" s="233">
        <v>75</v>
      </c>
      <c r="M63" s="233">
        <v>10</v>
      </c>
      <c r="N63" s="232">
        <v>21</v>
      </c>
      <c r="O63" s="232">
        <v>14</v>
      </c>
      <c r="P63" s="232">
        <v>7</v>
      </c>
      <c r="Q63" s="233">
        <v>255</v>
      </c>
      <c r="R63" s="232">
        <v>154</v>
      </c>
      <c r="S63" s="233">
        <v>101</v>
      </c>
      <c r="T63" s="233">
        <v>648</v>
      </c>
      <c r="U63" s="233">
        <v>588</v>
      </c>
      <c r="V63" s="233">
        <v>60</v>
      </c>
      <c r="W63" s="233">
        <v>2273</v>
      </c>
      <c r="X63" s="233">
        <v>1987</v>
      </c>
      <c r="Y63" s="233">
        <v>286</v>
      </c>
      <c r="Z63" s="20"/>
    </row>
    <row r="64" spans="1:26" ht="15" customHeight="1" x14ac:dyDescent="0.25">
      <c r="A64" s="232"/>
      <c r="B64" s="233"/>
      <c r="C64" s="233">
        <v>2</v>
      </c>
      <c r="D64" s="233" t="s">
        <v>178</v>
      </c>
      <c r="E64" s="233">
        <v>1812</v>
      </c>
      <c r="F64" s="233">
        <v>1571</v>
      </c>
      <c r="G64" s="233">
        <v>241</v>
      </c>
      <c r="H64" s="233">
        <v>98</v>
      </c>
      <c r="I64" s="233">
        <v>65</v>
      </c>
      <c r="J64" s="233">
        <v>33</v>
      </c>
      <c r="K64" s="233">
        <v>31</v>
      </c>
      <c r="L64" s="233">
        <v>29</v>
      </c>
      <c r="M64" s="233">
        <v>2</v>
      </c>
      <c r="N64" s="232">
        <v>12</v>
      </c>
      <c r="O64" s="232">
        <v>8</v>
      </c>
      <c r="P64" s="232">
        <v>4</v>
      </c>
      <c r="Q64" s="233">
        <v>101</v>
      </c>
      <c r="R64" s="232">
        <v>87</v>
      </c>
      <c r="S64" s="233">
        <v>14</v>
      </c>
      <c r="T64" s="233">
        <v>806</v>
      </c>
      <c r="U64" s="233">
        <v>706</v>
      </c>
      <c r="V64" s="233">
        <v>100</v>
      </c>
      <c r="W64" s="233">
        <v>2860</v>
      </c>
      <c r="X64" s="233">
        <v>2466</v>
      </c>
      <c r="Y64" s="233">
        <v>394</v>
      </c>
      <c r="Z64" s="20"/>
    </row>
    <row r="65" spans="1:26" ht="15" customHeight="1" x14ac:dyDescent="0.25">
      <c r="A65" s="232"/>
      <c r="B65" s="233"/>
      <c r="C65" s="233">
        <v>3</v>
      </c>
      <c r="D65" s="233" t="s">
        <v>179</v>
      </c>
      <c r="E65" s="233">
        <v>1028</v>
      </c>
      <c r="F65" s="233">
        <v>899</v>
      </c>
      <c r="G65" s="233">
        <v>129</v>
      </c>
      <c r="H65" s="233">
        <v>39</v>
      </c>
      <c r="I65" s="233">
        <v>30</v>
      </c>
      <c r="J65" s="233">
        <v>0</v>
      </c>
      <c r="K65" s="233">
        <v>7</v>
      </c>
      <c r="L65" s="233">
        <v>4</v>
      </c>
      <c r="M65" s="233">
        <v>3</v>
      </c>
      <c r="N65" s="232">
        <v>12</v>
      </c>
      <c r="O65" s="232">
        <v>12</v>
      </c>
      <c r="P65" s="232">
        <v>0</v>
      </c>
      <c r="Q65" s="233">
        <v>47</v>
      </c>
      <c r="R65" s="232">
        <v>42</v>
      </c>
      <c r="S65" s="233">
        <v>5</v>
      </c>
      <c r="T65" s="233">
        <v>361</v>
      </c>
      <c r="U65" s="233">
        <v>314</v>
      </c>
      <c r="V65" s="233">
        <v>47</v>
      </c>
      <c r="W65" s="233">
        <v>1494</v>
      </c>
      <c r="X65" s="233">
        <v>1310</v>
      </c>
      <c r="Y65" s="233">
        <v>184</v>
      </c>
      <c r="Z65" s="20"/>
    </row>
    <row r="66" spans="1:26" ht="15" customHeight="1" x14ac:dyDescent="0.25">
      <c r="A66" s="14"/>
      <c r="B66" s="7"/>
      <c r="C66" s="7"/>
      <c r="D66" s="7"/>
      <c r="E66" s="23"/>
      <c r="F66" s="7"/>
      <c r="G66" s="7"/>
      <c r="H66" s="7"/>
      <c r="I66" s="23"/>
      <c r="J66" s="7"/>
      <c r="K66" s="7"/>
      <c r="L66" s="23"/>
      <c r="M66" s="7"/>
      <c r="N66" s="14"/>
      <c r="O66" s="9"/>
      <c r="P66" s="14"/>
      <c r="Q66" s="7"/>
      <c r="R66" s="14"/>
      <c r="S66" s="7"/>
      <c r="T66" s="7"/>
      <c r="U66" s="7"/>
      <c r="V66" s="7"/>
      <c r="W66" s="7"/>
      <c r="X66" s="7"/>
      <c r="Y66" s="23"/>
      <c r="Z66" s="20"/>
    </row>
    <row r="67" spans="1:26" ht="15" customHeight="1" x14ac:dyDescent="0.25">
      <c r="A67" s="242"/>
      <c r="B67" s="233" t="s">
        <v>133</v>
      </c>
      <c r="C67" s="233">
        <v>1</v>
      </c>
      <c r="D67" s="233" t="s">
        <v>180</v>
      </c>
      <c r="E67" s="233">
        <v>709</v>
      </c>
      <c r="F67" s="233">
        <v>672</v>
      </c>
      <c r="G67" s="233">
        <v>37</v>
      </c>
      <c r="H67" s="233">
        <v>17</v>
      </c>
      <c r="I67" s="233">
        <v>13</v>
      </c>
      <c r="J67" s="233">
        <v>4</v>
      </c>
      <c r="K67" s="233">
        <v>96</v>
      </c>
      <c r="L67" s="233">
        <v>70</v>
      </c>
      <c r="M67" s="233">
        <v>26</v>
      </c>
      <c r="N67" s="232">
        <v>60</v>
      </c>
      <c r="O67" s="244">
        <v>47</v>
      </c>
      <c r="P67" s="232">
        <v>13</v>
      </c>
      <c r="Q67" s="233">
        <v>366</v>
      </c>
      <c r="R67" s="232">
        <v>252</v>
      </c>
      <c r="S67" s="233">
        <v>114</v>
      </c>
      <c r="T67" s="233">
        <v>496</v>
      </c>
      <c r="U67" s="233">
        <v>427</v>
      </c>
      <c r="V67" s="233">
        <v>69</v>
      </c>
      <c r="W67" s="233">
        <v>1744</v>
      </c>
      <c r="X67" s="233">
        <v>1481</v>
      </c>
      <c r="Y67" s="233">
        <v>263</v>
      </c>
      <c r="Z67" s="20"/>
    </row>
    <row r="68" spans="1:26" ht="15" customHeight="1" x14ac:dyDescent="0.25">
      <c r="A68" s="232"/>
      <c r="B68" s="233"/>
      <c r="C68" s="233">
        <v>2</v>
      </c>
      <c r="D68" s="233" t="s">
        <v>181</v>
      </c>
      <c r="E68" s="233">
        <v>583</v>
      </c>
      <c r="F68" s="233">
        <v>527</v>
      </c>
      <c r="G68" s="233">
        <v>56</v>
      </c>
      <c r="H68" s="233">
        <v>174</v>
      </c>
      <c r="I68" s="233">
        <v>163</v>
      </c>
      <c r="J68" s="233">
        <v>11</v>
      </c>
      <c r="K68" s="233">
        <v>169</v>
      </c>
      <c r="L68" s="233">
        <v>151</v>
      </c>
      <c r="M68" s="233">
        <v>18</v>
      </c>
      <c r="N68" s="232">
        <v>45</v>
      </c>
      <c r="O68" s="244">
        <v>44</v>
      </c>
      <c r="P68" s="232">
        <v>1</v>
      </c>
      <c r="Q68" s="233">
        <v>230</v>
      </c>
      <c r="R68" s="232">
        <v>220</v>
      </c>
      <c r="S68" s="233">
        <v>10</v>
      </c>
      <c r="T68" s="233">
        <v>817</v>
      </c>
      <c r="U68" s="233">
        <v>650</v>
      </c>
      <c r="V68" s="233">
        <v>167</v>
      </c>
      <c r="W68" s="233">
        <v>2018</v>
      </c>
      <c r="X68" s="233">
        <v>1755</v>
      </c>
      <c r="Y68" s="233">
        <v>263</v>
      </c>
      <c r="Z68" s="20"/>
    </row>
    <row r="69" spans="1:26" ht="15" customHeight="1" x14ac:dyDescent="0.25">
      <c r="A69" s="14"/>
      <c r="B69"/>
      <c r="C69" s="7"/>
      <c r="D69" s="7"/>
      <c r="E69" s="7"/>
      <c r="F69" s="7"/>
      <c r="G69" s="7"/>
      <c r="H69" s="7"/>
      <c r="I69" s="23"/>
      <c r="J69" s="7"/>
      <c r="K69" s="7"/>
      <c r="L69" s="23"/>
      <c r="M69" s="7"/>
      <c r="N69" s="14"/>
      <c r="O69" s="9"/>
      <c r="P69" s="14"/>
      <c r="Q69" s="7"/>
      <c r="R69" s="14"/>
      <c r="S69" s="7"/>
      <c r="T69" s="7"/>
      <c r="U69" s="7"/>
      <c r="V69" s="7"/>
      <c r="W69" s="7"/>
      <c r="X69" s="7"/>
      <c r="Y69" s="7"/>
      <c r="Z69" s="20"/>
    </row>
    <row r="70" spans="1:26" ht="15" customHeight="1" x14ac:dyDescent="0.25">
      <c r="A70" s="232"/>
      <c r="B70" s="233" t="s">
        <v>131</v>
      </c>
      <c r="C70" s="233">
        <v>1</v>
      </c>
      <c r="D70" s="233" t="s">
        <v>182</v>
      </c>
      <c r="E70" s="233">
        <v>2616</v>
      </c>
      <c r="F70" s="233">
        <v>2566</v>
      </c>
      <c r="G70" s="233">
        <v>50</v>
      </c>
      <c r="H70" s="233">
        <v>4</v>
      </c>
      <c r="I70" s="233">
        <v>4</v>
      </c>
      <c r="J70" s="233">
        <v>0</v>
      </c>
      <c r="K70" s="233">
        <v>293</v>
      </c>
      <c r="L70" s="233">
        <v>284</v>
      </c>
      <c r="M70" s="233">
        <v>9</v>
      </c>
      <c r="N70" s="232">
        <v>620</v>
      </c>
      <c r="O70" s="232">
        <v>619</v>
      </c>
      <c r="P70" s="232">
        <v>1</v>
      </c>
      <c r="Q70" s="233">
        <v>8326</v>
      </c>
      <c r="R70" s="232">
        <v>8293</v>
      </c>
      <c r="S70" s="233">
        <v>33</v>
      </c>
      <c r="T70" s="233">
        <v>1271</v>
      </c>
      <c r="U70" s="233">
        <v>1194</v>
      </c>
      <c r="V70" s="233">
        <v>77</v>
      </c>
      <c r="W70" s="233">
        <v>13130</v>
      </c>
      <c r="X70" s="233">
        <v>12960</v>
      </c>
      <c r="Y70" s="233">
        <v>170</v>
      </c>
      <c r="Z70" s="20"/>
    </row>
    <row r="71" spans="1:26" ht="15" customHeight="1" x14ac:dyDescent="0.25">
      <c r="A71" s="232"/>
      <c r="B71" s="233"/>
      <c r="C71" s="233">
        <v>2</v>
      </c>
      <c r="D71" s="233" t="s">
        <v>183</v>
      </c>
      <c r="E71" s="233">
        <v>42</v>
      </c>
      <c r="F71" s="233">
        <v>42</v>
      </c>
      <c r="G71" s="233">
        <v>0</v>
      </c>
      <c r="H71" s="233">
        <v>1</v>
      </c>
      <c r="I71" s="233">
        <v>1</v>
      </c>
      <c r="J71" s="233">
        <v>0</v>
      </c>
      <c r="K71" s="233">
        <v>5</v>
      </c>
      <c r="L71" s="233">
        <v>4</v>
      </c>
      <c r="M71" s="233">
        <v>1</v>
      </c>
      <c r="N71" s="232">
        <v>7</v>
      </c>
      <c r="O71" s="232">
        <v>7</v>
      </c>
      <c r="P71" s="232">
        <v>0</v>
      </c>
      <c r="Q71" s="233">
        <v>15</v>
      </c>
      <c r="R71" s="232">
        <v>6</v>
      </c>
      <c r="S71" s="233">
        <v>9</v>
      </c>
      <c r="T71" s="233">
        <v>39</v>
      </c>
      <c r="U71" s="233">
        <v>39</v>
      </c>
      <c r="V71" s="233">
        <v>0</v>
      </c>
      <c r="W71" s="233">
        <v>109</v>
      </c>
      <c r="X71" s="233">
        <v>99</v>
      </c>
      <c r="Y71" s="233">
        <v>10</v>
      </c>
      <c r="Z71" s="20"/>
    </row>
    <row r="72" spans="1:26" ht="15" customHeight="1" x14ac:dyDescent="0.25">
      <c r="A72" s="232"/>
      <c r="B72" s="233"/>
      <c r="C72" s="233">
        <v>3</v>
      </c>
      <c r="D72" s="233" t="s">
        <v>184</v>
      </c>
      <c r="E72" s="233">
        <v>396</v>
      </c>
      <c r="F72" s="233">
        <v>382</v>
      </c>
      <c r="G72" s="233">
        <v>14</v>
      </c>
      <c r="H72" s="233">
        <v>41</v>
      </c>
      <c r="I72" s="233">
        <v>41</v>
      </c>
      <c r="J72" s="233">
        <v>0</v>
      </c>
      <c r="K72" s="233">
        <v>137</v>
      </c>
      <c r="L72" s="233">
        <v>134</v>
      </c>
      <c r="M72" s="233">
        <v>3</v>
      </c>
      <c r="N72" s="232">
        <v>45</v>
      </c>
      <c r="O72" s="244">
        <v>44</v>
      </c>
      <c r="P72" s="232">
        <v>1</v>
      </c>
      <c r="Q72" s="233">
        <v>229</v>
      </c>
      <c r="R72" s="232">
        <v>229</v>
      </c>
      <c r="S72" s="233">
        <v>0</v>
      </c>
      <c r="T72" s="233">
        <v>708</v>
      </c>
      <c r="U72" s="233">
        <v>692</v>
      </c>
      <c r="V72" s="233">
        <v>16</v>
      </c>
      <c r="W72" s="233">
        <v>1556</v>
      </c>
      <c r="X72" s="233">
        <v>1522</v>
      </c>
      <c r="Y72" s="233">
        <v>34</v>
      </c>
      <c r="Z72" s="20"/>
    </row>
    <row r="73" spans="1:26" ht="15" customHeight="1" x14ac:dyDescent="0.25">
      <c r="A73" s="232"/>
      <c r="B73" s="233"/>
      <c r="C73" s="233">
        <v>4</v>
      </c>
      <c r="D73" s="233" t="s">
        <v>185</v>
      </c>
      <c r="E73" s="233">
        <v>52</v>
      </c>
      <c r="F73" s="233">
        <v>46</v>
      </c>
      <c r="G73" s="233">
        <v>6</v>
      </c>
      <c r="H73" s="233">
        <v>2</v>
      </c>
      <c r="I73" s="233">
        <v>1</v>
      </c>
      <c r="J73" s="233">
        <v>1</v>
      </c>
      <c r="K73" s="233">
        <v>28</v>
      </c>
      <c r="L73" s="233">
        <v>24</v>
      </c>
      <c r="M73" s="233">
        <v>4</v>
      </c>
      <c r="N73" s="232">
        <v>3</v>
      </c>
      <c r="O73" s="244">
        <v>2</v>
      </c>
      <c r="P73" s="232">
        <v>1</v>
      </c>
      <c r="Q73" s="233">
        <v>28</v>
      </c>
      <c r="R73" s="232">
        <v>23</v>
      </c>
      <c r="S73" s="233">
        <v>5</v>
      </c>
      <c r="T73" s="233">
        <v>88</v>
      </c>
      <c r="U73" s="233">
        <v>76</v>
      </c>
      <c r="V73" s="233">
        <v>12</v>
      </c>
      <c r="W73" s="233">
        <v>201</v>
      </c>
      <c r="X73" s="233">
        <v>172</v>
      </c>
      <c r="Y73" s="233">
        <v>29</v>
      </c>
      <c r="Z73" s="20"/>
    </row>
    <row r="74" spans="1:26" ht="15" customHeight="1" x14ac:dyDescent="0.25">
      <c r="A74" s="232"/>
      <c r="B74" s="233"/>
      <c r="C74" s="233">
        <v>5</v>
      </c>
      <c r="D74" s="233" t="s">
        <v>186</v>
      </c>
      <c r="E74" s="233">
        <v>58</v>
      </c>
      <c r="F74" s="233">
        <v>58</v>
      </c>
      <c r="G74" s="233">
        <v>0</v>
      </c>
      <c r="H74" s="233">
        <v>6</v>
      </c>
      <c r="I74" s="233">
        <v>6</v>
      </c>
      <c r="J74" s="233">
        <v>0</v>
      </c>
      <c r="K74" s="233">
        <v>9</v>
      </c>
      <c r="L74" s="233">
        <v>8</v>
      </c>
      <c r="M74" s="233">
        <v>1</v>
      </c>
      <c r="N74" s="232">
        <v>0</v>
      </c>
      <c r="O74" s="244">
        <v>0</v>
      </c>
      <c r="P74" s="232">
        <v>0</v>
      </c>
      <c r="Q74" s="233">
        <v>9</v>
      </c>
      <c r="R74" s="232">
        <v>7</v>
      </c>
      <c r="S74" s="233">
        <v>2</v>
      </c>
      <c r="T74" s="233">
        <v>44</v>
      </c>
      <c r="U74" s="233">
        <v>40</v>
      </c>
      <c r="V74" s="233">
        <v>4</v>
      </c>
      <c r="W74" s="233">
        <v>126</v>
      </c>
      <c r="X74" s="233">
        <v>119</v>
      </c>
      <c r="Y74" s="233">
        <v>7</v>
      </c>
      <c r="Z74" s="20"/>
    </row>
    <row r="75" spans="1:26" ht="15" customHeight="1" x14ac:dyDescent="0.25">
      <c r="A75" s="232"/>
      <c r="B75" s="233"/>
      <c r="C75" s="233">
        <v>6</v>
      </c>
      <c r="D75" s="233" t="s">
        <v>187</v>
      </c>
      <c r="E75" s="233">
        <v>149</v>
      </c>
      <c r="F75" s="233">
        <v>144</v>
      </c>
      <c r="G75" s="233">
        <v>5</v>
      </c>
      <c r="H75" s="233">
        <v>0</v>
      </c>
      <c r="I75" s="233">
        <v>0</v>
      </c>
      <c r="J75" s="233">
        <v>0</v>
      </c>
      <c r="K75" s="233">
        <v>0</v>
      </c>
      <c r="L75" s="233">
        <v>0</v>
      </c>
      <c r="M75" s="233">
        <v>0</v>
      </c>
      <c r="N75" s="233">
        <v>0</v>
      </c>
      <c r="O75" s="233">
        <v>0</v>
      </c>
      <c r="P75" s="233">
        <v>0</v>
      </c>
      <c r="Q75" s="233">
        <v>1</v>
      </c>
      <c r="R75" s="232">
        <v>1</v>
      </c>
      <c r="S75" s="233">
        <v>0</v>
      </c>
      <c r="T75" s="233">
        <v>9</v>
      </c>
      <c r="U75" s="233">
        <v>8</v>
      </c>
      <c r="V75" s="233">
        <v>1</v>
      </c>
      <c r="W75" s="233">
        <v>159</v>
      </c>
      <c r="X75" s="233">
        <v>153</v>
      </c>
      <c r="Y75" s="233">
        <v>6</v>
      </c>
      <c r="Z75" s="20"/>
    </row>
    <row r="76" spans="1:26" ht="15" customHeight="1" x14ac:dyDescent="0.25">
      <c r="A76" s="232"/>
      <c r="B76" s="233"/>
      <c r="C76" s="233">
        <v>7</v>
      </c>
      <c r="D76" s="233" t="s">
        <v>188</v>
      </c>
      <c r="E76" s="233">
        <v>2274</v>
      </c>
      <c r="F76" s="233">
        <v>2270</v>
      </c>
      <c r="G76" s="233">
        <v>4</v>
      </c>
      <c r="H76" s="233">
        <v>23</v>
      </c>
      <c r="I76" s="233">
        <v>23</v>
      </c>
      <c r="J76" s="233">
        <v>0</v>
      </c>
      <c r="K76" s="233">
        <v>50</v>
      </c>
      <c r="L76" s="233">
        <v>50</v>
      </c>
      <c r="M76" s="233">
        <v>0</v>
      </c>
      <c r="N76" s="232">
        <v>71</v>
      </c>
      <c r="O76" s="244">
        <v>71</v>
      </c>
      <c r="P76" s="232">
        <v>0</v>
      </c>
      <c r="Q76" s="233">
        <v>138</v>
      </c>
      <c r="R76" s="232">
        <v>138</v>
      </c>
      <c r="S76" s="233">
        <v>0</v>
      </c>
      <c r="T76" s="233">
        <v>749</v>
      </c>
      <c r="U76" s="233">
        <v>749</v>
      </c>
      <c r="V76" s="233">
        <v>0</v>
      </c>
      <c r="W76" s="233">
        <v>3305</v>
      </c>
      <c r="X76" s="233">
        <v>3301</v>
      </c>
      <c r="Y76" s="233">
        <v>4</v>
      </c>
      <c r="Z76" s="20"/>
    </row>
    <row r="77" spans="1:26" ht="15" customHeight="1" x14ac:dyDescent="0.25">
      <c r="A77" s="14"/>
      <c r="B77" s="7"/>
      <c r="C77" s="7"/>
      <c r="D77" s="7"/>
      <c r="E77" s="23"/>
      <c r="F77" s="7"/>
      <c r="G77" s="7"/>
      <c r="H77" s="7"/>
      <c r="I77" s="23"/>
      <c r="J77" s="7"/>
      <c r="K77" s="7"/>
      <c r="L77" s="23"/>
      <c r="M77" s="7"/>
      <c r="N77" s="14"/>
      <c r="O77" s="9"/>
      <c r="P77" s="14"/>
      <c r="Q77" s="7"/>
      <c r="R77" s="14"/>
      <c r="S77" s="7"/>
      <c r="T77" s="7"/>
      <c r="U77" s="7"/>
      <c r="V77" s="7"/>
      <c r="W77" s="7"/>
      <c r="X77" s="7"/>
      <c r="Y77" s="23"/>
      <c r="Z77" s="20"/>
    </row>
    <row r="78" spans="1:26" ht="15" customHeight="1" x14ac:dyDescent="0.25">
      <c r="A78" s="223"/>
      <c r="B78" s="224" t="s">
        <v>135</v>
      </c>
      <c r="C78" s="224">
        <v>1</v>
      </c>
      <c r="D78" s="251" t="s">
        <v>208</v>
      </c>
      <c r="E78" s="224">
        <v>2309</v>
      </c>
      <c r="F78" s="224">
        <v>2269</v>
      </c>
      <c r="G78" s="224">
        <v>40</v>
      </c>
      <c r="H78" s="224">
        <v>292</v>
      </c>
      <c r="I78" s="224">
        <v>287</v>
      </c>
      <c r="J78" s="224">
        <v>5</v>
      </c>
      <c r="K78" s="224">
        <v>901</v>
      </c>
      <c r="L78" s="224">
        <v>812</v>
      </c>
      <c r="M78" s="224">
        <v>89</v>
      </c>
      <c r="N78" s="223">
        <v>547</v>
      </c>
      <c r="O78" s="252">
        <v>526</v>
      </c>
      <c r="P78" s="223">
        <v>21</v>
      </c>
      <c r="Q78" s="224">
        <v>4054</v>
      </c>
      <c r="R78" s="223">
        <v>3914</v>
      </c>
      <c r="S78" s="224">
        <v>140</v>
      </c>
      <c r="T78" s="224">
        <v>4653</v>
      </c>
      <c r="U78" s="224">
        <v>4367</v>
      </c>
      <c r="V78" s="224">
        <v>286</v>
      </c>
      <c r="W78" s="224">
        <v>12756</v>
      </c>
      <c r="X78" s="224">
        <v>12175</v>
      </c>
      <c r="Y78" s="224">
        <v>581</v>
      </c>
      <c r="Z78" s="20"/>
    </row>
    <row r="79" spans="1:26" ht="15" customHeight="1" x14ac:dyDescent="0.25">
      <c r="A79" s="14"/>
      <c r="B79" s="7"/>
      <c r="C79" s="7"/>
      <c r="D79" s="14"/>
      <c r="E79" s="7"/>
      <c r="F79" s="7"/>
      <c r="G79" s="7"/>
      <c r="H79" s="7"/>
      <c r="I79" s="23"/>
      <c r="J79" s="7"/>
      <c r="K79" s="7"/>
      <c r="L79" s="23"/>
      <c r="M79" s="7"/>
      <c r="N79" s="14"/>
      <c r="O79" s="29"/>
      <c r="P79" s="14"/>
      <c r="Q79" s="7"/>
      <c r="R79" s="22"/>
      <c r="S79" s="7"/>
      <c r="T79" s="7"/>
      <c r="U79" s="23"/>
      <c r="V79" s="7"/>
      <c r="W79" s="7"/>
      <c r="X79" s="7"/>
      <c r="Y79" s="7"/>
      <c r="Z79" s="20"/>
    </row>
    <row r="80" spans="1:26" ht="15" customHeight="1" x14ac:dyDescent="0.25">
      <c r="A80" s="14" t="s">
        <v>125</v>
      </c>
      <c r="B80" s="7" t="s">
        <v>134</v>
      </c>
      <c r="C80" s="23">
        <v>1</v>
      </c>
      <c r="D80" s="14" t="s">
        <v>209</v>
      </c>
      <c r="E80" s="7">
        <v>1538</v>
      </c>
      <c r="F80" s="7">
        <v>942</v>
      </c>
      <c r="G80" s="7">
        <v>596</v>
      </c>
      <c r="H80" s="7">
        <v>14</v>
      </c>
      <c r="I80" s="7">
        <v>6</v>
      </c>
      <c r="J80" s="7">
        <v>8</v>
      </c>
      <c r="K80" s="7">
        <v>13</v>
      </c>
      <c r="L80" s="7">
        <v>8</v>
      </c>
      <c r="M80" s="7">
        <v>5</v>
      </c>
      <c r="N80" s="14">
        <v>8</v>
      </c>
      <c r="O80" s="29">
        <v>8</v>
      </c>
      <c r="P80" s="14">
        <v>0</v>
      </c>
      <c r="Q80" s="7">
        <v>41</v>
      </c>
      <c r="R80" s="22">
        <v>39</v>
      </c>
      <c r="S80" s="7">
        <v>2</v>
      </c>
      <c r="T80" s="7">
        <v>84</v>
      </c>
      <c r="U80" s="23">
        <v>51</v>
      </c>
      <c r="V80" s="7">
        <v>33</v>
      </c>
      <c r="W80" s="7">
        <v>1698</v>
      </c>
      <c r="X80" s="7">
        <v>1054</v>
      </c>
      <c r="Y80" s="7">
        <v>644</v>
      </c>
      <c r="Z80" s="20"/>
    </row>
    <row r="81" spans="1:26" ht="15" customHeight="1" x14ac:dyDescent="0.25">
      <c r="A81" s="14"/>
      <c r="B81" s="7"/>
      <c r="C81" s="23">
        <v>2</v>
      </c>
      <c r="D81" s="14" t="s">
        <v>210</v>
      </c>
      <c r="E81" s="7">
        <v>2318</v>
      </c>
      <c r="F81" s="7">
        <v>292</v>
      </c>
      <c r="G81" s="7">
        <v>2026</v>
      </c>
      <c r="H81" s="7">
        <v>29</v>
      </c>
      <c r="I81" s="23">
        <v>1</v>
      </c>
      <c r="J81" s="7">
        <v>28</v>
      </c>
      <c r="K81" s="7">
        <v>380</v>
      </c>
      <c r="L81" s="7">
        <v>19</v>
      </c>
      <c r="M81" s="7">
        <v>361</v>
      </c>
      <c r="N81" s="14">
        <v>156</v>
      </c>
      <c r="O81" s="29">
        <v>8</v>
      </c>
      <c r="P81" s="14">
        <v>148</v>
      </c>
      <c r="Q81" s="7">
        <v>1208</v>
      </c>
      <c r="R81" s="14">
        <v>140</v>
      </c>
      <c r="S81" s="7">
        <v>1068</v>
      </c>
      <c r="T81" s="7">
        <v>1828</v>
      </c>
      <c r="U81" s="7">
        <v>434</v>
      </c>
      <c r="V81" s="7">
        <v>1394</v>
      </c>
      <c r="W81" s="14">
        <v>5919</v>
      </c>
      <c r="X81" s="7">
        <v>894</v>
      </c>
      <c r="Y81" s="7">
        <v>5025</v>
      </c>
      <c r="Z81" s="20"/>
    </row>
    <row r="82" spans="1:26" ht="15" customHeight="1" x14ac:dyDescent="0.25">
      <c r="A82" s="14"/>
      <c r="B82"/>
      <c r="C82" s="23">
        <v>3</v>
      </c>
      <c r="D82" s="14" t="s">
        <v>211</v>
      </c>
      <c r="E82" s="7">
        <v>1041</v>
      </c>
      <c r="F82" s="7">
        <v>552</v>
      </c>
      <c r="G82" s="7">
        <v>489</v>
      </c>
      <c r="H82" s="7">
        <v>77</v>
      </c>
      <c r="I82" s="23">
        <v>47</v>
      </c>
      <c r="J82" s="7">
        <v>30</v>
      </c>
      <c r="K82" s="7">
        <v>470</v>
      </c>
      <c r="L82" s="23">
        <v>137</v>
      </c>
      <c r="M82" s="7">
        <v>333</v>
      </c>
      <c r="N82" s="14">
        <v>138</v>
      </c>
      <c r="O82" s="29">
        <v>62</v>
      </c>
      <c r="P82" s="14">
        <v>76</v>
      </c>
      <c r="Q82" s="7">
        <v>882</v>
      </c>
      <c r="R82" s="22">
        <v>269</v>
      </c>
      <c r="S82" s="7">
        <v>613</v>
      </c>
      <c r="T82" s="7">
        <v>1157</v>
      </c>
      <c r="U82" s="23">
        <v>466</v>
      </c>
      <c r="V82" s="7">
        <v>691</v>
      </c>
      <c r="W82" s="7">
        <v>3765</v>
      </c>
      <c r="X82" s="7">
        <v>1533</v>
      </c>
      <c r="Y82" s="7">
        <v>2232</v>
      </c>
      <c r="Z82" s="20"/>
    </row>
    <row r="83" spans="1:26" ht="15" customHeight="1" x14ac:dyDescent="0.25">
      <c r="A83" s="14"/>
      <c r="B83" s="7"/>
      <c r="C83" s="7"/>
      <c r="D83" s="14"/>
      <c r="E83" s="7"/>
      <c r="F83" s="7"/>
      <c r="G83" s="7"/>
      <c r="H83" s="7"/>
      <c r="I83" s="7"/>
      <c r="J83" s="7"/>
      <c r="K83" s="7"/>
      <c r="L83" s="7"/>
      <c r="M83" s="7"/>
      <c r="N83" s="14"/>
      <c r="O83" s="29"/>
      <c r="P83" s="14"/>
      <c r="Q83" s="7"/>
      <c r="R83" s="22"/>
      <c r="S83" s="7"/>
      <c r="T83" s="7"/>
      <c r="U83" s="23"/>
      <c r="V83" s="7"/>
      <c r="W83" s="7"/>
      <c r="X83" s="7"/>
      <c r="Y83" s="7"/>
      <c r="Z83" s="20"/>
    </row>
    <row r="84" spans="1:26" ht="15" customHeight="1" x14ac:dyDescent="0.25">
      <c r="A84" s="14" t="s">
        <v>127</v>
      </c>
      <c r="B84" s="7" t="s">
        <v>135</v>
      </c>
      <c r="C84" s="7">
        <v>1</v>
      </c>
      <c r="D84" s="14" t="s">
        <v>212</v>
      </c>
      <c r="E84" s="23">
        <v>154742</v>
      </c>
      <c r="F84" s="7">
        <v>77407</v>
      </c>
      <c r="G84" s="7">
        <v>77335</v>
      </c>
      <c r="H84" s="7">
        <v>4974</v>
      </c>
      <c r="I84" s="23">
        <v>2450</v>
      </c>
      <c r="J84" s="7">
        <v>2524</v>
      </c>
      <c r="K84" s="7">
        <v>14258</v>
      </c>
      <c r="L84" s="23">
        <v>7153</v>
      </c>
      <c r="M84" s="7">
        <v>7105</v>
      </c>
      <c r="N84" s="14">
        <v>75266</v>
      </c>
      <c r="O84" s="29">
        <v>35597</v>
      </c>
      <c r="P84" s="14">
        <v>39669</v>
      </c>
      <c r="Q84" s="7">
        <v>162109</v>
      </c>
      <c r="R84" s="22">
        <v>79394</v>
      </c>
      <c r="S84" s="7">
        <v>82715</v>
      </c>
      <c r="T84" s="7">
        <v>93648</v>
      </c>
      <c r="U84" s="23">
        <v>46134</v>
      </c>
      <c r="V84" s="7">
        <v>47511</v>
      </c>
      <c r="W84" s="7">
        <v>504997</v>
      </c>
      <c r="X84" s="7">
        <v>248135</v>
      </c>
      <c r="Y84" s="23">
        <v>256862</v>
      </c>
      <c r="Z84" s="20"/>
    </row>
    <row r="85" spans="1:26" ht="15" customHeight="1" x14ac:dyDescent="0.25">
      <c r="A85" s="14"/>
      <c r="B85"/>
      <c r="C85" s="7"/>
      <c r="D85" s="7"/>
      <c r="E85" s="23"/>
      <c r="F85" s="7"/>
      <c r="G85" s="7"/>
      <c r="H85" s="7"/>
      <c r="I85" s="23"/>
      <c r="J85" s="7"/>
      <c r="K85" s="7"/>
      <c r="L85" s="23"/>
      <c r="M85" s="7"/>
      <c r="N85" s="14"/>
      <c r="O85" s="29"/>
      <c r="P85" s="14"/>
      <c r="Q85" s="7"/>
      <c r="R85" s="22"/>
      <c r="S85" s="7"/>
      <c r="T85" s="7"/>
      <c r="U85" s="23"/>
      <c r="V85" s="7"/>
      <c r="W85" s="7"/>
      <c r="X85" s="7"/>
      <c r="Y85" s="23"/>
      <c r="Z85" s="20"/>
    </row>
    <row r="86" spans="1:26" ht="15" customHeight="1" x14ac:dyDescent="0.25">
      <c r="A86" s="14"/>
      <c r="B86" s="7" t="s">
        <v>213</v>
      </c>
      <c r="C86" s="7">
        <v>1</v>
      </c>
      <c r="D86" s="20" t="s">
        <v>214</v>
      </c>
      <c r="E86" s="7">
        <v>164</v>
      </c>
      <c r="F86" s="7">
        <v>78</v>
      </c>
      <c r="G86" s="7">
        <v>86</v>
      </c>
      <c r="H86" s="7">
        <v>4</v>
      </c>
      <c r="I86" s="7">
        <v>2</v>
      </c>
      <c r="J86" s="7">
        <v>2</v>
      </c>
      <c r="K86" s="7">
        <v>348</v>
      </c>
      <c r="L86" s="7">
        <v>126</v>
      </c>
      <c r="M86" s="7">
        <v>222</v>
      </c>
      <c r="N86" s="14">
        <v>79</v>
      </c>
      <c r="O86" s="29">
        <v>44</v>
      </c>
      <c r="P86" s="7">
        <v>35</v>
      </c>
      <c r="Q86" s="7">
        <v>603</v>
      </c>
      <c r="R86" s="22">
        <v>291</v>
      </c>
      <c r="S86" s="7">
        <v>312</v>
      </c>
      <c r="T86" s="7">
        <v>666</v>
      </c>
      <c r="U86" s="23">
        <v>264</v>
      </c>
      <c r="V86" s="7">
        <v>402</v>
      </c>
      <c r="W86" s="7">
        <v>1864</v>
      </c>
      <c r="X86" s="7">
        <v>805</v>
      </c>
      <c r="Y86" s="7">
        <v>1059</v>
      </c>
      <c r="Z86" s="20"/>
    </row>
    <row r="87" spans="1:26" ht="15" customHeight="1" x14ac:dyDescent="0.25">
      <c r="A87"/>
      <c r="B87" s="7"/>
      <c r="C87" s="7">
        <v>2</v>
      </c>
      <c r="D87" s="7" t="s">
        <v>193</v>
      </c>
      <c r="E87" s="7">
        <v>427</v>
      </c>
      <c r="F87" s="7">
        <v>410</v>
      </c>
      <c r="G87" s="7">
        <v>17</v>
      </c>
      <c r="H87" s="7">
        <v>42</v>
      </c>
      <c r="I87" s="7">
        <v>34</v>
      </c>
      <c r="J87" s="7">
        <v>8</v>
      </c>
      <c r="K87" s="7">
        <v>805</v>
      </c>
      <c r="L87" s="7">
        <v>745</v>
      </c>
      <c r="M87" s="7">
        <v>60</v>
      </c>
      <c r="N87" s="14">
        <v>209</v>
      </c>
      <c r="O87" s="29">
        <v>196</v>
      </c>
      <c r="P87" s="7">
        <v>13</v>
      </c>
      <c r="Q87" s="7">
        <v>1546</v>
      </c>
      <c r="R87" s="14">
        <v>1518</v>
      </c>
      <c r="S87" s="7">
        <v>28</v>
      </c>
      <c r="T87" s="7">
        <v>859</v>
      </c>
      <c r="U87" s="7">
        <v>692</v>
      </c>
      <c r="V87" s="7">
        <v>167</v>
      </c>
      <c r="W87" s="7">
        <v>3888</v>
      </c>
      <c r="X87" s="7">
        <v>3595</v>
      </c>
      <c r="Y87" s="7">
        <v>293</v>
      </c>
      <c r="Z87" s="20"/>
    </row>
    <row r="88" spans="1:26" ht="15" customHeight="1" x14ac:dyDescent="0.25">
      <c r="A88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14"/>
      <c r="O88" s="9"/>
      <c r="P88" s="7"/>
      <c r="Q88" s="7"/>
      <c r="R88" s="14"/>
      <c r="S88" s="7"/>
      <c r="T88" s="7"/>
      <c r="U88" s="7"/>
      <c r="V88" s="7"/>
      <c r="W88" s="7"/>
      <c r="X88" s="7"/>
      <c r="Y88" s="7"/>
      <c r="Z88" s="20"/>
    </row>
    <row r="89" spans="1:26" ht="15" customHeight="1" thickBot="1" x14ac:dyDescent="0.3">
      <c r="A89" s="12" t="s">
        <v>128</v>
      </c>
      <c r="B89" s="8" t="s">
        <v>215</v>
      </c>
      <c r="C89" s="8">
        <v>1</v>
      </c>
      <c r="D89" s="26" t="s">
        <v>216</v>
      </c>
      <c r="E89" s="8">
        <v>2192</v>
      </c>
      <c r="F89" s="8">
        <v>1167</v>
      </c>
      <c r="G89" s="8">
        <v>1025</v>
      </c>
      <c r="H89" s="8">
        <v>110</v>
      </c>
      <c r="I89" s="8">
        <v>66</v>
      </c>
      <c r="J89" s="8">
        <v>44</v>
      </c>
      <c r="K89" s="8">
        <v>734</v>
      </c>
      <c r="L89" s="8">
        <v>309</v>
      </c>
      <c r="M89" s="8">
        <v>425</v>
      </c>
      <c r="N89" s="15">
        <v>490</v>
      </c>
      <c r="O89" s="8">
        <v>222</v>
      </c>
      <c r="P89" s="15">
        <v>268</v>
      </c>
      <c r="Q89" s="8">
        <v>2136</v>
      </c>
      <c r="R89" s="15">
        <v>938</v>
      </c>
      <c r="S89" s="8">
        <v>1198</v>
      </c>
      <c r="T89" s="8">
        <v>2026</v>
      </c>
      <c r="U89" s="8">
        <v>995</v>
      </c>
      <c r="V89" s="8">
        <v>1031</v>
      </c>
      <c r="W89" s="8">
        <v>7688</v>
      </c>
      <c r="X89" s="8">
        <v>3597</v>
      </c>
      <c r="Y89" s="8">
        <v>3991</v>
      </c>
      <c r="Z89" s="20"/>
    </row>
    <row r="90" spans="1:26" ht="15" customHeight="1" thickTop="1" x14ac:dyDescent="0.25"/>
  </sheetData>
  <mergeCells count="13">
    <mergeCell ref="A1:Y1"/>
    <mergeCell ref="W2:Y2"/>
    <mergeCell ref="E2:G2"/>
    <mergeCell ref="H2:J2"/>
    <mergeCell ref="K2:M2"/>
    <mergeCell ref="N2:P2"/>
    <mergeCell ref="Q2:S2"/>
    <mergeCell ref="T2:V2"/>
    <mergeCell ref="AA5:AC5"/>
    <mergeCell ref="A2:A4"/>
    <mergeCell ref="B2:B4"/>
    <mergeCell ref="C2:C4"/>
    <mergeCell ref="D2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2"/>
  <sheetViews>
    <sheetView zoomScale="80" zoomScaleNormal="80" workbookViewId="0">
      <selection activeCell="AD14" sqref="AD14"/>
    </sheetView>
  </sheetViews>
  <sheetFormatPr defaultRowHeight="15" x14ac:dyDescent="0.25"/>
  <cols>
    <col min="1" max="3" width="4.42578125" customWidth="1"/>
    <col min="4" max="4" width="60.7109375" customWidth="1"/>
    <col min="5" max="7" width="10.7109375" hidden="1" customWidth="1"/>
    <col min="8" max="10" width="10.7109375" customWidth="1"/>
    <col min="11" max="16" width="10.7109375" hidden="1" customWidth="1"/>
    <col min="17" max="17" width="10.7109375" style="9" hidden="1" customWidth="1"/>
    <col min="18" max="25" width="10.7109375" hidden="1" customWidth="1"/>
    <col min="27" max="27" width="21.5703125" bestFit="1" customWidth="1"/>
  </cols>
  <sheetData>
    <row r="1" spans="1:29" ht="15.75" customHeight="1" thickBot="1" x14ac:dyDescent="0.3">
      <c r="A1" s="277" t="s">
        <v>223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</row>
    <row r="2" spans="1:29" ht="15.75" thickTop="1" x14ac:dyDescent="0.25">
      <c r="A2" s="279" t="s">
        <v>105</v>
      </c>
      <c r="B2" s="282" t="s">
        <v>106</v>
      </c>
      <c r="C2" s="282" t="s">
        <v>107</v>
      </c>
      <c r="D2" s="285" t="s">
        <v>108</v>
      </c>
      <c r="E2" s="269" t="s">
        <v>109</v>
      </c>
      <c r="F2" s="270"/>
      <c r="G2" s="271"/>
      <c r="H2" s="269" t="s">
        <v>115</v>
      </c>
      <c r="I2" s="270"/>
      <c r="J2" s="270"/>
      <c r="K2" s="269" t="s">
        <v>217</v>
      </c>
      <c r="L2" s="270"/>
      <c r="M2" s="270"/>
      <c r="N2" s="269" t="s">
        <v>218</v>
      </c>
      <c r="O2" s="270"/>
      <c r="P2" s="270"/>
      <c r="Q2" s="269" t="s">
        <v>219</v>
      </c>
      <c r="R2" s="270"/>
      <c r="S2" s="270"/>
      <c r="T2" s="269" t="s">
        <v>220</v>
      </c>
      <c r="U2" s="270"/>
      <c r="V2" s="270"/>
      <c r="W2" s="269" t="s">
        <v>221</v>
      </c>
      <c r="X2" s="270"/>
      <c r="Y2" s="271"/>
      <c r="Z2" s="7"/>
    </row>
    <row r="3" spans="1:29" ht="15" customHeight="1" x14ac:dyDescent="0.25">
      <c r="A3" s="280"/>
      <c r="B3" s="283"/>
      <c r="C3" s="283"/>
      <c r="D3" s="286"/>
      <c r="E3" s="16" t="s">
        <v>111</v>
      </c>
      <c r="F3" s="16" t="s">
        <v>112</v>
      </c>
      <c r="G3" s="16" t="s">
        <v>113</v>
      </c>
      <c r="H3" s="16" t="s">
        <v>111</v>
      </c>
      <c r="I3" s="16" t="s">
        <v>112</v>
      </c>
      <c r="J3" s="16" t="s">
        <v>113</v>
      </c>
      <c r="K3" s="16" t="s">
        <v>111</v>
      </c>
      <c r="L3" s="17" t="s">
        <v>112</v>
      </c>
      <c r="M3" s="18" t="s">
        <v>113</v>
      </c>
      <c r="N3" s="16" t="s">
        <v>111</v>
      </c>
      <c r="O3" s="17" t="s">
        <v>112</v>
      </c>
      <c r="P3" s="16" t="s">
        <v>113</v>
      </c>
      <c r="Q3" s="18" t="s">
        <v>111</v>
      </c>
      <c r="R3" s="17" t="s">
        <v>112</v>
      </c>
      <c r="S3" s="18" t="s">
        <v>113</v>
      </c>
      <c r="T3" s="16" t="s">
        <v>111</v>
      </c>
      <c r="U3" s="18" t="s">
        <v>112</v>
      </c>
      <c r="V3" s="16" t="s">
        <v>113</v>
      </c>
      <c r="W3" s="16" t="s">
        <v>111</v>
      </c>
      <c r="X3" s="16" t="s">
        <v>112</v>
      </c>
      <c r="Y3" s="16" t="s">
        <v>113</v>
      </c>
      <c r="Z3" s="7"/>
    </row>
    <row r="4" spans="1:29" x14ac:dyDescent="0.25">
      <c r="A4" s="281"/>
      <c r="B4" s="284"/>
      <c r="C4" s="284"/>
      <c r="D4" s="287"/>
      <c r="E4" s="21"/>
      <c r="F4" s="21"/>
      <c r="G4" s="21"/>
      <c r="H4" s="21"/>
      <c r="I4" s="21"/>
      <c r="J4" s="21"/>
      <c r="K4" s="21"/>
      <c r="L4" s="24"/>
      <c r="M4" s="24"/>
      <c r="N4" s="24"/>
      <c r="O4" s="24"/>
      <c r="P4" s="24"/>
      <c r="Q4" s="25"/>
      <c r="R4" s="1"/>
      <c r="S4" s="19"/>
      <c r="T4" s="21"/>
      <c r="U4" s="19"/>
      <c r="V4" s="21"/>
      <c r="W4" s="21"/>
      <c r="X4" s="21"/>
      <c r="Y4" s="21"/>
      <c r="Z4" s="7"/>
    </row>
    <row r="5" spans="1:29" x14ac:dyDescent="0.25">
      <c r="A5" s="14"/>
      <c r="B5" s="7"/>
      <c r="C5" s="7"/>
      <c r="D5" s="21" t="s">
        <v>117</v>
      </c>
      <c r="E5" s="21">
        <v>2409805</v>
      </c>
      <c r="F5" s="21">
        <v>2118940</v>
      </c>
      <c r="G5" s="21">
        <v>1190864</v>
      </c>
      <c r="H5" s="21">
        <v>579741</v>
      </c>
      <c r="I5" s="21">
        <v>318544</v>
      </c>
      <c r="J5" s="21">
        <v>261197</v>
      </c>
      <c r="K5" s="21">
        <v>15682</v>
      </c>
      <c r="L5" s="21">
        <v>7882</v>
      </c>
      <c r="M5" s="21">
        <v>7800</v>
      </c>
      <c r="N5" s="21">
        <v>91260</v>
      </c>
      <c r="O5" s="21">
        <v>47027</v>
      </c>
      <c r="P5" s="21">
        <v>44233</v>
      </c>
      <c r="Q5" s="25">
        <v>310720</v>
      </c>
      <c r="R5" s="1">
        <v>147286</v>
      </c>
      <c r="S5" s="19">
        <v>163434</v>
      </c>
      <c r="T5" s="21">
        <v>1115067</v>
      </c>
      <c r="U5" s="19">
        <v>545442</v>
      </c>
      <c r="V5" s="21">
        <v>568625</v>
      </c>
      <c r="W5" s="21">
        <v>298334</v>
      </c>
      <c r="X5" s="21">
        <v>152759</v>
      </c>
      <c r="Y5" s="21">
        <v>145575</v>
      </c>
      <c r="Z5" s="7"/>
      <c r="AA5" s="288" t="s">
        <v>232</v>
      </c>
      <c r="AB5" s="288"/>
      <c r="AC5" s="288"/>
    </row>
    <row r="6" spans="1:29" x14ac:dyDescent="0.25">
      <c r="A6" s="14"/>
      <c r="B6" s="7"/>
      <c r="C6" s="7"/>
      <c r="D6" s="7"/>
      <c r="E6" s="7"/>
      <c r="F6" s="7"/>
      <c r="G6" s="23"/>
      <c r="H6" s="23"/>
      <c r="I6" s="7"/>
      <c r="J6" s="7"/>
      <c r="K6" s="7"/>
      <c r="L6" s="23"/>
      <c r="M6" s="7"/>
      <c r="N6" s="7"/>
      <c r="O6" s="23"/>
      <c r="P6" s="7"/>
      <c r="Q6" s="14"/>
      <c r="R6" s="29"/>
      <c r="S6" s="14"/>
      <c r="T6" s="7"/>
      <c r="U6" s="22"/>
      <c r="V6" s="7"/>
      <c r="W6" s="7"/>
      <c r="X6" s="23"/>
      <c r="Y6" s="7"/>
      <c r="Z6" s="7"/>
      <c r="AA6" s="25"/>
      <c r="AB6" s="25">
        <v>1904</v>
      </c>
      <c r="AC6" s="243">
        <v>19.04</v>
      </c>
    </row>
    <row r="7" spans="1:29" x14ac:dyDescent="0.25">
      <c r="A7" s="227" t="s">
        <v>119</v>
      </c>
      <c r="B7" s="228" t="s">
        <v>119</v>
      </c>
      <c r="C7" s="228">
        <v>1</v>
      </c>
      <c r="D7" s="228" t="s">
        <v>120</v>
      </c>
      <c r="E7" s="229">
        <v>7916</v>
      </c>
      <c r="F7" s="228">
        <v>7774</v>
      </c>
      <c r="G7" s="228">
        <v>142</v>
      </c>
      <c r="H7" s="228">
        <v>5906</v>
      </c>
      <c r="I7" s="228">
        <v>5776</v>
      </c>
      <c r="J7" s="228">
        <v>130</v>
      </c>
      <c r="K7" s="7">
        <v>2</v>
      </c>
      <c r="L7" s="23">
        <v>2</v>
      </c>
      <c r="M7" s="7">
        <v>0</v>
      </c>
      <c r="N7" s="7">
        <v>23</v>
      </c>
      <c r="O7" s="7">
        <v>22</v>
      </c>
      <c r="P7" s="7">
        <v>2</v>
      </c>
      <c r="Q7" s="14">
        <v>523</v>
      </c>
      <c r="R7" s="29">
        <v>521</v>
      </c>
      <c r="S7" s="14">
        <v>2</v>
      </c>
      <c r="T7" s="7">
        <v>1287</v>
      </c>
      <c r="U7" s="22">
        <v>1285</v>
      </c>
      <c r="V7" s="7">
        <v>2</v>
      </c>
      <c r="W7" s="7">
        <v>175</v>
      </c>
      <c r="X7" s="23">
        <v>168</v>
      </c>
      <c r="Y7" s="7">
        <v>7</v>
      </c>
      <c r="Z7" s="7"/>
      <c r="AA7" s="105" t="s">
        <v>238</v>
      </c>
      <c r="AB7" s="25">
        <f>I7+I8+I9+I11+I12+I13+I14+I15+I16+I17+I18+I19+I20+I24+I27+I29+I31+I30+I33+I32+I41+I42+I43+I44+I45+I46+I47+I48+I49+I50+I51+I52+I53</f>
        <v>76068</v>
      </c>
      <c r="AC7" s="25">
        <f>AB7/$AB$11*100</f>
        <v>36.969823626899696</v>
      </c>
    </row>
    <row r="8" spans="1:29" x14ac:dyDescent="0.25">
      <c r="A8" s="227"/>
      <c r="B8" s="228"/>
      <c r="C8" s="228">
        <v>2</v>
      </c>
      <c r="D8" s="228" t="s">
        <v>136</v>
      </c>
      <c r="E8" s="228">
        <v>540</v>
      </c>
      <c r="F8" s="228">
        <v>533</v>
      </c>
      <c r="G8" s="228">
        <v>7</v>
      </c>
      <c r="H8" s="228">
        <v>518</v>
      </c>
      <c r="I8" s="228">
        <v>512</v>
      </c>
      <c r="J8" s="228">
        <v>6</v>
      </c>
      <c r="K8" s="7">
        <v>1</v>
      </c>
      <c r="L8" s="23">
        <v>1</v>
      </c>
      <c r="M8" s="7">
        <v>0</v>
      </c>
      <c r="N8" s="7">
        <v>2</v>
      </c>
      <c r="O8" s="23">
        <v>2</v>
      </c>
      <c r="P8" s="7">
        <v>0</v>
      </c>
      <c r="Q8" s="14">
        <v>1</v>
      </c>
      <c r="R8" s="29">
        <v>1</v>
      </c>
      <c r="S8" s="14">
        <v>0</v>
      </c>
      <c r="T8" s="7">
        <v>4</v>
      </c>
      <c r="U8" s="22">
        <v>4</v>
      </c>
      <c r="V8" s="7">
        <v>0</v>
      </c>
      <c r="W8" s="7">
        <v>14</v>
      </c>
      <c r="X8" s="23">
        <v>13</v>
      </c>
      <c r="Y8" s="7">
        <v>1</v>
      </c>
      <c r="Z8" s="7"/>
      <c r="AA8" s="111" t="s">
        <v>240</v>
      </c>
      <c r="AB8" s="25">
        <f>I36+I37+I38+I39</f>
        <v>72802</v>
      </c>
      <c r="AC8" s="25">
        <f t="shared" ref="AC8:AC11" si="0">AB8/$AB$11*100</f>
        <v>35.382514325150545</v>
      </c>
    </row>
    <row r="9" spans="1:29" x14ac:dyDescent="0.25">
      <c r="A9" s="227"/>
      <c r="B9" s="228"/>
      <c r="C9" s="228">
        <v>3</v>
      </c>
      <c r="D9" s="228" t="s">
        <v>137</v>
      </c>
      <c r="E9" s="228">
        <v>9994</v>
      </c>
      <c r="F9" s="228">
        <v>9994</v>
      </c>
      <c r="G9" s="228">
        <v>0</v>
      </c>
      <c r="H9" s="228">
        <v>9713</v>
      </c>
      <c r="I9" s="228">
        <v>9713</v>
      </c>
      <c r="J9" s="228">
        <v>0</v>
      </c>
      <c r="K9" s="7">
        <v>2</v>
      </c>
      <c r="L9" s="23">
        <v>2</v>
      </c>
      <c r="M9" s="7">
        <v>0</v>
      </c>
      <c r="N9" s="7">
        <v>8</v>
      </c>
      <c r="O9" s="7">
        <v>8</v>
      </c>
      <c r="P9" s="7">
        <v>0</v>
      </c>
      <c r="Q9" s="14">
        <v>12</v>
      </c>
      <c r="R9" s="9">
        <v>12</v>
      </c>
      <c r="S9" s="14">
        <v>0</v>
      </c>
      <c r="T9" s="7">
        <v>53</v>
      </c>
      <c r="U9" s="14">
        <v>53</v>
      </c>
      <c r="V9" s="7">
        <v>0</v>
      </c>
      <c r="W9" s="7">
        <v>206</v>
      </c>
      <c r="X9" s="7">
        <v>206</v>
      </c>
      <c r="Y9" s="7">
        <v>0</v>
      </c>
      <c r="Z9" s="7"/>
      <c r="AA9" s="119" t="s">
        <v>243</v>
      </c>
      <c r="AB9" s="25">
        <f>I55+I56+I57+I58+I60+I61+I62+I64+I65+I66+I68+I69+I71++I72+I73+I74+I75+I76+I77</f>
        <v>45651</v>
      </c>
      <c r="AC9" s="25">
        <f t="shared" si="0"/>
        <v>22.186851480144053</v>
      </c>
    </row>
    <row r="10" spans="1:29" x14ac:dyDescent="0.25">
      <c r="A10" s="14"/>
      <c r="B10" s="7"/>
      <c r="C10" s="7"/>
      <c r="D10" s="7"/>
      <c r="E10" s="7"/>
      <c r="F10" s="7"/>
      <c r="G10" s="7"/>
      <c r="H10" s="7"/>
      <c r="I10" s="7"/>
      <c r="J10" s="7"/>
      <c r="K10" s="7"/>
      <c r="L10" s="23"/>
      <c r="M10" s="7"/>
      <c r="N10" s="7"/>
      <c r="O10" s="23"/>
      <c r="P10" s="7"/>
      <c r="Q10" s="14"/>
      <c r="R10" s="29"/>
      <c r="S10" s="14"/>
      <c r="T10" s="7"/>
      <c r="U10" s="22"/>
      <c r="V10" s="7"/>
      <c r="W10" s="7"/>
      <c r="X10" s="23"/>
      <c r="Y10" s="7"/>
      <c r="Z10" s="7"/>
      <c r="AA10" s="126" t="s">
        <v>245</v>
      </c>
      <c r="AB10" s="25">
        <f>I79+I25+I34</f>
        <v>11236</v>
      </c>
      <c r="AC10" s="25">
        <f t="shared" si="0"/>
        <v>5.4608105678057131</v>
      </c>
    </row>
    <row r="11" spans="1:29" x14ac:dyDescent="0.25">
      <c r="A11" s="227"/>
      <c r="B11" s="228" t="s">
        <v>121</v>
      </c>
      <c r="C11" s="228">
        <v>1</v>
      </c>
      <c r="D11" s="228" t="s">
        <v>138</v>
      </c>
      <c r="E11" s="228">
        <v>2122</v>
      </c>
      <c r="F11" s="228">
        <v>1782</v>
      </c>
      <c r="G11" s="228">
        <v>340</v>
      </c>
      <c r="H11" s="228">
        <v>1480</v>
      </c>
      <c r="I11" s="228">
        <v>1151</v>
      </c>
      <c r="J11" s="228">
        <v>329</v>
      </c>
      <c r="K11" s="7">
        <v>37</v>
      </c>
      <c r="L11" s="23">
        <v>37</v>
      </c>
      <c r="M11" s="7">
        <v>0</v>
      </c>
      <c r="N11" s="7">
        <v>10</v>
      </c>
      <c r="O11" s="23">
        <v>9</v>
      </c>
      <c r="P11" s="7">
        <v>1</v>
      </c>
      <c r="Q11" s="14">
        <v>232</v>
      </c>
      <c r="R11" s="29">
        <v>228</v>
      </c>
      <c r="S11" s="14">
        <v>4</v>
      </c>
      <c r="T11" s="7">
        <v>299</v>
      </c>
      <c r="U11" s="22">
        <v>297</v>
      </c>
      <c r="V11" s="7">
        <v>2</v>
      </c>
      <c r="W11" s="7">
        <v>64</v>
      </c>
      <c r="X11" s="23">
        <v>60</v>
      </c>
      <c r="Y11" s="7">
        <v>4</v>
      </c>
      <c r="Z11" s="7"/>
      <c r="AA11" s="25" t="s">
        <v>362</v>
      </c>
      <c r="AB11" s="25">
        <f>SUM(AB7:AB10)</f>
        <v>205757</v>
      </c>
      <c r="AC11" s="25">
        <f t="shared" si="0"/>
        <v>100</v>
      </c>
    </row>
    <row r="12" spans="1:29" ht="30" x14ac:dyDescent="0.25">
      <c r="A12" s="227"/>
      <c r="B12" s="228"/>
      <c r="C12" s="228">
        <v>2</v>
      </c>
      <c r="D12" s="231" t="s">
        <v>139</v>
      </c>
      <c r="E12" s="228">
        <v>1647</v>
      </c>
      <c r="F12" s="228">
        <v>1635</v>
      </c>
      <c r="G12" s="228">
        <v>12</v>
      </c>
      <c r="H12" s="228">
        <v>1511</v>
      </c>
      <c r="I12" s="228">
        <v>1500</v>
      </c>
      <c r="J12" s="228">
        <v>11</v>
      </c>
      <c r="K12" s="7">
        <v>0</v>
      </c>
      <c r="L12" s="23">
        <v>0</v>
      </c>
      <c r="M12" s="7">
        <v>0</v>
      </c>
      <c r="N12" s="7">
        <v>1</v>
      </c>
      <c r="O12" s="23">
        <v>1</v>
      </c>
      <c r="P12" s="7">
        <v>0</v>
      </c>
      <c r="Q12" s="14">
        <v>51</v>
      </c>
      <c r="R12" s="29">
        <v>50</v>
      </c>
      <c r="S12" s="14">
        <v>1</v>
      </c>
      <c r="T12" s="7">
        <v>71</v>
      </c>
      <c r="U12" s="22">
        <v>71</v>
      </c>
      <c r="V12" s="7">
        <v>0</v>
      </c>
      <c r="W12" s="7">
        <v>13</v>
      </c>
      <c r="X12" s="23">
        <v>13</v>
      </c>
      <c r="Y12" s="7">
        <v>0</v>
      </c>
      <c r="Z12" s="7"/>
    </row>
    <row r="13" spans="1:29" x14ac:dyDescent="0.25">
      <c r="A13" s="227"/>
      <c r="B13" s="228"/>
      <c r="C13" s="228">
        <v>3</v>
      </c>
      <c r="D13" s="231" t="s">
        <v>140</v>
      </c>
      <c r="E13" s="228">
        <v>3161</v>
      </c>
      <c r="F13" s="228">
        <v>1822</v>
      </c>
      <c r="G13" s="228">
        <v>1339</v>
      </c>
      <c r="H13" s="228">
        <v>2546</v>
      </c>
      <c r="I13" s="228">
        <v>1597</v>
      </c>
      <c r="J13" s="228">
        <v>949</v>
      </c>
      <c r="K13" s="7">
        <v>14</v>
      </c>
      <c r="L13" s="23">
        <v>1</v>
      </c>
      <c r="M13" s="7">
        <v>13</v>
      </c>
      <c r="N13" s="7">
        <v>40</v>
      </c>
      <c r="O13" s="23">
        <v>4</v>
      </c>
      <c r="P13" s="7">
        <v>36</v>
      </c>
      <c r="Q13" s="14">
        <v>63</v>
      </c>
      <c r="R13" s="29">
        <v>51</v>
      </c>
      <c r="S13" s="14">
        <v>12</v>
      </c>
      <c r="T13" s="7">
        <v>195</v>
      </c>
      <c r="U13" s="22">
        <v>136</v>
      </c>
      <c r="V13" s="7">
        <v>59</v>
      </c>
      <c r="W13" s="7">
        <v>303</v>
      </c>
      <c r="X13" s="23">
        <v>33</v>
      </c>
      <c r="Y13" s="7">
        <v>270</v>
      </c>
      <c r="Z13" s="7"/>
    </row>
    <row r="14" spans="1:29" x14ac:dyDescent="0.25">
      <c r="A14" s="227"/>
      <c r="B14" s="228"/>
      <c r="C14" s="228">
        <v>4</v>
      </c>
      <c r="D14" s="228" t="s">
        <v>141</v>
      </c>
      <c r="E14" s="228">
        <v>925</v>
      </c>
      <c r="F14" s="228">
        <v>307</v>
      </c>
      <c r="G14" s="228">
        <v>618</v>
      </c>
      <c r="H14" s="228">
        <v>896</v>
      </c>
      <c r="I14" s="228">
        <v>279</v>
      </c>
      <c r="J14" s="228">
        <v>617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14">
        <v>3</v>
      </c>
      <c r="R14" s="29">
        <v>3</v>
      </c>
      <c r="S14" s="14"/>
      <c r="T14" s="7">
        <v>8</v>
      </c>
      <c r="U14" s="22">
        <v>8</v>
      </c>
      <c r="V14" s="7">
        <v>0</v>
      </c>
      <c r="W14" s="7">
        <v>18</v>
      </c>
      <c r="X14" s="23">
        <v>17</v>
      </c>
      <c r="Y14" s="7">
        <v>1</v>
      </c>
      <c r="Z14" s="7"/>
    </row>
    <row r="15" spans="1:29" x14ac:dyDescent="0.25">
      <c r="A15" s="227"/>
      <c r="B15" s="228"/>
      <c r="C15" s="228">
        <v>5</v>
      </c>
      <c r="D15" s="228" t="s">
        <v>142</v>
      </c>
      <c r="E15" s="228">
        <v>48</v>
      </c>
      <c r="F15" s="228">
        <v>48</v>
      </c>
      <c r="G15" s="228">
        <v>0</v>
      </c>
      <c r="H15" s="228">
        <v>48</v>
      </c>
      <c r="I15" s="228">
        <v>48</v>
      </c>
      <c r="J15" s="228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7">
        <v>0</v>
      </c>
      <c r="X15" s="23">
        <v>0</v>
      </c>
      <c r="Y15" s="7">
        <v>0</v>
      </c>
      <c r="Z15" s="7"/>
    </row>
    <row r="16" spans="1:29" x14ac:dyDescent="0.25">
      <c r="A16" s="227"/>
      <c r="B16" s="228"/>
      <c r="C16" s="228">
        <v>6</v>
      </c>
      <c r="D16" s="228" t="s">
        <v>224</v>
      </c>
      <c r="E16" s="228">
        <v>1598</v>
      </c>
      <c r="F16" s="228">
        <v>1595</v>
      </c>
      <c r="G16" s="228">
        <v>3</v>
      </c>
      <c r="H16" s="228">
        <v>1583</v>
      </c>
      <c r="I16" s="228">
        <v>1580</v>
      </c>
      <c r="J16" s="228">
        <v>3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7">
        <v>15</v>
      </c>
      <c r="X16" s="23">
        <v>15</v>
      </c>
      <c r="Y16" s="7">
        <v>0</v>
      </c>
      <c r="Z16" s="7"/>
    </row>
    <row r="17" spans="1:26" x14ac:dyDescent="0.25">
      <c r="A17" s="227"/>
      <c r="B17" s="228"/>
      <c r="C17" s="228">
        <v>7</v>
      </c>
      <c r="D17" s="228" t="s">
        <v>143</v>
      </c>
      <c r="E17" s="228">
        <v>8548</v>
      </c>
      <c r="F17" s="228">
        <v>2492</v>
      </c>
      <c r="G17" s="228">
        <v>6056</v>
      </c>
      <c r="H17" s="228">
        <v>6257</v>
      </c>
      <c r="I17" s="228">
        <v>1393</v>
      </c>
      <c r="J17" s="228">
        <v>4864</v>
      </c>
      <c r="K17" s="7">
        <v>10</v>
      </c>
      <c r="L17" s="23">
        <v>8</v>
      </c>
      <c r="M17" s="7">
        <v>2</v>
      </c>
      <c r="N17" s="7">
        <v>24</v>
      </c>
      <c r="O17" s="7">
        <v>8</v>
      </c>
      <c r="P17" s="7">
        <v>16</v>
      </c>
      <c r="Q17" s="14">
        <v>1053</v>
      </c>
      <c r="R17" s="29">
        <v>486</v>
      </c>
      <c r="S17" s="14">
        <v>567</v>
      </c>
      <c r="T17" s="7">
        <v>806</v>
      </c>
      <c r="U17" s="22">
        <v>460</v>
      </c>
      <c r="V17" s="7">
        <v>346</v>
      </c>
      <c r="W17" s="7">
        <v>389</v>
      </c>
      <c r="X17" s="23">
        <v>137</v>
      </c>
      <c r="Y17" s="7">
        <v>261</v>
      </c>
      <c r="Z17" s="7"/>
    </row>
    <row r="18" spans="1:26" x14ac:dyDescent="0.25">
      <c r="A18" s="227"/>
      <c r="B18" s="228"/>
      <c r="C18" s="228">
        <v>8</v>
      </c>
      <c r="D18" s="228" t="s">
        <v>144</v>
      </c>
      <c r="E18" s="228">
        <v>591</v>
      </c>
      <c r="F18" s="228">
        <v>495</v>
      </c>
      <c r="G18" s="228">
        <v>96</v>
      </c>
      <c r="H18" s="228">
        <v>579</v>
      </c>
      <c r="I18" s="228">
        <v>485</v>
      </c>
      <c r="J18" s="228">
        <v>94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22">
        <v>0</v>
      </c>
      <c r="V18" s="7">
        <v>0</v>
      </c>
      <c r="W18" s="7">
        <v>12</v>
      </c>
      <c r="X18" s="23">
        <v>10</v>
      </c>
      <c r="Y18" s="7">
        <v>2</v>
      </c>
      <c r="Z18" s="7"/>
    </row>
    <row r="19" spans="1:26" x14ac:dyDescent="0.25">
      <c r="A19" s="227"/>
      <c r="B19" s="228"/>
      <c r="C19" s="228">
        <v>9</v>
      </c>
      <c r="D19" s="228" t="s">
        <v>145</v>
      </c>
      <c r="E19" s="228">
        <v>750</v>
      </c>
      <c r="F19" s="228">
        <v>248</v>
      </c>
      <c r="G19" s="228">
        <v>502</v>
      </c>
      <c r="H19" s="228">
        <v>737</v>
      </c>
      <c r="I19" s="228">
        <v>243</v>
      </c>
      <c r="J19" s="228">
        <v>494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1</v>
      </c>
      <c r="U19" s="14">
        <v>1</v>
      </c>
      <c r="V19" s="7">
        <v>0</v>
      </c>
      <c r="W19" s="7">
        <v>12</v>
      </c>
      <c r="X19" s="7">
        <v>4</v>
      </c>
      <c r="Y19" s="7">
        <v>8</v>
      </c>
      <c r="Z19" s="7"/>
    </row>
    <row r="20" spans="1:26" x14ac:dyDescent="0.25">
      <c r="A20" s="227"/>
      <c r="B20" s="228"/>
      <c r="C20" s="228">
        <v>10</v>
      </c>
      <c r="D20" s="228" t="s">
        <v>196</v>
      </c>
      <c r="E20" s="228">
        <v>471</v>
      </c>
      <c r="F20" s="228">
        <v>375</v>
      </c>
      <c r="G20" s="228">
        <v>96</v>
      </c>
      <c r="H20" s="228">
        <v>428</v>
      </c>
      <c r="I20" s="228">
        <v>334</v>
      </c>
      <c r="J20" s="228">
        <v>94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3</v>
      </c>
      <c r="U20" s="14">
        <v>3</v>
      </c>
      <c r="V20" s="7">
        <v>0</v>
      </c>
      <c r="W20" s="7">
        <v>39</v>
      </c>
      <c r="X20" s="7">
        <v>37</v>
      </c>
      <c r="Y20" s="7">
        <v>2</v>
      </c>
      <c r="Z20" s="7"/>
    </row>
    <row r="21" spans="1:26" x14ac:dyDescent="0.25">
      <c r="A21" s="1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4"/>
      <c r="R21" s="9"/>
      <c r="S21" s="14"/>
      <c r="T21" s="7"/>
      <c r="U21" s="14"/>
      <c r="V21" s="7"/>
      <c r="W21" s="7"/>
      <c r="X21" s="7"/>
      <c r="Y21" s="7"/>
      <c r="Z21" s="7"/>
    </row>
    <row r="22" spans="1:26" ht="30" x14ac:dyDescent="0.25">
      <c r="A22" s="14" t="s">
        <v>121</v>
      </c>
      <c r="B22" s="7" t="s">
        <v>122</v>
      </c>
      <c r="C22" s="7"/>
      <c r="D22" s="20" t="s">
        <v>225</v>
      </c>
      <c r="E22" s="7">
        <v>176874</v>
      </c>
      <c r="F22" s="7">
        <v>299</v>
      </c>
      <c r="G22" s="7">
        <v>176575</v>
      </c>
      <c r="H22" s="7">
        <v>85468</v>
      </c>
      <c r="I22" s="7">
        <v>86</v>
      </c>
      <c r="J22" s="7">
        <v>85382</v>
      </c>
      <c r="K22" s="7">
        <v>2784</v>
      </c>
      <c r="L22" s="7">
        <v>7</v>
      </c>
      <c r="M22" s="7">
        <v>2777</v>
      </c>
      <c r="N22" s="7">
        <v>11254</v>
      </c>
      <c r="O22" s="7">
        <v>31</v>
      </c>
      <c r="P22" s="7">
        <v>11223</v>
      </c>
      <c r="Q22" s="14">
        <v>4505</v>
      </c>
      <c r="R22" s="9">
        <v>15</v>
      </c>
      <c r="S22" s="14">
        <v>4490</v>
      </c>
      <c r="T22" s="7">
        <v>28100</v>
      </c>
      <c r="U22" s="14">
        <v>72</v>
      </c>
      <c r="V22" s="7">
        <v>28028</v>
      </c>
      <c r="W22" s="7">
        <v>44763</v>
      </c>
      <c r="X22" s="7">
        <v>88</v>
      </c>
      <c r="Y22" s="7">
        <v>44675</v>
      </c>
      <c r="Z22" s="7"/>
    </row>
    <row r="23" spans="1:26" x14ac:dyDescent="0.25">
      <c r="A23" s="14"/>
      <c r="B23" s="7"/>
      <c r="C23" s="7"/>
      <c r="D23" s="7"/>
      <c r="E23" s="7"/>
      <c r="F23" s="7"/>
      <c r="G23" s="23"/>
      <c r="H23" s="23"/>
      <c r="I23" s="7"/>
      <c r="J23" s="7"/>
      <c r="K23" s="7"/>
      <c r="L23" s="23"/>
      <c r="M23" s="7"/>
      <c r="N23" s="7"/>
      <c r="O23" s="23"/>
      <c r="P23" s="7"/>
      <c r="Q23" s="14"/>
      <c r="R23" s="29"/>
      <c r="S23" s="14"/>
      <c r="T23" s="7"/>
      <c r="U23" s="22"/>
      <c r="V23" s="7"/>
      <c r="W23" s="7"/>
      <c r="X23" s="23"/>
      <c r="Y23" s="7"/>
      <c r="Z23" s="7"/>
    </row>
    <row r="24" spans="1:26" x14ac:dyDescent="0.25">
      <c r="A24" s="227"/>
      <c r="B24" s="228" t="s">
        <v>123</v>
      </c>
      <c r="C24" s="228">
        <v>1</v>
      </c>
      <c r="D24" s="228" t="s">
        <v>148</v>
      </c>
      <c r="E24" s="228">
        <v>3298</v>
      </c>
      <c r="F24" s="228">
        <v>1695</v>
      </c>
      <c r="G24" s="228">
        <v>1603</v>
      </c>
      <c r="H24" s="228">
        <v>3047</v>
      </c>
      <c r="I24" s="228">
        <v>1571</v>
      </c>
      <c r="J24" s="228">
        <v>1476</v>
      </c>
      <c r="K24" s="7">
        <v>1</v>
      </c>
      <c r="L24" s="23">
        <v>1</v>
      </c>
      <c r="M24" s="7">
        <v>0</v>
      </c>
      <c r="N24" s="7">
        <v>1</v>
      </c>
      <c r="O24" s="23">
        <v>1</v>
      </c>
      <c r="P24" s="7">
        <v>0</v>
      </c>
      <c r="Q24" s="14">
        <v>63</v>
      </c>
      <c r="R24" s="29">
        <v>23</v>
      </c>
      <c r="S24" s="14">
        <v>40</v>
      </c>
      <c r="T24" s="7">
        <v>98</v>
      </c>
      <c r="U24" s="22">
        <v>53</v>
      </c>
      <c r="V24" s="7">
        <v>45</v>
      </c>
      <c r="W24" s="7">
        <v>88</v>
      </c>
      <c r="X24" s="23">
        <v>46</v>
      </c>
      <c r="Y24" s="7">
        <v>42</v>
      </c>
      <c r="Z24" s="7"/>
    </row>
    <row r="25" spans="1:26" x14ac:dyDescent="0.25">
      <c r="A25" s="223"/>
      <c r="B25" s="224"/>
      <c r="C25" s="224">
        <v>2</v>
      </c>
      <c r="D25" s="224" t="s">
        <v>149</v>
      </c>
      <c r="E25" s="224">
        <v>98598</v>
      </c>
      <c r="F25" s="224">
        <v>15201</v>
      </c>
      <c r="G25" s="224">
        <v>83397</v>
      </c>
      <c r="H25" s="224">
        <v>10804</v>
      </c>
      <c r="I25" s="224">
        <v>2976</v>
      </c>
      <c r="J25" s="224">
        <v>7828</v>
      </c>
      <c r="K25" s="7">
        <v>1998</v>
      </c>
      <c r="L25" s="7">
        <v>174</v>
      </c>
      <c r="M25" s="7">
        <v>1824</v>
      </c>
      <c r="N25" s="7">
        <v>13468</v>
      </c>
      <c r="O25" s="7">
        <v>1574</v>
      </c>
      <c r="P25" s="7">
        <v>11912</v>
      </c>
      <c r="Q25" s="14">
        <v>4623</v>
      </c>
      <c r="R25" s="9">
        <v>629</v>
      </c>
      <c r="S25" s="14">
        <v>3994</v>
      </c>
      <c r="T25" s="7">
        <v>29408</v>
      </c>
      <c r="U25" s="14">
        <v>4437</v>
      </c>
      <c r="V25" s="7">
        <v>24971</v>
      </c>
      <c r="W25" s="7">
        <v>38279</v>
      </c>
      <c r="X25" s="7">
        <v>5411</v>
      </c>
      <c r="Y25" s="7">
        <v>32868</v>
      </c>
      <c r="Z25" s="7"/>
    </row>
    <row r="26" spans="1:26" x14ac:dyDescent="0.25">
      <c r="A26" s="14"/>
      <c r="B26" s="7"/>
      <c r="C26" s="7"/>
      <c r="D26" s="7"/>
      <c r="E26" s="7"/>
      <c r="F26" s="7"/>
      <c r="G26" s="23"/>
      <c r="H26" s="23"/>
      <c r="I26" s="7"/>
      <c r="J26" s="7"/>
      <c r="K26" s="7"/>
      <c r="L26" s="23"/>
      <c r="M26" s="7"/>
      <c r="N26" s="7"/>
      <c r="O26" s="23"/>
      <c r="P26" s="7"/>
      <c r="Q26" s="14"/>
      <c r="R26" s="29"/>
      <c r="S26" s="14"/>
      <c r="T26" s="7"/>
      <c r="U26" s="22"/>
      <c r="V26" s="7"/>
      <c r="W26" s="7"/>
      <c r="X26" s="23"/>
      <c r="Y26" s="7"/>
      <c r="Z26" s="7"/>
    </row>
    <row r="27" spans="1:26" x14ac:dyDescent="0.25">
      <c r="A27" s="227" t="s">
        <v>122</v>
      </c>
      <c r="B27" s="228" t="s">
        <v>124</v>
      </c>
      <c r="C27" s="228">
        <v>1</v>
      </c>
      <c r="D27" s="228" t="s">
        <v>150</v>
      </c>
      <c r="E27" s="228">
        <v>33008</v>
      </c>
      <c r="F27" s="228">
        <v>29811</v>
      </c>
      <c r="G27" s="228">
        <v>3197</v>
      </c>
      <c r="H27" s="228">
        <v>28095</v>
      </c>
      <c r="I27" s="228">
        <v>25214</v>
      </c>
      <c r="J27" s="228">
        <v>2881</v>
      </c>
      <c r="K27" s="7">
        <v>319</v>
      </c>
      <c r="L27" s="23">
        <v>304</v>
      </c>
      <c r="M27" s="7">
        <v>15</v>
      </c>
      <c r="N27" s="7">
        <v>48</v>
      </c>
      <c r="O27" s="7">
        <v>47</v>
      </c>
      <c r="P27" s="7">
        <v>1</v>
      </c>
      <c r="Q27" s="14">
        <v>131</v>
      </c>
      <c r="R27" s="9">
        <v>112</v>
      </c>
      <c r="S27" s="14">
        <v>19</v>
      </c>
      <c r="T27" s="7">
        <v>380</v>
      </c>
      <c r="U27" s="14">
        <v>356</v>
      </c>
      <c r="V27" s="7">
        <v>24</v>
      </c>
      <c r="W27" s="7">
        <v>4035</v>
      </c>
      <c r="X27" s="7">
        <v>3778</v>
      </c>
      <c r="Y27" s="7">
        <v>257</v>
      </c>
      <c r="Z27" s="7"/>
    </row>
    <row r="28" spans="1:26" x14ac:dyDescent="0.25">
      <c r="A28" s="14"/>
      <c r="B28" s="7"/>
      <c r="C28" s="7"/>
      <c r="D28" s="7"/>
      <c r="E28" s="7"/>
      <c r="F28" s="7"/>
      <c r="G28" s="23"/>
      <c r="H28" s="23"/>
      <c r="I28" s="7"/>
      <c r="J28" s="7"/>
      <c r="K28" s="7"/>
      <c r="L28" s="23"/>
      <c r="M28" s="7"/>
      <c r="N28" s="7"/>
      <c r="O28" s="23"/>
      <c r="P28" s="7"/>
      <c r="Q28" s="14"/>
      <c r="R28" s="13"/>
      <c r="S28" s="14"/>
      <c r="T28" s="7"/>
      <c r="U28" s="22"/>
      <c r="V28" s="7"/>
      <c r="W28" s="7"/>
      <c r="X28" s="23"/>
      <c r="Y28" s="7"/>
      <c r="Z28" s="7"/>
    </row>
    <row r="29" spans="1:26" x14ac:dyDescent="0.25">
      <c r="A29" s="227"/>
      <c r="B29" s="228" t="s">
        <v>125</v>
      </c>
      <c r="C29" s="228">
        <v>1</v>
      </c>
      <c r="D29" s="228" t="s">
        <v>152</v>
      </c>
      <c r="E29" s="227">
        <v>8013</v>
      </c>
      <c r="F29" s="228">
        <v>7968</v>
      </c>
      <c r="G29" s="228">
        <v>45</v>
      </c>
      <c r="H29" s="228">
        <v>6771</v>
      </c>
      <c r="I29" s="228">
        <v>6738</v>
      </c>
      <c r="J29" s="228">
        <v>33</v>
      </c>
      <c r="K29" s="7">
        <v>11</v>
      </c>
      <c r="L29" s="23">
        <v>11</v>
      </c>
      <c r="M29" s="14">
        <v>0</v>
      </c>
      <c r="N29" s="7">
        <v>78</v>
      </c>
      <c r="O29" s="7">
        <v>77</v>
      </c>
      <c r="P29" s="7">
        <v>1</v>
      </c>
      <c r="Q29" s="14">
        <v>91</v>
      </c>
      <c r="R29" s="29">
        <v>90</v>
      </c>
      <c r="S29" s="14">
        <v>1</v>
      </c>
      <c r="T29" s="7">
        <v>412</v>
      </c>
      <c r="U29" s="22">
        <v>411</v>
      </c>
      <c r="V29" s="7">
        <v>1</v>
      </c>
      <c r="W29" s="7">
        <v>650</v>
      </c>
      <c r="X29" s="23">
        <v>641</v>
      </c>
      <c r="Y29" s="7">
        <v>9</v>
      </c>
      <c r="Z29" s="7"/>
    </row>
    <row r="30" spans="1:26" x14ac:dyDescent="0.25">
      <c r="A30" s="227"/>
      <c r="B30" s="228"/>
      <c r="C30" s="228">
        <v>2</v>
      </c>
      <c r="D30" s="228" t="s">
        <v>153</v>
      </c>
      <c r="E30" s="228">
        <v>12987</v>
      </c>
      <c r="F30" s="228">
        <v>12951</v>
      </c>
      <c r="G30" s="228">
        <v>36</v>
      </c>
      <c r="H30" s="228">
        <v>3998</v>
      </c>
      <c r="I30" s="228">
        <v>3976</v>
      </c>
      <c r="J30" s="228">
        <v>22</v>
      </c>
      <c r="K30" s="7">
        <v>566</v>
      </c>
      <c r="L30" s="23">
        <v>564</v>
      </c>
      <c r="M30" s="7">
        <v>2</v>
      </c>
      <c r="N30" s="7">
        <v>615</v>
      </c>
      <c r="O30" s="23">
        <v>615</v>
      </c>
      <c r="P30" s="7">
        <v>0</v>
      </c>
      <c r="Q30" s="14">
        <v>922</v>
      </c>
      <c r="R30" s="29">
        <v>922</v>
      </c>
      <c r="S30" s="14">
        <v>0</v>
      </c>
      <c r="T30" s="7">
        <v>2505</v>
      </c>
      <c r="U30" s="22">
        <v>2504</v>
      </c>
      <c r="V30" s="7">
        <v>1</v>
      </c>
      <c r="W30" s="7">
        <v>4381</v>
      </c>
      <c r="X30" s="23">
        <v>4370</v>
      </c>
      <c r="Y30" s="7">
        <v>11</v>
      </c>
      <c r="Z30" s="7"/>
    </row>
    <row r="31" spans="1:26" x14ac:dyDescent="0.25">
      <c r="A31" s="227"/>
      <c r="B31" s="228"/>
      <c r="C31" s="228">
        <v>3</v>
      </c>
      <c r="D31" s="228" t="s">
        <v>154</v>
      </c>
      <c r="E31" s="227">
        <v>4807</v>
      </c>
      <c r="F31" s="228">
        <v>4790</v>
      </c>
      <c r="G31" s="228">
        <v>17</v>
      </c>
      <c r="H31" s="228">
        <v>4033</v>
      </c>
      <c r="I31" s="228">
        <v>4016</v>
      </c>
      <c r="J31" s="228">
        <v>17</v>
      </c>
      <c r="K31" s="7">
        <v>12</v>
      </c>
      <c r="L31" s="23">
        <v>12</v>
      </c>
      <c r="M31" s="7">
        <v>0</v>
      </c>
      <c r="N31" s="7">
        <v>20</v>
      </c>
      <c r="O31" s="7">
        <v>20</v>
      </c>
      <c r="P31" s="7">
        <v>0</v>
      </c>
      <c r="Q31" s="14">
        <v>6</v>
      </c>
      <c r="R31" s="29">
        <v>6</v>
      </c>
      <c r="S31" s="14">
        <v>0</v>
      </c>
      <c r="T31" s="7">
        <v>72</v>
      </c>
      <c r="U31" s="22">
        <v>72</v>
      </c>
      <c r="V31" s="7">
        <v>0</v>
      </c>
      <c r="W31" s="7">
        <v>664</v>
      </c>
      <c r="X31" s="23">
        <v>664</v>
      </c>
      <c r="Y31" s="7">
        <v>0</v>
      </c>
      <c r="Z31" s="7"/>
    </row>
    <row r="32" spans="1:26" x14ac:dyDescent="0.25">
      <c r="A32" s="227"/>
      <c r="B32" s="228"/>
      <c r="C32" s="228">
        <v>4</v>
      </c>
      <c r="D32" s="228" t="s">
        <v>155</v>
      </c>
      <c r="E32" s="228">
        <v>5331</v>
      </c>
      <c r="F32" s="228">
        <v>5326</v>
      </c>
      <c r="G32" s="228">
        <v>5</v>
      </c>
      <c r="H32" s="228">
        <v>245</v>
      </c>
      <c r="I32" s="228">
        <v>245</v>
      </c>
      <c r="J32" s="228"/>
      <c r="K32" s="7">
        <v>38</v>
      </c>
      <c r="L32" s="23">
        <v>38</v>
      </c>
      <c r="M32" s="7">
        <v>0</v>
      </c>
      <c r="N32" s="7">
        <v>227</v>
      </c>
      <c r="O32" s="23">
        <v>227</v>
      </c>
      <c r="P32" s="7">
        <v>0</v>
      </c>
      <c r="Q32" s="14">
        <v>793</v>
      </c>
      <c r="R32" s="29">
        <v>791</v>
      </c>
      <c r="S32" s="14">
        <v>2</v>
      </c>
      <c r="T32" s="7">
        <v>2647</v>
      </c>
      <c r="U32" s="22">
        <v>2647</v>
      </c>
      <c r="V32" s="7">
        <v>0</v>
      </c>
      <c r="W32" s="7">
        <v>1381</v>
      </c>
      <c r="X32" s="23">
        <v>1378</v>
      </c>
      <c r="Y32" s="7">
        <v>3</v>
      </c>
      <c r="Z32" s="7"/>
    </row>
    <row r="33" spans="1:26" x14ac:dyDescent="0.25">
      <c r="A33" s="227"/>
      <c r="B33" s="228"/>
      <c r="C33" s="228">
        <v>5</v>
      </c>
      <c r="D33" s="228" t="s">
        <v>226</v>
      </c>
      <c r="E33" s="228">
        <v>3406</v>
      </c>
      <c r="F33" s="228">
        <v>3261</v>
      </c>
      <c r="G33" s="228">
        <v>145</v>
      </c>
      <c r="H33" s="228">
        <v>2859</v>
      </c>
      <c r="I33" s="228">
        <v>2721</v>
      </c>
      <c r="J33" s="228">
        <v>138</v>
      </c>
      <c r="K33" s="7">
        <v>16</v>
      </c>
      <c r="L33" s="7">
        <v>16</v>
      </c>
      <c r="M33" s="7">
        <v>0</v>
      </c>
      <c r="N33" s="7">
        <v>32</v>
      </c>
      <c r="O33" s="7">
        <v>31</v>
      </c>
      <c r="P33" s="7">
        <v>1</v>
      </c>
      <c r="Q33" s="14">
        <v>47</v>
      </c>
      <c r="R33" s="9">
        <v>47</v>
      </c>
      <c r="S33" s="14">
        <v>0</v>
      </c>
      <c r="T33" s="7">
        <v>141</v>
      </c>
      <c r="U33" s="14">
        <v>136</v>
      </c>
      <c r="V33" s="7">
        <v>5</v>
      </c>
      <c r="W33" s="7">
        <v>311</v>
      </c>
      <c r="X33" s="7">
        <v>310</v>
      </c>
      <c r="Y33" s="7">
        <v>1</v>
      </c>
      <c r="Z33" s="7"/>
    </row>
    <row r="34" spans="1:26" x14ac:dyDescent="0.25">
      <c r="A34" s="223"/>
      <c r="B34" s="224"/>
      <c r="C34" s="224">
        <v>6</v>
      </c>
      <c r="D34" s="224" t="s">
        <v>227</v>
      </c>
      <c r="E34" s="224">
        <v>1723</v>
      </c>
      <c r="F34" s="224">
        <v>1705</v>
      </c>
      <c r="G34" s="224">
        <v>18</v>
      </c>
      <c r="H34" s="224">
        <v>749</v>
      </c>
      <c r="I34" s="224">
        <v>740</v>
      </c>
      <c r="J34" s="224">
        <v>9</v>
      </c>
      <c r="K34" s="7">
        <v>39</v>
      </c>
      <c r="L34" s="23">
        <v>38</v>
      </c>
      <c r="M34" s="7">
        <v>1</v>
      </c>
      <c r="N34" s="7">
        <v>46</v>
      </c>
      <c r="O34" s="23">
        <v>46</v>
      </c>
      <c r="P34" s="7">
        <v>0</v>
      </c>
      <c r="Q34" s="14">
        <v>65</v>
      </c>
      <c r="R34" s="29">
        <v>65</v>
      </c>
      <c r="S34" s="14">
        <v>0</v>
      </c>
      <c r="T34" s="7">
        <v>239</v>
      </c>
      <c r="U34" s="22">
        <v>234</v>
      </c>
      <c r="V34" s="7">
        <v>5</v>
      </c>
      <c r="W34" s="7">
        <v>585</v>
      </c>
      <c r="X34" s="23">
        <v>582</v>
      </c>
      <c r="Y34" s="7">
        <v>3</v>
      </c>
      <c r="Z34" s="7"/>
    </row>
    <row r="35" spans="1:26" x14ac:dyDescent="0.25">
      <c r="A35" s="14"/>
      <c r="B35" s="7"/>
      <c r="C35" s="7"/>
      <c r="D35" s="7"/>
      <c r="E35" s="7"/>
      <c r="F35" s="7"/>
      <c r="G35" s="23"/>
      <c r="H35" s="23"/>
      <c r="I35" s="7"/>
      <c r="J35" s="7"/>
      <c r="K35" s="7"/>
      <c r="L35" s="23"/>
      <c r="M35" s="7"/>
      <c r="N35" s="7"/>
      <c r="O35" s="23"/>
      <c r="P35" s="7"/>
      <c r="Q35" s="14"/>
      <c r="R35" s="29"/>
      <c r="S35" s="14"/>
      <c r="T35" s="7"/>
      <c r="U35" s="22"/>
      <c r="V35" s="7"/>
      <c r="W35" s="7"/>
      <c r="X35" s="23"/>
      <c r="Y35" s="7"/>
      <c r="Z35" s="7"/>
    </row>
    <row r="36" spans="1:26" x14ac:dyDescent="0.25">
      <c r="A36" s="253" t="s">
        <v>126</v>
      </c>
      <c r="B36" s="254" t="s">
        <v>127</v>
      </c>
      <c r="C36" s="254">
        <v>1</v>
      </c>
      <c r="D36" s="255" t="s">
        <v>198</v>
      </c>
      <c r="E36" s="254">
        <v>1002264</v>
      </c>
      <c r="F36" s="254">
        <v>517053</v>
      </c>
      <c r="G36" s="254">
        <v>485211</v>
      </c>
      <c r="H36" s="254">
        <v>108638</v>
      </c>
      <c r="I36" s="254">
        <v>70278</v>
      </c>
      <c r="J36" s="254">
        <v>38360</v>
      </c>
      <c r="K36" s="7">
        <v>204</v>
      </c>
      <c r="L36" s="23">
        <v>186</v>
      </c>
      <c r="M36" s="7">
        <v>18</v>
      </c>
      <c r="N36" s="7">
        <v>25025</v>
      </c>
      <c r="O36" s="23">
        <v>20347</v>
      </c>
      <c r="P36" s="7">
        <v>4678</v>
      </c>
      <c r="Q36" s="14">
        <v>172286</v>
      </c>
      <c r="R36" s="29">
        <v>77814</v>
      </c>
      <c r="S36" s="14">
        <v>94472</v>
      </c>
      <c r="T36" s="7">
        <v>650622</v>
      </c>
      <c r="U36" s="22">
        <v>310366</v>
      </c>
      <c r="V36" s="7">
        <v>340256</v>
      </c>
      <c r="W36" s="7">
        <v>45489</v>
      </c>
      <c r="X36" s="23">
        <v>38062</v>
      </c>
      <c r="Y36" s="7">
        <v>7427</v>
      </c>
      <c r="Z36" s="7"/>
    </row>
    <row r="37" spans="1:26" x14ac:dyDescent="0.25">
      <c r="A37" s="253"/>
      <c r="B37" s="254"/>
      <c r="C37" s="254">
        <v>2</v>
      </c>
      <c r="D37" s="254" t="s">
        <v>197</v>
      </c>
      <c r="E37" s="254">
        <v>2361</v>
      </c>
      <c r="F37" s="254">
        <v>2344</v>
      </c>
      <c r="G37" s="254">
        <v>17</v>
      </c>
      <c r="H37" s="254">
        <v>906</v>
      </c>
      <c r="I37" s="254">
        <v>905</v>
      </c>
      <c r="J37" s="254">
        <v>1</v>
      </c>
      <c r="K37" s="7">
        <v>45</v>
      </c>
      <c r="L37" s="23">
        <v>45</v>
      </c>
      <c r="M37" s="7">
        <v>0</v>
      </c>
      <c r="N37" s="7">
        <v>147</v>
      </c>
      <c r="O37" s="7">
        <v>146</v>
      </c>
      <c r="P37" s="7">
        <v>1</v>
      </c>
      <c r="Q37" s="14">
        <v>84</v>
      </c>
      <c r="R37" s="29">
        <v>84</v>
      </c>
      <c r="S37" s="14">
        <v>0</v>
      </c>
      <c r="T37" s="7">
        <v>531</v>
      </c>
      <c r="U37" s="22">
        <v>518</v>
      </c>
      <c r="V37" s="7">
        <v>13</v>
      </c>
      <c r="W37" s="7">
        <v>648</v>
      </c>
      <c r="X37" s="23">
        <v>646</v>
      </c>
      <c r="Y37" s="7">
        <v>2</v>
      </c>
      <c r="Z37" s="7"/>
    </row>
    <row r="38" spans="1:26" x14ac:dyDescent="0.25">
      <c r="A38" s="253"/>
      <c r="B38" s="254"/>
      <c r="C38" s="254">
        <v>3</v>
      </c>
      <c r="D38" s="254" t="s">
        <v>159</v>
      </c>
      <c r="E38" s="254">
        <v>124</v>
      </c>
      <c r="F38" s="254">
        <v>123</v>
      </c>
      <c r="G38" s="254">
        <v>1</v>
      </c>
      <c r="H38" s="254">
        <v>16</v>
      </c>
      <c r="I38" s="254">
        <v>15</v>
      </c>
      <c r="J38" s="254">
        <v>1</v>
      </c>
      <c r="K38" s="7">
        <v>0</v>
      </c>
      <c r="L38" s="23">
        <v>0</v>
      </c>
      <c r="M38" s="7">
        <v>0</v>
      </c>
      <c r="N38" s="7">
        <v>16</v>
      </c>
      <c r="O38" s="23">
        <v>16</v>
      </c>
      <c r="P38" s="7">
        <v>0</v>
      </c>
      <c r="Q38" s="14">
        <v>3</v>
      </c>
      <c r="R38" s="29">
        <v>3</v>
      </c>
      <c r="S38" s="14">
        <v>0</v>
      </c>
      <c r="T38" s="7">
        <v>78</v>
      </c>
      <c r="U38" s="22">
        <v>78</v>
      </c>
      <c r="V38" s="7">
        <v>0</v>
      </c>
      <c r="W38" s="7">
        <v>11</v>
      </c>
      <c r="X38" s="23">
        <v>11</v>
      </c>
      <c r="Y38" s="7">
        <v>0</v>
      </c>
      <c r="Z38" s="7"/>
    </row>
    <row r="39" spans="1:26" x14ac:dyDescent="0.25">
      <c r="A39" s="253"/>
      <c r="B39" s="254"/>
      <c r="C39" s="254">
        <v>4</v>
      </c>
      <c r="D39" s="254" t="s">
        <v>160</v>
      </c>
      <c r="E39" s="254">
        <v>4725</v>
      </c>
      <c r="F39" s="254">
        <v>4708</v>
      </c>
      <c r="G39" s="254">
        <v>17</v>
      </c>
      <c r="H39" s="254">
        <v>1615</v>
      </c>
      <c r="I39" s="254">
        <v>1604</v>
      </c>
      <c r="J39" s="254">
        <v>11</v>
      </c>
      <c r="K39" s="7">
        <v>287</v>
      </c>
      <c r="L39" s="7">
        <v>286</v>
      </c>
      <c r="M39" s="7">
        <v>1</v>
      </c>
      <c r="N39" s="7">
        <v>196</v>
      </c>
      <c r="O39" s="7">
        <v>195</v>
      </c>
      <c r="P39" s="7">
        <v>1</v>
      </c>
      <c r="Q39" s="14">
        <v>166</v>
      </c>
      <c r="R39" s="9">
        <v>166</v>
      </c>
      <c r="S39" s="14">
        <v>0</v>
      </c>
      <c r="T39" s="7">
        <v>568</v>
      </c>
      <c r="U39" s="14">
        <v>568</v>
      </c>
      <c r="V39" s="7">
        <v>0</v>
      </c>
      <c r="W39" s="7">
        <v>1893</v>
      </c>
      <c r="X39" s="7">
        <v>1889</v>
      </c>
      <c r="Y39" s="7">
        <v>4</v>
      </c>
      <c r="Z39" s="7"/>
    </row>
    <row r="40" spans="1:26" x14ac:dyDescent="0.25">
      <c r="A40" s="14"/>
      <c r="B40" s="7"/>
      <c r="C40" s="7"/>
      <c r="D40" s="7"/>
      <c r="E40" s="7"/>
      <c r="F40" s="7"/>
      <c r="G40" s="7"/>
      <c r="H40" s="7"/>
      <c r="I40" s="7"/>
      <c r="J40" s="7"/>
      <c r="K40" s="7"/>
      <c r="L40" s="23"/>
      <c r="M40" s="7"/>
      <c r="N40" s="7"/>
      <c r="O40" s="23"/>
      <c r="P40" s="7"/>
      <c r="Q40" s="14"/>
      <c r="R40" s="29"/>
      <c r="S40" s="14"/>
      <c r="T40" s="7"/>
      <c r="U40" s="22"/>
      <c r="V40" s="7"/>
      <c r="W40" s="7"/>
      <c r="X40" s="23"/>
      <c r="Y40" s="7"/>
      <c r="Z40" s="7"/>
    </row>
    <row r="41" spans="1:26" x14ac:dyDescent="0.25">
      <c r="A41" s="227" t="s">
        <v>124</v>
      </c>
      <c r="B41" s="228" t="s">
        <v>128</v>
      </c>
      <c r="C41" s="228">
        <v>1</v>
      </c>
      <c r="D41" s="228" t="s">
        <v>161</v>
      </c>
      <c r="E41" s="228">
        <v>2105</v>
      </c>
      <c r="F41" s="228">
        <v>1886</v>
      </c>
      <c r="G41" s="228">
        <v>219</v>
      </c>
      <c r="H41" s="228">
        <v>1728</v>
      </c>
      <c r="I41" s="228">
        <v>1560</v>
      </c>
      <c r="J41" s="228">
        <v>168</v>
      </c>
      <c r="K41" s="7">
        <v>15</v>
      </c>
      <c r="L41" s="23">
        <v>13</v>
      </c>
      <c r="M41" s="7">
        <v>2</v>
      </c>
      <c r="N41" s="7">
        <v>1</v>
      </c>
      <c r="O41" s="7">
        <v>1</v>
      </c>
      <c r="P41" s="7">
        <v>0</v>
      </c>
      <c r="Q41" s="14">
        <v>34</v>
      </c>
      <c r="R41" s="29">
        <v>34</v>
      </c>
      <c r="S41" s="14">
        <v>0</v>
      </c>
      <c r="T41" s="7">
        <v>36</v>
      </c>
      <c r="U41" s="14">
        <v>36</v>
      </c>
      <c r="V41" s="7">
        <v>0</v>
      </c>
      <c r="W41" s="7">
        <v>291</v>
      </c>
      <c r="X41" s="7">
        <v>212</v>
      </c>
      <c r="Y41" s="7">
        <v>49</v>
      </c>
      <c r="Z41" s="7"/>
    </row>
    <row r="42" spans="1:26" x14ac:dyDescent="0.25">
      <c r="A42" s="227"/>
      <c r="B42" s="228"/>
      <c r="C42" s="228">
        <v>2</v>
      </c>
      <c r="D42" s="228" t="s">
        <v>162</v>
      </c>
      <c r="E42" s="228">
        <v>121</v>
      </c>
      <c r="F42" s="228">
        <v>113</v>
      </c>
      <c r="G42" s="228">
        <v>8</v>
      </c>
      <c r="H42" s="228">
        <v>121</v>
      </c>
      <c r="I42" s="228">
        <v>113</v>
      </c>
      <c r="J42" s="228">
        <v>8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14">
        <v>0</v>
      </c>
      <c r="R42" s="29">
        <v>0</v>
      </c>
      <c r="S42" s="14">
        <v>0</v>
      </c>
      <c r="T42" s="7">
        <v>0</v>
      </c>
      <c r="U42" s="14">
        <v>0</v>
      </c>
      <c r="V42" s="7">
        <v>0</v>
      </c>
      <c r="W42" s="7">
        <v>0</v>
      </c>
      <c r="X42" s="7">
        <v>0</v>
      </c>
      <c r="Y42" s="7">
        <v>0</v>
      </c>
      <c r="Z42" s="7"/>
    </row>
    <row r="43" spans="1:26" x14ac:dyDescent="0.25">
      <c r="A43" s="227"/>
      <c r="B43" s="228"/>
      <c r="C43" s="228">
        <v>3</v>
      </c>
      <c r="D43" s="228" t="s">
        <v>163</v>
      </c>
      <c r="E43" s="228">
        <v>36</v>
      </c>
      <c r="F43" s="228">
        <v>33</v>
      </c>
      <c r="G43" s="228">
        <v>3</v>
      </c>
      <c r="H43" s="228">
        <v>34</v>
      </c>
      <c r="I43" s="228">
        <v>31</v>
      </c>
      <c r="J43" s="228">
        <v>3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14">
        <v>0</v>
      </c>
      <c r="R43" s="29">
        <v>0</v>
      </c>
      <c r="S43" s="14">
        <v>0</v>
      </c>
      <c r="T43" s="7">
        <v>0</v>
      </c>
      <c r="U43" s="14">
        <v>0</v>
      </c>
      <c r="V43" s="7">
        <v>0</v>
      </c>
      <c r="W43" s="7">
        <v>0</v>
      </c>
      <c r="X43" s="7">
        <v>0</v>
      </c>
      <c r="Y43" s="7">
        <v>0</v>
      </c>
      <c r="Z43" s="7"/>
    </row>
    <row r="44" spans="1:26" x14ac:dyDescent="0.25">
      <c r="A44" s="227"/>
      <c r="B44" s="228"/>
      <c r="C44" s="228">
        <v>4</v>
      </c>
      <c r="D44" s="228" t="s">
        <v>164</v>
      </c>
      <c r="E44" s="228">
        <v>80</v>
      </c>
      <c r="F44" s="228">
        <v>77</v>
      </c>
      <c r="G44" s="228">
        <v>3</v>
      </c>
      <c r="H44" s="228">
        <v>56</v>
      </c>
      <c r="I44" s="228">
        <v>54</v>
      </c>
      <c r="J44" s="228">
        <v>2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14">
        <v>2</v>
      </c>
      <c r="R44" s="9">
        <v>2</v>
      </c>
      <c r="S44" s="14">
        <v>0</v>
      </c>
      <c r="T44" s="7">
        <v>3</v>
      </c>
      <c r="U44" s="14">
        <v>3</v>
      </c>
      <c r="V44" s="7">
        <v>0</v>
      </c>
      <c r="W44" s="7">
        <v>19</v>
      </c>
      <c r="X44" s="7">
        <v>18</v>
      </c>
      <c r="Y44" s="7">
        <v>1</v>
      </c>
      <c r="Z44" s="7"/>
    </row>
    <row r="45" spans="1:26" x14ac:dyDescent="0.25">
      <c r="A45" s="227"/>
      <c r="B45" s="228"/>
      <c r="C45" s="228">
        <v>5</v>
      </c>
      <c r="D45" s="228" t="s">
        <v>165</v>
      </c>
      <c r="E45" s="228">
        <v>91</v>
      </c>
      <c r="F45" s="228">
        <v>90</v>
      </c>
      <c r="G45" s="228">
        <v>1</v>
      </c>
      <c r="H45" s="228">
        <v>87</v>
      </c>
      <c r="I45" s="228">
        <v>84</v>
      </c>
      <c r="J45" s="228">
        <v>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14">
        <v>0</v>
      </c>
      <c r="R45" s="22">
        <v>0</v>
      </c>
      <c r="S45" s="14">
        <v>0</v>
      </c>
      <c r="T45" s="7">
        <v>0</v>
      </c>
      <c r="U45" s="14">
        <v>0</v>
      </c>
      <c r="V45" s="7">
        <v>0</v>
      </c>
      <c r="W45" s="7">
        <v>0</v>
      </c>
      <c r="X45" s="7">
        <v>0</v>
      </c>
      <c r="Y45" s="7">
        <v>0</v>
      </c>
      <c r="Z45" s="7"/>
    </row>
    <row r="46" spans="1:26" x14ac:dyDescent="0.25">
      <c r="A46" s="227"/>
      <c r="B46" s="228"/>
      <c r="C46" s="228">
        <v>6</v>
      </c>
      <c r="D46" s="228" t="s">
        <v>166</v>
      </c>
      <c r="E46" s="228">
        <v>123</v>
      </c>
      <c r="F46" s="228">
        <v>121</v>
      </c>
      <c r="G46" s="228">
        <v>2</v>
      </c>
      <c r="H46" s="228">
        <v>104</v>
      </c>
      <c r="I46" s="228">
        <v>102</v>
      </c>
      <c r="J46" s="228">
        <v>2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14">
        <v>2</v>
      </c>
      <c r="R46" s="9">
        <v>2</v>
      </c>
      <c r="S46" s="14">
        <v>0</v>
      </c>
      <c r="T46" s="7">
        <v>0</v>
      </c>
      <c r="U46" s="14">
        <v>0</v>
      </c>
      <c r="V46" s="7">
        <v>0</v>
      </c>
      <c r="W46" s="7">
        <v>16</v>
      </c>
      <c r="X46" s="7">
        <v>16</v>
      </c>
      <c r="Y46" s="7">
        <v>0</v>
      </c>
      <c r="Z46" s="7"/>
    </row>
    <row r="47" spans="1:26" x14ac:dyDescent="0.25">
      <c r="A47" s="227"/>
      <c r="B47" s="228"/>
      <c r="C47" s="228">
        <v>7</v>
      </c>
      <c r="D47" s="228" t="s">
        <v>201</v>
      </c>
      <c r="E47" s="228">
        <v>12</v>
      </c>
      <c r="F47" s="228">
        <v>12</v>
      </c>
      <c r="G47" s="228">
        <v>0</v>
      </c>
      <c r="H47" s="228">
        <v>12</v>
      </c>
      <c r="I47" s="228">
        <v>12</v>
      </c>
      <c r="J47" s="228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14">
        <v>0</v>
      </c>
      <c r="R47" s="22">
        <v>0</v>
      </c>
      <c r="S47" s="14">
        <v>0</v>
      </c>
      <c r="T47" s="7">
        <v>0</v>
      </c>
      <c r="U47" s="14">
        <v>0</v>
      </c>
      <c r="V47" s="7">
        <v>0</v>
      </c>
      <c r="W47" s="7">
        <v>0</v>
      </c>
      <c r="X47" s="7">
        <v>0</v>
      </c>
      <c r="Y47" s="7">
        <v>0</v>
      </c>
      <c r="Z47" s="7"/>
    </row>
    <row r="48" spans="1:26" x14ac:dyDescent="0.25">
      <c r="A48" s="227"/>
      <c r="B48" s="228"/>
      <c r="C48" s="228">
        <v>8</v>
      </c>
      <c r="D48" s="228" t="s">
        <v>167</v>
      </c>
      <c r="E48" s="228">
        <v>986</v>
      </c>
      <c r="F48" s="228">
        <v>986</v>
      </c>
      <c r="G48" s="228">
        <v>0</v>
      </c>
      <c r="H48" s="228">
        <v>136</v>
      </c>
      <c r="I48" s="228">
        <v>136</v>
      </c>
      <c r="J48" s="228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14">
        <v>509</v>
      </c>
      <c r="R48" s="29">
        <v>509</v>
      </c>
      <c r="S48" s="14">
        <v>0</v>
      </c>
      <c r="T48" s="7">
        <v>299</v>
      </c>
      <c r="U48" s="22">
        <v>299</v>
      </c>
      <c r="V48" s="7">
        <v>0</v>
      </c>
      <c r="W48" s="7">
        <v>12</v>
      </c>
      <c r="X48" s="23">
        <v>12</v>
      </c>
      <c r="Y48" s="7">
        <v>0</v>
      </c>
      <c r="Z48" s="7"/>
    </row>
    <row r="49" spans="1:26" ht="30" x14ac:dyDescent="0.25">
      <c r="A49" s="227"/>
      <c r="B49" s="228"/>
      <c r="C49" s="228">
        <v>9</v>
      </c>
      <c r="D49" s="231" t="s">
        <v>202</v>
      </c>
      <c r="E49" s="228">
        <v>1211</v>
      </c>
      <c r="F49" s="228">
        <v>1211</v>
      </c>
      <c r="G49" s="228">
        <v>0</v>
      </c>
      <c r="H49" s="228">
        <v>1111</v>
      </c>
      <c r="I49" s="228">
        <v>1111</v>
      </c>
      <c r="J49" s="228">
        <v>0</v>
      </c>
      <c r="K49" s="7">
        <v>1</v>
      </c>
      <c r="L49" s="23">
        <v>1</v>
      </c>
      <c r="M49" s="7">
        <v>0</v>
      </c>
      <c r="N49" s="7">
        <v>0</v>
      </c>
      <c r="O49" s="23">
        <v>0</v>
      </c>
      <c r="P49" s="7">
        <v>0</v>
      </c>
      <c r="Q49" s="14">
        <v>3</v>
      </c>
      <c r="R49" s="29">
        <v>3</v>
      </c>
      <c r="S49" s="14">
        <v>0</v>
      </c>
      <c r="T49" s="7">
        <v>10</v>
      </c>
      <c r="U49" s="22">
        <v>10</v>
      </c>
      <c r="V49" s="7">
        <v>0</v>
      </c>
      <c r="W49" s="7">
        <v>53</v>
      </c>
      <c r="X49" s="23">
        <v>53</v>
      </c>
      <c r="Y49" s="7">
        <v>0</v>
      </c>
      <c r="Z49" s="7"/>
    </row>
    <row r="50" spans="1:26" x14ac:dyDescent="0.25">
      <c r="A50" s="227"/>
      <c r="B50" s="228"/>
      <c r="C50" s="228">
        <v>10</v>
      </c>
      <c r="D50" s="249" t="s">
        <v>169</v>
      </c>
      <c r="E50" s="228">
        <v>3597</v>
      </c>
      <c r="F50" s="228">
        <v>3587</v>
      </c>
      <c r="G50" s="228">
        <v>10</v>
      </c>
      <c r="H50" s="228">
        <v>2420</v>
      </c>
      <c r="I50" s="228">
        <v>2414</v>
      </c>
      <c r="J50" s="228">
        <v>6</v>
      </c>
      <c r="K50" s="7">
        <v>131</v>
      </c>
      <c r="L50" s="23">
        <v>130</v>
      </c>
      <c r="M50" s="7">
        <v>1</v>
      </c>
      <c r="N50" s="7">
        <v>24</v>
      </c>
      <c r="O50" s="23">
        <v>23</v>
      </c>
      <c r="P50" s="7">
        <v>1</v>
      </c>
      <c r="Q50" s="14">
        <v>17</v>
      </c>
      <c r="R50" s="29">
        <v>17</v>
      </c>
      <c r="S50" s="14"/>
      <c r="T50" s="7">
        <v>18</v>
      </c>
      <c r="U50" s="22">
        <v>18</v>
      </c>
      <c r="V50" s="7">
        <v>0</v>
      </c>
      <c r="W50" s="7">
        <v>927</v>
      </c>
      <c r="X50" s="23">
        <v>925</v>
      </c>
      <c r="Y50" s="7">
        <v>2</v>
      </c>
      <c r="Z50" s="7"/>
    </row>
    <row r="51" spans="1:26" x14ac:dyDescent="0.25">
      <c r="A51" s="227"/>
      <c r="B51" s="228"/>
      <c r="C51" s="228">
        <v>11</v>
      </c>
      <c r="D51" s="228" t="s">
        <v>170</v>
      </c>
      <c r="E51" s="228">
        <v>665</v>
      </c>
      <c r="F51" s="228">
        <v>664</v>
      </c>
      <c r="G51" s="228">
        <v>1</v>
      </c>
      <c r="H51" s="228">
        <v>543</v>
      </c>
      <c r="I51" s="228">
        <v>542</v>
      </c>
      <c r="J51" s="228">
        <v>1</v>
      </c>
      <c r="K51" s="7">
        <v>5</v>
      </c>
      <c r="L51" s="23">
        <v>5</v>
      </c>
      <c r="M51" s="7">
        <v>0</v>
      </c>
      <c r="N51" s="7">
        <v>1</v>
      </c>
      <c r="O51" s="7">
        <v>1</v>
      </c>
      <c r="P51" s="7">
        <v>0</v>
      </c>
      <c r="Q51" s="7">
        <v>0</v>
      </c>
      <c r="R51" s="7">
        <v>0</v>
      </c>
      <c r="S51" s="7">
        <v>0</v>
      </c>
      <c r="T51" s="7">
        <v>3</v>
      </c>
      <c r="U51" s="22">
        <v>3</v>
      </c>
      <c r="V51" s="7">
        <v>0</v>
      </c>
      <c r="W51" s="7">
        <v>113</v>
      </c>
      <c r="X51" s="23">
        <v>113</v>
      </c>
      <c r="Y51" s="7">
        <v>0</v>
      </c>
      <c r="Z51" s="7"/>
    </row>
    <row r="52" spans="1:26" x14ac:dyDescent="0.25">
      <c r="A52" s="227"/>
      <c r="B52" s="228"/>
      <c r="C52" s="228">
        <v>12</v>
      </c>
      <c r="D52" s="228" t="s">
        <v>172</v>
      </c>
      <c r="E52" s="228">
        <v>1080</v>
      </c>
      <c r="F52" s="228">
        <v>1050</v>
      </c>
      <c r="G52" s="228">
        <v>30</v>
      </c>
      <c r="H52" s="228">
        <v>838</v>
      </c>
      <c r="I52" s="228">
        <v>815</v>
      </c>
      <c r="J52" s="228">
        <v>23</v>
      </c>
      <c r="K52" s="7">
        <v>19</v>
      </c>
      <c r="L52" s="23">
        <v>19</v>
      </c>
      <c r="M52" s="7">
        <v>0</v>
      </c>
      <c r="N52" s="7">
        <v>1</v>
      </c>
      <c r="O52" s="23">
        <v>1</v>
      </c>
      <c r="P52" s="7">
        <v>0</v>
      </c>
      <c r="Q52" s="7">
        <v>0</v>
      </c>
      <c r="R52" s="7">
        <v>0</v>
      </c>
      <c r="S52" s="7">
        <v>0</v>
      </c>
      <c r="T52" s="7">
        <v>5</v>
      </c>
      <c r="U52" s="14">
        <v>5</v>
      </c>
      <c r="V52" s="7">
        <v>0</v>
      </c>
      <c r="W52" s="7">
        <v>187</v>
      </c>
      <c r="X52" s="7">
        <v>180</v>
      </c>
      <c r="Y52" s="7">
        <v>7</v>
      </c>
      <c r="Z52" s="7"/>
    </row>
    <row r="53" spans="1:26" x14ac:dyDescent="0.25">
      <c r="A53" s="227"/>
      <c r="B53" s="228"/>
      <c r="C53" s="228">
        <v>13</v>
      </c>
      <c r="D53" s="228" t="s">
        <v>173</v>
      </c>
      <c r="E53" s="228">
        <v>3</v>
      </c>
      <c r="F53" s="228">
        <v>2</v>
      </c>
      <c r="G53" s="228">
        <v>1</v>
      </c>
      <c r="H53" s="228">
        <v>2</v>
      </c>
      <c r="I53" s="228">
        <v>2</v>
      </c>
      <c r="J53" s="228">
        <v>0</v>
      </c>
      <c r="K53" s="7">
        <v>0</v>
      </c>
      <c r="L53" s="23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14">
        <v>0</v>
      </c>
      <c r="V53" s="7">
        <v>0</v>
      </c>
      <c r="W53" s="7">
        <v>1</v>
      </c>
      <c r="X53" s="7">
        <v>0</v>
      </c>
      <c r="Y53" s="7">
        <v>1</v>
      </c>
      <c r="Z53" s="7"/>
    </row>
    <row r="54" spans="1:26" x14ac:dyDescent="0.25">
      <c r="A54" s="14"/>
      <c r="B54" s="7"/>
      <c r="C54" s="7"/>
      <c r="D54" s="7"/>
      <c r="E54" s="7"/>
      <c r="F54" s="7"/>
      <c r="G54" s="7"/>
      <c r="H54" s="7"/>
      <c r="I54" s="7"/>
      <c r="J54" s="7"/>
      <c r="K54" s="7"/>
      <c r="L54" s="23"/>
      <c r="M54" s="7"/>
      <c r="N54" s="7"/>
      <c r="O54" s="7"/>
      <c r="P54" s="7"/>
      <c r="Q54" s="7"/>
      <c r="R54" s="14"/>
      <c r="S54" s="7"/>
      <c r="T54" s="7"/>
      <c r="U54" s="14"/>
      <c r="V54" s="7"/>
      <c r="W54" s="7"/>
      <c r="X54" s="7"/>
      <c r="Y54" s="7"/>
      <c r="Z54" s="7"/>
    </row>
    <row r="55" spans="1:26" x14ac:dyDescent="0.25">
      <c r="A55" s="232"/>
      <c r="B55" s="233" t="s">
        <v>129</v>
      </c>
      <c r="C55" s="233">
        <v>1</v>
      </c>
      <c r="D55" s="250" t="s">
        <v>199</v>
      </c>
      <c r="E55" s="233">
        <v>18360</v>
      </c>
      <c r="F55" s="233">
        <v>18356</v>
      </c>
      <c r="G55" s="233">
        <v>4</v>
      </c>
      <c r="H55" s="233">
        <v>4353</v>
      </c>
      <c r="I55" s="233">
        <v>4351</v>
      </c>
      <c r="J55" s="233">
        <v>2</v>
      </c>
      <c r="K55" s="7">
        <v>17</v>
      </c>
      <c r="L55" s="23">
        <v>17</v>
      </c>
      <c r="M55" s="7">
        <v>0</v>
      </c>
      <c r="N55" s="7">
        <v>986</v>
      </c>
      <c r="O55" s="23">
        <v>986</v>
      </c>
      <c r="P55" s="7">
        <v>0</v>
      </c>
      <c r="Q55" s="14">
        <v>1532</v>
      </c>
      <c r="R55" s="9">
        <v>1532</v>
      </c>
      <c r="S55" s="14">
        <v>0</v>
      </c>
      <c r="T55" s="7">
        <v>8260</v>
      </c>
      <c r="U55" s="14">
        <v>8260</v>
      </c>
      <c r="V55" s="7">
        <v>0</v>
      </c>
      <c r="W55" s="7">
        <v>3212</v>
      </c>
      <c r="X55" s="7">
        <v>3210</v>
      </c>
      <c r="Y55" s="7">
        <v>2</v>
      </c>
      <c r="Z55" s="7"/>
    </row>
    <row r="56" spans="1:26" ht="60" customHeight="1" x14ac:dyDescent="0.25">
      <c r="A56" s="232"/>
      <c r="B56" s="233"/>
      <c r="C56" s="233">
        <v>2</v>
      </c>
      <c r="D56" s="250" t="s">
        <v>200</v>
      </c>
      <c r="E56" s="233">
        <v>38636</v>
      </c>
      <c r="F56" s="233">
        <v>38624</v>
      </c>
      <c r="G56" s="233">
        <v>12</v>
      </c>
      <c r="H56" s="233">
        <v>18196</v>
      </c>
      <c r="I56" s="233">
        <v>18190</v>
      </c>
      <c r="J56" s="233">
        <v>6</v>
      </c>
      <c r="K56" s="7">
        <v>1516</v>
      </c>
      <c r="L56" s="23">
        <v>1516</v>
      </c>
      <c r="M56" s="7">
        <v>0</v>
      </c>
      <c r="N56" s="7">
        <v>1042</v>
      </c>
      <c r="O56" s="7">
        <v>1041</v>
      </c>
      <c r="P56" s="7">
        <v>1</v>
      </c>
      <c r="Q56" s="14">
        <v>2121</v>
      </c>
      <c r="R56" s="29">
        <v>2121</v>
      </c>
      <c r="S56" s="14">
        <v>0</v>
      </c>
      <c r="T56" s="7">
        <v>5130</v>
      </c>
      <c r="U56" s="22">
        <v>5129</v>
      </c>
      <c r="V56" s="7">
        <v>1</v>
      </c>
      <c r="W56" s="7">
        <v>10001</v>
      </c>
      <c r="X56" s="23">
        <v>9997</v>
      </c>
      <c r="Y56" s="7">
        <v>4</v>
      </c>
      <c r="Z56" s="7"/>
    </row>
    <row r="57" spans="1:26" ht="30" x14ac:dyDescent="0.25">
      <c r="A57" s="232"/>
      <c r="B57" s="233"/>
      <c r="C57" s="233">
        <v>3</v>
      </c>
      <c r="D57" s="250" t="s">
        <v>203</v>
      </c>
      <c r="E57" s="233">
        <v>815</v>
      </c>
      <c r="F57" s="233">
        <v>810</v>
      </c>
      <c r="G57" s="233">
        <v>5</v>
      </c>
      <c r="H57" s="233">
        <v>105</v>
      </c>
      <c r="I57" s="233">
        <v>104</v>
      </c>
      <c r="J57" s="233">
        <v>1</v>
      </c>
      <c r="K57" s="7">
        <v>3</v>
      </c>
      <c r="L57" s="7">
        <v>3</v>
      </c>
      <c r="M57" s="7">
        <v>0</v>
      </c>
      <c r="N57" s="7">
        <v>97</v>
      </c>
      <c r="O57" s="7">
        <v>97</v>
      </c>
      <c r="P57" s="7">
        <v>1</v>
      </c>
      <c r="Q57" s="14">
        <v>15</v>
      </c>
      <c r="R57" s="22">
        <v>15</v>
      </c>
      <c r="S57" s="14">
        <v>0</v>
      </c>
      <c r="T57" s="7">
        <v>110</v>
      </c>
      <c r="U57" s="14">
        <v>110</v>
      </c>
      <c r="V57" s="7">
        <v>0</v>
      </c>
      <c r="W57" s="7">
        <v>185</v>
      </c>
      <c r="X57" s="7">
        <v>181</v>
      </c>
      <c r="Y57" s="7">
        <v>4</v>
      </c>
      <c r="Z57" s="7"/>
    </row>
    <row r="58" spans="1:26" x14ac:dyDescent="0.25">
      <c r="A58" s="232"/>
      <c r="B58" s="233"/>
      <c r="C58" s="233">
        <v>4</v>
      </c>
      <c r="D58" s="250" t="s">
        <v>204</v>
      </c>
      <c r="E58" s="233">
        <v>543</v>
      </c>
      <c r="F58" s="233">
        <v>539</v>
      </c>
      <c r="G58" s="233">
        <v>4</v>
      </c>
      <c r="H58" s="233">
        <v>264</v>
      </c>
      <c r="I58" s="233">
        <v>262</v>
      </c>
      <c r="J58" s="233">
        <v>2</v>
      </c>
      <c r="K58" s="7">
        <v>5</v>
      </c>
      <c r="L58" s="7">
        <v>5</v>
      </c>
      <c r="M58" s="7">
        <v>0</v>
      </c>
      <c r="N58" s="7">
        <v>57</v>
      </c>
      <c r="O58" s="7">
        <v>56</v>
      </c>
      <c r="P58" s="7"/>
      <c r="Q58" s="14">
        <v>8</v>
      </c>
      <c r="R58" s="22">
        <v>8</v>
      </c>
      <c r="S58" s="14">
        <v>0</v>
      </c>
      <c r="T58" s="7">
        <v>64</v>
      </c>
      <c r="U58" s="14">
        <v>63</v>
      </c>
      <c r="V58" s="7">
        <v>1</v>
      </c>
      <c r="W58" s="7">
        <v>145</v>
      </c>
      <c r="X58" s="7">
        <v>145</v>
      </c>
      <c r="Y58" s="7">
        <v>0</v>
      </c>
      <c r="Z58" s="7"/>
    </row>
    <row r="59" spans="1:26" x14ac:dyDescent="0.25">
      <c r="A59" s="14"/>
      <c r="B59" s="7"/>
      <c r="C59" s="7"/>
      <c r="D59" s="7"/>
      <c r="E59" s="7"/>
      <c r="F59" s="7"/>
      <c r="G59" s="23"/>
      <c r="H59" s="23"/>
      <c r="I59" s="7"/>
      <c r="J59" s="7"/>
      <c r="K59" s="7"/>
      <c r="L59" s="23"/>
      <c r="M59" s="7"/>
      <c r="N59" s="7"/>
      <c r="O59" s="23"/>
      <c r="P59" s="7"/>
      <c r="Q59" s="14"/>
      <c r="R59" s="29"/>
      <c r="S59" s="14"/>
      <c r="T59" s="7"/>
      <c r="U59" s="14"/>
      <c r="V59" s="7"/>
      <c r="W59" s="7"/>
      <c r="X59" s="7"/>
      <c r="Y59" s="7"/>
      <c r="Z59" s="7"/>
    </row>
    <row r="60" spans="1:26" x14ac:dyDescent="0.25">
      <c r="A60" s="232"/>
      <c r="B60" s="233" t="s">
        <v>130</v>
      </c>
      <c r="C60" s="233">
        <v>1</v>
      </c>
      <c r="D60" s="233" t="s">
        <v>205</v>
      </c>
      <c r="E60" s="233">
        <v>2387</v>
      </c>
      <c r="F60" s="233">
        <v>1573</v>
      </c>
      <c r="G60" s="233">
        <v>814</v>
      </c>
      <c r="H60" s="233">
        <v>2306</v>
      </c>
      <c r="I60" s="233">
        <v>1512</v>
      </c>
      <c r="J60" s="233">
        <v>791</v>
      </c>
      <c r="K60" s="7">
        <v>3</v>
      </c>
      <c r="L60" s="23">
        <v>2</v>
      </c>
      <c r="M60" s="7">
        <v>1</v>
      </c>
      <c r="N60" s="7">
        <v>2</v>
      </c>
      <c r="O60" s="23">
        <v>1</v>
      </c>
      <c r="P60" s="7">
        <v>1</v>
      </c>
      <c r="Q60" s="14">
        <v>0</v>
      </c>
      <c r="R60" s="29">
        <v>0</v>
      </c>
      <c r="S60" s="14">
        <v>0</v>
      </c>
      <c r="T60" s="7">
        <v>3</v>
      </c>
      <c r="U60" s="22">
        <v>3</v>
      </c>
      <c r="V60" s="7">
        <v>0</v>
      </c>
      <c r="W60" s="7">
        <v>73</v>
      </c>
      <c r="X60" s="23">
        <v>55</v>
      </c>
      <c r="Y60" s="7">
        <v>18</v>
      </c>
      <c r="Z60" s="7"/>
    </row>
    <row r="61" spans="1:26" x14ac:dyDescent="0.25">
      <c r="A61" s="232"/>
      <c r="B61" s="233"/>
      <c r="C61" s="233">
        <v>2</v>
      </c>
      <c r="D61" s="233" t="s">
        <v>206</v>
      </c>
      <c r="E61" s="233">
        <v>16132</v>
      </c>
      <c r="F61" s="233">
        <v>1908</v>
      </c>
      <c r="G61" s="233">
        <v>5521</v>
      </c>
      <c r="H61" s="233">
        <v>7668</v>
      </c>
      <c r="I61" s="233">
        <v>3271</v>
      </c>
      <c r="J61" s="233">
        <v>4397</v>
      </c>
      <c r="K61" s="7">
        <v>399</v>
      </c>
      <c r="L61" s="23">
        <v>185</v>
      </c>
      <c r="M61" s="7">
        <v>114</v>
      </c>
      <c r="N61" s="7">
        <v>70</v>
      </c>
      <c r="O61" s="23">
        <v>41</v>
      </c>
      <c r="P61" s="7">
        <v>29</v>
      </c>
      <c r="Q61" s="14">
        <v>61</v>
      </c>
      <c r="R61" s="29">
        <v>42</v>
      </c>
      <c r="S61" s="14">
        <v>19</v>
      </c>
      <c r="T61" s="7">
        <v>110</v>
      </c>
      <c r="U61" s="22">
        <v>76</v>
      </c>
      <c r="V61" s="7">
        <v>34</v>
      </c>
      <c r="W61" s="7">
        <v>1924</v>
      </c>
      <c r="X61" s="23">
        <v>993</v>
      </c>
      <c r="Y61" s="7">
        <v>931</v>
      </c>
      <c r="Z61" s="7"/>
    </row>
    <row r="62" spans="1:26" x14ac:dyDescent="0.25">
      <c r="A62" s="232"/>
      <c r="B62" s="233"/>
      <c r="C62" s="233">
        <v>3</v>
      </c>
      <c r="D62" s="233" t="s">
        <v>207</v>
      </c>
      <c r="E62" s="233">
        <v>61</v>
      </c>
      <c r="F62" s="233">
        <v>43</v>
      </c>
      <c r="G62" s="233">
        <v>18</v>
      </c>
      <c r="H62" s="233">
        <v>41</v>
      </c>
      <c r="I62" s="233">
        <v>31</v>
      </c>
      <c r="J62" s="233">
        <v>10</v>
      </c>
      <c r="K62" s="7">
        <v>1</v>
      </c>
      <c r="L62" s="7">
        <v>1</v>
      </c>
      <c r="M62" s="7">
        <v>0</v>
      </c>
      <c r="N62" s="7">
        <v>1</v>
      </c>
      <c r="O62" s="7">
        <v>1</v>
      </c>
      <c r="P62" s="7">
        <v>0</v>
      </c>
      <c r="Q62" s="14">
        <v>3</v>
      </c>
      <c r="R62" s="29">
        <v>1</v>
      </c>
      <c r="S62" s="14">
        <v>2</v>
      </c>
      <c r="T62" s="7">
        <v>3</v>
      </c>
      <c r="U62" s="22">
        <v>3</v>
      </c>
      <c r="V62" s="7">
        <v>0</v>
      </c>
      <c r="W62" s="7">
        <v>12</v>
      </c>
      <c r="X62" s="23">
        <v>6</v>
      </c>
      <c r="Y62" s="7">
        <v>6</v>
      </c>
      <c r="Z62" s="7"/>
    </row>
    <row r="63" spans="1:26" x14ac:dyDescent="0.25">
      <c r="A63" s="1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14"/>
      <c r="R63" s="9"/>
      <c r="S63" s="14"/>
      <c r="T63" s="7"/>
      <c r="U63" s="14"/>
      <c r="V63" s="7"/>
      <c r="W63" s="7"/>
      <c r="X63" s="7"/>
      <c r="Y63" s="7"/>
      <c r="Z63" s="7"/>
    </row>
    <row r="64" spans="1:26" x14ac:dyDescent="0.25">
      <c r="A64" s="232"/>
      <c r="B64" s="233" t="s">
        <v>132</v>
      </c>
      <c r="C64" s="233">
        <v>1</v>
      </c>
      <c r="D64" s="233" t="s">
        <v>177</v>
      </c>
      <c r="E64" s="233">
        <v>3356</v>
      </c>
      <c r="F64" s="233">
        <v>2998</v>
      </c>
      <c r="G64" s="233">
        <v>358</v>
      </c>
      <c r="H64" s="233">
        <v>2026</v>
      </c>
      <c r="I64" s="233">
        <v>1946</v>
      </c>
      <c r="J64" s="233">
        <v>80</v>
      </c>
      <c r="K64" s="7">
        <v>131</v>
      </c>
      <c r="L64" s="7">
        <v>120</v>
      </c>
      <c r="M64" s="7">
        <v>11</v>
      </c>
      <c r="N64" s="7">
        <v>87</v>
      </c>
      <c r="O64" s="7">
        <v>74</v>
      </c>
      <c r="P64" s="7">
        <v>13</v>
      </c>
      <c r="Q64" s="14">
        <v>29</v>
      </c>
      <c r="R64" s="22">
        <v>18</v>
      </c>
      <c r="S64" s="14">
        <v>11</v>
      </c>
      <c r="T64" s="7">
        <v>396</v>
      </c>
      <c r="U64" s="14">
        <v>218</v>
      </c>
      <c r="V64" s="7">
        <v>178</v>
      </c>
      <c r="W64" s="7">
        <v>687</v>
      </c>
      <c r="X64" s="7">
        <v>622</v>
      </c>
      <c r="Y64" s="7">
        <v>65</v>
      </c>
      <c r="Z64" s="7"/>
    </row>
    <row r="65" spans="1:26" x14ac:dyDescent="0.25">
      <c r="A65" s="232"/>
      <c r="B65" s="233"/>
      <c r="C65" s="233">
        <v>2</v>
      </c>
      <c r="D65" s="233" t="s">
        <v>178</v>
      </c>
      <c r="E65" s="233">
        <v>5845</v>
      </c>
      <c r="F65" s="233">
        <v>5401</v>
      </c>
      <c r="G65" s="233">
        <v>444</v>
      </c>
      <c r="H65" s="233">
        <v>3173</v>
      </c>
      <c r="I65" s="233">
        <v>2932</v>
      </c>
      <c r="J65" s="233">
        <v>241</v>
      </c>
      <c r="K65" s="7">
        <v>149</v>
      </c>
      <c r="L65" s="7">
        <v>137</v>
      </c>
      <c r="M65" s="7">
        <v>12</v>
      </c>
      <c r="N65" s="7">
        <v>45</v>
      </c>
      <c r="O65" s="7">
        <v>39</v>
      </c>
      <c r="P65" s="7">
        <v>6</v>
      </c>
      <c r="Q65" s="14">
        <v>34</v>
      </c>
      <c r="R65" s="22">
        <v>29</v>
      </c>
      <c r="S65" s="14">
        <v>5</v>
      </c>
      <c r="T65" s="7">
        <v>238</v>
      </c>
      <c r="U65" s="14">
        <v>217</v>
      </c>
      <c r="V65" s="7">
        <v>21</v>
      </c>
      <c r="W65" s="7">
        <v>2206</v>
      </c>
      <c r="X65" s="7">
        <v>2047</v>
      </c>
      <c r="Y65" s="7">
        <v>159</v>
      </c>
      <c r="Z65" s="7"/>
    </row>
    <row r="66" spans="1:26" x14ac:dyDescent="0.25">
      <c r="A66" s="232"/>
      <c r="B66" s="233"/>
      <c r="C66" s="233">
        <v>3</v>
      </c>
      <c r="D66" s="233" t="s">
        <v>179</v>
      </c>
      <c r="E66" s="233">
        <v>2914</v>
      </c>
      <c r="F66" s="233">
        <v>2623</v>
      </c>
      <c r="G66" s="233">
        <v>291</v>
      </c>
      <c r="H66" s="233">
        <v>2242</v>
      </c>
      <c r="I66" s="233">
        <v>2044</v>
      </c>
      <c r="J66" s="233">
        <v>198</v>
      </c>
      <c r="K66" s="7">
        <v>35</v>
      </c>
      <c r="L66" s="7">
        <v>31</v>
      </c>
      <c r="M66" s="7">
        <v>4</v>
      </c>
      <c r="N66" s="7">
        <v>23</v>
      </c>
      <c r="O66" s="7">
        <v>17</v>
      </c>
      <c r="P66" s="7">
        <v>6</v>
      </c>
      <c r="Q66" s="14">
        <v>22</v>
      </c>
      <c r="R66" s="22">
        <v>21</v>
      </c>
      <c r="S66" s="14">
        <v>1</v>
      </c>
      <c r="T66" s="7">
        <v>87</v>
      </c>
      <c r="U66" s="14">
        <v>85</v>
      </c>
      <c r="V66" s="7">
        <v>2</v>
      </c>
      <c r="W66" s="7">
        <v>505</v>
      </c>
      <c r="X66" s="7">
        <v>425</v>
      </c>
      <c r="Y66" s="7">
        <v>80</v>
      </c>
      <c r="Z66" s="7"/>
    </row>
    <row r="67" spans="1:26" x14ac:dyDescent="0.25">
      <c r="A67" s="14"/>
      <c r="B67" s="7"/>
      <c r="C67" s="7"/>
      <c r="D67" s="7"/>
      <c r="E67" s="7"/>
      <c r="F67" s="7"/>
      <c r="G67" s="23"/>
      <c r="H67" s="23"/>
      <c r="I67" s="7"/>
      <c r="J67" s="7"/>
      <c r="K67" s="7"/>
      <c r="L67" s="23"/>
      <c r="M67" s="7"/>
      <c r="N67" s="7"/>
      <c r="O67" s="23"/>
      <c r="P67" s="7"/>
      <c r="Q67" s="14"/>
      <c r="R67" s="9"/>
      <c r="S67" s="14"/>
      <c r="T67" s="7"/>
      <c r="U67" s="14"/>
      <c r="V67" s="7"/>
      <c r="W67" s="7"/>
      <c r="X67" s="7"/>
      <c r="Y67" s="7"/>
      <c r="Z67" s="7"/>
    </row>
    <row r="68" spans="1:26" x14ac:dyDescent="0.25">
      <c r="A68" s="242"/>
      <c r="B68" s="233" t="s">
        <v>133</v>
      </c>
      <c r="C68" s="233">
        <v>1</v>
      </c>
      <c r="D68" s="233" t="s">
        <v>180</v>
      </c>
      <c r="E68" s="233">
        <v>1123</v>
      </c>
      <c r="F68" s="233">
        <v>960</v>
      </c>
      <c r="G68" s="233">
        <v>163</v>
      </c>
      <c r="H68" s="233">
        <v>679</v>
      </c>
      <c r="I68" s="233">
        <v>578</v>
      </c>
      <c r="J68" s="233">
        <v>101</v>
      </c>
      <c r="K68" s="7">
        <v>8</v>
      </c>
      <c r="L68" s="23">
        <v>8</v>
      </c>
      <c r="M68" s="7">
        <v>0</v>
      </c>
      <c r="N68" s="7">
        <v>38</v>
      </c>
      <c r="O68" s="23">
        <v>27</v>
      </c>
      <c r="P68" s="7">
        <v>11</v>
      </c>
      <c r="Q68" s="14">
        <v>8</v>
      </c>
      <c r="R68" s="29">
        <v>7</v>
      </c>
      <c r="S68" s="14">
        <v>1</v>
      </c>
      <c r="T68" s="7">
        <v>99</v>
      </c>
      <c r="U68" s="22">
        <v>86</v>
      </c>
      <c r="V68" s="7">
        <v>13</v>
      </c>
      <c r="W68" s="7">
        <v>291</v>
      </c>
      <c r="X68" s="23">
        <v>254</v>
      </c>
      <c r="Y68" s="7">
        <v>37</v>
      </c>
      <c r="Z68" s="7"/>
    </row>
    <row r="69" spans="1:26" x14ac:dyDescent="0.25">
      <c r="A69" s="232"/>
      <c r="B69" s="233"/>
      <c r="C69" s="233">
        <v>2</v>
      </c>
      <c r="D69" s="233" t="s">
        <v>181</v>
      </c>
      <c r="E69" s="233">
        <v>1989</v>
      </c>
      <c r="F69" s="233">
        <v>1835</v>
      </c>
      <c r="G69" s="233">
        <v>154</v>
      </c>
      <c r="H69" s="233">
        <v>808</v>
      </c>
      <c r="I69" s="233">
        <v>789</v>
      </c>
      <c r="J69" s="233">
        <v>19</v>
      </c>
      <c r="K69" s="7">
        <v>115</v>
      </c>
      <c r="L69" s="7">
        <v>115</v>
      </c>
      <c r="M69" s="7">
        <v>0</v>
      </c>
      <c r="N69" s="7">
        <v>181</v>
      </c>
      <c r="O69" s="7">
        <v>135</v>
      </c>
      <c r="P69" s="7">
        <v>46</v>
      </c>
      <c r="Q69" s="14">
        <v>41</v>
      </c>
      <c r="R69" s="29">
        <v>40</v>
      </c>
      <c r="S69" s="14">
        <v>1</v>
      </c>
      <c r="T69" s="7">
        <v>163</v>
      </c>
      <c r="U69" s="22">
        <v>131</v>
      </c>
      <c r="V69" s="7">
        <v>32</v>
      </c>
      <c r="W69" s="7">
        <v>681</v>
      </c>
      <c r="X69" s="23">
        <v>625</v>
      </c>
      <c r="Y69" s="7">
        <v>56</v>
      </c>
      <c r="Z69" s="7"/>
    </row>
    <row r="70" spans="1:26" x14ac:dyDescent="0.25">
      <c r="A70" s="14"/>
      <c r="C70" s="7"/>
      <c r="D70" s="7"/>
      <c r="E70" s="7"/>
      <c r="F70" s="7"/>
      <c r="G70" s="7"/>
      <c r="H70" s="7"/>
      <c r="I70" s="7"/>
      <c r="J70" s="7"/>
      <c r="K70" s="7"/>
      <c r="L70" s="23"/>
      <c r="M70" s="7"/>
      <c r="N70" s="7"/>
      <c r="O70" s="23"/>
      <c r="P70" s="7"/>
      <c r="Q70" s="14"/>
      <c r="R70" s="9"/>
      <c r="S70" s="14"/>
      <c r="T70" s="7"/>
      <c r="U70" s="14"/>
      <c r="V70" s="7"/>
      <c r="W70" s="7"/>
      <c r="X70" s="7"/>
      <c r="Y70" s="7"/>
      <c r="Z70" s="7"/>
    </row>
    <row r="71" spans="1:26" x14ac:dyDescent="0.25">
      <c r="A71" s="232"/>
      <c r="B71" s="233" t="s">
        <v>131</v>
      </c>
      <c r="C71" s="233">
        <v>1</v>
      </c>
      <c r="D71" s="233" t="s">
        <v>182</v>
      </c>
      <c r="E71" s="233">
        <v>24637</v>
      </c>
      <c r="F71" s="233">
        <v>24213</v>
      </c>
      <c r="G71" s="233">
        <v>424</v>
      </c>
      <c r="H71" s="233">
        <v>3275</v>
      </c>
      <c r="I71" s="233">
        <v>3272</v>
      </c>
      <c r="J71" s="233">
        <v>3</v>
      </c>
      <c r="K71" s="7">
        <v>3</v>
      </c>
      <c r="L71" s="23">
        <v>3</v>
      </c>
      <c r="M71" s="7">
        <v>0</v>
      </c>
      <c r="N71" s="7">
        <v>795</v>
      </c>
      <c r="O71" s="23">
        <v>772</v>
      </c>
      <c r="P71" s="7">
        <v>23</v>
      </c>
      <c r="Q71" s="14">
        <v>1040</v>
      </c>
      <c r="R71" s="22">
        <v>1003</v>
      </c>
      <c r="S71" s="14">
        <v>37</v>
      </c>
      <c r="T71" s="7">
        <v>17686</v>
      </c>
      <c r="U71" s="22">
        <v>17360</v>
      </c>
      <c r="V71" s="7">
        <v>326</v>
      </c>
      <c r="W71" s="7">
        <v>1838</v>
      </c>
      <c r="X71" s="23">
        <v>1803</v>
      </c>
      <c r="Y71" s="7">
        <v>35</v>
      </c>
      <c r="Z71" s="7"/>
    </row>
    <row r="72" spans="1:26" x14ac:dyDescent="0.25">
      <c r="A72" s="232"/>
      <c r="B72" s="233"/>
      <c r="C72" s="233">
        <v>2</v>
      </c>
      <c r="D72" s="233" t="s">
        <v>183</v>
      </c>
      <c r="E72" s="233">
        <v>354</v>
      </c>
      <c r="F72" s="233">
        <v>197</v>
      </c>
      <c r="G72" s="233">
        <v>157</v>
      </c>
      <c r="H72" s="233">
        <v>105</v>
      </c>
      <c r="I72" s="233">
        <v>81</v>
      </c>
      <c r="J72" s="233">
        <v>24</v>
      </c>
      <c r="K72" s="7">
        <v>5</v>
      </c>
      <c r="L72" s="23">
        <v>4</v>
      </c>
      <c r="M72" s="7">
        <v>1</v>
      </c>
      <c r="N72" s="7">
        <v>4</v>
      </c>
      <c r="O72" s="23">
        <v>0</v>
      </c>
      <c r="P72" s="7">
        <v>4</v>
      </c>
      <c r="Q72" s="14">
        <v>49</v>
      </c>
      <c r="R72" s="22">
        <v>30</v>
      </c>
      <c r="S72" s="14">
        <v>19</v>
      </c>
      <c r="T72" s="7">
        <v>125</v>
      </c>
      <c r="U72" s="22">
        <v>30</v>
      </c>
      <c r="V72" s="7">
        <v>95</v>
      </c>
      <c r="W72" s="7">
        <v>66</v>
      </c>
      <c r="X72" s="23">
        <v>52</v>
      </c>
      <c r="Y72" s="7">
        <v>14</v>
      </c>
      <c r="Z72" s="7"/>
    </row>
    <row r="73" spans="1:26" x14ac:dyDescent="0.25">
      <c r="A73" s="232"/>
      <c r="B73" s="233"/>
      <c r="C73" s="233">
        <v>3</v>
      </c>
      <c r="D73" s="233" t="s">
        <v>184</v>
      </c>
      <c r="E73" s="233">
        <v>4890</v>
      </c>
      <c r="F73" s="233">
        <v>4865</v>
      </c>
      <c r="G73" s="233">
        <v>25</v>
      </c>
      <c r="H73" s="233">
        <v>1351</v>
      </c>
      <c r="I73" s="233">
        <v>1341</v>
      </c>
      <c r="J73" s="233">
        <v>10</v>
      </c>
      <c r="K73" s="7">
        <v>53</v>
      </c>
      <c r="L73" s="7">
        <v>53</v>
      </c>
      <c r="M73" s="7">
        <v>0</v>
      </c>
      <c r="N73" s="7">
        <v>540</v>
      </c>
      <c r="O73" s="7">
        <v>538</v>
      </c>
      <c r="P73" s="7">
        <v>2</v>
      </c>
      <c r="Q73" s="14">
        <v>240</v>
      </c>
      <c r="R73" s="29">
        <v>240</v>
      </c>
      <c r="S73" s="14">
        <v>0</v>
      </c>
      <c r="T73" s="7">
        <v>1153</v>
      </c>
      <c r="U73" s="22">
        <v>1150</v>
      </c>
      <c r="V73" s="7">
        <v>3</v>
      </c>
      <c r="W73" s="7">
        <v>1553</v>
      </c>
      <c r="X73" s="23">
        <v>1543</v>
      </c>
      <c r="Y73" s="7">
        <v>10</v>
      </c>
      <c r="Z73" s="7"/>
    </row>
    <row r="74" spans="1:26" x14ac:dyDescent="0.25">
      <c r="A74" s="232"/>
      <c r="B74" s="233"/>
      <c r="C74" s="233">
        <v>4</v>
      </c>
      <c r="D74" s="233" t="s">
        <v>185</v>
      </c>
      <c r="E74" s="233">
        <v>137</v>
      </c>
      <c r="F74" s="233">
        <v>114</v>
      </c>
      <c r="G74" s="233">
        <v>23</v>
      </c>
      <c r="H74" s="233">
        <v>45</v>
      </c>
      <c r="I74" s="233">
        <v>43</v>
      </c>
      <c r="J74" s="233">
        <v>2</v>
      </c>
      <c r="K74" s="7">
        <v>0</v>
      </c>
      <c r="L74" s="23">
        <v>0</v>
      </c>
      <c r="M74" s="7">
        <v>0</v>
      </c>
      <c r="N74" s="7">
        <v>32</v>
      </c>
      <c r="O74" s="7">
        <v>25</v>
      </c>
      <c r="P74" s="7">
        <v>7</v>
      </c>
      <c r="Q74" s="14">
        <v>0</v>
      </c>
      <c r="R74" s="29">
        <v>0</v>
      </c>
      <c r="S74" s="14">
        <v>0</v>
      </c>
      <c r="T74" s="7">
        <v>46</v>
      </c>
      <c r="U74" s="22">
        <v>33</v>
      </c>
      <c r="V74" s="7">
        <v>13</v>
      </c>
      <c r="W74" s="7">
        <v>14</v>
      </c>
      <c r="X74" s="23">
        <v>13</v>
      </c>
      <c r="Y74" s="7">
        <v>1</v>
      </c>
      <c r="Z74" s="7"/>
    </row>
    <row r="75" spans="1:26" x14ac:dyDescent="0.25">
      <c r="A75" s="232"/>
      <c r="B75" s="233"/>
      <c r="C75" s="233">
        <v>5</v>
      </c>
      <c r="D75" s="233" t="s">
        <v>186</v>
      </c>
      <c r="E75" s="233">
        <v>160</v>
      </c>
      <c r="F75" s="233">
        <v>154</v>
      </c>
      <c r="G75" s="233">
        <v>6</v>
      </c>
      <c r="H75" s="233">
        <v>48</v>
      </c>
      <c r="I75" s="233">
        <v>48</v>
      </c>
      <c r="J75" s="233">
        <v>0</v>
      </c>
      <c r="K75" s="7">
        <v>4</v>
      </c>
      <c r="L75" s="23">
        <v>4</v>
      </c>
      <c r="M75" s="7">
        <v>0</v>
      </c>
      <c r="N75" s="7">
        <v>18</v>
      </c>
      <c r="O75" s="7">
        <v>18</v>
      </c>
      <c r="P75" s="7">
        <v>0</v>
      </c>
      <c r="Q75" s="14">
        <v>9</v>
      </c>
      <c r="R75" s="29">
        <v>9</v>
      </c>
      <c r="S75" s="14">
        <v>0</v>
      </c>
      <c r="T75" s="7">
        <v>53</v>
      </c>
      <c r="U75" s="22">
        <v>47</v>
      </c>
      <c r="V75" s="7">
        <v>6</v>
      </c>
      <c r="W75" s="7">
        <v>28</v>
      </c>
      <c r="X75" s="23">
        <v>28</v>
      </c>
      <c r="Y75" s="7">
        <v>0</v>
      </c>
      <c r="Z75" s="7"/>
    </row>
    <row r="76" spans="1:26" x14ac:dyDescent="0.25">
      <c r="A76" s="232"/>
      <c r="B76" s="233"/>
      <c r="C76" s="233">
        <v>6</v>
      </c>
      <c r="D76" s="233" t="s">
        <v>187</v>
      </c>
      <c r="E76" s="233">
        <v>324</v>
      </c>
      <c r="F76" s="233">
        <v>309</v>
      </c>
      <c r="G76" s="233">
        <v>15</v>
      </c>
      <c r="H76" s="233">
        <v>302</v>
      </c>
      <c r="I76" s="233">
        <v>287</v>
      </c>
      <c r="J76" s="233">
        <v>15</v>
      </c>
      <c r="K76" s="7">
        <v>0</v>
      </c>
      <c r="L76" s="23">
        <v>0</v>
      </c>
      <c r="M76" s="7">
        <v>0</v>
      </c>
      <c r="N76" s="7">
        <v>0</v>
      </c>
      <c r="O76" s="23">
        <v>0</v>
      </c>
      <c r="P76" s="7">
        <v>0</v>
      </c>
      <c r="Q76" s="14">
        <v>0</v>
      </c>
      <c r="R76" s="29">
        <v>0</v>
      </c>
      <c r="S76" s="14">
        <v>0</v>
      </c>
      <c r="T76" s="7">
        <v>0</v>
      </c>
      <c r="U76" s="22">
        <v>0</v>
      </c>
      <c r="V76" s="7">
        <v>0</v>
      </c>
      <c r="W76" s="7">
        <v>22</v>
      </c>
      <c r="X76" s="23">
        <v>22</v>
      </c>
      <c r="Y76" s="7">
        <v>0</v>
      </c>
      <c r="Z76" s="7"/>
    </row>
    <row r="77" spans="1:26" x14ac:dyDescent="0.25">
      <c r="A77" s="232"/>
      <c r="B77" s="233"/>
      <c r="C77" s="233">
        <v>7</v>
      </c>
      <c r="D77" s="233" t="s">
        <v>188</v>
      </c>
      <c r="E77" s="233">
        <v>6084</v>
      </c>
      <c r="F77" s="233">
        <v>6055</v>
      </c>
      <c r="G77" s="233">
        <v>29</v>
      </c>
      <c r="H77" s="233">
        <v>4595</v>
      </c>
      <c r="I77" s="233">
        <v>4569</v>
      </c>
      <c r="J77" s="233">
        <v>26</v>
      </c>
      <c r="K77" s="7">
        <v>16</v>
      </c>
      <c r="L77" s="7">
        <v>16</v>
      </c>
      <c r="M77" s="7">
        <v>0</v>
      </c>
      <c r="N77" s="7">
        <v>112</v>
      </c>
      <c r="O77" s="7">
        <v>112</v>
      </c>
      <c r="P77" s="7">
        <v>0</v>
      </c>
      <c r="Q77" s="14">
        <v>88</v>
      </c>
      <c r="R77" s="29">
        <v>87</v>
      </c>
      <c r="S77" s="14">
        <v>1</v>
      </c>
      <c r="T77" s="7">
        <v>257</v>
      </c>
      <c r="U77" s="22">
        <v>257</v>
      </c>
      <c r="V77" s="7">
        <v>0</v>
      </c>
      <c r="W77" s="7">
        <v>1016</v>
      </c>
      <c r="X77" s="23">
        <v>1014</v>
      </c>
      <c r="Y77" s="7">
        <v>2</v>
      </c>
      <c r="Z77" s="7"/>
    </row>
    <row r="78" spans="1:26" x14ac:dyDescent="0.25">
      <c r="A78" s="14"/>
      <c r="B78" s="7"/>
      <c r="C78" s="7"/>
      <c r="D78" s="7"/>
      <c r="E78" s="7"/>
      <c r="F78" s="7"/>
      <c r="G78" s="23"/>
      <c r="H78" s="23"/>
      <c r="I78" s="7"/>
      <c r="J78" s="7"/>
      <c r="K78" s="7"/>
      <c r="L78" s="23"/>
      <c r="M78" s="7"/>
      <c r="N78" s="7"/>
      <c r="O78" s="23"/>
      <c r="P78" s="7"/>
      <c r="Q78" s="14"/>
      <c r="R78" s="9"/>
      <c r="S78" s="14"/>
      <c r="T78" s="7"/>
      <c r="U78" s="14"/>
      <c r="V78" s="7"/>
      <c r="W78" s="7"/>
      <c r="X78" s="7"/>
      <c r="Y78" s="7"/>
      <c r="Z78" s="7"/>
    </row>
    <row r="79" spans="1:26" ht="30" x14ac:dyDescent="0.25">
      <c r="A79" s="223"/>
      <c r="B79" s="224" t="s">
        <v>135</v>
      </c>
      <c r="C79" s="224">
        <v>1</v>
      </c>
      <c r="D79" s="251" t="s">
        <v>208</v>
      </c>
      <c r="E79" s="224">
        <v>44429</v>
      </c>
      <c r="F79" s="224">
        <v>44151</v>
      </c>
      <c r="G79" s="224">
        <v>278</v>
      </c>
      <c r="H79" s="224">
        <v>7571</v>
      </c>
      <c r="I79" s="224">
        <v>7520</v>
      </c>
      <c r="J79" s="224">
        <v>51</v>
      </c>
      <c r="K79" s="7">
        <v>426</v>
      </c>
      <c r="L79" s="23">
        <v>425</v>
      </c>
      <c r="M79" s="7">
        <v>1</v>
      </c>
      <c r="N79" s="7">
        <v>3418</v>
      </c>
      <c r="O79" s="23">
        <v>3396</v>
      </c>
      <c r="P79" s="7">
        <v>22</v>
      </c>
      <c r="Q79" s="14">
        <v>2800</v>
      </c>
      <c r="R79" s="29">
        <v>2753</v>
      </c>
      <c r="S79" s="14">
        <v>47</v>
      </c>
      <c r="T79" s="7">
        <v>17117</v>
      </c>
      <c r="U79" s="22">
        <v>17037</v>
      </c>
      <c r="V79" s="7">
        <v>80</v>
      </c>
      <c r="W79" s="7">
        <v>13097</v>
      </c>
      <c r="X79" s="23">
        <v>13020</v>
      </c>
      <c r="Y79" s="7">
        <v>77</v>
      </c>
      <c r="Z79" s="7"/>
    </row>
    <row r="80" spans="1:26" x14ac:dyDescent="0.25">
      <c r="A80" s="14"/>
      <c r="B80" s="7"/>
      <c r="C80" s="7"/>
      <c r="D80" s="14"/>
      <c r="E80" s="7"/>
      <c r="F80" s="7"/>
      <c r="G80" s="7"/>
      <c r="H80" s="7"/>
      <c r="I80" s="7"/>
      <c r="J80" s="7"/>
      <c r="K80" s="7"/>
      <c r="L80" s="23"/>
      <c r="M80" s="7"/>
      <c r="N80" s="7"/>
      <c r="O80" s="23"/>
      <c r="P80" s="7"/>
      <c r="Q80" s="14"/>
      <c r="R80" s="29"/>
      <c r="S80" s="14"/>
      <c r="T80" s="7"/>
      <c r="U80" s="22"/>
      <c r="V80" s="7"/>
      <c r="W80" s="7"/>
      <c r="X80" s="23"/>
      <c r="Y80" s="7"/>
      <c r="Z80" s="7"/>
    </row>
    <row r="81" spans="1:26" x14ac:dyDescent="0.25">
      <c r="A81" s="14" t="s">
        <v>125</v>
      </c>
      <c r="B81" s="7" t="s">
        <v>134</v>
      </c>
      <c r="C81" s="23">
        <v>1</v>
      </c>
      <c r="D81" s="14" t="s">
        <v>209</v>
      </c>
      <c r="E81" s="7">
        <v>3130</v>
      </c>
      <c r="F81" s="7">
        <v>2126</v>
      </c>
      <c r="G81" s="7">
        <v>1004</v>
      </c>
      <c r="H81" s="7">
        <v>2920</v>
      </c>
      <c r="I81" s="7">
        <v>1983</v>
      </c>
      <c r="J81" s="7">
        <v>937</v>
      </c>
      <c r="K81" s="7">
        <v>18</v>
      </c>
      <c r="L81" s="7">
        <v>16</v>
      </c>
      <c r="M81" s="7">
        <v>2</v>
      </c>
      <c r="N81" s="7">
        <v>8</v>
      </c>
      <c r="O81" s="7">
        <v>4</v>
      </c>
      <c r="P81" s="7">
        <v>4</v>
      </c>
      <c r="Q81" s="14">
        <v>10</v>
      </c>
      <c r="R81" s="29">
        <v>8</v>
      </c>
      <c r="S81" s="14">
        <v>2</v>
      </c>
      <c r="T81" s="7">
        <v>46</v>
      </c>
      <c r="U81" s="22">
        <v>29</v>
      </c>
      <c r="V81" s="7">
        <v>17</v>
      </c>
      <c r="W81" s="7">
        <v>128</v>
      </c>
      <c r="X81" s="23">
        <v>86</v>
      </c>
      <c r="Y81" s="7">
        <v>42</v>
      </c>
      <c r="Z81" s="7"/>
    </row>
    <row r="82" spans="1:26" x14ac:dyDescent="0.25">
      <c r="A82" s="14"/>
      <c r="B82" s="7"/>
      <c r="C82" s="23">
        <v>2</v>
      </c>
      <c r="D82" s="14" t="s">
        <v>210</v>
      </c>
      <c r="E82" s="14">
        <v>5700</v>
      </c>
      <c r="F82" s="7">
        <v>956</v>
      </c>
      <c r="G82" s="7">
        <v>4744</v>
      </c>
      <c r="H82" s="7">
        <v>2825</v>
      </c>
      <c r="I82" s="7">
        <v>479</v>
      </c>
      <c r="J82" s="7">
        <v>2346</v>
      </c>
      <c r="K82" s="7">
        <v>57</v>
      </c>
      <c r="L82" s="23">
        <v>1</v>
      </c>
      <c r="M82" s="7">
        <v>56</v>
      </c>
      <c r="N82" s="7">
        <v>319</v>
      </c>
      <c r="O82" s="7">
        <v>48</v>
      </c>
      <c r="P82" s="7">
        <v>271</v>
      </c>
      <c r="Q82" s="14">
        <v>215</v>
      </c>
      <c r="R82" s="29">
        <v>74</v>
      </c>
      <c r="S82" s="14">
        <v>141</v>
      </c>
      <c r="T82" s="7">
        <v>1432</v>
      </c>
      <c r="U82" s="14">
        <v>243</v>
      </c>
      <c r="V82" s="7">
        <v>1189</v>
      </c>
      <c r="W82" s="7">
        <v>852</v>
      </c>
      <c r="X82" s="7">
        <v>111</v>
      </c>
      <c r="Y82" s="7">
        <v>741</v>
      </c>
      <c r="Z82" s="7"/>
    </row>
    <row r="83" spans="1:26" x14ac:dyDescent="0.25">
      <c r="A83" s="14"/>
      <c r="C83" s="23">
        <v>3</v>
      </c>
      <c r="D83" s="14" t="s">
        <v>211</v>
      </c>
      <c r="E83" s="7">
        <v>467</v>
      </c>
      <c r="F83" s="7">
        <v>260</v>
      </c>
      <c r="G83" s="7">
        <v>207</v>
      </c>
      <c r="H83" s="7">
        <v>282</v>
      </c>
      <c r="I83" s="7">
        <v>147</v>
      </c>
      <c r="J83" s="7">
        <v>135</v>
      </c>
      <c r="K83" s="7">
        <v>5</v>
      </c>
      <c r="L83" s="23">
        <v>5</v>
      </c>
      <c r="M83" s="7">
        <v>0</v>
      </c>
      <c r="N83" s="7">
        <v>26</v>
      </c>
      <c r="O83" s="23">
        <v>15</v>
      </c>
      <c r="P83" s="7">
        <v>11</v>
      </c>
      <c r="Q83" s="14">
        <v>7</v>
      </c>
      <c r="R83" s="29">
        <v>6</v>
      </c>
      <c r="S83" s="14">
        <v>1</v>
      </c>
      <c r="T83" s="7">
        <v>55</v>
      </c>
      <c r="U83" s="22">
        <v>40</v>
      </c>
      <c r="V83" s="7">
        <v>15</v>
      </c>
      <c r="W83" s="7">
        <v>92</v>
      </c>
      <c r="X83" s="23">
        <v>47</v>
      </c>
      <c r="Y83" s="7">
        <v>45</v>
      </c>
      <c r="Z83" s="7"/>
    </row>
    <row r="84" spans="1:26" x14ac:dyDescent="0.25">
      <c r="A84" s="14"/>
      <c r="B84" s="7"/>
      <c r="C84" s="7"/>
      <c r="D84" s="14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14"/>
      <c r="R84" s="29"/>
      <c r="S84" s="14"/>
      <c r="T84" s="7"/>
      <c r="U84" s="22"/>
      <c r="V84" s="7"/>
      <c r="W84" s="7"/>
      <c r="X84" s="23"/>
      <c r="Y84" s="7"/>
      <c r="Z84" s="7"/>
    </row>
    <row r="85" spans="1:26" x14ac:dyDescent="0.25">
      <c r="A85" s="14" t="s">
        <v>127</v>
      </c>
      <c r="B85" s="7" t="s">
        <v>135</v>
      </c>
      <c r="C85" s="7">
        <v>1</v>
      </c>
      <c r="D85" s="14" t="s">
        <v>212</v>
      </c>
      <c r="E85" s="7">
        <v>812832</v>
      </c>
      <c r="F85" s="7">
        <v>400231</v>
      </c>
      <c r="G85" s="23">
        <v>412601</v>
      </c>
      <c r="H85" s="23">
        <v>213617</v>
      </c>
      <c r="I85" s="7">
        <v>106783</v>
      </c>
      <c r="J85" s="7">
        <v>106834</v>
      </c>
      <c r="K85" s="7">
        <v>5778</v>
      </c>
      <c r="L85" s="23">
        <v>2863</v>
      </c>
      <c r="M85" s="7">
        <v>2915</v>
      </c>
      <c r="N85" s="7">
        <v>29838</v>
      </c>
      <c r="O85" s="23">
        <v>14538</v>
      </c>
      <c r="P85" s="7">
        <v>15300</v>
      </c>
      <c r="Q85" s="14">
        <v>115366</v>
      </c>
      <c r="R85" s="29">
        <v>55983</v>
      </c>
      <c r="S85" s="14">
        <v>59383</v>
      </c>
      <c r="T85" s="7">
        <v>337290</v>
      </c>
      <c r="U85" s="22">
        <v>165608</v>
      </c>
      <c r="V85" s="7">
        <v>171682</v>
      </c>
      <c r="W85" s="7">
        <v>110943</v>
      </c>
      <c r="X85" s="23">
        <v>54546</v>
      </c>
      <c r="Y85" s="7">
        <v>56487</v>
      </c>
      <c r="Z85" s="7"/>
    </row>
    <row r="86" spans="1:26" x14ac:dyDescent="0.25">
      <c r="A86" s="14"/>
      <c r="C86" s="7"/>
      <c r="D86" s="7"/>
      <c r="E86" s="7"/>
      <c r="F86" s="7"/>
      <c r="G86" s="23"/>
      <c r="H86" s="23"/>
      <c r="I86" s="7"/>
      <c r="J86" s="7"/>
      <c r="K86" s="7"/>
      <c r="L86" s="23"/>
      <c r="M86" s="7"/>
      <c r="N86" s="7"/>
      <c r="O86" s="23"/>
      <c r="P86" s="7"/>
      <c r="Q86" s="14"/>
      <c r="R86" s="29"/>
      <c r="S86" s="14"/>
      <c r="T86" s="7"/>
      <c r="U86" s="22"/>
      <c r="V86" s="7"/>
      <c r="W86" s="7"/>
      <c r="X86" s="23"/>
      <c r="Y86" s="7"/>
      <c r="Z86" s="7"/>
    </row>
    <row r="87" spans="1:26" x14ac:dyDescent="0.25">
      <c r="A87" s="14"/>
      <c r="B87" s="7" t="s">
        <v>213</v>
      </c>
      <c r="C87" s="7">
        <v>1</v>
      </c>
      <c r="D87" s="20" t="s">
        <v>214</v>
      </c>
      <c r="E87" s="7">
        <v>2914</v>
      </c>
      <c r="F87" s="7">
        <v>1546</v>
      </c>
      <c r="G87" s="7">
        <v>1368</v>
      </c>
      <c r="H87" s="7">
        <v>448</v>
      </c>
      <c r="I87" s="7">
        <v>175</v>
      </c>
      <c r="J87" s="7">
        <v>273</v>
      </c>
      <c r="K87" s="7">
        <v>12</v>
      </c>
      <c r="L87" s="7">
        <v>6</v>
      </c>
      <c r="M87" s="7">
        <v>6</v>
      </c>
      <c r="N87" s="7">
        <v>501</v>
      </c>
      <c r="O87" s="7">
        <v>261</v>
      </c>
      <c r="P87" s="7">
        <v>240</v>
      </c>
      <c r="Q87" s="14">
        <v>208</v>
      </c>
      <c r="R87" s="29">
        <v>114</v>
      </c>
      <c r="S87" s="7">
        <v>94</v>
      </c>
      <c r="T87" s="7">
        <v>1169</v>
      </c>
      <c r="U87" s="22">
        <v>682</v>
      </c>
      <c r="V87" s="7">
        <v>487</v>
      </c>
      <c r="W87" s="7">
        <v>576</v>
      </c>
      <c r="X87" s="23">
        <v>308</v>
      </c>
      <c r="Y87" s="7">
        <v>268</v>
      </c>
      <c r="Z87" s="7"/>
    </row>
    <row r="88" spans="1:26" x14ac:dyDescent="0.25">
      <c r="B88" s="7"/>
      <c r="C88" s="7">
        <v>2</v>
      </c>
      <c r="D88" s="7" t="s">
        <v>193</v>
      </c>
      <c r="E88" s="7">
        <v>5972</v>
      </c>
      <c r="F88" s="7">
        <v>5534</v>
      </c>
      <c r="G88" s="7">
        <v>438</v>
      </c>
      <c r="H88" s="7">
        <v>917</v>
      </c>
      <c r="I88" s="7">
        <v>884</v>
      </c>
      <c r="J88" s="7">
        <v>33</v>
      </c>
      <c r="K88" s="7">
        <v>38</v>
      </c>
      <c r="L88" s="7">
        <v>35</v>
      </c>
      <c r="M88" s="7">
        <v>3</v>
      </c>
      <c r="N88" s="7">
        <v>1160</v>
      </c>
      <c r="O88" s="7">
        <v>1061</v>
      </c>
      <c r="P88" s="7">
        <v>99</v>
      </c>
      <c r="Q88" s="14">
        <v>309</v>
      </c>
      <c r="R88" s="29">
        <v>289</v>
      </c>
      <c r="S88" s="7">
        <v>20</v>
      </c>
      <c r="T88" s="7">
        <v>2433</v>
      </c>
      <c r="U88" s="14">
        <v>2348</v>
      </c>
      <c r="V88" s="7">
        <v>85</v>
      </c>
      <c r="W88" s="7">
        <v>1115</v>
      </c>
      <c r="X88" s="7">
        <v>917</v>
      </c>
      <c r="Y88" s="7">
        <v>198</v>
      </c>
      <c r="Z88" s="7"/>
    </row>
    <row r="89" spans="1:26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14"/>
      <c r="R89" s="9"/>
      <c r="S89" s="7"/>
      <c r="T89" s="7"/>
      <c r="U89" s="14"/>
      <c r="V89" s="7"/>
      <c r="W89" s="7"/>
      <c r="X89" s="7"/>
      <c r="Y89" s="7"/>
      <c r="Z89" s="7"/>
    </row>
    <row r="90" spans="1:26" ht="15.75" thickBot="1" x14ac:dyDescent="0.3">
      <c r="A90" s="12" t="s">
        <v>128</v>
      </c>
      <c r="B90" s="8" t="s">
        <v>215</v>
      </c>
      <c r="C90" s="8">
        <v>1</v>
      </c>
      <c r="D90" s="26" t="s">
        <v>216</v>
      </c>
      <c r="E90" s="8">
        <v>5070</v>
      </c>
      <c r="F90" s="8">
        <v>3092</v>
      </c>
      <c r="G90" s="8">
        <v>1978</v>
      </c>
      <c r="H90" s="8">
        <v>2008</v>
      </c>
      <c r="I90" s="8">
        <v>1317</v>
      </c>
      <c r="J90" s="8">
        <v>691</v>
      </c>
      <c r="K90" s="8">
        <v>68</v>
      </c>
      <c r="L90" s="8">
        <v>50</v>
      </c>
      <c r="M90" s="8">
        <v>18</v>
      </c>
      <c r="N90" s="8">
        <v>532</v>
      </c>
      <c r="O90" s="8">
        <v>269</v>
      </c>
      <c r="P90" s="8">
        <v>263</v>
      </c>
      <c r="Q90" s="15">
        <v>185</v>
      </c>
      <c r="R90" s="8">
        <v>140</v>
      </c>
      <c r="S90" s="15">
        <v>45</v>
      </c>
      <c r="T90" s="8">
        <v>1310</v>
      </c>
      <c r="U90" s="15">
        <v>723</v>
      </c>
      <c r="V90" s="8">
        <v>587</v>
      </c>
      <c r="W90" s="8">
        <v>967</v>
      </c>
      <c r="X90" s="8">
        <v>593</v>
      </c>
      <c r="Y90" s="8">
        <v>374</v>
      </c>
      <c r="Z90" s="7"/>
    </row>
    <row r="91" spans="1:26" ht="15.75" thickTop="1" x14ac:dyDescent="0.25">
      <c r="R91" s="9"/>
      <c r="S91" s="9"/>
    </row>
    <row r="92" spans="1:26" x14ac:dyDescent="0.25">
      <c r="R92" s="9"/>
      <c r="S92" s="9"/>
    </row>
  </sheetData>
  <mergeCells count="13">
    <mergeCell ref="A1:Y1"/>
    <mergeCell ref="AA5:AC5"/>
    <mergeCell ref="A2:A4"/>
    <mergeCell ref="B2:B4"/>
    <mergeCell ref="C2:C4"/>
    <mergeCell ref="D2:D4"/>
    <mergeCell ref="T2:V2"/>
    <mergeCell ref="W2:Y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28"/>
  <sheetViews>
    <sheetView zoomScale="80" zoomScaleNormal="80" workbookViewId="0">
      <selection activeCell="S30" sqref="S30"/>
    </sheetView>
  </sheetViews>
  <sheetFormatPr defaultRowHeight="15" x14ac:dyDescent="0.25"/>
  <cols>
    <col min="1" max="1" width="25.7109375" style="200" customWidth="1"/>
    <col min="2" max="2" width="60.7109375" style="200" customWidth="1"/>
    <col min="3" max="3" width="10.140625" style="200" hidden="1" customWidth="1"/>
    <col min="4" max="4" width="10.5703125" style="200" hidden="1" customWidth="1"/>
    <col min="5" max="13" width="10.7109375" style="200" customWidth="1"/>
    <col min="14" max="15" width="9.140625" style="103"/>
    <col min="16" max="16" width="19.28515625" style="103" bestFit="1" customWidth="1"/>
    <col min="17" max="19" width="16" style="103" customWidth="1"/>
    <col min="20" max="16384" width="9.140625" style="103"/>
  </cols>
  <sheetData>
    <row r="1" spans="1:21" ht="15.75" customHeight="1" thickTop="1" x14ac:dyDescent="0.25">
      <c r="A1" s="331" t="s">
        <v>233</v>
      </c>
      <c r="B1" s="332"/>
      <c r="C1" s="295" t="s">
        <v>229</v>
      </c>
      <c r="D1" s="295" t="s">
        <v>0</v>
      </c>
      <c r="E1" s="298" t="s">
        <v>230</v>
      </c>
      <c r="F1" s="299"/>
      <c r="G1" s="299"/>
      <c r="H1" s="299"/>
      <c r="I1" s="300" t="s">
        <v>0</v>
      </c>
      <c r="J1" s="298" t="s">
        <v>231</v>
      </c>
      <c r="K1" s="299"/>
      <c r="L1" s="299"/>
      <c r="M1" s="303"/>
    </row>
    <row r="2" spans="1:21" ht="33.75" customHeight="1" x14ac:dyDescent="0.25">
      <c r="A2" s="333"/>
      <c r="B2" s="334"/>
      <c r="C2" s="296"/>
      <c r="D2" s="296"/>
      <c r="E2" s="304" t="s">
        <v>234</v>
      </c>
      <c r="F2" s="305"/>
      <c r="G2" s="304" t="s">
        <v>235</v>
      </c>
      <c r="H2" s="306"/>
      <c r="I2" s="301"/>
      <c r="J2" s="304" t="s">
        <v>234</v>
      </c>
      <c r="K2" s="305"/>
      <c r="L2" s="304" t="s">
        <v>235</v>
      </c>
      <c r="M2" s="307"/>
    </row>
    <row r="3" spans="1:21" ht="15.75" customHeight="1" x14ac:dyDescent="0.25">
      <c r="A3" s="333"/>
      <c r="B3" s="334"/>
      <c r="C3" s="296"/>
      <c r="D3" s="296"/>
      <c r="E3" s="291" t="s">
        <v>236</v>
      </c>
      <c r="F3" s="289" t="s">
        <v>237</v>
      </c>
      <c r="G3" s="291" t="s">
        <v>236</v>
      </c>
      <c r="H3" s="308" t="s">
        <v>237</v>
      </c>
      <c r="I3" s="301"/>
      <c r="J3" s="291" t="s">
        <v>236</v>
      </c>
      <c r="K3" s="289" t="s">
        <v>237</v>
      </c>
      <c r="L3" s="291" t="s">
        <v>236</v>
      </c>
      <c r="M3" s="293" t="s">
        <v>237</v>
      </c>
    </row>
    <row r="4" spans="1:21" ht="2.25" customHeight="1" x14ac:dyDescent="0.25">
      <c r="A4" s="335"/>
      <c r="B4" s="336"/>
      <c r="C4" s="297"/>
      <c r="D4" s="297"/>
      <c r="E4" s="292"/>
      <c r="F4" s="290"/>
      <c r="G4" s="292"/>
      <c r="H4" s="309"/>
      <c r="I4" s="302"/>
      <c r="J4" s="292"/>
      <c r="K4" s="290"/>
      <c r="L4" s="292"/>
      <c r="M4" s="294"/>
    </row>
    <row r="5" spans="1:21" x14ac:dyDescent="0.25">
      <c r="A5" s="221" t="s">
        <v>239</v>
      </c>
      <c r="B5" s="204"/>
      <c r="C5" s="99"/>
      <c r="D5" s="106"/>
      <c r="E5" s="30"/>
      <c r="F5" s="107"/>
      <c r="G5" s="31"/>
      <c r="H5" s="108"/>
      <c r="I5" s="99"/>
      <c r="J5" s="31"/>
      <c r="K5" s="109"/>
      <c r="L5" s="31"/>
      <c r="M5" s="110"/>
    </row>
    <row r="6" spans="1:21" x14ac:dyDescent="0.25">
      <c r="A6" s="222" t="s">
        <v>241</v>
      </c>
      <c r="B6" s="112"/>
      <c r="C6" s="32" t="s">
        <v>242</v>
      </c>
      <c r="D6" s="113"/>
      <c r="E6" s="33"/>
      <c r="F6" s="114"/>
      <c r="G6" s="34"/>
      <c r="H6" s="115"/>
      <c r="I6" s="116"/>
      <c r="J6" s="34"/>
      <c r="K6" s="117"/>
      <c r="L6" s="34"/>
      <c r="M6" s="118"/>
      <c r="P6" s="105" t="s">
        <v>238</v>
      </c>
    </row>
    <row r="7" spans="1:21" ht="15.75" customHeight="1" x14ac:dyDescent="0.25">
      <c r="A7" s="205" t="s">
        <v>244</v>
      </c>
      <c r="B7" s="206"/>
      <c r="C7" s="120"/>
      <c r="D7" s="113"/>
      <c r="E7" s="36"/>
      <c r="F7" s="121"/>
      <c r="G7" s="38"/>
      <c r="H7" s="122"/>
      <c r="I7" s="123"/>
      <c r="J7" s="38"/>
      <c r="K7" s="124"/>
      <c r="L7" s="38"/>
      <c r="M7" s="125"/>
      <c r="P7" s="111" t="s">
        <v>240</v>
      </c>
    </row>
    <row r="8" spans="1:21" x14ac:dyDescent="0.25">
      <c r="A8" s="127">
        <v>1</v>
      </c>
      <c r="B8" s="112" t="s">
        <v>246</v>
      </c>
      <c r="C8" s="128"/>
      <c r="D8" s="35">
        <f>SUM(E8:H8)</f>
        <v>11769</v>
      </c>
      <c r="E8" s="36">
        <v>8291</v>
      </c>
      <c r="F8" s="37">
        <v>258</v>
      </c>
      <c r="G8" s="38">
        <v>3211</v>
      </c>
      <c r="H8" s="39">
        <v>9</v>
      </c>
      <c r="I8" s="40">
        <f>SUM(J8:M8)</f>
        <v>5055</v>
      </c>
      <c r="J8" s="38">
        <v>2176</v>
      </c>
      <c r="K8" s="41">
        <v>20</v>
      </c>
      <c r="L8" s="38">
        <v>2855</v>
      </c>
      <c r="M8" s="42">
        <v>4</v>
      </c>
      <c r="P8" s="119" t="s">
        <v>243</v>
      </c>
    </row>
    <row r="9" spans="1:21" x14ac:dyDescent="0.25">
      <c r="A9" s="127">
        <v>2</v>
      </c>
      <c r="B9" s="206" t="s">
        <v>247</v>
      </c>
      <c r="C9" s="120"/>
      <c r="D9" s="35">
        <f>SUM(E9:H9)</f>
        <v>1778</v>
      </c>
      <c r="E9" s="129">
        <v>1685</v>
      </c>
      <c r="F9" s="121">
        <v>13</v>
      </c>
      <c r="G9" s="130">
        <v>80</v>
      </c>
      <c r="H9" s="122"/>
      <c r="I9" s="40">
        <f>SUM(J9:M9)</f>
        <v>65</v>
      </c>
      <c r="J9" s="130">
        <v>56</v>
      </c>
      <c r="K9" s="124"/>
      <c r="L9" s="130">
        <v>9</v>
      </c>
      <c r="M9" s="125"/>
      <c r="P9" s="126" t="s">
        <v>245</v>
      </c>
    </row>
    <row r="10" spans="1:21" x14ac:dyDescent="0.25">
      <c r="A10" s="127">
        <v>3</v>
      </c>
      <c r="B10" s="206" t="s">
        <v>248</v>
      </c>
      <c r="C10" s="120"/>
      <c r="D10" s="35">
        <f>SUM(E10:H10)</f>
        <v>13112</v>
      </c>
      <c r="E10" s="129">
        <v>12924</v>
      </c>
      <c r="F10" s="43"/>
      <c r="G10" s="130">
        <v>188</v>
      </c>
      <c r="H10" s="44"/>
      <c r="I10" s="40">
        <f>SUM(J10:M10)</f>
        <v>560</v>
      </c>
      <c r="J10" s="130">
        <v>519</v>
      </c>
      <c r="K10" s="45"/>
      <c r="L10" s="130">
        <v>41</v>
      </c>
      <c r="M10" s="46"/>
    </row>
    <row r="11" spans="1:21" s="131" customFormat="1" x14ac:dyDescent="0.25">
      <c r="A11" s="127">
        <v>4</v>
      </c>
      <c r="B11" s="206" t="s">
        <v>249</v>
      </c>
      <c r="C11" s="120"/>
      <c r="D11" s="35">
        <f>SUM(E11:H11)</f>
        <v>247</v>
      </c>
      <c r="E11" s="129">
        <v>233</v>
      </c>
      <c r="F11" s="43">
        <v>1</v>
      </c>
      <c r="G11" s="130">
        <v>13</v>
      </c>
      <c r="H11" s="44"/>
      <c r="I11" s="40">
        <f>SUM(J11:M11)</f>
        <v>1</v>
      </c>
      <c r="J11" s="130">
        <v>1</v>
      </c>
      <c r="K11" s="45"/>
      <c r="L11" s="130"/>
      <c r="M11" s="46"/>
      <c r="U11" s="103"/>
    </row>
    <row r="12" spans="1:21" s="131" customFormat="1" x14ac:dyDescent="0.25">
      <c r="A12" s="127" t="s">
        <v>250</v>
      </c>
      <c r="B12" s="206"/>
      <c r="C12" s="120"/>
      <c r="D12" s="35"/>
      <c r="E12" s="129"/>
      <c r="F12" s="43"/>
      <c r="G12" s="130"/>
      <c r="H12" s="44"/>
      <c r="I12" s="40"/>
      <c r="J12" s="130"/>
      <c r="K12" s="45"/>
      <c r="L12" s="130"/>
      <c r="M12" s="46"/>
    </row>
    <row r="13" spans="1:21" x14ac:dyDescent="0.25">
      <c r="A13" s="132">
        <v>1</v>
      </c>
      <c r="B13" s="206" t="s">
        <v>251</v>
      </c>
      <c r="C13" s="120"/>
      <c r="D13" s="35">
        <f t="shared" ref="D13:D22" si="0">SUM(E13:H13)</f>
        <v>3251</v>
      </c>
      <c r="E13" s="129">
        <v>1810</v>
      </c>
      <c r="F13" s="43">
        <v>757</v>
      </c>
      <c r="G13" s="130">
        <v>671</v>
      </c>
      <c r="H13" s="44">
        <v>13</v>
      </c>
      <c r="I13" s="40">
        <f t="shared" ref="I13:I22" si="1">SUM(J13:M13)</f>
        <v>2235</v>
      </c>
      <c r="J13" s="130">
        <v>745</v>
      </c>
      <c r="K13" s="45">
        <v>508</v>
      </c>
      <c r="L13" s="130">
        <v>961</v>
      </c>
      <c r="M13" s="46">
        <v>21</v>
      </c>
      <c r="U13" s="131"/>
    </row>
    <row r="14" spans="1:21" x14ac:dyDescent="0.25">
      <c r="A14" s="127">
        <v>2</v>
      </c>
      <c r="B14" s="206" t="s">
        <v>252</v>
      </c>
      <c r="C14" s="120"/>
      <c r="D14" s="35">
        <f t="shared" si="0"/>
        <v>3621</v>
      </c>
      <c r="E14" s="129">
        <v>3382</v>
      </c>
      <c r="F14" s="43">
        <v>55</v>
      </c>
      <c r="G14" s="130">
        <v>184</v>
      </c>
      <c r="H14" s="44"/>
      <c r="I14" s="40">
        <f t="shared" si="1"/>
        <v>438</v>
      </c>
      <c r="J14" s="130">
        <v>364</v>
      </c>
      <c r="K14" s="45">
        <v>2</v>
      </c>
      <c r="L14" s="130">
        <v>71</v>
      </c>
      <c r="M14" s="46">
        <v>1</v>
      </c>
    </row>
    <row r="15" spans="1:21" x14ac:dyDescent="0.25">
      <c r="A15" s="127">
        <v>3</v>
      </c>
      <c r="B15" s="206" t="s">
        <v>253</v>
      </c>
      <c r="C15" s="120"/>
      <c r="D15" s="35">
        <f t="shared" si="0"/>
        <v>6293</v>
      </c>
      <c r="E15" s="129">
        <v>2892</v>
      </c>
      <c r="F15" s="43">
        <v>2484</v>
      </c>
      <c r="G15" s="130">
        <v>602</v>
      </c>
      <c r="H15" s="44">
        <v>315</v>
      </c>
      <c r="I15" s="40">
        <f t="shared" si="1"/>
        <v>945</v>
      </c>
      <c r="J15" s="130">
        <v>267</v>
      </c>
      <c r="K15" s="45">
        <v>314</v>
      </c>
      <c r="L15" s="130">
        <v>257</v>
      </c>
      <c r="M15" s="46">
        <v>107</v>
      </c>
    </row>
    <row r="16" spans="1:21" x14ac:dyDescent="0.25">
      <c r="A16" s="127">
        <v>4</v>
      </c>
      <c r="B16" s="206" t="s">
        <v>254</v>
      </c>
      <c r="C16" s="120"/>
      <c r="D16" s="35">
        <f t="shared" si="0"/>
        <v>636</v>
      </c>
      <c r="E16" s="129">
        <v>459</v>
      </c>
      <c r="F16" s="43">
        <v>172</v>
      </c>
      <c r="G16" s="130">
        <v>5</v>
      </c>
      <c r="H16" s="44"/>
      <c r="I16" s="40">
        <f t="shared" si="1"/>
        <v>22</v>
      </c>
      <c r="J16" s="130">
        <v>12</v>
      </c>
      <c r="K16" s="45">
        <v>8</v>
      </c>
      <c r="L16" s="130">
        <v>2</v>
      </c>
      <c r="M16" s="46"/>
    </row>
    <row r="17" spans="1:17" x14ac:dyDescent="0.25">
      <c r="A17" s="127">
        <v>5</v>
      </c>
      <c r="B17" s="206" t="s">
        <v>255</v>
      </c>
      <c r="C17" s="120"/>
      <c r="D17" s="35">
        <f t="shared" si="0"/>
        <v>289</v>
      </c>
      <c r="E17" s="129">
        <v>265</v>
      </c>
      <c r="F17" s="43">
        <v>20</v>
      </c>
      <c r="G17" s="130">
        <v>4</v>
      </c>
      <c r="H17" s="44"/>
      <c r="I17" s="40">
        <f t="shared" si="1"/>
        <v>41</v>
      </c>
      <c r="J17" s="130">
        <v>40</v>
      </c>
      <c r="K17" s="45">
        <v>1</v>
      </c>
      <c r="L17" s="130"/>
      <c r="M17" s="46"/>
    </row>
    <row r="18" spans="1:17" x14ac:dyDescent="0.25">
      <c r="A18" s="127">
        <v>6</v>
      </c>
      <c r="B18" s="206" t="s">
        <v>256</v>
      </c>
      <c r="C18" s="120"/>
      <c r="D18" s="35">
        <f t="shared" si="0"/>
        <v>1247</v>
      </c>
      <c r="E18" s="129">
        <v>1238</v>
      </c>
      <c r="F18" s="43">
        <v>2</v>
      </c>
      <c r="G18" s="130">
        <v>7</v>
      </c>
      <c r="H18" s="44"/>
      <c r="I18" s="40">
        <f t="shared" si="1"/>
        <v>199</v>
      </c>
      <c r="J18" s="130">
        <v>189</v>
      </c>
      <c r="K18" s="45">
        <v>1</v>
      </c>
      <c r="L18" s="130">
        <v>9</v>
      </c>
      <c r="M18" s="46"/>
    </row>
    <row r="19" spans="1:17" x14ac:dyDescent="0.25">
      <c r="A19" s="127">
        <v>7</v>
      </c>
      <c r="B19" s="206" t="s">
        <v>257</v>
      </c>
      <c r="C19" s="120"/>
      <c r="D19" s="35">
        <f t="shared" si="0"/>
        <v>8559</v>
      </c>
      <c r="E19" s="129">
        <v>2148</v>
      </c>
      <c r="F19" s="43">
        <v>5395</v>
      </c>
      <c r="G19" s="130">
        <v>575</v>
      </c>
      <c r="H19" s="44">
        <v>441</v>
      </c>
      <c r="I19" s="40">
        <f t="shared" si="1"/>
        <v>9341</v>
      </c>
      <c r="J19" s="130">
        <v>2048</v>
      </c>
      <c r="K19" s="45">
        <v>4162</v>
      </c>
      <c r="L19" s="130">
        <v>1964</v>
      </c>
      <c r="M19" s="46">
        <v>1167</v>
      </c>
      <c r="Q19" s="133"/>
    </row>
    <row r="20" spans="1:17" x14ac:dyDescent="0.25">
      <c r="A20" s="127">
        <v>8</v>
      </c>
      <c r="B20" s="206" t="s">
        <v>258</v>
      </c>
      <c r="C20" s="120"/>
      <c r="D20" s="35">
        <f t="shared" si="0"/>
        <v>947</v>
      </c>
      <c r="E20" s="129">
        <v>682</v>
      </c>
      <c r="F20" s="43">
        <v>199</v>
      </c>
      <c r="G20" s="130">
        <v>60</v>
      </c>
      <c r="H20" s="44">
        <v>6</v>
      </c>
      <c r="I20" s="40">
        <f t="shared" si="1"/>
        <v>91</v>
      </c>
      <c r="J20" s="130">
        <v>77</v>
      </c>
      <c r="K20" s="45">
        <v>11</v>
      </c>
      <c r="L20" s="130">
        <v>3</v>
      </c>
      <c r="M20" s="46"/>
    </row>
    <row r="21" spans="1:17" x14ac:dyDescent="0.25">
      <c r="A21" s="127">
        <v>9</v>
      </c>
      <c r="B21" s="206" t="s">
        <v>259</v>
      </c>
      <c r="C21" s="120"/>
      <c r="D21" s="35">
        <f t="shared" si="0"/>
        <v>1546</v>
      </c>
      <c r="E21" s="129">
        <v>443</v>
      </c>
      <c r="F21" s="43">
        <v>1067</v>
      </c>
      <c r="G21" s="130">
        <v>29</v>
      </c>
      <c r="H21" s="44">
        <v>7</v>
      </c>
      <c r="I21" s="40">
        <f t="shared" si="1"/>
        <v>85</v>
      </c>
      <c r="J21" s="130">
        <v>12</v>
      </c>
      <c r="K21" s="45">
        <v>72</v>
      </c>
      <c r="L21" s="130">
        <v>1</v>
      </c>
      <c r="M21" s="46"/>
    </row>
    <row r="22" spans="1:17" x14ac:dyDescent="0.25">
      <c r="A22" s="127">
        <v>10</v>
      </c>
      <c r="B22" s="206" t="s">
        <v>260</v>
      </c>
      <c r="C22" s="120"/>
      <c r="D22" s="35">
        <f t="shared" si="0"/>
        <v>1119</v>
      </c>
      <c r="E22" s="129">
        <v>798</v>
      </c>
      <c r="F22" s="43">
        <v>193</v>
      </c>
      <c r="G22" s="130">
        <v>123</v>
      </c>
      <c r="H22" s="44">
        <v>5</v>
      </c>
      <c r="I22" s="40">
        <f t="shared" si="1"/>
        <v>40</v>
      </c>
      <c r="J22" s="130">
        <v>22</v>
      </c>
      <c r="K22" s="45">
        <v>3</v>
      </c>
      <c r="L22" s="130">
        <v>14</v>
      </c>
      <c r="M22" s="46">
        <v>1</v>
      </c>
    </row>
    <row r="23" spans="1:17" x14ac:dyDescent="0.25">
      <c r="A23" s="134" t="s">
        <v>261</v>
      </c>
      <c r="B23" s="207"/>
      <c r="C23" s="135"/>
      <c r="D23" s="47"/>
      <c r="E23" s="136"/>
      <c r="F23" s="48"/>
      <c r="G23" s="137"/>
      <c r="H23" s="49"/>
      <c r="I23" s="50"/>
      <c r="J23" s="137"/>
      <c r="K23" s="51"/>
      <c r="L23" s="137"/>
      <c r="M23" s="52"/>
    </row>
    <row r="24" spans="1:17" x14ac:dyDescent="0.25">
      <c r="A24" s="208" t="s">
        <v>262</v>
      </c>
      <c r="B24" s="209"/>
      <c r="C24" s="138"/>
      <c r="D24" s="53"/>
      <c r="E24" s="139"/>
      <c r="F24" s="54"/>
      <c r="G24" s="140"/>
      <c r="H24" s="55"/>
      <c r="I24" s="56"/>
      <c r="J24" s="140"/>
      <c r="K24" s="57"/>
      <c r="L24" s="140"/>
      <c r="M24" s="58"/>
    </row>
    <row r="25" spans="1:17" x14ac:dyDescent="0.25">
      <c r="A25" s="141">
        <v>1</v>
      </c>
      <c r="B25" s="210" t="s">
        <v>263</v>
      </c>
      <c r="C25" s="138"/>
      <c r="D25" s="53">
        <f>SUM(E25:H25)</f>
        <v>210129</v>
      </c>
      <c r="E25" s="139">
        <v>12</v>
      </c>
      <c r="F25" s="54">
        <v>142042</v>
      </c>
      <c r="G25" s="140">
        <v>12</v>
      </c>
      <c r="H25" s="55">
        <v>68063</v>
      </c>
      <c r="I25" s="56">
        <f>SUM(J25:M25)</f>
        <v>241297</v>
      </c>
      <c r="J25" s="140">
        <v>32</v>
      </c>
      <c r="K25" s="57">
        <v>124225</v>
      </c>
      <c r="L25" s="140">
        <v>28</v>
      </c>
      <c r="M25" s="58">
        <v>117012</v>
      </c>
    </row>
    <row r="26" spans="1:17" x14ac:dyDescent="0.25">
      <c r="A26" s="205" t="s">
        <v>264</v>
      </c>
      <c r="B26" s="206"/>
      <c r="C26" s="120"/>
      <c r="D26" s="35"/>
      <c r="E26" s="129"/>
      <c r="F26" s="43"/>
      <c r="G26" s="130"/>
      <c r="H26" s="44"/>
      <c r="I26" s="40"/>
      <c r="J26" s="130"/>
      <c r="K26" s="45"/>
      <c r="L26" s="130"/>
      <c r="M26" s="46"/>
    </row>
    <row r="27" spans="1:17" x14ac:dyDescent="0.25">
      <c r="A27" s="127">
        <v>1</v>
      </c>
      <c r="B27" s="206" t="s">
        <v>265</v>
      </c>
      <c r="C27" s="120"/>
      <c r="D27" s="35">
        <f>SUM(E27:H27)</f>
        <v>4367</v>
      </c>
      <c r="E27" s="129">
        <v>2420</v>
      </c>
      <c r="F27" s="43">
        <v>1659</v>
      </c>
      <c r="G27" s="130">
        <v>214</v>
      </c>
      <c r="H27" s="44">
        <v>74</v>
      </c>
      <c r="I27" s="40">
        <f>SUM(J27:M27)</f>
        <v>610</v>
      </c>
      <c r="J27" s="130">
        <v>392</v>
      </c>
      <c r="K27" s="45">
        <v>174</v>
      </c>
      <c r="L27" s="130">
        <v>31</v>
      </c>
      <c r="M27" s="46">
        <v>13</v>
      </c>
    </row>
    <row r="28" spans="1:17" x14ac:dyDescent="0.25">
      <c r="A28" s="141">
        <v>2</v>
      </c>
      <c r="B28" s="209" t="s">
        <v>149</v>
      </c>
      <c r="C28" s="138"/>
      <c r="D28" s="53">
        <f>SUM(E28:H28)</f>
        <v>144247</v>
      </c>
      <c r="E28" s="142">
        <v>4911</v>
      </c>
      <c r="F28" s="54">
        <v>9913</v>
      </c>
      <c r="G28" s="143">
        <v>66204</v>
      </c>
      <c r="H28" s="55">
        <v>63219</v>
      </c>
      <c r="I28" s="56">
        <f>SUM(J28:M28)</f>
        <v>135579</v>
      </c>
      <c r="J28" s="143">
        <v>1205</v>
      </c>
      <c r="K28" s="57">
        <v>3172</v>
      </c>
      <c r="L28" s="143">
        <v>50459</v>
      </c>
      <c r="M28" s="58">
        <v>80743</v>
      </c>
    </row>
    <row r="29" spans="1:17" x14ac:dyDescent="0.25">
      <c r="A29" s="134" t="s">
        <v>266</v>
      </c>
      <c r="B29" s="207"/>
      <c r="C29" s="135"/>
      <c r="D29" s="47"/>
      <c r="E29" s="82"/>
      <c r="F29" s="48"/>
      <c r="G29" s="84"/>
      <c r="H29" s="49"/>
      <c r="I29" s="50"/>
      <c r="J29" s="84"/>
      <c r="K29" s="51"/>
      <c r="L29" s="84"/>
      <c r="M29" s="52"/>
    </row>
    <row r="30" spans="1:17" x14ac:dyDescent="0.25">
      <c r="A30" s="144" t="s">
        <v>267</v>
      </c>
      <c r="B30" s="206"/>
      <c r="C30" s="144"/>
      <c r="D30" s="35"/>
      <c r="E30" s="36"/>
      <c r="F30" s="43"/>
      <c r="G30" s="36"/>
      <c r="H30" s="43"/>
      <c r="I30" s="40"/>
      <c r="J30" s="38"/>
      <c r="K30" s="45"/>
      <c r="L30" s="36"/>
      <c r="M30" s="59"/>
    </row>
    <row r="31" spans="1:17" x14ac:dyDescent="0.25">
      <c r="A31" s="132">
        <v>1</v>
      </c>
      <c r="B31" s="206" t="s">
        <v>268</v>
      </c>
      <c r="C31" s="144"/>
      <c r="D31" s="35">
        <f>SUM(E31:H31)</f>
        <v>56505</v>
      </c>
      <c r="E31" s="36">
        <v>35408</v>
      </c>
      <c r="F31" s="43">
        <v>5531</v>
      </c>
      <c r="G31" s="36">
        <v>15232</v>
      </c>
      <c r="H31" s="43">
        <v>334</v>
      </c>
      <c r="I31" s="40">
        <f>SUM(J31:M31)</f>
        <v>12096</v>
      </c>
      <c r="J31" s="38">
        <v>7623</v>
      </c>
      <c r="K31" s="45">
        <v>392</v>
      </c>
      <c r="L31" s="36">
        <v>4021</v>
      </c>
      <c r="M31" s="59">
        <v>60</v>
      </c>
    </row>
    <row r="32" spans="1:17" x14ac:dyDescent="0.25">
      <c r="A32" s="127" t="s">
        <v>269</v>
      </c>
      <c r="B32" s="206"/>
      <c r="C32" s="144"/>
      <c r="D32" s="35"/>
      <c r="E32" s="36"/>
      <c r="F32" s="43"/>
      <c r="G32" s="36"/>
      <c r="H32" s="43"/>
      <c r="I32" s="40"/>
      <c r="J32" s="145"/>
      <c r="K32" s="146"/>
      <c r="L32" s="36"/>
      <c r="M32" s="59"/>
    </row>
    <row r="33" spans="1:13" x14ac:dyDescent="0.25">
      <c r="A33" s="132">
        <v>1</v>
      </c>
      <c r="B33" s="206" t="s">
        <v>270</v>
      </c>
      <c r="C33" s="144"/>
      <c r="D33" s="35">
        <f t="shared" ref="D33:D38" si="2">SUM(E33:H33)</f>
        <v>12747</v>
      </c>
      <c r="E33" s="36">
        <v>11280</v>
      </c>
      <c r="F33" s="43">
        <v>72</v>
      </c>
      <c r="G33" s="36">
        <v>1390</v>
      </c>
      <c r="H33" s="43">
        <v>5</v>
      </c>
      <c r="I33" s="40">
        <f t="shared" ref="I33:I38" si="3">SUM(J33:M33)</f>
        <v>2903</v>
      </c>
      <c r="J33" s="38">
        <v>2305</v>
      </c>
      <c r="K33" s="45">
        <v>12</v>
      </c>
      <c r="L33" s="36">
        <v>578</v>
      </c>
      <c r="M33" s="59">
        <v>8</v>
      </c>
    </row>
    <row r="34" spans="1:13" x14ac:dyDescent="0.25">
      <c r="A34" s="127">
        <v>2</v>
      </c>
      <c r="B34" s="206" t="s">
        <v>271</v>
      </c>
      <c r="C34" s="144"/>
      <c r="D34" s="35">
        <f t="shared" si="2"/>
        <v>16391</v>
      </c>
      <c r="E34" s="36">
        <v>5577</v>
      </c>
      <c r="F34" s="43">
        <v>23</v>
      </c>
      <c r="G34" s="36">
        <v>10785</v>
      </c>
      <c r="H34" s="43">
        <v>6</v>
      </c>
      <c r="I34" s="40">
        <f t="shared" si="3"/>
        <v>5929</v>
      </c>
      <c r="J34" s="38">
        <v>1486</v>
      </c>
      <c r="K34" s="45">
        <v>6</v>
      </c>
      <c r="L34" s="36">
        <v>4424</v>
      </c>
      <c r="M34" s="59">
        <v>13</v>
      </c>
    </row>
    <row r="35" spans="1:13" x14ac:dyDescent="0.25">
      <c r="A35" s="127">
        <v>3</v>
      </c>
      <c r="B35" s="206" t="s">
        <v>272</v>
      </c>
      <c r="C35" s="144"/>
      <c r="D35" s="35">
        <f t="shared" si="2"/>
        <v>4984</v>
      </c>
      <c r="E35" s="36">
        <v>3963</v>
      </c>
      <c r="F35" s="43">
        <v>29</v>
      </c>
      <c r="G35" s="36">
        <v>992</v>
      </c>
      <c r="H35" s="43"/>
      <c r="I35" s="40">
        <f t="shared" si="3"/>
        <v>262</v>
      </c>
      <c r="J35" s="38">
        <v>188</v>
      </c>
      <c r="K35" s="45"/>
      <c r="L35" s="36">
        <v>74</v>
      </c>
      <c r="M35" s="59"/>
    </row>
    <row r="36" spans="1:13" x14ac:dyDescent="0.25">
      <c r="A36" s="127">
        <v>4</v>
      </c>
      <c r="B36" s="206" t="s">
        <v>273</v>
      </c>
      <c r="C36" s="144"/>
      <c r="D36" s="35">
        <f t="shared" si="2"/>
        <v>1783</v>
      </c>
      <c r="E36" s="36">
        <v>430</v>
      </c>
      <c r="F36" s="43">
        <v>6</v>
      </c>
      <c r="G36" s="36">
        <v>1344</v>
      </c>
      <c r="H36" s="43">
        <v>3</v>
      </c>
      <c r="I36" s="40">
        <f t="shared" si="3"/>
        <v>2</v>
      </c>
      <c r="J36" s="38">
        <v>2</v>
      </c>
      <c r="K36" s="45"/>
      <c r="L36" s="36"/>
      <c r="M36" s="59"/>
    </row>
    <row r="37" spans="1:13" x14ac:dyDescent="0.25">
      <c r="A37" s="127">
        <v>5</v>
      </c>
      <c r="B37" s="206" t="s">
        <v>274</v>
      </c>
      <c r="C37" s="144"/>
      <c r="D37" s="35">
        <f t="shared" si="2"/>
        <v>5364</v>
      </c>
      <c r="E37" s="36">
        <v>4243</v>
      </c>
      <c r="F37" s="43">
        <v>372</v>
      </c>
      <c r="G37" s="36">
        <v>746</v>
      </c>
      <c r="H37" s="43">
        <v>3</v>
      </c>
      <c r="I37" s="40">
        <f t="shared" si="3"/>
        <v>771</v>
      </c>
      <c r="J37" s="38">
        <v>385</v>
      </c>
      <c r="K37" s="45">
        <v>71</v>
      </c>
      <c r="L37" s="36">
        <v>308</v>
      </c>
      <c r="M37" s="59">
        <v>7</v>
      </c>
    </row>
    <row r="38" spans="1:13" x14ac:dyDescent="0.25">
      <c r="A38" s="127">
        <v>6</v>
      </c>
      <c r="B38" s="206" t="s">
        <v>275</v>
      </c>
      <c r="C38" s="144"/>
      <c r="D38" s="35">
        <f t="shared" si="2"/>
        <v>2832</v>
      </c>
      <c r="E38" s="36">
        <v>1057</v>
      </c>
      <c r="F38" s="43">
        <v>6</v>
      </c>
      <c r="G38" s="36">
        <v>1765</v>
      </c>
      <c r="H38" s="43">
        <v>4</v>
      </c>
      <c r="I38" s="40">
        <f t="shared" si="3"/>
        <v>238</v>
      </c>
      <c r="J38" s="38">
        <v>35</v>
      </c>
      <c r="K38" s="45"/>
      <c r="L38" s="36">
        <v>202</v>
      </c>
      <c r="M38" s="59">
        <v>1</v>
      </c>
    </row>
    <row r="39" spans="1:13" x14ac:dyDescent="0.25">
      <c r="A39" s="147" t="s">
        <v>276</v>
      </c>
      <c r="B39" s="211"/>
      <c r="C39" s="148" t="s">
        <v>277</v>
      </c>
      <c r="D39" s="60"/>
      <c r="E39" s="149"/>
      <c r="F39" s="61"/>
      <c r="G39" s="149"/>
      <c r="H39" s="61"/>
      <c r="I39" s="62"/>
      <c r="J39" s="150"/>
      <c r="K39" s="63"/>
      <c r="L39" s="149"/>
      <c r="M39" s="64"/>
    </row>
    <row r="40" spans="1:13" x14ac:dyDescent="0.25">
      <c r="A40" s="212" t="s">
        <v>278</v>
      </c>
      <c r="B40" s="211"/>
      <c r="C40" s="151"/>
      <c r="D40" s="60"/>
      <c r="E40" s="149"/>
      <c r="F40" s="61"/>
      <c r="G40" s="149"/>
      <c r="H40" s="61"/>
      <c r="I40" s="62"/>
      <c r="J40" s="150"/>
      <c r="K40" s="63"/>
      <c r="L40" s="149"/>
      <c r="M40" s="64"/>
    </row>
    <row r="41" spans="1:13" x14ac:dyDescent="0.25">
      <c r="A41" s="152">
        <v>1</v>
      </c>
      <c r="B41" s="211" t="s">
        <v>279</v>
      </c>
      <c r="C41" s="151"/>
      <c r="D41" s="60">
        <f>SUM(E41:H41)</f>
        <v>79630</v>
      </c>
      <c r="E41" s="149">
        <v>14113</v>
      </c>
      <c r="F41" s="61">
        <v>1136</v>
      </c>
      <c r="G41" s="149">
        <v>39610</v>
      </c>
      <c r="H41" s="61">
        <v>24771</v>
      </c>
      <c r="I41" s="62">
        <f>SUM(J41:M41)</f>
        <v>2096676</v>
      </c>
      <c r="J41" s="150">
        <v>150519</v>
      </c>
      <c r="K41" s="63">
        <v>23015</v>
      </c>
      <c r="L41" s="149">
        <v>866576</v>
      </c>
      <c r="M41" s="64">
        <v>1056566</v>
      </c>
    </row>
    <row r="42" spans="1:13" x14ac:dyDescent="0.25">
      <c r="A42" s="152">
        <v>2</v>
      </c>
      <c r="B42" s="211" t="s">
        <v>280</v>
      </c>
      <c r="C42" s="151"/>
      <c r="D42" s="60">
        <f>SUM(E42:H42)</f>
        <v>359</v>
      </c>
      <c r="E42" s="149">
        <v>206</v>
      </c>
      <c r="F42" s="61">
        <v>5</v>
      </c>
      <c r="G42" s="149">
        <v>145</v>
      </c>
      <c r="H42" s="61">
        <v>3</v>
      </c>
      <c r="I42" s="62">
        <f>SUM(J42:M42)</f>
        <v>3082</v>
      </c>
      <c r="J42" s="150">
        <v>906</v>
      </c>
      <c r="K42" s="63">
        <v>7</v>
      </c>
      <c r="L42" s="149">
        <v>2001</v>
      </c>
      <c r="M42" s="64">
        <v>168</v>
      </c>
    </row>
    <row r="43" spans="1:13" x14ac:dyDescent="0.25">
      <c r="A43" s="152">
        <v>3</v>
      </c>
      <c r="B43" s="211" t="s">
        <v>281</v>
      </c>
      <c r="C43" s="151"/>
      <c r="D43" s="60">
        <f>SUM(E43:H43)</f>
        <v>8</v>
      </c>
      <c r="E43" s="149">
        <v>3</v>
      </c>
      <c r="F43" s="61"/>
      <c r="G43" s="149">
        <v>5</v>
      </c>
      <c r="H43" s="61"/>
      <c r="I43" s="62">
        <f>SUM(J43:M43)</f>
        <v>227</v>
      </c>
      <c r="J43" s="150">
        <v>46</v>
      </c>
      <c r="K43" s="63">
        <v>6</v>
      </c>
      <c r="L43" s="149">
        <v>154</v>
      </c>
      <c r="M43" s="64">
        <v>21</v>
      </c>
    </row>
    <row r="44" spans="1:13" x14ac:dyDescent="0.25">
      <c r="A44" s="152">
        <v>4</v>
      </c>
      <c r="B44" s="211" t="s">
        <v>282</v>
      </c>
      <c r="C44" s="151"/>
      <c r="D44" s="60">
        <f>SUM(E44:H44)</f>
        <v>3999</v>
      </c>
      <c r="E44" s="149">
        <v>1690</v>
      </c>
      <c r="F44" s="61">
        <v>2</v>
      </c>
      <c r="G44" s="149">
        <v>2305</v>
      </c>
      <c r="H44" s="61">
        <v>2</v>
      </c>
      <c r="I44" s="62">
        <f>SUM(J44:M44)</f>
        <v>1947</v>
      </c>
      <c r="J44" s="150">
        <v>590</v>
      </c>
      <c r="K44" s="63">
        <v>1</v>
      </c>
      <c r="L44" s="149">
        <v>1356</v>
      </c>
      <c r="M44" s="64"/>
    </row>
    <row r="45" spans="1:13" x14ac:dyDescent="0.25">
      <c r="A45" s="153" t="s">
        <v>283</v>
      </c>
      <c r="B45" s="207"/>
      <c r="C45" s="104"/>
      <c r="D45" s="47"/>
      <c r="E45" s="82"/>
      <c r="F45" s="48"/>
      <c r="G45" s="82"/>
      <c r="H45" s="48"/>
      <c r="I45" s="50"/>
      <c r="J45" s="84"/>
      <c r="K45" s="51"/>
      <c r="L45" s="82"/>
      <c r="M45" s="65"/>
    </row>
    <row r="46" spans="1:13" x14ac:dyDescent="0.25">
      <c r="A46" s="213" t="s">
        <v>284</v>
      </c>
      <c r="B46" s="206"/>
      <c r="C46" s="144"/>
      <c r="D46" s="35"/>
      <c r="E46" s="36"/>
      <c r="F46" s="43"/>
      <c r="G46" s="36"/>
      <c r="H46" s="43"/>
      <c r="I46" s="40"/>
      <c r="J46" s="38"/>
      <c r="K46" s="45"/>
      <c r="L46" s="36"/>
      <c r="M46" s="59"/>
    </row>
    <row r="47" spans="1:13" x14ac:dyDescent="0.25">
      <c r="A47" s="127">
        <v>1</v>
      </c>
      <c r="B47" s="206" t="s">
        <v>285</v>
      </c>
      <c r="C47" s="144"/>
      <c r="D47" s="35">
        <f t="shared" ref="D47:D59" si="4">SUM(E47:H47)</f>
        <v>5075</v>
      </c>
      <c r="E47" s="36">
        <v>3466</v>
      </c>
      <c r="F47" s="43">
        <v>626</v>
      </c>
      <c r="G47" s="36">
        <v>892</v>
      </c>
      <c r="H47" s="43">
        <v>91</v>
      </c>
      <c r="I47" s="40">
        <f t="shared" ref="I47:I59" si="5">SUM(J47:M47)</f>
        <v>130</v>
      </c>
      <c r="J47" s="38">
        <v>74</v>
      </c>
      <c r="K47" s="45">
        <v>14</v>
      </c>
      <c r="L47" s="36">
        <v>38</v>
      </c>
      <c r="M47" s="59">
        <v>4</v>
      </c>
    </row>
    <row r="48" spans="1:13" x14ac:dyDescent="0.25">
      <c r="A48" s="127">
        <v>2</v>
      </c>
      <c r="B48" s="206" t="s">
        <v>286</v>
      </c>
      <c r="C48" s="144"/>
      <c r="D48" s="35">
        <f t="shared" si="4"/>
        <v>223</v>
      </c>
      <c r="E48" s="36">
        <v>207</v>
      </c>
      <c r="F48" s="43">
        <v>13</v>
      </c>
      <c r="G48" s="36">
        <v>3</v>
      </c>
      <c r="H48" s="43"/>
      <c r="I48" s="40">
        <f t="shared" si="5"/>
        <v>16</v>
      </c>
      <c r="J48" s="38">
        <v>15</v>
      </c>
      <c r="K48" s="45"/>
      <c r="L48" s="36">
        <v>1</v>
      </c>
      <c r="M48" s="59"/>
    </row>
    <row r="49" spans="1:13" x14ac:dyDescent="0.25">
      <c r="A49" s="127">
        <v>3</v>
      </c>
      <c r="B49" s="206" t="s">
        <v>287</v>
      </c>
      <c r="C49" s="144"/>
      <c r="D49" s="35">
        <f t="shared" si="4"/>
        <v>96</v>
      </c>
      <c r="E49" s="36">
        <v>89</v>
      </c>
      <c r="F49" s="43"/>
      <c r="G49" s="36">
        <v>7</v>
      </c>
      <c r="H49" s="43"/>
      <c r="I49" s="40">
        <f t="shared" si="5"/>
        <v>1</v>
      </c>
      <c r="J49" s="38"/>
      <c r="K49" s="45">
        <v>1</v>
      </c>
      <c r="L49" s="36"/>
      <c r="M49" s="59"/>
    </row>
    <row r="50" spans="1:13" x14ac:dyDescent="0.25">
      <c r="A50" s="127">
        <v>4</v>
      </c>
      <c r="B50" s="206" t="s">
        <v>288</v>
      </c>
      <c r="C50" s="144"/>
      <c r="D50" s="35">
        <f t="shared" si="4"/>
        <v>141</v>
      </c>
      <c r="E50" s="36">
        <v>60</v>
      </c>
      <c r="F50" s="43">
        <v>1</v>
      </c>
      <c r="G50" s="36">
        <v>72</v>
      </c>
      <c r="H50" s="43">
        <v>8</v>
      </c>
      <c r="I50" s="40">
        <f t="shared" si="5"/>
        <v>10</v>
      </c>
      <c r="J50" s="38">
        <v>1</v>
      </c>
      <c r="K50" s="45"/>
      <c r="L50" s="36">
        <v>9</v>
      </c>
      <c r="M50" s="59"/>
    </row>
    <row r="51" spans="1:13" x14ac:dyDescent="0.25">
      <c r="A51" s="127">
        <v>5</v>
      </c>
      <c r="B51" s="206" t="s">
        <v>289</v>
      </c>
      <c r="C51" s="144"/>
      <c r="D51" s="35">
        <f t="shared" si="4"/>
        <v>130</v>
      </c>
      <c r="E51" s="36">
        <v>124</v>
      </c>
      <c r="F51" s="43">
        <v>2</v>
      </c>
      <c r="G51" s="36">
        <v>3</v>
      </c>
      <c r="H51" s="43">
        <v>1</v>
      </c>
      <c r="I51" s="40">
        <f t="shared" si="5"/>
        <v>8</v>
      </c>
      <c r="J51" s="38">
        <v>8</v>
      </c>
      <c r="K51" s="45"/>
      <c r="L51" s="36"/>
      <c r="M51" s="59"/>
    </row>
    <row r="52" spans="1:13" x14ac:dyDescent="0.25">
      <c r="A52" s="127">
        <v>6</v>
      </c>
      <c r="B52" s="206" t="s">
        <v>290</v>
      </c>
      <c r="C52" s="144"/>
      <c r="D52" s="35">
        <f t="shared" si="4"/>
        <v>588</v>
      </c>
      <c r="E52" s="36">
        <v>556</v>
      </c>
      <c r="F52" s="43">
        <v>4</v>
      </c>
      <c r="G52" s="36">
        <v>28</v>
      </c>
      <c r="H52" s="43"/>
      <c r="I52" s="40">
        <f t="shared" si="5"/>
        <v>32</v>
      </c>
      <c r="J52" s="38">
        <v>25</v>
      </c>
      <c r="K52" s="45"/>
      <c r="L52" s="36">
        <v>7</v>
      </c>
      <c r="M52" s="59"/>
    </row>
    <row r="53" spans="1:13" x14ac:dyDescent="0.25">
      <c r="A53" s="127">
        <v>7</v>
      </c>
      <c r="B53" s="206" t="s">
        <v>291</v>
      </c>
      <c r="C53" s="144"/>
      <c r="D53" s="35">
        <f t="shared" si="4"/>
        <v>18</v>
      </c>
      <c r="E53" s="36">
        <v>18</v>
      </c>
      <c r="F53" s="43"/>
      <c r="G53" s="36"/>
      <c r="H53" s="43"/>
      <c r="I53" s="40">
        <f t="shared" si="5"/>
        <v>0</v>
      </c>
      <c r="J53" s="38"/>
      <c r="K53" s="45"/>
      <c r="L53" s="36"/>
      <c r="M53" s="59"/>
    </row>
    <row r="54" spans="1:13" x14ac:dyDescent="0.25">
      <c r="A54" s="127">
        <v>8</v>
      </c>
      <c r="B54" s="206" t="s">
        <v>292</v>
      </c>
      <c r="C54" s="144"/>
      <c r="D54" s="35">
        <f t="shared" si="4"/>
        <v>328</v>
      </c>
      <c r="E54" s="36">
        <v>263</v>
      </c>
      <c r="F54" s="43">
        <v>8</v>
      </c>
      <c r="G54" s="36">
        <v>12</v>
      </c>
      <c r="H54" s="43">
        <v>45</v>
      </c>
      <c r="I54" s="40">
        <f t="shared" si="5"/>
        <v>1069</v>
      </c>
      <c r="J54" s="38">
        <v>209</v>
      </c>
      <c r="K54" s="45">
        <v>7</v>
      </c>
      <c r="L54" s="36">
        <v>848</v>
      </c>
      <c r="M54" s="59">
        <v>5</v>
      </c>
    </row>
    <row r="55" spans="1:13" x14ac:dyDescent="0.25">
      <c r="A55" s="127">
        <v>9</v>
      </c>
      <c r="B55" s="206" t="s">
        <v>293</v>
      </c>
      <c r="C55" s="144"/>
      <c r="D55" s="35">
        <f t="shared" si="4"/>
        <v>2225</v>
      </c>
      <c r="E55" s="36">
        <v>2145</v>
      </c>
      <c r="F55" s="43">
        <v>4</v>
      </c>
      <c r="G55" s="36">
        <v>76</v>
      </c>
      <c r="H55" s="43"/>
      <c r="I55" s="40">
        <f t="shared" si="5"/>
        <v>325</v>
      </c>
      <c r="J55" s="38">
        <v>309</v>
      </c>
      <c r="K55" s="45"/>
      <c r="L55" s="36">
        <v>16</v>
      </c>
      <c r="M55" s="59"/>
    </row>
    <row r="56" spans="1:13" x14ac:dyDescent="0.25">
      <c r="A56" s="127">
        <v>10</v>
      </c>
      <c r="B56" s="206" t="s">
        <v>294</v>
      </c>
      <c r="C56" s="144"/>
      <c r="D56" s="35">
        <f t="shared" si="4"/>
        <v>5464</v>
      </c>
      <c r="E56" s="36">
        <v>3985</v>
      </c>
      <c r="F56" s="43">
        <v>9</v>
      </c>
      <c r="G56" s="36">
        <v>1468</v>
      </c>
      <c r="H56" s="43">
        <v>2</v>
      </c>
      <c r="I56" s="40">
        <f t="shared" si="5"/>
        <v>693</v>
      </c>
      <c r="J56" s="38">
        <v>501</v>
      </c>
      <c r="K56" s="45"/>
      <c r="L56" s="36">
        <v>192</v>
      </c>
      <c r="M56" s="59"/>
    </row>
    <row r="57" spans="1:13" x14ac:dyDescent="0.25">
      <c r="A57" s="127">
        <v>11</v>
      </c>
      <c r="B57" s="206" t="s">
        <v>295</v>
      </c>
      <c r="C57" s="144"/>
      <c r="D57" s="35">
        <f t="shared" si="4"/>
        <v>476</v>
      </c>
      <c r="E57" s="36">
        <v>356</v>
      </c>
      <c r="F57" s="43">
        <v>4</v>
      </c>
      <c r="G57" s="36">
        <v>116</v>
      </c>
      <c r="H57" s="43"/>
      <c r="I57" s="40">
        <f t="shared" si="5"/>
        <v>48</v>
      </c>
      <c r="J57" s="38">
        <v>35</v>
      </c>
      <c r="K57" s="45"/>
      <c r="L57" s="36">
        <v>13</v>
      </c>
      <c r="M57" s="59"/>
    </row>
    <row r="58" spans="1:13" x14ac:dyDescent="0.25">
      <c r="A58" s="127">
        <v>12</v>
      </c>
      <c r="B58" s="206" t="s">
        <v>296</v>
      </c>
      <c r="C58" s="144"/>
      <c r="D58" s="35">
        <f t="shared" si="4"/>
        <v>2071</v>
      </c>
      <c r="E58" s="36">
        <v>1516</v>
      </c>
      <c r="F58" s="43">
        <v>46</v>
      </c>
      <c r="G58" s="36">
        <v>496</v>
      </c>
      <c r="H58" s="43">
        <v>13</v>
      </c>
      <c r="I58" s="40">
        <f t="shared" si="5"/>
        <v>90</v>
      </c>
      <c r="J58" s="38">
        <v>68</v>
      </c>
      <c r="K58" s="45"/>
      <c r="L58" s="36">
        <v>22</v>
      </c>
      <c r="M58" s="59"/>
    </row>
    <row r="59" spans="1:13" x14ac:dyDescent="0.25">
      <c r="A59" s="127">
        <v>13</v>
      </c>
      <c r="B59" s="206" t="s">
        <v>297</v>
      </c>
      <c r="C59" s="144"/>
      <c r="D59" s="35">
        <f t="shared" si="4"/>
        <v>278</v>
      </c>
      <c r="E59" s="36">
        <v>48</v>
      </c>
      <c r="F59" s="43">
        <v>4</v>
      </c>
      <c r="G59" s="36">
        <v>226</v>
      </c>
      <c r="H59" s="43"/>
      <c r="I59" s="40">
        <f t="shared" si="5"/>
        <v>44</v>
      </c>
      <c r="J59" s="38">
        <v>5</v>
      </c>
      <c r="K59" s="45"/>
      <c r="L59" s="36">
        <v>38</v>
      </c>
      <c r="M59" s="59">
        <v>1</v>
      </c>
    </row>
    <row r="60" spans="1:13" x14ac:dyDescent="0.25">
      <c r="A60" s="214" t="s">
        <v>298</v>
      </c>
      <c r="B60" s="215"/>
      <c r="C60" s="154"/>
      <c r="D60" s="66"/>
      <c r="E60" s="155"/>
      <c r="F60" s="67"/>
      <c r="G60" s="155"/>
      <c r="H60" s="67"/>
      <c r="I60" s="68"/>
      <c r="J60" s="156"/>
      <c r="K60" s="69"/>
      <c r="L60" s="155"/>
      <c r="M60" s="70"/>
    </row>
    <row r="61" spans="1:13" x14ac:dyDescent="0.25">
      <c r="A61" s="157">
        <v>1</v>
      </c>
      <c r="B61" s="215" t="s">
        <v>299</v>
      </c>
      <c r="C61" s="154"/>
      <c r="D61" s="66">
        <f>SUM(E61:H61)</f>
        <v>12366</v>
      </c>
      <c r="E61" s="155">
        <v>2817</v>
      </c>
      <c r="F61" s="67">
        <v>4</v>
      </c>
      <c r="G61" s="155">
        <v>9545</v>
      </c>
      <c r="H61" s="67"/>
      <c r="I61" s="68">
        <f>SUM(J61:M61)</f>
        <v>14153</v>
      </c>
      <c r="J61" s="156">
        <v>3217</v>
      </c>
      <c r="K61" s="69"/>
      <c r="L61" s="155">
        <v>10936</v>
      </c>
      <c r="M61" s="70"/>
    </row>
    <row r="62" spans="1:13" x14ac:dyDescent="0.25">
      <c r="A62" s="157">
        <v>2</v>
      </c>
      <c r="B62" s="215" t="s">
        <v>300</v>
      </c>
      <c r="C62" s="154"/>
      <c r="D62" s="66">
        <f>SUM(E62:H62)</f>
        <v>37365</v>
      </c>
      <c r="E62" s="155">
        <v>20107</v>
      </c>
      <c r="F62" s="67">
        <v>15</v>
      </c>
      <c r="G62" s="155">
        <v>17241</v>
      </c>
      <c r="H62" s="67">
        <v>2</v>
      </c>
      <c r="I62" s="68">
        <f>SUM(J62:M62)</f>
        <v>10739</v>
      </c>
      <c r="J62" s="156">
        <v>4550</v>
      </c>
      <c r="K62" s="69"/>
      <c r="L62" s="155">
        <v>6189</v>
      </c>
      <c r="M62" s="70"/>
    </row>
    <row r="63" spans="1:13" x14ac:dyDescent="0.25">
      <c r="A63" s="157">
        <v>3</v>
      </c>
      <c r="B63" s="215" t="s">
        <v>301</v>
      </c>
      <c r="C63" s="154"/>
      <c r="D63" s="66">
        <f>SUM(E63:H63)</f>
        <v>364</v>
      </c>
      <c r="E63" s="155">
        <v>275</v>
      </c>
      <c r="F63" s="67"/>
      <c r="G63" s="155">
        <v>89</v>
      </c>
      <c r="H63" s="67"/>
      <c r="I63" s="68">
        <f>SUM(J63:M63)</f>
        <v>1728</v>
      </c>
      <c r="J63" s="156">
        <v>694</v>
      </c>
      <c r="K63" s="69">
        <v>1</v>
      </c>
      <c r="L63" s="155">
        <v>1031</v>
      </c>
      <c r="M63" s="70">
        <v>2</v>
      </c>
    </row>
    <row r="64" spans="1:13" x14ac:dyDescent="0.25">
      <c r="A64" s="157">
        <v>4</v>
      </c>
      <c r="B64" s="215" t="s">
        <v>302</v>
      </c>
      <c r="C64" s="154"/>
      <c r="D64" s="66">
        <f>SUM(E64:H64)</f>
        <v>2011</v>
      </c>
      <c r="E64" s="155">
        <v>580</v>
      </c>
      <c r="F64" s="67">
        <v>4</v>
      </c>
      <c r="G64" s="155">
        <v>1425</v>
      </c>
      <c r="H64" s="67">
        <v>2</v>
      </c>
      <c r="I64" s="68">
        <f>SUM(J64:M64)</f>
        <v>84</v>
      </c>
      <c r="J64" s="156">
        <v>24</v>
      </c>
      <c r="K64" s="69"/>
      <c r="L64" s="155">
        <v>60</v>
      </c>
      <c r="M64" s="70"/>
    </row>
    <row r="65" spans="1:13" x14ac:dyDescent="0.25">
      <c r="A65" s="214" t="s">
        <v>303</v>
      </c>
      <c r="B65" s="215"/>
      <c r="C65" s="154"/>
      <c r="D65" s="66"/>
      <c r="E65" s="155"/>
      <c r="F65" s="67"/>
      <c r="G65" s="155"/>
      <c r="H65" s="67"/>
      <c r="I65" s="68"/>
      <c r="J65" s="156"/>
      <c r="K65" s="69"/>
      <c r="L65" s="155"/>
      <c r="M65" s="70"/>
    </row>
    <row r="66" spans="1:13" x14ac:dyDescent="0.25">
      <c r="A66" s="157">
        <v>1</v>
      </c>
      <c r="B66" s="215" t="s">
        <v>304</v>
      </c>
      <c r="C66" s="154"/>
      <c r="D66" s="66">
        <f>SUM(E66:H66)</f>
        <v>5345</v>
      </c>
      <c r="E66" s="155">
        <v>2560</v>
      </c>
      <c r="F66" s="67">
        <v>2524</v>
      </c>
      <c r="G66" s="155">
        <v>210</v>
      </c>
      <c r="H66" s="67">
        <v>51</v>
      </c>
      <c r="I66" s="68">
        <f>SUM(J66:M66)</f>
        <v>228</v>
      </c>
      <c r="J66" s="156">
        <v>137</v>
      </c>
      <c r="K66" s="69">
        <v>65</v>
      </c>
      <c r="L66" s="155">
        <v>20</v>
      </c>
      <c r="M66" s="70">
        <v>6</v>
      </c>
    </row>
    <row r="67" spans="1:13" x14ac:dyDescent="0.25">
      <c r="A67" s="157">
        <v>2</v>
      </c>
      <c r="B67" s="215" t="s">
        <v>305</v>
      </c>
      <c r="C67" s="154"/>
      <c r="D67" s="66">
        <f>SUM(E67:H67)</f>
        <v>16575</v>
      </c>
      <c r="E67" s="155">
        <v>5678</v>
      </c>
      <c r="F67" s="67">
        <v>6659</v>
      </c>
      <c r="G67" s="155">
        <v>3078</v>
      </c>
      <c r="H67" s="67">
        <v>1160</v>
      </c>
      <c r="I67" s="68">
        <f>SUM(J67:M67)</f>
        <v>1110</v>
      </c>
      <c r="J67" s="156">
        <v>307</v>
      </c>
      <c r="K67" s="69">
        <v>393</v>
      </c>
      <c r="L67" s="155">
        <v>291</v>
      </c>
      <c r="M67" s="70">
        <v>119</v>
      </c>
    </row>
    <row r="68" spans="1:13" x14ac:dyDescent="0.25">
      <c r="A68" s="157">
        <v>3</v>
      </c>
      <c r="B68" s="215" t="s">
        <v>306</v>
      </c>
      <c r="C68" s="154"/>
      <c r="D68" s="66">
        <f>SUM(E68:H68)</f>
        <v>83</v>
      </c>
      <c r="E68" s="155">
        <v>61</v>
      </c>
      <c r="F68" s="67">
        <v>3</v>
      </c>
      <c r="G68" s="155">
        <v>16</v>
      </c>
      <c r="H68" s="67">
        <v>3</v>
      </c>
      <c r="I68" s="68">
        <f>SUM(J68:M68)</f>
        <v>18</v>
      </c>
      <c r="J68" s="156">
        <v>13</v>
      </c>
      <c r="K68" s="69">
        <v>1</v>
      </c>
      <c r="L68" s="155">
        <v>4</v>
      </c>
      <c r="M68" s="70"/>
    </row>
    <row r="69" spans="1:13" x14ac:dyDescent="0.25">
      <c r="A69" s="214" t="s">
        <v>307</v>
      </c>
      <c r="B69" s="215"/>
      <c r="C69" s="158" t="s">
        <v>308</v>
      </c>
      <c r="D69" s="66"/>
      <c r="E69" s="155"/>
      <c r="F69" s="67"/>
      <c r="G69" s="155"/>
      <c r="H69" s="67"/>
      <c r="I69" s="68"/>
      <c r="J69" s="156"/>
      <c r="K69" s="69"/>
      <c r="L69" s="155"/>
      <c r="M69" s="70"/>
    </row>
    <row r="70" spans="1:13" x14ac:dyDescent="0.25">
      <c r="A70" s="157">
        <v>1</v>
      </c>
      <c r="B70" s="215" t="s">
        <v>309</v>
      </c>
      <c r="C70" s="154"/>
      <c r="D70" s="66">
        <f>SUM(E70:H70)</f>
        <v>6838</v>
      </c>
      <c r="E70" s="155">
        <v>3960</v>
      </c>
      <c r="F70" s="67">
        <v>131</v>
      </c>
      <c r="G70" s="155">
        <v>2597</v>
      </c>
      <c r="H70" s="67">
        <v>150</v>
      </c>
      <c r="I70" s="68">
        <f>SUM(J70:M70)</f>
        <v>1135</v>
      </c>
      <c r="J70" s="156">
        <v>451</v>
      </c>
      <c r="K70" s="69">
        <v>19</v>
      </c>
      <c r="L70" s="155">
        <v>567</v>
      </c>
      <c r="M70" s="70">
        <v>98</v>
      </c>
    </row>
    <row r="71" spans="1:13" x14ac:dyDescent="0.25">
      <c r="A71" s="157">
        <v>2</v>
      </c>
      <c r="B71" s="215" t="s">
        <v>310</v>
      </c>
      <c r="C71" s="154"/>
      <c r="D71" s="66">
        <f>SUM(E71:H71)</f>
        <v>10254</v>
      </c>
      <c r="E71" s="155">
        <v>5020</v>
      </c>
      <c r="F71" s="67">
        <v>570</v>
      </c>
      <c r="G71" s="155">
        <v>4234</v>
      </c>
      <c r="H71" s="67">
        <v>430</v>
      </c>
      <c r="I71" s="68">
        <f>SUM(J71:M71)</f>
        <v>1105</v>
      </c>
      <c r="J71" s="156">
        <v>509</v>
      </c>
      <c r="K71" s="69">
        <v>27</v>
      </c>
      <c r="L71" s="155">
        <v>527</v>
      </c>
      <c r="M71" s="70">
        <v>42</v>
      </c>
    </row>
    <row r="72" spans="1:13" x14ac:dyDescent="0.25">
      <c r="A72" s="157">
        <v>3</v>
      </c>
      <c r="B72" s="215" t="s">
        <v>311</v>
      </c>
      <c r="C72" s="154"/>
      <c r="D72" s="66">
        <f>SUM(E72:H72)</f>
        <v>5198</v>
      </c>
      <c r="E72" s="155">
        <v>3011</v>
      </c>
      <c r="F72" s="67">
        <v>391</v>
      </c>
      <c r="G72" s="155">
        <v>1577</v>
      </c>
      <c r="H72" s="67">
        <v>219</v>
      </c>
      <c r="I72" s="68">
        <f>SUM(J72:M72)</f>
        <v>376</v>
      </c>
      <c r="J72" s="156">
        <v>153</v>
      </c>
      <c r="K72" s="69">
        <v>11</v>
      </c>
      <c r="L72" s="155">
        <v>137</v>
      </c>
      <c r="M72" s="70">
        <v>75</v>
      </c>
    </row>
    <row r="73" spans="1:13" x14ac:dyDescent="0.25">
      <c r="A73" s="214" t="s">
        <v>312</v>
      </c>
      <c r="B73" s="215"/>
      <c r="C73" s="154"/>
      <c r="D73" s="66"/>
      <c r="E73" s="155"/>
      <c r="F73" s="67"/>
      <c r="G73" s="155"/>
      <c r="H73" s="67"/>
      <c r="I73" s="68"/>
      <c r="J73" s="156"/>
      <c r="K73" s="69"/>
      <c r="L73" s="155"/>
      <c r="M73" s="70"/>
    </row>
    <row r="74" spans="1:13" x14ac:dyDescent="0.25">
      <c r="A74" s="157">
        <v>1</v>
      </c>
      <c r="B74" s="215" t="s">
        <v>313</v>
      </c>
      <c r="C74" s="154"/>
      <c r="D74" s="66">
        <f>SUM(E74:H74)</f>
        <v>1791</v>
      </c>
      <c r="E74" s="155">
        <v>990</v>
      </c>
      <c r="F74" s="67">
        <v>172</v>
      </c>
      <c r="G74" s="155">
        <v>545</v>
      </c>
      <c r="H74" s="67">
        <v>84</v>
      </c>
      <c r="I74" s="68">
        <f>SUM(J74:M74)</f>
        <v>421</v>
      </c>
      <c r="J74" s="156">
        <v>154</v>
      </c>
      <c r="K74" s="69">
        <v>1</v>
      </c>
      <c r="L74" s="155">
        <v>258</v>
      </c>
      <c r="M74" s="70">
        <v>8</v>
      </c>
    </row>
    <row r="75" spans="1:13" x14ac:dyDescent="0.25">
      <c r="A75" s="157">
        <v>2</v>
      </c>
      <c r="B75" s="215" t="s">
        <v>314</v>
      </c>
      <c r="C75" s="154"/>
      <c r="D75" s="66">
        <f>SUM(E75:H75)</f>
        <v>2430</v>
      </c>
      <c r="E75" s="155">
        <v>1018</v>
      </c>
      <c r="F75" s="67">
        <v>31</v>
      </c>
      <c r="G75" s="155">
        <v>1293</v>
      </c>
      <c r="H75" s="67">
        <v>88</v>
      </c>
      <c r="I75" s="68">
        <f>SUM(J75:M75)</f>
        <v>1867</v>
      </c>
      <c r="J75" s="156">
        <v>450</v>
      </c>
      <c r="K75" s="69">
        <v>1</v>
      </c>
      <c r="L75" s="155">
        <v>1363</v>
      </c>
      <c r="M75" s="70">
        <v>53</v>
      </c>
    </row>
    <row r="76" spans="1:13" x14ac:dyDescent="0.25">
      <c r="A76" s="214" t="s">
        <v>315</v>
      </c>
      <c r="B76" s="215"/>
      <c r="C76" s="154"/>
      <c r="D76" s="66"/>
      <c r="E76" s="155"/>
      <c r="F76" s="67"/>
      <c r="G76" s="155"/>
      <c r="H76" s="67"/>
      <c r="I76" s="68"/>
      <c r="J76" s="156"/>
      <c r="K76" s="69"/>
      <c r="L76" s="155"/>
      <c r="M76" s="70"/>
    </row>
    <row r="77" spans="1:13" x14ac:dyDescent="0.25">
      <c r="A77" s="157">
        <v>1</v>
      </c>
      <c r="B77" s="215" t="s">
        <v>316</v>
      </c>
      <c r="C77" s="154"/>
      <c r="D77" s="66">
        <f t="shared" ref="D77:D83" si="6">SUM(E77:H77)</f>
        <v>260577</v>
      </c>
      <c r="E77" s="155">
        <v>27255</v>
      </c>
      <c r="F77" s="67">
        <v>16</v>
      </c>
      <c r="G77" s="155">
        <v>233279</v>
      </c>
      <c r="H77" s="67">
        <v>27</v>
      </c>
      <c r="I77" s="68">
        <f t="shared" ref="I77:I83" si="7">SUM(J77:M77)</f>
        <v>55835</v>
      </c>
      <c r="J77" s="156">
        <v>5566</v>
      </c>
      <c r="K77" s="69">
        <v>9</v>
      </c>
      <c r="L77" s="155">
        <v>49556</v>
      </c>
      <c r="M77" s="70">
        <v>704</v>
      </c>
    </row>
    <row r="78" spans="1:13" x14ac:dyDescent="0.25">
      <c r="A78" s="157">
        <v>2</v>
      </c>
      <c r="B78" s="215" t="s">
        <v>317</v>
      </c>
      <c r="C78" s="154"/>
      <c r="D78" s="66">
        <f t="shared" si="6"/>
        <v>2770</v>
      </c>
      <c r="E78" s="155">
        <v>2260</v>
      </c>
      <c r="F78" s="67">
        <v>53</v>
      </c>
      <c r="G78" s="155">
        <v>429</v>
      </c>
      <c r="H78" s="67">
        <v>28</v>
      </c>
      <c r="I78" s="68">
        <f t="shared" si="7"/>
        <v>412</v>
      </c>
      <c r="J78" s="156">
        <v>180</v>
      </c>
      <c r="K78" s="69"/>
      <c r="L78" s="155">
        <v>231</v>
      </c>
      <c r="M78" s="70">
        <v>1</v>
      </c>
    </row>
    <row r="79" spans="1:13" x14ac:dyDescent="0.25">
      <c r="A79" s="157">
        <v>3</v>
      </c>
      <c r="B79" s="215" t="s">
        <v>318</v>
      </c>
      <c r="C79" s="154"/>
      <c r="D79" s="66">
        <f t="shared" si="6"/>
        <v>5044</v>
      </c>
      <c r="E79" s="155">
        <v>1208</v>
      </c>
      <c r="F79" s="67">
        <v>3</v>
      </c>
      <c r="G79" s="155">
        <v>3832</v>
      </c>
      <c r="H79" s="67">
        <v>1</v>
      </c>
      <c r="I79" s="68">
        <f t="shared" si="7"/>
        <v>2834</v>
      </c>
      <c r="J79" s="156">
        <v>445</v>
      </c>
      <c r="K79" s="69">
        <v>3</v>
      </c>
      <c r="L79" s="155">
        <v>2382</v>
      </c>
      <c r="M79" s="70">
        <v>4</v>
      </c>
    </row>
    <row r="80" spans="1:13" x14ac:dyDescent="0.25">
      <c r="A80" s="157">
        <v>4</v>
      </c>
      <c r="B80" s="215" t="s">
        <v>319</v>
      </c>
      <c r="C80" s="154"/>
      <c r="D80" s="66">
        <f t="shared" si="6"/>
        <v>13</v>
      </c>
      <c r="E80" s="155">
        <v>7</v>
      </c>
      <c r="F80" s="67"/>
      <c r="G80" s="155">
        <v>6</v>
      </c>
      <c r="H80" s="67"/>
      <c r="I80" s="68">
        <f t="shared" si="7"/>
        <v>282</v>
      </c>
      <c r="J80" s="156">
        <v>149</v>
      </c>
      <c r="K80" s="69">
        <v>1</v>
      </c>
      <c r="L80" s="155">
        <v>125</v>
      </c>
      <c r="M80" s="70">
        <v>7</v>
      </c>
    </row>
    <row r="81" spans="1:14" x14ac:dyDescent="0.25">
      <c r="A81" s="157">
        <v>5</v>
      </c>
      <c r="B81" s="215" t="s">
        <v>320</v>
      </c>
      <c r="C81" s="154"/>
      <c r="D81" s="66">
        <f t="shared" si="6"/>
        <v>146</v>
      </c>
      <c r="E81" s="155">
        <v>94</v>
      </c>
      <c r="F81" s="67">
        <v>2</v>
      </c>
      <c r="G81" s="155">
        <v>50</v>
      </c>
      <c r="H81" s="67"/>
      <c r="I81" s="68">
        <f t="shared" si="7"/>
        <v>137</v>
      </c>
      <c r="J81" s="156">
        <v>45</v>
      </c>
      <c r="K81" s="69"/>
      <c r="L81" s="155">
        <v>91</v>
      </c>
      <c r="M81" s="70">
        <v>1</v>
      </c>
    </row>
    <row r="82" spans="1:14" x14ac:dyDescent="0.25">
      <c r="A82" s="127">
        <v>6</v>
      </c>
      <c r="B82" s="206" t="s">
        <v>321</v>
      </c>
      <c r="C82" s="144"/>
      <c r="D82" s="35">
        <f t="shared" si="6"/>
        <v>787</v>
      </c>
      <c r="E82" s="36">
        <v>518</v>
      </c>
      <c r="F82" s="43">
        <v>17</v>
      </c>
      <c r="G82" s="36">
        <v>251</v>
      </c>
      <c r="H82" s="43">
        <v>1</v>
      </c>
      <c r="I82" s="40">
        <f t="shared" si="7"/>
        <v>62</v>
      </c>
      <c r="J82" s="38">
        <v>9</v>
      </c>
      <c r="K82" s="45"/>
      <c r="L82" s="36">
        <v>53</v>
      </c>
      <c r="M82" s="59"/>
    </row>
    <row r="83" spans="1:14" x14ac:dyDescent="0.25">
      <c r="A83" s="127">
        <v>7</v>
      </c>
      <c r="B83" s="206" t="s">
        <v>322</v>
      </c>
      <c r="C83" s="144"/>
      <c r="D83" s="35">
        <f t="shared" si="6"/>
        <v>10191</v>
      </c>
      <c r="E83" s="36">
        <v>7876</v>
      </c>
      <c r="F83" s="43">
        <v>34</v>
      </c>
      <c r="G83" s="36">
        <v>2271</v>
      </c>
      <c r="H83" s="43">
        <v>10</v>
      </c>
      <c r="I83" s="40">
        <f t="shared" si="7"/>
        <v>2261</v>
      </c>
      <c r="J83" s="38">
        <v>1590</v>
      </c>
      <c r="K83" s="45">
        <v>2</v>
      </c>
      <c r="L83" s="36">
        <v>668</v>
      </c>
      <c r="M83" s="59">
        <v>1</v>
      </c>
    </row>
    <row r="84" spans="1:14" x14ac:dyDescent="0.25">
      <c r="A84" s="141" t="s">
        <v>323</v>
      </c>
      <c r="B84" s="209"/>
      <c r="C84" s="159"/>
      <c r="D84" s="53"/>
      <c r="E84" s="142"/>
      <c r="F84" s="54"/>
      <c r="G84" s="142"/>
      <c r="H84" s="54"/>
      <c r="I84" s="56"/>
      <c r="J84" s="143"/>
      <c r="K84" s="57"/>
      <c r="L84" s="142"/>
      <c r="M84" s="71"/>
    </row>
    <row r="85" spans="1:14" x14ac:dyDescent="0.25">
      <c r="A85" s="160">
        <v>1</v>
      </c>
      <c r="B85" s="209" t="s">
        <v>324</v>
      </c>
      <c r="C85" s="159"/>
      <c r="D85" s="53">
        <f>SUM(E85:H85)</f>
        <v>51539</v>
      </c>
      <c r="E85" s="142">
        <v>9582</v>
      </c>
      <c r="F85" s="54">
        <v>37</v>
      </c>
      <c r="G85" s="142">
        <v>41659</v>
      </c>
      <c r="H85" s="54">
        <v>261</v>
      </c>
      <c r="I85" s="56">
        <f>SUM(J85:M85)</f>
        <v>28517</v>
      </c>
      <c r="J85" s="143">
        <v>3170</v>
      </c>
      <c r="K85" s="57">
        <v>5</v>
      </c>
      <c r="L85" s="142">
        <v>24899</v>
      </c>
      <c r="M85" s="71">
        <v>443</v>
      </c>
    </row>
    <row r="86" spans="1:14" x14ac:dyDescent="0.25">
      <c r="A86" s="134" t="s">
        <v>325</v>
      </c>
      <c r="B86" s="207"/>
      <c r="C86" s="104"/>
      <c r="D86" s="47"/>
      <c r="E86" s="82"/>
      <c r="F86" s="48"/>
      <c r="G86" s="82"/>
      <c r="H86" s="48"/>
      <c r="I86" s="50"/>
      <c r="J86" s="84"/>
      <c r="K86" s="51"/>
      <c r="L86" s="82"/>
      <c r="M86" s="65"/>
    </row>
    <row r="87" spans="1:14" x14ac:dyDescent="0.25">
      <c r="A87" s="161" t="s">
        <v>326</v>
      </c>
      <c r="B87" s="207"/>
      <c r="C87" s="104"/>
      <c r="D87" s="47"/>
      <c r="E87" s="82"/>
      <c r="F87" s="48"/>
      <c r="G87" s="82"/>
      <c r="H87" s="48"/>
      <c r="I87" s="50"/>
      <c r="J87" s="84"/>
      <c r="K87" s="51"/>
      <c r="L87" s="82"/>
      <c r="M87" s="65"/>
    </row>
    <row r="88" spans="1:14" x14ac:dyDescent="0.25">
      <c r="A88" s="161">
        <v>1</v>
      </c>
      <c r="B88" s="207" t="s">
        <v>327</v>
      </c>
      <c r="C88" s="104"/>
      <c r="D88" s="47">
        <f>SUM(E88:H88)</f>
        <v>3034</v>
      </c>
      <c r="E88" s="82">
        <v>1967</v>
      </c>
      <c r="F88" s="48">
        <v>920</v>
      </c>
      <c r="G88" s="82">
        <v>120</v>
      </c>
      <c r="H88" s="48">
        <v>27</v>
      </c>
      <c r="I88" s="50">
        <f>SUM(J88:M88)</f>
        <v>648</v>
      </c>
      <c r="J88" s="84">
        <v>364</v>
      </c>
      <c r="K88" s="51">
        <v>212</v>
      </c>
      <c r="L88" s="82">
        <v>57</v>
      </c>
      <c r="M88" s="65">
        <v>15</v>
      </c>
    </row>
    <row r="89" spans="1:14" x14ac:dyDescent="0.25">
      <c r="A89" s="161">
        <v>2</v>
      </c>
      <c r="B89" s="207" t="s">
        <v>328</v>
      </c>
      <c r="C89" s="104"/>
      <c r="D89" s="47">
        <f>SUM(E89:H89)</f>
        <v>3802</v>
      </c>
      <c r="E89" s="82">
        <v>502</v>
      </c>
      <c r="F89" s="48">
        <v>1972</v>
      </c>
      <c r="G89" s="82">
        <v>257</v>
      </c>
      <c r="H89" s="48">
        <v>1071</v>
      </c>
      <c r="I89" s="50">
        <f>SUM(J89:M89)</f>
        <v>6036</v>
      </c>
      <c r="J89" s="84">
        <v>270</v>
      </c>
      <c r="K89" s="51">
        <v>2245</v>
      </c>
      <c r="L89" s="82">
        <v>310</v>
      </c>
      <c r="M89" s="65">
        <v>3211</v>
      </c>
      <c r="N89" s="162"/>
    </row>
    <row r="90" spans="1:14" x14ac:dyDescent="0.25">
      <c r="A90" s="161">
        <v>3</v>
      </c>
      <c r="B90" s="207" t="s">
        <v>329</v>
      </c>
      <c r="C90" s="104"/>
      <c r="D90" s="47">
        <f>SUM(E90:H90)</f>
        <v>2096</v>
      </c>
      <c r="E90" s="82">
        <v>876</v>
      </c>
      <c r="F90" s="48">
        <v>365</v>
      </c>
      <c r="G90" s="82">
        <v>627</v>
      </c>
      <c r="H90" s="48">
        <v>228</v>
      </c>
      <c r="I90" s="50">
        <f>SUM(J90:M90)</f>
        <v>3401</v>
      </c>
      <c r="J90" s="84">
        <v>657</v>
      </c>
      <c r="K90" s="51">
        <v>377</v>
      </c>
      <c r="L90" s="82">
        <v>1419</v>
      </c>
      <c r="M90" s="65">
        <v>948</v>
      </c>
    </row>
    <row r="91" spans="1:14" x14ac:dyDescent="0.25">
      <c r="A91" s="134" t="s">
        <v>330</v>
      </c>
      <c r="B91" s="207"/>
      <c r="C91" s="104"/>
      <c r="D91" s="47"/>
      <c r="E91" s="82"/>
      <c r="F91" s="48"/>
      <c r="G91" s="82"/>
      <c r="H91" s="48"/>
      <c r="I91" s="50"/>
      <c r="J91" s="84"/>
      <c r="K91" s="51"/>
      <c r="L91" s="82"/>
      <c r="M91" s="65"/>
    </row>
    <row r="92" spans="1:14" x14ac:dyDescent="0.25">
      <c r="A92" s="216" t="s">
        <v>331</v>
      </c>
      <c r="B92" s="207"/>
      <c r="C92" s="104"/>
      <c r="D92" s="47"/>
      <c r="E92" s="82"/>
      <c r="F92" s="48"/>
      <c r="G92" s="82"/>
      <c r="H92" s="48"/>
      <c r="I92" s="50"/>
      <c r="J92" s="84"/>
      <c r="K92" s="51"/>
      <c r="L92" s="82"/>
      <c r="M92" s="65"/>
    </row>
    <row r="93" spans="1:14" x14ac:dyDescent="0.25">
      <c r="A93" s="161">
        <v>1</v>
      </c>
      <c r="B93" s="207" t="s">
        <v>332</v>
      </c>
      <c r="C93" s="104"/>
      <c r="D93" s="47">
        <f>SUM(E93:H93)</f>
        <v>401600</v>
      </c>
      <c r="E93" s="82">
        <v>115919</v>
      </c>
      <c r="F93" s="48">
        <v>117242</v>
      </c>
      <c r="G93" s="82">
        <v>82867</v>
      </c>
      <c r="H93" s="48">
        <v>85572</v>
      </c>
      <c r="I93" s="50">
        <f>SUM(J93:M93)</f>
        <v>1820089</v>
      </c>
      <c r="J93" s="84">
        <v>131024</v>
      </c>
      <c r="K93" s="51">
        <v>124959</v>
      </c>
      <c r="L93" s="82">
        <v>766052</v>
      </c>
      <c r="M93" s="65">
        <v>798054</v>
      </c>
    </row>
    <row r="94" spans="1:14" x14ac:dyDescent="0.25">
      <c r="A94" s="216" t="s">
        <v>333</v>
      </c>
      <c r="B94" s="207"/>
      <c r="C94" s="104"/>
      <c r="D94" s="47"/>
      <c r="E94" s="82"/>
      <c r="F94" s="48"/>
      <c r="G94" s="82"/>
      <c r="H94" s="48"/>
      <c r="I94" s="50"/>
      <c r="J94" s="84"/>
      <c r="K94" s="51"/>
      <c r="L94" s="82"/>
      <c r="M94" s="65"/>
    </row>
    <row r="95" spans="1:14" x14ac:dyDescent="0.25">
      <c r="A95" s="161">
        <v>1</v>
      </c>
      <c r="B95" s="207" t="s">
        <v>334</v>
      </c>
      <c r="C95" s="104"/>
      <c r="D95" s="47">
        <f>SUM(E95:H95)</f>
        <v>5953</v>
      </c>
      <c r="E95" s="82">
        <v>1134</v>
      </c>
      <c r="F95" s="48">
        <v>827</v>
      </c>
      <c r="G95" s="82">
        <v>2868</v>
      </c>
      <c r="H95" s="48">
        <v>1124</v>
      </c>
      <c r="I95" s="50">
        <f>SUM(J95:M95)</f>
        <v>1892</v>
      </c>
      <c r="J95" s="84">
        <v>80</v>
      </c>
      <c r="K95" s="51">
        <v>32</v>
      </c>
      <c r="L95" s="82">
        <v>1019</v>
      </c>
      <c r="M95" s="65">
        <v>761</v>
      </c>
    </row>
    <row r="96" spans="1:14" x14ac:dyDescent="0.25">
      <c r="A96" s="161">
        <v>2</v>
      </c>
      <c r="B96" s="207" t="s">
        <v>335</v>
      </c>
      <c r="C96" s="104"/>
      <c r="D96" s="47">
        <f>SUM(E96:H96)</f>
        <v>10496</v>
      </c>
      <c r="E96" s="82">
        <v>1144</v>
      </c>
      <c r="F96" s="48">
        <v>52</v>
      </c>
      <c r="G96" s="82">
        <v>8429</v>
      </c>
      <c r="H96" s="48">
        <v>871</v>
      </c>
      <c r="I96" s="50">
        <f>SUM(J96:M96)</f>
        <v>3029</v>
      </c>
      <c r="J96" s="84">
        <v>106</v>
      </c>
      <c r="K96" s="51"/>
      <c r="L96" s="82">
        <v>2883</v>
      </c>
      <c r="M96" s="65">
        <v>40</v>
      </c>
    </row>
    <row r="97" spans="1:13" x14ac:dyDescent="0.25">
      <c r="A97" s="134" t="s">
        <v>336</v>
      </c>
      <c r="B97" s="207"/>
      <c r="C97" s="104"/>
      <c r="D97" s="47"/>
      <c r="E97" s="82"/>
      <c r="F97" s="48"/>
      <c r="G97" s="82"/>
      <c r="H97" s="48"/>
      <c r="I97" s="50"/>
      <c r="J97" s="84"/>
      <c r="K97" s="51"/>
      <c r="L97" s="82"/>
      <c r="M97" s="65"/>
    </row>
    <row r="98" spans="1:13" x14ac:dyDescent="0.25">
      <c r="A98" s="216" t="s">
        <v>337</v>
      </c>
      <c r="B98" s="207"/>
      <c r="C98" s="104"/>
      <c r="D98" s="47"/>
      <c r="E98" s="82"/>
      <c r="F98" s="48"/>
      <c r="G98" s="82"/>
      <c r="H98" s="48"/>
      <c r="I98" s="50"/>
      <c r="J98" s="84"/>
      <c r="K98" s="51"/>
      <c r="L98" s="82"/>
      <c r="M98" s="65"/>
    </row>
    <row r="99" spans="1:13" x14ac:dyDescent="0.25">
      <c r="A99" s="161">
        <v>1</v>
      </c>
      <c r="B99" s="207" t="s">
        <v>338</v>
      </c>
      <c r="C99" s="104"/>
      <c r="D99" s="47">
        <f>SUM(E99:H99)</f>
        <v>4328</v>
      </c>
      <c r="E99" s="82">
        <v>1565</v>
      </c>
      <c r="F99" s="48">
        <v>729</v>
      </c>
      <c r="G99" s="82">
        <v>1416</v>
      </c>
      <c r="H99" s="48">
        <v>618</v>
      </c>
      <c r="I99" s="50">
        <f>SUM(J99:M99)</f>
        <v>8631</v>
      </c>
      <c r="J99" s="84">
        <v>1674</v>
      </c>
      <c r="K99" s="51">
        <v>979</v>
      </c>
      <c r="L99" s="82">
        <v>3309</v>
      </c>
      <c r="M99" s="65">
        <v>2669</v>
      </c>
    </row>
    <row r="100" spans="1:13" ht="15.75" thickBot="1" x14ac:dyDescent="0.3">
      <c r="A100" s="161"/>
      <c r="B100" s="207"/>
      <c r="C100" s="104"/>
      <c r="D100" s="47"/>
      <c r="E100" s="82"/>
      <c r="F100" s="48"/>
      <c r="G100" s="82"/>
      <c r="H100" s="48"/>
      <c r="I100" s="50"/>
      <c r="J100" s="84"/>
      <c r="K100" s="51"/>
      <c r="L100" s="82"/>
      <c r="M100" s="65"/>
    </row>
    <row r="101" spans="1:13" ht="15.75" thickTop="1" x14ac:dyDescent="0.25">
      <c r="A101" s="163"/>
      <c r="B101" s="217"/>
      <c r="C101" s="164"/>
      <c r="D101" s="72"/>
      <c r="E101" s="165"/>
      <c r="F101" s="73"/>
      <c r="G101" s="165"/>
      <c r="H101" s="73"/>
      <c r="I101" s="74"/>
      <c r="J101" s="72"/>
      <c r="K101" s="75"/>
      <c r="L101" s="165"/>
      <c r="M101" s="76"/>
    </row>
    <row r="102" spans="1:13" x14ac:dyDescent="0.25">
      <c r="A102" s="161" t="s">
        <v>339</v>
      </c>
      <c r="B102" s="207"/>
      <c r="C102" s="135"/>
      <c r="D102" s="84">
        <f t="shared" ref="D102:M102" si="8">SUM(D8:D100)</f>
        <v>1477868</v>
      </c>
      <c r="E102" s="84">
        <f t="shared" si="8"/>
        <v>353380</v>
      </c>
      <c r="F102" s="86">
        <f t="shared" si="8"/>
        <v>304906</v>
      </c>
      <c r="G102" s="84">
        <f t="shared" si="8"/>
        <v>570111</v>
      </c>
      <c r="H102" s="86">
        <f t="shared" si="8"/>
        <v>249471</v>
      </c>
      <c r="I102" s="84">
        <f t="shared" si="8"/>
        <v>4490233</v>
      </c>
      <c r="J102" s="84">
        <f t="shared" si="8"/>
        <v>329480</v>
      </c>
      <c r="K102" s="86">
        <f t="shared" si="8"/>
        <v>285548</v>
      </c>
      <c r="L102" s="84">
        <f t="shared" si="8"/>
        <v>1812020</v>
      </c>
      <c r="M102" s="87">
        <f t="shared" si="8"/>
        <v>2063185</v>
      </c>
    </row>
    <row r="103" spans="1:13" ht="15.75" thickBot="1" x14ac:dyDescent="0.3">
      <c r="A103" s="166"/>
      <c r="B103" s="167"/>
      <c r="C103" s="168"/>
      <c r="D103" s="169"/>
      <c r="E103" s="170"/>
      <c r="F103" s="171"/>
      <c r="G103" s="172"/>
      <c r="H103" s="173"/>
      <c r="I103" s="174"/>
      <c r="J103" s="175"/>
      <c r="K103" s="176"/>
      <c r="L103" s="172"/>
      <c r="M103" s="177"/>
    </row>
    <row r="104" spans="1:13" ht="15.75" thickTop="1" x14ac:dyDescent="0.25">
      <c r="A104" s="161"/>
      <c r="B104" s="104"/>
      <c r="C104" s="104"/>
      <c r="D104" s="162"/>
      <c r="E104" s="162"/>
      <c r="F104" s="77"/>
      <c r="G104" s="178"/>
      <c r="H104" s="78"/>
      <c r="I104" s="78"/>
      <c r="J104" s="178"/>
      <c r="K104" s="78"/>
      <c r="L104" s="162"/>
      <c r="M104" s="77"/>
    </row>
    <row r="105" spans="1:13" x14ac:dyDescent="0.25">
      <c r="A105" s="161"/>
      <c r="B105" s="104"/>
      <c r="C105" s="104"/>
      <c r="D105" s="162"/>
      <c r="E105" s="162"/>
      <c r="F105" s="77"/>
      <c r="G105" s="162"/>
      <c r="H105" s="77"/>
      <c r="I105" s="77"/>
      <c r="J105" s="162"/>
      <c r="K105" s="77"/>
      <c r="L105" s="162"/>
      <c r="M105" s="77"/>
    </row>
    <row r="106" spans="1:13" ht="15.75" thickBot="1" x14ac:dyDescent="0.3">
      <c r="A106" s="104"/>
      <c r="B106" s="203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</row>
    <row r="107" spans="1:13" ht="15.75" thickTop="1" x14ac:dyDescent="0.25">
      <c r="A107" s="331" t="s">
        <v>340</v>
      </c>
      <c r="B107" s="332"/>
      <c r="C107" s="295" t="s">
        <v>229</v>
      </c>
      <c r="D107" s="295" t="s">
        <v>0</v>
      </c>
      <c r="E107" s="310" t="s">
        <v>230</v>
      </c>
      <c r="F107" s="311"/>
      <c r="G107" s="311"/>
      <c r="H107" s="311"/>
      <c r="I107" s="295" t="s">
        <v>0</v>
      </c>
      <c r="J107" s="310" t="s">
        <v>231</v>
      </c>
      <c r="K107" s="311"/>
      <c r="L107" s="311"/>
      <c r="M107" s="312"/>
    </row>
    <row r="108" spans="1:13" x14ac:dyDescent="0.25">
      <c r="A108" s="333"/>
      <c r="B108" s="334"/>
      <c r="C108" s="296"/>
      <c r="D108" s="296"/>
      <c r="E108" s="313" t="s">
        <v>234</v>
      </c>
      <c r="F108" s="314"/>
      <c r="G108" s="313" t="s">
        <v>341</v>
      </c>
      <c r="H108" s="315"/>
      <c r="I108" s="296"/>
      <c r="J108" s="313" t="s">
        <v>234</v>
      </c>
      <c r="K108" s="314"/>
      <c r="L108" s="313" t="s">
        <v>341</v>
      </c>
      <c r="M108" s="316"/>
    </row>
    <row r="109" spans="1:13" x14ac:dyDescent="0.25">
      <c r="A109" s="333"/>
      <c r="B109" s="334"/>
      <c r="C109" s="296"/>
      <c r="D109" s="296"/>
      <c r="E109" s="317" t="s">
        <v>236</v>
      </c>
      <c r="F109" s="319" t="s">
        <v>237</v>
      </c>
      <c r="G109" s="317" t="s">
        <v>236</v>
      </c>
      <c r="H109" s="321" t="s">
        <v>237</v>
      </c>
      <c r="I109" s="296"/>
      <c r="J109" s="323" t="s">
        <v>236</v>
      </c>
      <c r="K109" s="325" t="s">
        <v>237</v>
      </c>
      <c r="L109" s="323" t="s">
        <v>236</v>
      </c>
      <c r="M109" s="327" t="s">
        <v>237</v>
      </c>
    </row>
    <row r="110" spans="1:13" x14ac:dyDescent="0.25">
      <c r="A110" s="335"/>
      <c r="B110" s="336"/>
      <c r="C110" s="297"/>
      <c r="D110" s="297"/>
      <c r="E110" s="318"/>
      <c r="F110" s="320"/>
      <c r="G110" s="318"/>
      <c r="H110" s="322"/>
      <c r="I110" s="297"/>
      <c r="J110" s="324"/>
      <c r="K110" s="326"/>
      <c r="L110" s="324"/>
      <c r="M110" s="328"/>
    </row>
    <row r="111" spans="1:13" x14ac:dyDescent="0.25">
      <c r="A111" s="221" t="s">
        <v>239</v>
      </c>
      <c r="B111" s="204"/>
      <c r="C111" s="99"/>
      <c r="D111" s="106"/>
      <c r="E111" s="30"/>
      <c r="F111" s="107"/>
      <c r="G111" s="31"/>
      <c r="H111" s="108"/>
      <c r="I111" s="98"/>
      <c r="J111" s="31"/>
      <c r="K111" s="109"/>
      <c r="L111" s="31"/>
      <c r="M111" s="110"/>
    </row>
    <row r="112" spans="1:13" x14ac:dyDescent="0.25">
      <c r="A112" s="220" t="s">
        <v>241</v>
      </c>
      <c r="B112" s="180"/>
      <c r="C112" s="79" t="s">
        <v>342</v>
      </c>
      <c r="D112" s="181"/>
      <c r="E112" s="80"/>
      <c r="F112" s="182"/>
      <c r="G112" s="81"/>
      <c r="H112" s="183"/>
      <c r="I112" s="99"/>
      <c r="J112" s="81"/>
      <c r="K112" s="184"/>
      <c r="L112" s="81"/>
      <c r="M112" s="185"/>
    </row>
    <row r="113" spans="1:13" x14ac:dyDescent="0.25">
      <c r="A113" s="216" t="s">
        <v>244</v>
      </c>
      <c r="B113" s="207"/>
      <c r="C113" s="135"/>
      <c r="D113" s="137"/>
      <c r="E113" s="82"/>
      <c r="F113" s="186"/>
      <c r="G113" s="84"/>
      <c r="H113" s="187"/>
      <c r="I113" s="100"/>
      <c r="J113" s="84"/>
      <c r="K113" s="188"/>
      <c r="L113" s="84"/>
      <c r="M113" s="189"/>
    </row>
    <row r="114" spans="1:13" x14ac:dyDescent="0.25">
      <c r="A114" s="161">
        <v>1</v>
      </c>
      <c r="B114" s="180" t="s">
        <v>246</v>
      </c>
      <c r="C114" s="190"/>
      <c r="D114" s="137">
        <f>SUM(E114:H114)</f>
        <v>3914</v>
      </c>
      <c r="E114" s="82">
        <v>3187</v>
      </c>
      <c r="F114" s="83">
        <v>138</v>
      </c>
      <c r="G114" s="84">
        <v>583</v>
      </c>
      <c r="H114" s="85">
        <v>6</v>
      </c>
      <c r="I114" s="50">
        <f>SUM(J114:M114)</f>
        <v>2105</v>
      </c>
      <c r="J114" s="84">
        <v>831</v>
      </c>
      <c r="K114" s="86">
        <v>9</v>
      </c>
      <c r="L114" s="84">
        <v>1262</v>
      </c>
      <c r="M114" s="87">
        <v>3</v>
      </c>
    </row>
    <row r="115" spans="1:13" x14ac:dyDescent="0.25">
      <c r="A115" s="161">
        <v>2</v>
      </c>
      <c r="B115" s="207" t="s">
        <v>247</v>
      </c>
      <c r="C115" s="135"/>
      <c r="D115" s="137">
        <f>SUM(E115:H115)</f>
        <v>691</v>
      </c>
      <c r="E115" s="136">
        <v>659</v>
      </c>
      <c r="F115" s="186">
        <v>3</v>
      </c>
      <c r="G115" s="137">
        <v>29</v>
      </c>
      <c r="H115" s="187"/>
      <c r="I115" s="50">
        <f>SUM(J115:M115)</f>
        <v>38</v>
      </c>
      <c r="J115" s="137">
        <v>30</v>
      </c>
      <c r="K115" s="188"/>
      <c r="L115" s="137">
        <v>8</v>
      </c>
      <c r="M115" s="189"/>
    </row>
    <row r="116" spans="1:13" x14ac:dyDescent="0.25">
      <c r="A116" s="161">
        <v>3</v>
      </c>
      <c r="B116" s="207" t="s">
        <v>248</v>
      </c>
      <c r="C116" s="135"/>
      <c r="D116" s="137">
        <f>SUM(E116:H116)</f>
        <v>2804</v>
      </c>
      <c r="E116" s="136">
        <v>2643</v>
      </c>
      <c r="F116" s="48"/>
      <c r="G116" s="137">
        <v>161</v>
      </c>
      <c r="H116" s="49"/>
      <c r="I116" s="50">
        <f>SUM(J116:M116)</f>
        <v>519</v>
      </c>
      <c r="J116" s="137">
        <v>478</v>
      </c>
      <c r="K116" s="51"/>
      <c r="L116" s="137">
        <v>41</v>
      </c>
      <c r="M116" s="52"/>
    </row>
    <row r="117" spans="1:13" x14ac:dyDescent="0.25">
      <c r="A117" s="161">
        <v>4</v>
      </c>
      <c r="B117" s="207" t="s">
        <v>249</v>
      </c>
      <c r="C117" s="135"/>
      <c r="D117" s="137">
        <f>SUM(E117:H117)</f>
        <v>22</v>
      </c>
      <c r="E117" s="136">
        <v>22</v>
      </c>
      <c r="F117" s="48"/>
      <c r="G117" s="137"/>
      <c r="H117" s="49"/>
      <c r="I117" s="50">
        <f>SUM(J117:M117)</f>
        <v>0</v>
      </c>
      <c r="J117" s="137"/>
      <c r="K117" s="51"/>
      <c r="L117" s="137"/>
      <c r="M117" s="52"/>
    </row>
    <row r="118" spans="1:13" x14ac:dyDescent="0.25">
      <c r="A118" s="161" t="s">
        <v>250</v>
      </c>
      <c r="B118" s="207"/>
      <c r="C118" s="135"/>
      <c r="D118" s="137"/>
      <c r="E118" s="136"/>
      <c r="F118" s="48"/>
      <c r="G118" s="137"/>
      <c r="H118" s="49"/>
      <c r="I118" s="50"/>
      <c r="J118" s="137"/>
      <c r="K118" s="51"/>
      <c r="L118" s="137"/>
      <c r="M118" s="52"/>
    </row>
    <row r="119" spans="1:13" x14ac:dyDescent="0.25">
      <c r="A119" s="191">
        <v>1</v>
      </c>
      <c r="B119" s="207" t="s">
        <v>251</v>
      </c>
      <c r="C119" s="135"/>
      <c r="D119" s="137">
        <f t="shared" ref="D119:D128" si="9">SUM(E119:H119)</f>
        <v>1776</v>
      </c>
      <c r="E119" s="136">
        <v>1058</v>
      </c>
      <c r="F119" s="48">
        <v>454</v>
      </c>
      <c r="G119" s="137">
        <v>253</v>
      </c>
      <c r="H119" s="49">
        <v>11</v>
      </c>
      <c r="I119" s="50">
        <f t="shared" ref="I119:I128" si="10">SUM(J119:M119)</f>
        <v>893</v>
      </c>
      <c r="J119" s="137">
        <v>240</v>
      </c>
      <c r="K119" s="51">
        <v>123</v>
      </c>
      <c r="L119" s="137">
        <v>516</v>
      </c>
      <c r="M119" s="52">
        <v>14</v>
      </c>
    </row>
    <row r="120" spans="1:13" x14ac:dyDescent="0.25">
      <c r="A120" s="161">
        <v>2</v>
      </c>
      <c r="B120" s="207" t="s">
        <v>252</v>
      </c>
      <c r="C120" s="135"/>
      <c r="D120" s="137">
        <f t="shared" si="9"/>
        <v>1649</v>
      </c>
      <c r="E120" s="136">
        <v>1553</v>
      </c>
      <c r="F120" s="48">
        <v>27</v>
      </c>
      <c r="G120" s="137">
        <v>69</v>
      </c>
      <c r="H120" s="49"/>
      <c r="I120" s="50">
        <f t="shared" si="10"/>
        <v>216</v>
      </c>
      <c r="J120" s="137">
        <v>184</v>
      </c>
      <c r="K120" s="51">
        <v>1</v>
      </c>
      <c r="L120" s="137">
        <v>31</v>
      </c>
      <c r="M120" s="52"/>
    </row>
    <row r="121" spans="1:13" x14ac:dyDescent="0.25">
      <c r="A121" s="161">
        <v>3</v>
      </c>
      <c r="B121" s="207" t="s">
        <v>253</v>
      </c>
      <c r="C121" s="135"/>
      <c r="D121" s="137">
        <f t="shared" si="9"/>
        <v>2741</v>
      </c>
      <c r="E121" s="136">
        <v>1401</v>
      </c>
      <c r="F121" s="48">
        <v>1010</v>
      </c>
      <c r="G121" s="137">
        <v>92</v>
      </c>
      <c r="H121" s="49">
        <v>238</v>
      </c>
      <c r="I121" s="50">
        <f t="shared" si="10"/>
        <v>377</v>
      </c>
      <c r="J121" s="137">
        <v>89</v>
      </c>
      <c r="K121" s="51">
        <v>137</v>
      </c>
      <c r="L121" s="137">
        <v>68</v>
      </c>
      <c r="M121" s="52">
        <v>83</v>
      </c>
    </row>
    <row r="122" spans="1:13" x14ac:dyDescent="0.25">
      <c r="A122" s="161">
        <v>4</v>
      </c>
      <c r="B122" s="207" t="s">
        <v>254</v>
      </c>
      <c r="C122" s="135"/>
      <c r="D122" s="137">
        <f t="shared" si="9"/>
        <v>215</v>
      </c>
      <c r="E122" s="136">
        <v>181</v>
      </c>
      <c r="F122" s="48">
        <v>29</v>
      </c>
      <c r="G122" s="137">
        <v>5</v>
      </c>
      <c r="H122" s="49"/>
      <c r="I122" s="50">
        <f t="shared" si="10"/>
        <v>9</v>
      </c>
      <c r="J122" s="137">
        <v>7</v>
      </c>
      <c r="K122" s="51">
        <v>2</v>
      </c>
      <c r="L122" s="137"/>
      <c r="M122" s="52"/>
    </row>
    <row r="123" spans="1:13" x14ac:dyDescent="0.25">
      <c r="A123" s="161">
        <v>5</v>
      </c>
      <c r="B123" s="207" t="s">
        <v>255</v>
      </c>
      <c r="C123" s="135"/>
      <c r="D123" s="137">
        <f t="shared" si="9"/>
        <v>85</v>
      </c>
      <c r="E123" s="136">
        <v>70</v>
      </c>
      <c r="F123" s="48">
        <v>12</v>
      </c>
      <c r="G123" s="137">
        <v>3</v>
      </c>
      <c r="H123" s="49"/>
      <c r="I123" s="50">
        <f t="shared" si="10"/>
        <v>9</v>
      </c>
      <c r="J123" s="137">
        <v>8</v>
      </c>
      <c r="K123" s="51">
        <v>1</v>
      </c>
      <c r="L123" s="137"/>
      <c r="M123" s="52"/>
    </row>
    <row r="124" spans="1:13" x14ac:dyDescent="0.25">
      <c r="A124" s="161">
        <v>6</v>
      </c>
      <c r="B124" s="207" t="s">
        <v>256</v>
      </c>
      <c r="C124" s="135"/>
      <c r="D124" s="137">
        <f t="shared" si="9"/>
        <v>409</v>
      </c>
      <c r="E124" s="136">
        <v>403</v>
      </c>
      <c r="F124" s="48">
        <v>1</v>
      </c>
      <c r="G124" s="137">
        <v>5</v>
      </c>
      <c r="H124" s="49"/>
      <c r="I124" s="50">
        <f t="shared" si="10"/>
        <v>71</v>
      </c>
      <c r="J124" s="137">
        <v>71</v>
      </c>
      <c r="K124" s="51"/>
      <c r="L124" s="137"/>
      <c r="M124" s="52"/>
    </row>
    <row r="125" spans="1:13" x14ac:dyDescent="0.25">
      <c r="A125" s="161">
        <v>7</v>
      </c>
      <c r="B125" s="207" t="s">
        <v>257</v>
      </c>
      <c r="C125" s="135"/>
      <c r="D125" s="137">
        <f t="shared" si="9"/>
        <v>4824</v>
      </c>
      <c r="E125" s="136">
        <v>1087</v>
      </c>
      <c r="F125" s="48">
        <v>3090</v>
      </c>
      <c r="G125" s="137">
        <v>314</v>
      </c>
      <c r="H125" s="49">
        <v>333</v>
      </c>
      <c r="I125" s="50">
        <f t="shared" si="10"/>
        <v>5443</v>
      </c>
      <c r="J125" s="137">
        <v>774</v>
      </c>
      <c r="K125" s="51">
        <v>2648</v>
      </c>
      <c r="L125" s="137">
        <v>1200</v>
      </c>
      <c r="M125" s="52">
        <v>821</v>
      </c>
    </row>
    <row r="126" spans="1:13" x14ac:dyDescent="0.25">
      <c r="A126" s="161">
        <v>8</v>
      </c>
      <c r="B126" s="207" t="s">
        <v>258</v>
      </c>
      <c r="C126" s="135"/>
      <c r="D126" s="137">
        <f t="shared" si="9"/>
        <v>399</v>
      </c>
      <c r="E126" s="136">
        <v>286</v>
      </c>
      <c r="F126" s="48">
        <v>87</v>
      </c>
      <c r="G126" s="137">
        <v>22</v>
      </c>
      <c r="H126" s="49">
        <v>4</v>
      </c>
      <c r="I126" s="50">
        <f t="shared" si="10"/>
        <v>36</v>
      </c>
      <c r="J126" s="137">
        <v>32</v>
      </c>
      <c r="K126" s="51">
        <v>3</v>
      </c>
      <c r="L126" s="137">
        <v>1</v>
      </c>
      <c r="M126" s="52"/>
    </row>
    <row r="127" spans="1:13" x14ac:dyDescent="0.25">
      <c r="A127" s="161">
        <v>9</v>
      </c>
      <c r="B127" s="207" t="s">
        <v>259</v>
      </c>
      <c r="C127" s="135"/>
      <c r="D127" s="137">
        <f t="shared" si="9"/>
        <v>736</v>
      </c>
      <c r="E127" s="136">
        <v>158</v>
      </c>
      <c r="F127" s="48">
        <v>561</v>
      </c>
      <c r="G127" s="137">
        <v>12</v>
      </c>
      <c r="H127" s="49">
        <v>5</v>
      </c>
      <c r="I127" s="50">
        <f t="shared" si="10"/>
        <v>31</v>
      </c>
      <c r="J127" s="137">
        <v>4</v>
      </c>
      <c r="K127" s="51">
        <v>27</v>
      </c>
      <c r="L127" s="137"/>
      <c r="M127" s="52"/>
    </row>
    <row r="128" spans="1:13" x14ac:dyDescent="0.25">
      <c r="A128" s="161">
        <v>10</v>
      </c>
      <c r="B128" s="207" t="s">
        <v>260</v>
      </c>
      <c r="C128" s="135"/>
      <c r="D128" s="137">
        <f t="shared" si="9"/>
        <v>377</v>
      </c>
      <c r="E128" s="136">
        <v>259</v>
      </c>
      <c r="F128" s="48">
        <v>66</v>
      </c>
      <c r="G128" s="137">
        <v>50</v>
      </c>
      <c r="H128" s="49">
        <v>2</v>
      </c>
      <c r="I128" s="50">
        <f t="shared" si="10"/>
        <v>12</v>
      </c>
      <c r="J128" s="137">
        <v>5</v>
      </c>
      <c r="K128" s="51"/>
      <c r="L128" s="137">
        <v>6</v>
      </c>
      <c r="M128" s="52">
        <v>1</v>
      </c>
    </row>
    <row r="129" spans="1:13" x14ac:dyDescent="0.25">
      <c r="A129" s="134" t="s">
        <v>261</v>
      </c>
      <c r="B129" s="207"/>
      <c r="C129" s="135"/>
      <c r="D129" s="137"/>
      <c r="E129" s="136"/>
      <c r="F129" s="48"/>
      <c r="G129" s="137"/>
      <c r="H129" s="49"/>
      <c r="I129" s="50"/>
      <c r="J129" s="137"/>
      <c r="K129" s="51"/>
      <c r="L129" s="137"/>
      <c r="M129" s="52"/>
    </row>
    <row r="130" spans="1:13" x14ac:dyDescent="0.25">
      <c r="A130" s="216" t="s">
        <v>262</v>
      </c>
      <c r="B130" s="207"/>
      <c r="C130" s="135"/>
      <c r="D130" s="137"/>
      <c r="E130" s="136"/>
      <c r="F130" s="48"/>
      <c r="G130" s="137"/>
      <c r="H130" s="49"/>
      <c r="I130" s="50"/>
      <c r="J130" s="137"/>
      <c r="K130" s="51"/>
      <c r="L130" s="137"/>
      <c r="M130" s="52"/>
    </row>
    <row r="131" spans="1:13" x14ac:dyDescent="0.25">
      <c r="A131" s="161">
        <v>1</v>
      </c>
      <c r="B131" s="218" t="s">
        <v>263</v>
      </c>
      <c r="C131" s="135"/>
      <c r="D131" s="137">
        <f>SUM(E131:H131)</f>
        <v>110650</v>
      </c>
      <c r="E131" s="136">
        <v>4</v>
      </c>
      <c r="F131" s="48">
        <v>65957</v>
      </c>
      <c r="G131" s="137">
        <v>8</v>
      </c>
      <c r="H131" s="49">
        <v>44681</v>
      </c>
      <c r="I131" s="50">
        <f>SUM(J131:M131)</f>
        <v>144057</v>
      </c>
      <c r="J131" s="137">
        <v>14</v>
      </c>
      <c r="K131" s="51">
        <v>66546</v>
      </c>
      <c r="L131" s="137">
        <v>10</v>
      </c>
      <c r="M131" s="52">
        <v>77487</v>
      </c>
    </row>
    <row r="132" spans="1:13" x14ac:dyDescent="0.25">
      <c r="A132" s="216" t="s">
        <v>264</v>
      </c>
      <c r="B132" s="207"/>
      <c r="C132" s="135"/>
      <c r="D132" s="137"/>
      <c r="E132" s="136"/>
      <c r="F132" s="48"/>
      <c r="G132" s="137"/>
      <c r="H132" s="49"/>
      <c r="I132" s="50"/>
      <c r="J132" s="137"/>
      <c r="K132" s="51"/>
      <c r="L132" s="137"/>
      <c r="M132" s="52"/>
    </row>
    <row r="133" spans="1:13" x14ac:dyDescent="0.25">
      <c r="A133" s="161">
        <v>1</v>
      </c>
      <c r="B133" s="207" t="s">
        <v>265</v>
      </c>
      <c r="C133" s="135"/>
      <c r="D133" s="137">
        <f>SUM(E133:H133)</f>
        <v>2042</v>
      </c>
      <c r="E133" s="136">
        <v>1120</v>
      </c>
      <c r="F133" s="48">
        <v>743</v>
      </c>
      <c r="G133" s="137">
        <v>117</v>
      </c>
      <c r="H133" s="49">
        <v>62</v>
      </c>
      <c r="I133" s="50">
        <f>SUM(J133:M133)</f>
        <v>286</v>
      </c>
      <c r="J133" s="137">
        <v>184</v>
      </c>
      <c r="K133" s="51">
        <v>74</v>
      </c>
      <c r="L133" s="137">
        <v>18</v>
      </c>
      <c r="M133" s="52">
        <v>10</v>
      </c>
    </row>
    <row r="134" spans="1:13" x14ac:dyDescent="0.25">
      <c r="A134" s="161">
        <v>2</v>
      </c>
      <c r="B134" s="207" t="s">
        <v>149</v>
      </c>
      <c r="C134" s="135"/>
      <c r="D134" s="137">
        <f>SUM(E134:H134)</f>
        <v>62910</v>
      </c>
      <c r="E134" s="82">
        <v>1816</v>
      </c>
      <c r="F134" s="48">
        <v>4631</v>
      </c>
      <c r="G134" s="84">
        <v>11756</v>
      </c>
      <c r="H134" s="49">
        <v>44707</v>
      </c>
      <c r="I134" s="50">
        <f>SUM(J134:M134)</f>
        <v>55524</v>
      </c>
      <c r="J134" s="84">
        <v>585</v>
      </c>
      <c r="K134" s="51">
        <v>2006</v>
      </c>
      <c r="L134" s="84">
        <v>11404</v>
      </c>
      <c r="M134" s="52">
        <v>41529</v>
      </c>
    </row>
    <row r="135" spans="1:13" x14ac:dyDescent="0.25">
      <c r="A135" s="134" t="s">
        <v>266</v>
      </c>
      <c r="B135" s="207"/>
      <c r="C135" s="135"/>
      <c r="D135" s="137"/>
      <c r="E135" s="82"/>
      <c r="F135" s="48"/>
      <c r="G135" s="84"/>
      <c r="H135" s="49"/>
      <c r="I135" s="50"/>
      <c r="J135" s="84"/>
      <c r="K135" s="51"/>
      <c r="L135" s="84"/>
      <c r="M135" s="52"/>
    </row>
    <row r="136" spans="1:13" x14ac:dyDescent="0.25">
      <c r="A136" s="104" t="s">
        <v>267</v>
      </c>
      <c r="B136" s="207"/>
      <c r="C136" s="104"/>
      <c r="D136" s="137"/>
      <c r="E136" s="82"/>
      <c r="F136" s="48"/>
      <c r="G136" s="82"/>
      <c r="H136" s="48"/>
      <c r="I136" s="50"/>
      <c r="J136" s="84"/>
      <c r="K136" s="51"/>
      <c r="L136" s="82"/>
      <c r="M136" s="65"/>
    </row>
    <row r="137" spans="1:13" x14ac:dyDescent="0.25">
      <c r="A137" s="191">
        <v>1</v>
      </c>
      <c r="B137" s="207" t="s">
        <v>268</v>
      </c>
      <c r="C137" s="104"/>
      <c r="D137" s="137">
        <f>SUM(E137:H137)</f>
        <v>21976</v>
      </c>
      <c r="E137" s="82">
        <v>14964</v>
      </c>
      <c r="F137" s="48">
        <v>2607</v>
      </c>
      <c r="G137" s="82">
        <v>4225</v>
      </c>
      <c r="H137" s="48">
        <v>180</v>
      </c>
      <c r="I137" s="50">
        <f>SUM(J137:M137)</f>
        <v>6041</v>
      </c>
      <c r="J137" s="84">
        <v>3850</v>
      </c>
      <c r="K137" s="51">
        <v>244</v>
      </c>
      <c r="L137" s="82">
        <v>1916</v>
      </c>
      <c r="M137" s="65">
        <v>31</v>
      </c>
    </row>
    <row r="138" spans="1:13" x14ac:dyDescent="0.25">
      <c r="A138" s="161" t="s">
        <v>269</v>
      </c>
      <c r="B138" s="207"/>
      <c r="C138" s="104"/>
      <c r="D138" s="137"/>
      <c r="E138" s="82"/>
      <c r="F138" s="48"/>
      <c r="G138" s="82"/>
      <c r="H138" s="48"/>
      <c r="I138" s="50"/>
      <c r="J138" s="84"/>
      <c r="K138" s="51"/>
      <c r="L138" s="82"/>
      <c r="M138" s="65"/>
    </row>
    <row r="139" spans="1:13" x14ac:dyDescent="0.25">
      <c r="A139" s="191">
        <v>1</v>
      </c>
      <c r="B139" s="207" t="s">
        <v>270</v>
      </c>
      <c r="C139" s="104"/>
      <c r="D139" s="137">
        <f t="shared" ref="D139:D144" si="11">SUM(E139:H139)</f>
        <v>5911</v>
      </c>
      <c r="E139" s="82">
        <v>4820</v>
      </c>
      <c r="F139" s="48">
        <v>35</v>
      </c>
      <c r="G139" s="82">
        <v>1052</v>
      </c>
      <c r="H139" s="48">
        <v>4</v>
      </c>
      <c r="I139" s="50">
        <f t="shared" ref="I139:I144" si="12">SUM(J139:M139)</f>
        <v>1327</v>
      </c>
      <c r="J139" s="84">
        <v>974</v>
      </c>
      <c r="K139" s="51">
        <v>8</v>
      </c>
      <c r="L139" s="82">
        <v>337</v>
      </c>
      <c r="M139" s="65">
        <v>8</v>
      </c>
    </row>
    <row r="140" spans="1:13" x14ac:dyDescent="0.25">
      <c r="A140" s="161">
        <v>2</v>
      </c>
      <c r="B140" s="207" t="s">
        <v>271</v>
      </c>
      <c r="C140" s="104"/>
      <c r="D140" s="137">
        <f t="shared" si="11"/>
        <v>6062</v>
      </c>
      <c r="E140" s="82">
        <v>2356</v>
      </c>
      <c r="F140" s="48">
        <v>11</v>
      </c>
      <c r="G140" s="82">
        <v>3691</v>
      </c>
      <c r="H140" s="48">
        <v>4</v>
      </c>
      <c r="I140" s="50">
        <f t="shared" si="12"/>
        <v>3489</v>
      </c>
      <c r="J140" s="84">
        <v>844</v>
      </c>
      <c r="K140" s="51">
        <v>5</v>
      </c>
      <c r="L140" s="82">
        <v>2628</v>
      </c>
      <c r="M140" s="65">
        <v>12</v>
      </c>
    </row>
    <row r="141" spans="1:13" x14ac:dyDescent="0.25">
      <c r="A141" s="161">
        <v>3</v>
      </c>
      <c r="B141" s="207" t="s">
        <v>272</v>
      </c>
      <c r="C141" s="104"/>
      <c r="D141" s="137">
        <f t="shared" si="11"/>
        <v>3328</v>
      </c>
      <c r="E141" s="82">
        <v>2736</v>
      </c>
      <c r="F141" s="48">
        <v>18</v>
      </c>
      <c r="G141" s="82">
        <v>574</v>
      </c>
      <c r="H141" s="48"/>
      <c r="I141" s="50">
        <f t="shared" si="12"/>
        <v>194</v>
      </c>
      <c r="J141" s="84">
        <v>147</v>
      </c>
      <c r="K141" s="51"/>
      <c r="L141" s="82">
        <v>47</v>
      </c>
      <c r="M141" s="65"/>
    </row>
    <row r="142" spans="1:13" x14ac:dyDescent="0.25">
      <c r="A142" s="161">
        <v>4</v>
      </c>
      <c r="B142" s="207" t="s">
        <v>273</v>
      </c>
      <c r="C142" s="104"/>
      <c r="D142" s="137">
        <f t="shared" si="11"/>
        <v>1575</v>
      </c>
      <c r="E142" s="82">
        <v>372</v>
      </c>
      <c r="F142" s="48">
        <v>5</v>
      </c>
      <c r="G142" s="82">
        <v>1195</v>
      </c>
      <c r="H142" s="48">
        <v>3</v>
      </c>
      <c r="I142" s="50">
        <f t="shared" si="12"/>
        <v>0</v>
      </c>
      <c r="J142" s="84"/>
      <c r="K142" s="51"/>
      <c r="L142" s="82"/>
      <c r="M142" s="65"/>
    </row>
    <row r="143" spans="1:13" x14ac:dyDescent="0.25">
      <c r="A143" s="161">
        <v>5</v>
      </c>
      <c r="B143" s="207" t="s">
        <v>274</v>
      </c>
      <c r="C143" s="104"/>
      <c r="D143" s="137">
        <f t="shared" si="11"/>
        <v>2803</v>
      </c>
      <c r="E143" s="82">
        <v>2293</v>
      </c>
      <c r="F143" s="48">
        <v>135</v>
      </c>
      <c r="G143" s="82">
        <v>373</v>
      </c>
      <c r="H143" s="48">
        <v>2</v>
      </c>
      <c r="I143" s="50">
        <f t="shared" si="12"/>
        <v>383</v>
      </c>
      <c r="J143" s="84">
        <v>205</v>
      </c>
      <c r="K143" s="51">
        <v>38</v>
      </c>
      <c r="L143" s="82">
        <v>133</v>
      </c>
      <c r="M143" s="65">
        <v>7</v>
      </c>
    </row>
    <row r="144" spans="1:13" x14ac:dyDescent="0.25">
      <c r="A144" s="161">
        <v>6</v>
      </c>
      <c r="B144" s="207" t="s">
        <v>275</v>
      </c>
      <c r="C144" s="104"/>
      <c r="D144" s="137">
        <f t="shared" si="11"/>
        <v>1540</v>
      </c>
      <c r="E144" s="82">
        <v>482</v>
      </c>
      <c r="F144" s="48"/>
      <c r="G144" s="82">
        <v>1054</v>
      </c>
      <c r="H144" s="48">
        <v>4</v>
      </c>
      <c r="I144" s="50">
        <f t="shared" si="12"/>
        <v>107</v>
      </c>
      <c r="J144" s="84">
        <v>19</v>
      </c>
      <c r="K144" s="51"/>
      <c r="L144" s="82">
        <v>88</v>
      </c>
      <c r="M144" s="65"/>
    </row>
    <row r="145" spans="1:13" x14ac:dyDescent="0.25">
      <c r="A145" s="153" t="s">
        <v>276</v>
      </c>
      <c r="B145" s="207"/>
      <c r="C145" s="192" t="s">
        <v>343</v>
      </c>
      <c r="D145" s="137"/>
      <c r="E145" s="82"/>
      <c r="F145" s="48"/>
      <c r="G145" s="82"/>
      <c r="H145" s="48"/>
      <c r="I145" s="50"/>
      <c r="J145" s="84"/>
      <c r="K145" s="51"/>
      <c r="L145" s="82"/>
      <c r="M145" s="65"/>
    </row>
    <row r="146" spans="1:13" x14ac:dyDescent="0.25">
      <c r="A146" s="219" t="s">
        <v>278</v>
      </c>
      <c r="B146" s="207"/>
      <c r="C146" s="104"/>
      <c r="D146" s="137"/>
      <c r="E146" s="82"/>
      <c r="F146" s="48"/>
      <c r="G146" s="82"/>
      <c r="H146" s="48"/>
      <c r="I146" s="50"/>
      <c r="J146" s="84"/>
      <c r="K146" s="51"/>
      <c r="L146" s="82"/>
      <c r="M146" s="65"/>
    </row>
    <row r="147" spans="1:13" x14ac:dyDescent="0.25">
      <c r="A147" s="161">
        <v>1</v>
      </c>
      <c r="B147" s="207" t="s">
        <v>279</v>
      </c>
      <c r="C147" s="104"/>
      <c r="D147" s="137">
        <f>SUM(E147:H147)</f>
        <v>45662</v>
      </c>
      <c r="E147" s="82">
        <v>8015</v>
      </c>
      <c r="F147" s="48">
        <v>423</v>
      </c>
      <c r="G147" s="82">
        <v>22635</v>
      </c>
      <c r="H147" s="48">
        <v>14589</v>
      </c>
      <c r="I147" s="50">
        <f>SUM(J147:M147)</f>
        <v>923929</v>
      </c>
      <c r="J147" s="84">
        <v>72280</v>
      </c>
      <c r="K147" s="51">
        <v>4678</v>
      </c>
      <c r="L147" s="82">
        <v>423615</v>
      </c>
      <c r="M147" s="65">
        <v>423356</v>
      </c>
    </row>
    <row r="148" spans="1:13" x14ac:dyDescent="0.25">
      <c r="A148" s="161">
        <v>2</v>
      </c>
      <c r="B148" s="207" t="s">
        <v>280</v>
      </c>
      <c r="C148" s="104"/>
      <c r="D148" s="137">
        <f>SUM(E148:H148)</f>
        <v>244</v>
      </c>
      <c r="E148" s="82">
        <v>152</v>
      </c>
      <c r="F148" s="48">
        <v>4</v>
      </c>
      <c r="G148" s="82">
        <v>85</v>
      </c>
      <c r="H148" s="48">
        <v>3</v>
      </c>
      <c r="I148" s="50">
        <f>SUM(J148:M148)</f>
        <v>1617</v>
      </c>
      <c r="J148" s="84">
        <v>772</v>
      </c>
      <c r="K148" s="51">
        <v>5</v>
      </c>
      <c r="L148" s="82">
        <v>813</v>
      </c>
      <c r="M148" s="65">
        <v>27</v>
      </c>
    </row>
    <row r="149" spans="1:13" x14ac:dyDescent="0.25">
      <c r="A149" s="161">
        <v>3</v>
      </c>
      <c r="B149" s="207" t="s">
        <v>281</v>
      </c>
      <c r="C149" s="104"/>
      <c r="D149" s="137">
        <f>SUM(E149:H149)</f>
        <v>1</v>
      </c>
      <c r="E149" s="82"/>
      <c r="F149" s="48"/>
      <c r="G149" s="82">
        <v>1</v>
      </c>
      <c r="H149" s="48"/>
      <c r="I149" s="50">
        <f>SUM(J149:M149)</f>
        <v>219</v>
      </c>
      <c r="J149" s="84">
        <v>40</v>
      </c>
      <c r="K149" s="51">
        <v>6</v>
      </c>
      <c r="L149" s="82">
        <v>152</v>
      </c>
      <c r="M149" s="65">
        <v>21</v>
      </c>
    </row>
    <row r="150" spans="1:13" x14ac:dyDescent="0.25">
      <c r="A150" s="161">
        <v>4</v>
      </c>
      <c r="B150" s="207" t="s">
        <v>282</v>
      </c>
      <c r="C150" s="104"/>
      <c r="D150" s="137">
        <f>SUM(E150:H150)</f>
        <v>2558</v>
      </c>
      <c r="E150" s="82">
        <v>902</v>
      </c>
      <c r="F150" s="48"/>
      <c r="G150" s="82">
        <v>1654</v>
      </c>
      <c r="H150" s="48">
        <v>2</v>
      </c>
      <c r="I150" s="50">
        <f>SUM(J150:M150)</f>
        <v>1392</v>
      </c>
      <c r="J150" s="84">
        <v>460</v>
      </c>
      <c r="K150" s="51"/>
      <c r="L150" s="82">
        <v>932</v>
      </c>
      <c r="M150" s="65"/>
    </row>
    <row r="151" spans="1:13" x14ac:dyDescent="0.25">
      <c r="A151" s="153" t="s">
        <v>283</v>
      </c>
      <c r="B151" s="207"/>
      <c r="C151" s="104"/>
      <c r="D151" s="137"/>
      <c r="E151" s="82"/>
      <c r="F151" s="48"/>
      <c r="G151" s="82"/>
      <c r="H151" s="48"/>
      <c r="I151" s="50"/>
      <c r="J151" s="84"/>
      <c r="K151" s="51"/>
      <c r="L151" s="82"/>
      <c r="M151" s="65"/>
    </row>
    <row r="152" spans="1:13" x14ac:dyDescent="0.25">
      <c r="A152" s="219" t="s">
        <v>284</v>
      </c>
      <c r="B152" s="207"/>
      <c r="C152" s="104"/>
      <c r="D152" s="137"/>
      <c r="E152" s="82"/>
      <c r="F152" s="48"/>
      <c r="G152" s="82"/>
      <c r="H152" s="48"/>
      <c r="I152" s="50"/>
      <c r="J152" s="84"/>
      <c r="K152" s="51"/>
      <c r="L152" s="82"/>
      <c r="M152" s="65"/>
    </row>
    <row r="153" spans="1:13" x14ac:dyDescent="0.25">
      <c r="A153" s="161">
        <v>1</v>
      </c>
      <c r="B153" s="207" t="s">
        <v>285</v>
      </c>
      <c r="C153" s="104"/>
      <c r="D153" s="137">
        <f t="shared" ref="D153:D165" si="13">SUM(E153:H153)</f>
        <v>2401</v>
      </c>
      <c r="E153" s="82">
        <v>1592</v>
      </c>
      <c r="F153" s="48">
        <v>316</v>
      </c>
      <c r="G153" s="82">
        <v>407</v>
      </c>
      <c r="H153" s="48">
        <v>86</v>
      </c>
      <c r="I153" s="50">
        <f t="shared" ref="I153:I165" si="14">SUM(J153:M153)</f>
        <v>63</v>
      </c>
      <c r="J153" s="84">
        <v>36</v>
      </c>
      <c r="K153" s="51">
        <v>6</v>
      </c>
      <c r="L153" s="82">
        <v>17</v>
      </c>
      <c r="M153" s="65">
        <v>4</v>
      </c>
    </row>
    <row r="154" spans="1:13" x14ac:dyDescent="0.25">
      <c r="A154" s="161">
        <v>2</v>
      </c>
      <c r="B154" s="207" t="s">
        <v>286</v>
      </c>
      <c r="C154" s="104"/>
      <c r="D154" s="137">
        <f t="shared" si="13"/>
        <v>117</v>
      </c>
      <c r="E154" s="82">
        <v>103</v>
      </c>
      <c r="F154" s="48">
        <v>11</v>
      </c>
      <c r="G154" s="82">
        <v>3</v>
      </c>
      <c r="H154" s="48"/>
      <c r="I154" s="50">
        <f t="shared" si="14"/>
        <v>9</v>
      </c>
      <c r="J154" s="84">
        <v>9</v>
      </c>
      <c r="K154" s="51"/>
      <c r="L154" s="82"/>
      <c r="M154" s="65"/>
    </row>
    <row r="155" spans="1:13" x14ac:dyDescent="0.25">
      <c r="A155" s="161">
        <v>3</v>
      </c>
      <c r="B155" s="207" t="s">
        <v>287</v>
      </c>
      <c r="C155" s="104"/>
      <c r="D155" s="137">
        <f t="shared" si="13"/>
        <v>51</v>
      </c>
      <c r="E155" s="82">
        <v>46</v>
      </c>
      <c r="F155" s="48"/>
      <c r="G155" s="82">
        <v>5</v>
      </c>
      <c r="H155" s="48"/>
      <c r="I155" s="50">
        <f t="shared" si="14"/>
        <v>0</v>
      </c>
      <c r="J155" s="84"/>
      <c r="K155" s="51"/>
      <c r="L155" s="82"/>
      <c r="M155" s="65"/>
    </row>
    <row r="156" spans="1:13" x14ac:dyDescent="0.25">
      <c r="A156" s="161">
        <v>4</v>
      </c>
      <c r="B156" s="207" t="s">
        <v>288</v>
      </c>
      <c r="C156" s="104"/>
      <c r="D156" s="137">
        <f t="shared" si="13"/>
        <v>118</v>
      </c>
      <c r="E156" s="82">
        <v>41</v>
      </c>
      <c r="F156" s="48">
        <v>1</v>
      </c>
      <c r="G156" s="82">
        <v>69</v>
      </c>
      <c r="H156" s="48">
        <v>7</v>
      </c>
      <c r="I156" s="50">
        <f t="shared" si="14"/>
        <v>5</v>
      </c>
      <c r="J156" s="84">
        <v>1</v>
      </c>
      <c r="K156" s="51"/>
      <c r="L156" s="82">
        <v>4</v>
      </c>
      <c r="M156" s="65"/>
    </row>
    <row r="157" spans="1:13" x14ac:dyDescent="0.25">
      <c r="A157" s="161">
        <v>5</v>
      </c>
      <c r="B157" s="207" t="s">
        <v>289</v>
      </c>
      <c r="C157" s="104"/>
      <c r="D157" s="137">
        <f t="shared" si="13"/>
        <v>44</v>
      </c>
      <c r="E157" s="82">
        <v>39</v>
      </c>
      <c r="F157" s="48">
        <v>1</v>
      </c>
      <c r="G157" s="82">
        <v>3</v>
      </c>
      <c r="H157" s="48">
        <v>1</v>
      </c>
      <c r="I157" s="50">
        <f t="shared" si="14"/>
        <v>3</v>
      </c>
      <c r="J157" s="84">
        <v>3</v>
      </c>
      <c r="K157" s="51"/>
      <c r="L157" s="82"/>
      <c r="M157" s="65"/>
    </row>
    <row r="158" spans="1:13" x14ac:dyDescent="0.25">
      <c r="A158" s="161">
        <v>6</v>
      </c>
      <c r="B158" s="207" t="s">
        <v>290</v>
      </c>
      <c r="C158" s="104"/>
      <c r="D158" s="137">
        <f t="shared" si="13"/>
        <v>251</v>
      </c>
      <c r="E158" s="82">
        <v>232</v>
      </c>
      <c r="F158" s="48">
        <v>3</v>
      </c>
      <c r="G158" s="82">
        <v>16</v>
      </c>
      <c r="H158" s="48"/>
      <c r="I158" s="50">
        <f t="shared" si="14"/>
        <v>17</v>
      </c>
      <c r="J158" s="84">
        <v>15</v>
      </c>
      <c r="K158" s="51"/>
      <c r="L158" s="82">
        <v>2</v>
      </c>
      <c r="M158" s="65"/>
    </row>
    <row r="159" spans="1:13" x14ac:dyDescent="0.25">
      <c r="A159" s="161">
        <v>7</v>
      </c>
      <c r="B159" s="207" t="s">
        <v>291</v>
      </c>
      <c r="C159" s="104"/>
      <c r="D159" s="137">
        <f t="shared" si="13"/>
        <v>10</v>
      </c>
      <c r="E159" s="82">
        <v>10</v>
      </c>
      <c r="F159" s="48"/>
      <c r="G159" s="82"/>
      <c r="H159" s="48"/>
      <c r="I159" s="50">
        <f t="shared" si="14"/>
        <v>0</v>
      </c>
      <c r="J159" s="84"/>
      <c r="K159" s="51"/>
      <c r="L159" s="82"/>
      <c r="M159" s="65"/>
    </row>
    <row r="160" spans="1:13" x14ac:dyDescent="0.25">
      <c r="A160" s="161">
        <v>8</v>
      </c>
      <c r="B160" s="207" t="s">
        <v>292</v>
      </c>
      <c r="C160" s="104"/>
      <c r="D160" s="137">
        <f t="shared" si="13"/>
        <v>270</v>
      </c>
      <c r="E160" s="82">
        <v>208</v>
      </c>
      <c r="F160" s="48">
        <v>7</v>
      </c>
      <c r="G160" s="82">
        <v>10</v>
      </c>
      <c r="H160" s="48">
        <v>45</v>
      </c>
      <c r="I160" s="50">
        <f t="shared" si="14"/>
        <v>78</v>
      </c>
      <c r="J160" s="84">
        <v>31</v>
      </c>
      <c r="K160" s="51">
        <v>1</v>
      </c>
      <c r="L160" s="82">
        <v>41</v>
      </c>
      <c r="M160" s="65">
        <v>5</v>
      </c>
    </row>
    <row r="161" spans="1:13" x14ac:dyDescent="0.25">
      <c r="A161" s="161">
        <v>9</v>
      </c>
      <c r="B161" s="207" t="s">
        <v>293</v>
      </c>
      <c r="C161" s="104"/>
      <c r="D161" s="137">
        <f t="shared" si="13"/>
        <v>750</v>
      </c>
      <c r="E161" s="82">
        <v>693</v>
      </c>
      <c r="F161" s="48">
        <v>3</v>
      </c>
      <c r="G161" s="82">
        <v>54</v>
      </c>
      <c r="H161" s="48"/>
      <c r="I161" s="50">
        <f t="shared" si="14"/>
        <v>75</v>
      </c>
      <c r="J161" s="84">
        <v>71</v>
      </c>
      <c r="K161" s="51"/>
      <c r="L161" s="82">
        <v>4</v>
      </c>
      <c r="M161" s="65"/>
    </row>
    <row r="162" spans="1:13" x14ac:dyDescent="0.25">
      <c r="A162" s="161">
        <v>10</v>
      </c>
      <c r="B162" s="207" t="s">
        <v>294</v>
      </c>
      <c r="C162" s="104"/>
      <c r="D162" s="137">
        <f t="shared" si="13"/>
        <v>3185</v>
      </c>
      <c r="E162" s="82">
        <v>2017</v>
      </c>
      <c r="F162" s="48">
        <v>6</v>
      </c>
      <c r="G162" s="82">
        <v>1160</v>
      </c>
      <c r="H162" s="48">
        <v>2</v>
      </c>
      <c r="I162" s="50">
        <f t="shared" si="14"/>
        <v>402</v>
      </c>
      <c r="J162" s="84">
        <v>264</v>
      </c>
      <c r="K162" s="51"/>
      <c r="L162" s="82">
        <v>138</v>
      </c>
      <c r="M162" s="65"/>
    </row>
    <row r="163" spans="1:13" x14ac:dyDescent="0.25">
      <c r="A163" s="161">
        <v>11</v>
      </c>
      <c r="B163" s="207" t="s">
        <v>295</v>
      </c>
      <c r="C163" s="104"/>
      <c r="D163" s="137">
        <f t="shared" si="13"/>
        <v>270</v>
      </c>
      <c r="E163" s="82">
        <v>219</v>
      </c>
      <c r="F163" s="48"/>
      <c r="G163" s="82">
        <v>51</v>
      </c>
      <c r="H163" s="48"/>
      <c r="I163" s="50">
        <f t="shared" si="14"/>
        <v>24</v>
      </c>
      <c r="J163" s="84">
        <v>18</v>
      </c>
      <c r="K163" s="51"/>
      <c r="L163" s="82">
        <v>6</v>
      </c>
      <c r="M163" s="65"/>
    </row>
    <row r="164" spans="1:13" x14ac:dyDescent="0.25">
      <c r="A164" s="161">
        <v>12</v>
      </c>
      <c r="B164" s="207" t="s">
        <v>296</v>
      </c>
      <c r="C164" s="104"/>
      <c r="D164" s="137">
        <f t="shared" si="13"/>
        <v>1119</v>
      </c>
      <c r="E164" s="82">
        <v>683</v>
      </c>
      <c r="F164" s="48">
        <v>21</v>
      </c>
      <c r="G164" s="82">
        <v>404</v>
      </c>
      <c r="H164" s="48">
        <v>11</v>
      </c>
      <c r="I164" s="50">
        <f t="shared" si="14"/>
        <v>49</v>
      </c>
      <c r="J164" s="84">
        <v>36</v>
      </c>
      <c r="K164" s="51"/>
      <c r="L164" s="82">
        <v>13</v>
      </c>
      <c r="M164" s="65"/>
    </row>
    <row r="165" spans="1:13" x14ac:dyDescent="0.25">
      <c r="A165" s="161">
        <v>13</v>
      </c>
      <c r="B165" s="207" t="s">
        <v>297</v>
      </c>
      <c r="C165" s="104"/>
      <c r="D165" s="137">
        <f t="shared" si="13"/>
        <v>16</v>
      </c>
      <c r="E165" s="82">
        <v>14</v>
      </c>
      <c r="F165" s="48">
        <v>1</v>
      </c>
      <c r="G165" s="82">
        <v>1</v>
      </c>
      <c r="H165" s="48"/>
      <c r="I165" s="50">
        <f t="shared" si="14"/>
        <v>0</v>
      </c>
      <c r="J165" s="84"/>
      <c r="K165" s="51"/>
      <c r="L165" s="82"/>
      <c r="M165" s="65"/>
    </row>
    <row r="166" spans="1:13" x14ac:dyDescent="0.25">
      <c r="A166" s="216" t="s">
        <v>298</v>
      </c>
      <c r="B166" s="207"/>
      <c r="C166" s="104"/>
      <c r="D166" s="137"/>
      <c r="E166" s="82"/>
      <c r="F166" s="48"/>
      <c r="G166" s="82"/>
      <c r="H166" s="48"/>
      <c r="I166" s="50"/>
      <c r="J166" s="84"/>
      <c r="K166" s="51"/>
      <c r="L166" s="82"/>
      <c r="M166" s="65"/>
    </row>
    <row r="167" spans="1:13" x14ac:dyDescent="0.25">
      <c r="A167" s="161">
        <v>1</v>
      </c>
      <c r="B167" s="207" t="s">
        <v>299</v>
      </c>
      <c r="C167" s="104"/>
      <c r="D167" s="137">
        <f>SUM(E167:H167)</f>
        <v>3086</v>
      </c>
      <c r="E167" s="82">
        <v>955</v>
      </c>
      <c r="F167" s="48"/>
      <c r="G167" s="82">
        <v>2131</v>
      </c>
      <c r="H167" s="48"/>
      <c r="I167" s="50">
        <f>SUM(J167:M167)</f>
        <v>5586</v>
      </c>
      <c r="J167" s="84">
        <v>950</v>
      </c>
      <c r="K167" s="51"/>
      <c r="L167" s="82">
        <v>4636</v>
      </c>
      <c r="M167" s="65"/>
    </row>
    <row r="168" spans="1:13" x14ac:dyDescent="0.25">
      <c r="A168" s="161">
        <v>2</v>
      </c>
      <c r="B168" s="207" t="s">
        <v>300</v>
      </c>
      <c r="C168" s="104"/>
      <c r="D168" s="137">
        <f>SUM(E168:H168)</f>
        <v>14811</v>
      </c>
      <c r="E168" s="82">
        <v>6148</v>
      </c>
      <c r="F168" s="48">
        <v>3</v>
      </c>
      <c r="G168" s="82">
        <v>8659</v>
      </c>
      <c r="H168" s="48">
        <v>1</v>
      </c>
      <c r="I168" s="50">
        <f>SUM(J168:M168)</f>
        <v>5391</v>
      </c>
      <c r="J168" s="84">
        <v>1789</v>
      </c>
      <c r="K168" s="51"/>
      <c r="L168" s="82">
        <v>3602</v>
      </c>
      <c r="M168" s="65"/>
    </row>
    <row r="169" spans="1:13" x14ac:dyDescent="0.25">
      <c r="A169" s="161">
        <v>3</v>
      </c>
      <c r="B169" s="207" t="s">
        <v>301</v>
      </c>
      <c r="C169" s="104"/>
      <c r="D169" s="137">
        <f>SUM(E169:H169)</f>
        <v>207</v>
      </c>
      <c r="E169" s="82">
        <v>156</v>
      </c>
      <c r="F169" s="48"/>
      <c r="G169" s="82">
        <v>51</v>
      </c>
      <c r="H169" s="48"/>
      <c r="I169" s="50">
        <f>SUM(J169:M169)</f>
        <v>1373</v>
      </c>
      <c r="J169" s="84">
        <v>466</v>
      </c>
      <c r="K169" s="51">
        <v>1</v>
      </c>
      <c r="L169" s="82">
        <v>904</v>
      </c>
      <c r="M169" s="65">
        <v>2</v>
      </c>
    </row>
    <row r="170" spans="1:13" x14ac:dyDescent="0.25">
      <c r="A170" s="161">
        <v>4</v>
      </c>
      <c r="B170" s="207" t="s">
        <v>302</v>
      </c>
      <c r="C170" s="104"/>
      <c r="D170" s="137">
        <f>SUM(E170:H170)</f>
        <v>472</v>
      </c>
      <c r="E170" s="82">
        <v>255</v>
      </c>
      <c r="F170" s="48">
        <v>1</v>
      </c>
      <c r="G170" s="82">
        <v>215</v>
      </c>
      <c r="H170" s="48">
        <v>1</v>
      </c>
      <c r="I170" s="50">
        <f>SUM(J170:M170)</f>
        <v>58</v>
      </c>
      <c r="J170" s="84">
        <v>15</v>
      </c>
      <c r="K170" s="51"/>
      <c r="L170" s="82">
        <v>43</v>
      </c>
      <c r="M170" s="65"/>
    </row>
    <row r="171" spans="1:13" x14ac:dyDescent="0.25">
      <c r="A171" s="216" t="s">
        <v>303</v>
      </c>
      <c r="B171" s="207"/>
      <c r="C171" s="104"/>
      <c r="D171" s="137"/>
      <c r="E171" s="82"/>
      <c r="F171" s="48"/>
      <c r="G171" s="82"/>
      <c r="H171" s="48"/>
      <c r="I171" s="50"/>
      <c r="J171" s="84"/>
      <c r="K171" s="51"/>
      <c r="L171" s="82"/>
      <c r="M171" s="65"/>
    </row>
    <row r="172" spans="1:13" x14ac:dyDescent="0.25">
      <c r="A172" s="161">
        <v>1</v>
      </c>
      <c r="B172" s="207" t="s">
        <v>304</v>
      </c>
      <c r="C172" s="104"/>
      <c r="D172" s="137">
        <f>SUM(E172:H172)</f>
        <v>2955</v>
      </c>
      <c r="E172" s="82">
        <v>1344</v>
      </c>
      <c r="F172" s="48">
        <v>1496</v>
      </c>
      <c r="G172" s="82">
        <v>66</v>
      </c>
      <c r="H172" s="48">
        <v>49</v>
      </c>
      <c r="I172" s="50">
        <f>SUM(J172:M172)</f>
        <v>116</v>
      </c>
      <c r="J172" s="88">
        <v>72</v>
      </c>
      <c r="K172" s="51">
        <v>32</v>
      </c>
      <c r="L172" s="82">
        <v>6</v>
      </c>
      <c r="M172" s="65">
        <v>6</v>
      </c>
    </row>
    <row r="173" spans="1:13" x14ac:dyDescent="0.25">
      <c r="A173" s="161">
        <v>2</v>
      </c>
      <c r="B173" s="207" t="s">
        <v>305</v>
      </c>
      <c r="C173" s="104"/>
      <c r="D173" s="137">
        <f>SUM(E173:H173)</f>
        <v>9466</v>
      </c>
      <c r="E173" s="82">
        <v>2650</v>
      </c>
      <c r="F173" s="48">
        <v>3569</v>
      </c>
      <c r="G173" s="82">
        <v>2279</v>
      </c>
      <c r="H173" s="48">
        <v>968</v>
      </c>
      <c r="I173" s="50">
        <f>SUM(J173:M173)</f>
        <v>645</v>
      </c>
      <c r="J173" s="84">
        <v>172</v>
      </c>
      <c r="K173" s="51">
        <v>213</v>
      </c>
      <c r="L173" s="82">
        <v>197</v>
      </c>
      <c r="M173" s="65">
        <v>63</v>
      </c>
    </row>
    <row r="174" spans="1:13" x14ac:dyDescent="0.25">
      <c r="A174" s="161">
        <v>3</v>
      </c>
      <c r="B174" s="207" t="s">
        <v>306</v>
      </c>
      <c r="C174" s="104"/>
      <c r="D174" s="137">
        <f>SUM(E174:H174)</f>
        <v>28</v>
      </c>
      <c r="E174" s="82">
        <v>20</v>
      </c>
      <c r="F174" s="48"/>
      <c r="G174" s="82">
        <v>7</v>
      </c>
      <c r="H174" s="48">
        <v>1</v>
      </c>
      <c r="I174" s="50">
        <f>SUM(J174:M174)</f>
        <v>10</v>
      </c>
      <c r="J174" s="84">
        <v>8</v>
      </c>
      <c r="K174" s="51"/>
      <c r="L174" s="82">
        <v>2</v>
      </c>
      <c r="M174" s="65"/>
    </row>
    <row r="175" spans="1:13" x14ac:dyDescent="0.25">
      <c r="A175" s="216" t="s">
        <v>307</v>
      </c>
      <c r="B175" s="207"/>
      <c r="C175" s="192" t="s">
        <v>344</v>
      </c>
      <c r="D175" s="137"/>
      <c r="E175" s="82"/>
      <c r="F175" s="48"/>
      <c r="G175" s="82"/>
      <c r="H175" s="48"/>
      <c r="I175" s="50"/>
      <c r="J175" s="84"/>
      <c r="K175" s="51"/>
      <c r="L175" s="82"/>
      <c r="M175" s="65"/>
    </row>
    <row r="176" spans="1:13" x14ac:dyDescent="0.25">
      <c r="A176" s="161">
        <v>1</v>
      </c>
      <c r="B176" s="207" t="s">
        <v>309</v>
      </c>
      <c r="C176" s="104"/>
      <c r="D176" s="137">
        <f>SUM(E176:H176)</f>
        <v>3393</v>
      </c>
      <c r="E176" s="82">
        <v>1693</v>
      </c>
      <c r="F176" s="48">
        <v>74</v>
      </c>
      <c r="G176" s="82">
        <v>1484</v>
      </c>
      <c r="H176" s="48">
        <v>142</v>
      </c>
      <c r="I176" s="50">
        <f>SUM(J176:M176)</f>
        <v>551</v>
      </c>
      <c r="J176" s="84">
        <v>209</v>
      </c>
      <c r="K176" s="51">
        <v>8</v>
      </c>
      <c r="L176" s="82">
        <v>243</v>
      </c>
      <c r="M176" s="65">
        <v>91</v>
      </c>
    </row>
    <row r="177" spans="1:13" x14ac:dyDescent="0.25">
      <c r="A177" s="161">
        <v>2</v>
      </c>
      <c r="B177" s="207" t="s">
        <v>310</v>
      </c>
      <c r="C177" s="104"/>
      <c r="D177" s="137">
        <f>SUM(E177:H177)</f>
        <v>5700</v>
      </c>
      <c r="E177" s="82">
        <v>2204</v>
      </c>
      <c r="F177" s="48">
        <v>386</v>
      </c>
      <c r="G177" s="82">
        <v>2748</v>
      </c>
      <c r="H177" s="48">
        <v>362</v>
      </c>
      <c r="I177" s="50">
        <f>SUM(J177:M177)</f>
        <v>547</v>
      </c>
      <c r="J177" s="84">
        <v>249</v>
      </c>
      <c r="K177" s="51">
        <v>21</v>
      </c>
      <c r="L177" s="82">
        <v>245</v>
      </c>
      <c r="M177" s="65">
        <v>32</v>
      </c>
    </row>
    <row r="178" spans="1:13" x14ac:dyDescent="0.25">
      <c r="A178" s="161">
        <v>3</v>
      </c>
      <c r="B178" s="207" t="s">
        <v>311</v>
      </c>
      <c r="C178" s="104"/>
      <c r="D178" s="137">
        <f>SUM(E178:H178)</f>
        <v>2260</v>
      </c>
      <c r="E178" s="82">
        <v>1275</v>
      </c>
      <c r="F178" s="48">
        <v>286</v>
      </c>
      <c r="G178" s="82">
        <v>508</v>
      </c>
      <c r="H178" s="48">
        <v>191</v>
      </c>
      <c r="I178" s="50">
        <f>SUM(J178:M178)</f>
        <v>240</v>
      </c>
      <c r="J178" s="84">
        <v>85</v>
      </c>
      <c r="K178" s="51">
        <v>10</v>
      </c>
      <c r="L178" s="82">
        <v>79</v>
      </c>
      <c r="M178" s="65">
        <v>66</v>
      </c>
    </row>
    <row r="179" spans="1:13" x14ac:dyDescent="0.25">
      <c r="A179" s="216" t="s">
        <v>312</v>
      </c>
      <c r="B179" s="207"/>
      <c r="C179" s="104"/>
      <c r="D179" s="137"/>
      <c r="E179" s="82"/>
      <c r="F179" s="48"/>
      <c r="G179" s="82"/>
      <c r="H179" s="48"/>
      <c r="I179" s="50"/>
      <c r="J179" s="84"/>
      <c r="K179" s="51"/>
      <c r="L179" s="82"/>
      <c r="M179" s="65"/>
    </row>
    <row r="180" spans="1:13" x14ac:dyDescent="0.25">
      <c r="A180" s="161">
        <v>1</v>
      </c>
      <c r="B180" s="207" t="s">
        <v>313</v>
      </c>
      <c r="C180" s="104"/>
      <c r="D180" s="137">
        <f>SUM(E180:H180)</f>
        <v>1458</v>
      </c>
      <c r="E180" s="82">
        <v>821</v>
      </c>
      <c r="F180" s="48">
        <v>118</v>
      </c>
      <c r="G180" s="82">
        <v>440</v>
      </c>
      <c r="H180" s="48">
        <v>79</v>
      </c>
      <c r="I180" s="50">
        <f>SUM(J180:M180)</f>
        <v>395</v>
      </c>
      <c r="J180" s="84">
        <v>142</v>
      </c>
      <c r="K180" s="51">
        <v>1</v>
      </c>
      <c r="L180" s="89">
        <v>244</v>
      </c>
      <c r="M180" s="65">
        <v>8</v>
      </c>
    </row>
    <row r="181" spans="1:13" x14ac:dyDescent="0.25">
      <c r="A181" s="161">
        <v>2</v>
      </c>
      <c r="B181" s="207" t="s">
        <v>314</v>
      </c>
      <c r="C181" s="104"/>
      <c r="D181" s="137">
        <f>SUM(E181:H181)</f>
        <v>1264</v>
      </c>
      <c r="E181" s="82">
        <v>503</v>
      </c>
      <c r="F181" s="48">
        <v>17</v>
      </c>
      <c r="G181" s="82">
        <v>689</v>
      </c>
      <c r="H181" s="48">
        <v>55</v>
      </c>
      <c r="I181" s="50">
        <f>SUM(J181:M181)</f>
        <v>1463</v>
      </c>
      <c r="J181" s="84">
        <v>367</v>
      </c>
      <c r="K181" s="51">
        <v>1</v>
      </c>
      <c r="L181" s="82">
        <v>1045</v>
      </c>
      <c r="M181" s="65">
        <v>50</v>
      </c>
    </row>
    <row r="182" spans="1:13" x14ac:dyDescent="0.25">
      <c r="A182" s="216" t="s">
        <v>315</v>
      </c>
      <c r="B182" s="207"/>
      <c r="C182" s="104"/>
      <c r="D182" s="137"/>
      <c r="E182" s="82"/>
      <c r="F182" s="48"/>
      <c r="G182" s="82"/>
      <c r="H182" s="48"/>
      <c r="I182" s="50"/>
      <c r="J182" s="84"/>
      <c r="K182" s="51"/>
      <c r="L182" s="82"/>
      <c r="M182" s="65"/>
    </row>
    <row r="183" spans="1:13" x14ac:dyDescent="0.25">
      <c r="A183" s="161">
        <v>1</v>
      </c>
      <c r="B183" s="207" t="s">
        <v>316</v>
      </c>
      <c r="C183" s="104"/>
      <c r="D183" s="137">
        <f t="shared" ref="D183:D189" si="15">SUM(E183:H183)</f>
        <v>15312</v>
      </c>
      <c r="E183" s="82">
        <v>2487</v>
      </c>
      <c r="F183" s="48">
        <v>3</v>
      </c>
      <c r="G183" s="82">
        <v>12795</v>
      </c>
      <c r="H183" s="48">
        <v>27</v>
      </c>
      <c r="I183" s="50">
        <f t="shared" ref="I183:I189" si="16">SUM(J183:M183)</f>
        <v>15486</v>
      </c>
      <c r="J183" s="84">
        <v>1469</v>
      </c>
      <c r="K183" s="51">
        <v>8</v>
      </c>
      <c r="L183" s="82">
        <v>13352</v>
      </c>
      <c r="M183" s="65">
        <v>657</v>
      </c>
    </row>
    <row r="184" spans="1:13" x14ac:dyDescent="0.25">
      <c r="A184" s="161">
        <v>2</v>
      </c>
      <c r="B184" s="207" t="s">
        <v>317</v>
      </c>
      <c r="C184" s="104"/>
      <c r="D184" s="137">
        <f t="shared" si="15"/>
        <v>703</v>
      </c>
      <c r="E184" s="82">
        <v>543</v>
      </c>
      <c r="F184" s="48">
        <v>23</v>
      </c>
      <c r="G184" s="82">
        <v>132</v>
      </c>
      <c r="H184" s="48">
        <v>5</v>
      </c>
      <c r="I184" s="50">
        <f t="shared" si="16"/>
        <v>38</v>
      </c>
      <c r="J184" s="84">
        <v>27</v>
      </c>
      <c r="K184" s="51"/>
      <c r="L184" s="82">
        <v>10</v>
      </c>
      <c r="M184" s="65">
        <v>1</v>
      </c>
    </row>
    <row r="185" spans="1:13" x14ac:dyDescent="0.25">
      <c r="A185" s="161">
        <v>3</v>
      </c>
      <c r="B185" s="207" t="s">
        <v>318</v>
      </c>
      <c r="C185" s="104"/>
      <c r="D185" s="137">
        <f t="shared" si="15"/>
        <v>1044</v>
      </c>
      <c r="E185" s="82">
        <v>309</v>
      </c>
      <c r="F185" s="48">
        <v>1</v>
      </c>
      <c r="G185" s="82">
        <v>733</v>
      </c>
      <c r="H185" s="48">
        <v>1</v>
      </c>
      <c r="I185" s="50">
        <f t="shared" si="16"/>
        <v>533</v>
      </c>
      <c r="J185" s="84">
        <v>152</v>
      </c>
      <c r="K185" s="51">
        <v>1</v>
      </c>
      <c r="L185" s="82">
        <v>376</v>
      </c>
      <c r="M185" s="65">
        <v>4</v>
      </c>
    </row>
    <row r="186" spans="1:13" x14ac:dyDescent="0.25">
      <c r="A186" s="161">
        <v>4</v>
      </c>
      <c r="B186" s="207" t="s">
        <v>319</v>
      </c>
      <c r="C186" s="104"/>
      <c r="D186" s="137">
        <f t="shared" si="15"/>
        <v>11</v>
      </c>
      <c r="E186" s="82">
        <v>5</v>
      </c>
      <c r="F186" s="48"/>
      <c r="G186" s="82">
        <v>6</v>
      </c>
      <c r="H186" s="48"/>
      <c r="I186" s="50">
        <f t="shared" si="16"/>
        <v>147</v>
      </c>
      <c r="J186" s="84">
        <v>50</v>
      </c>
      <c r="K186" s="51">
        <v>1</v>
      </c>
      <c r="L186" s="82">
        <v>90</v>
      </c>
      <c r="M186" s="65">
        <v>6</v>
      </c>
    </row>
    <row r="187" spans="1:13" x14ac:dyDescent="0.25">
      <c r="A187" s="161">
        <v>5</v>
      </c>
      <c r="B187" s="207" t="s">
        <v>320</v>
      </c>
      <c r="C187" s="104"/>
      <c r="D187" s="137">
        <f t="shared" si="15"/>
        <v>83</v>
      </c>
      <c r="E187" s="82">
        <v>54</v>
      </c>
      <c r="F187" s="48"/>
      <c r="G187" s="82">
        <v>29</v>
      </c>
      <c r="H187" s="48"/>
      <c r="I187" s="50">
        <f t="shared" si="16"/>
        <v>105</v>
      </c>
      <c r="J187" s="84">
        <v>20</v>
      </c>
      <c r="K187" s="51"/>
      <c r="L187" s="82">
        <v>84</v>
      </c>
      <c r="M187" s="65">
        <v>1</v>
      </c>
    </row>
    <row r="188" spans="1:13" x14ac:dyDescent="0.25">
      <c r="A188" s="161">
        <v>6</v>
      </c>
      <c r="B188" s="207" t="s">
        <v>321</v>
      </c>
      <c r="C188" s="104"/>
      <c r="D188" s="137">
        <f t="shared" si="15"/>
        <v>227</v>
      </c>
      <c r="E188" s="82">
        <v>198</v>
      </c>
      <c r="F188" s="48">
        <v>13</v>
      </c>
      <c r="G188" s="82">
        <v>16</v>
      </c>
      <c r="H188" s="48"/>
      <c r="I188" s="50">
        <f t="shared" si="16"/>
        <v>8</v>
      </c>
      <c r="J188" s="84">
        <v>7</v>
      </c>
      <c r="K188" s="51"/>
      <c r="L188" s="82">
        <v>1</v>
      </c>
      <c r="M188" s="65"/>
    </row>
    <row r="189" spans="1:13" x14ac:dyDescent="0.25">
      <c r="A189" s="161">
        <v>7</v>
      </c>
      <c r="B189" s="207" t="s">
        <v>322</v>
      </c>
      <c r="C189" s="104"/>
      <c r="D189" s="137">
        <f t="shared" si="15"/>
        <v>4253</v>
      </c>
      <c r="E189" s="82">
        <v>3043</v>
      </c>
      <c r="F189" s="48">
        <v>22</v>
      </c>
      <c r="G189" s="82">
        <v>1178</v>
      </c>
      <c r="H189" s="48">
        <v>10</v>
      </c>
      <c r="I189" s="50">
        <f t="shared" si="16"/>
        <v>1248</v>
      </c>
      <c r="J189" s="84">
        <v>755</v>
      </c>
      <c r="K189" s="51">
        <v>2</v>
      </c>
      <c r="L189" s="82">
        <v>490</v>
      </c>
      <c r="M189" s="65">
        <v>1</v>
      </c>
    </row>
    <row r="190" spans="1:13" x14ac:dyDescent="0.25">
      <c r="A190" s="161" t="s">
        <v>323</v>
      </c>
      <c r="B190" s="207"/>
      <c r="C190" s="104"/>
      <c r="D190" s="137"/>
      <c r="E190" s="82"/>
      <c r="F190" s="48"/>
      <c r="G190" s="82"/>
      <c r="H190" s="48"/>
      <c r="I190" s="50"/>
      <c r="J190" s="84"/>
      <c r="K190" s="51"/>
      <c r="L190" s="82"/>
      <c r="M190" s="65"/>
    </row>
    <row r="191" spans="1:13" x14ac:dyDescent="0.25">
      <c r="A191" s="191">
        <v>1</v>
      </c>
      <c r="B191" s="207" t="s">
        <v>324</v>
      </c>
      <c r="C191" s="104"/>
      <c r="D191" s="137">
        <f>SUM(E191:H191)</f>
        <v>20981</v>
      </c>
      <c r="E191" s="82">
        <v>3638</v>
      </c>
      <c r="F191" s="48">
        <v>14</v>
      </c>
      <c r="G191" s="82">
        <v>17254</v>
      </c>
      <c r="H191" s="48">
        <v>75</v>
      </c>
      <c r="I191" s="50">
        <f>SUM(J191:M191)</f>
        <v>11530</v>
      </c>
      <c r="J191" s="84">
        <v>1359</v>
      </c>
      <c r="K191" s="51">
        <v>3</v>
      </c>
      <c r="L191" s="82">
        <v>10114</v>
      </c>
      <c r="M191" s="65">
        <v>54</v>
      </c>
    </row>
    <row r="192" spans="1:13" x14ac:dyDescent="0.25">
      <c r="A192" s="134" t="s">
        <v>325</v>
      </c>
      <c r="B192" s="207"/>
      <c r="C192" s="104"/>
      <c r="D192" s="137"/>
      <c r="E192" s="82"/>
      <c r="F192" s="48"/>
      <c r="G192" s="82"/>
      <c r="H192" s="48"/>
      <c r="I192" s="50"/>
      <c r="J192" s="84"/>
      <c r="K192" s="51"/>
      <c r="L192" s="82"/>
      <c r="M192" s="65"/>
    </row>
    <row r="193" spans="1:13" x14ac:dyDescent="0.25">
      <c r="A193" s="161" t="s">
        <v>326</v>
      </c>
      <c r="B193" s="207"/>
      <c r="C193" s="104"/>
      <c r="D193" s="137"/>
      <c r="E193" s="82"/>
      <c r="F193" s="48"/>
      <c r="G193" s="82"/>
      <c r="H193" s="48"/>
      <c r="I193" s="50"/>
      <c r="J193" s="84"/>
      <c r="K193" s="51"/>
      <c r="L193" s="82"/>
      <c r="M193" s="65"/>
    </row>
    <row r="194" spans="1:13" x14ac:dyDescent="0.25">
      <c r="A194" s="161">
        <v>1</v>
      </c>
      <c r="B194" s="207" t="s">
        <v>327</v>
      </c>
      <c r="C194" s="104"/>
      <c r="D194" s="137">
        <f>SUM(E194:H194)</f>
        <v>1929</v>
      </c>
      <c r="E194" s="82">
        <v>1262</v>
      </c>
      <c r="F194" s="48">
        <v>565</v>
      </c>
      <c r="G194" s="82">
        <v>79</v>
      </c>
      <c r="H194" s="48">
        <v>23</v>
      </c>
      <c r="I194" s="50">
        <f>SUM(J194:M194)</f>
        <v>387</v>
      </c>
      <c r="J194" s="84">
        <v>214</v>
      </c>
      <c r="K194" s="51">
        <v>116</v>
      </c>
      <c r="L194" s="82">
        <v>45</v>
      </c>
      <c r="M194" s="65">
        <v>12</v>
      </c>
    </row>
    <row r="195" spans="1:13" x14ac:dyDescent="0.25">
      <c r="A195" s="161">
        <v>2</v>
      </c>
      <c r="B195" s="207" t="s">
        <v>328</v>
      </c>
      <c r="C195" s="104"/>
      <c r="D195" s="137">
        <f>SUM(E195:H195)</f>
        <v>832</v>
      </c>
      <c r="E195" s="82">
        <v>144</v>
      </c>
      <c r="F195" s="48">
        <v>458</v>
      </c>
      <c r="G195" s="82">
        <v>75</v>
      </c>
      <c r="H195" s="48">
        <v>155</v>
      </c>
      <c r="I195" s="50">
        <f>SUM(J195:M195)</f>
        <v>1422</v>
      </c>
      <c r="J195" s="84">
        <v>115</v>
      </c>
      <c r="K195" s="51">
        <v>463</v>
      </c>
      <c r="L195" s="82">
        <v>149</v>
      </c>
      <c r="M195" s="65">
        <v>695</v>
      </c>
    </row>
    <row r="196" spans="1:13" x14ac:dyDescent="0.25">
      <c r="A196" s="161">
        <v>3</v>
      </c>
      <c r="B196" s="207" t="s">
        <v>329</v>
      </c>
      <c r="C196" s="104"/>
      <c r="D196" s="137">
        <f>SUM(E196:H196)</f>
        <v>1368</v>
      </c>
      <c r="E196" s="82">
        <v>526</v>
      </c>
      <c r="F196" s="48">
        <v>155</v>
      </c>
      <c r="G196" s="82">
        <v>488</v>
      </c>
      <c r="H196" s="48">
        <v>199</v>
      </c>
      <c r="I196" s="50">
        <f>SUM(J196:M196)</f>
        <v>1447</v>
      </c>
      <c r="J196" s="84">
        <v>355</v>
      </c>
      <c r="K196" s="51">
        <v>117</v>
      </c>
      <c r="L196" s="82">
        <v>677</v>
      </c>
      <c r="M196" s="65">
        <v>298</v>
      </c>
    </row>
    <row r="197" spans="1:13" x14ac:dyDescent="0.25">
      <c r="A197" s="134" t="s">
        <v>330</v>
      </c>
      <c r="B197" s="207"/>
      <c r="C197" s="104"/>
      <c r="D197" s="137"/>
      <c r="E197" s="82"/>
      <c r="F197" s="48"/>
      <c r="G197" s="82"/>
      <c r="H197" s="48"/>
      <c r="I197" s="50"/>
      <c r="J197" s="84"/>
      <c r="K197" s="51"/>
      <c r="L197" s="82"/>
      <c r="M197" s="65"/>
    </row>
    <row r="198" spans="1:13" x14ac:dyDescent="0.25">
      <c r="A198" s="216" t="s">
        <v>331</v>
      </c>
      <c r="B198" s="207"/>
      <c r="C198" s="104"/>
      <c r="D198" s="137"/>
      <c r="E198" s="82"/>
      <c r="F198" s="48"/>
      <c r="G198" s="82"/>
      <c r="H198" s="48"/>
      <c r="I198" s="50"/>
      <c r="J198" s="84"/>
      <c r="K198" s="51"/>
      <c r="L198" s="82"/>
      <c r="M198" s="65"/>
    </row>
    <row r="199" spans="1:13" x14ac:dyDescent="0.25">
      <c r="A199" s="161">
        <v>1</v>
      </c>
      <c r="B199" s="207" t="s">
        <v>332</v>
      </c>
      <c r="C199" s="104"/>
      <c r="D199" s="137">
        <f>SUM(E199:H199)</f>
        <v>223270</v>
      </c>
      <c r="E199" s="82">
        <v>54833</v>
      </c>
      <c r="F199" s="48">
        <v>55295</v>
      </c>
      <c r="G199" s="82">
        <v>55612</v>
      </c>
      <c r="H199" s="48">
        <v>57530</v>
      </c>
      <c r="I199" s="50">
        <f>SUM(J199:M199)</f>
        <v>739463</v>
      </c>
      <c r="J199" s="84">
        <v>61403</v>
      </c>
      <c r="K199" s="51">
        <v>59362</v>
      </c>
      <c r="L199" s="82">
        <v>303754</v>
      </c>
      <c r="M199" s="65">
        <v>314944</v>
      </c>
    </row>
    <row r="200" spans="1:13" x14ac:dyDescent="0.25">
      <c r="A200" s="216" t="s">
        <v>333</v>
      </c>
      <c r="B200" s="207"/>
      <c r="C200" s="104"/>
      <c r="D200" s="137"/>
      <c r="E200" s="82"/>
      <c r="F200" s="48"/>
      <c r="G200" s="82"/>
      <c r="H200" s="48"/>
      <c r="I200" s="50"/>
      <c r="J200" s="84"/>
      <c r="K200" s="51"/>
      <c r="L200" s="82"/>
      <c r="M200" s="65"/>
    </row>
    <row r="201" spans="1:13" x14ac:dyDescent="0.25">
      <c r="A201" s="161">
        <v>1</v>
      </c>
      <c r="B201" s="207" t="s">
        <v>334</v>
      </c>
      <c r="C201" s="104"/>
      <c r="D201" s="137">
        <f>SUM(E201:H201)</f>
        <v>3585</v>
      </c>
      <c r="E201" s="82">
        <v>776</v>
      </c>
      <c r="F201" s="48">
        <v>544</v>
      </c>
      <c r="G201" s="82">
        <v>1456</v>
      </c>
      <c r="H201" s="48">
        <v>809</v>
      </c>
      <c r="I201" s="50">
        <f>SUM(J201:M201)</f>
        <v>1292</v>
      </c>
      <c r="J201" s="84">
        <v>37</v>
      </c>
      <c r="K201" s="51">
        <v>10</v>
      </c>
      <c r="L201" s="82">
        <v>673</v>
      </c>
      <c r="M201" s="65">
        <v>572</v>
      </c>
    </row>
    <row r="202" spans="1:13" x14ac:dyDescent="0.25">
      <c r="A202" s="161">
        <v>2</v>
      </c>
      <c r="B202" s="207" t="s">
        <v>335</v>
      </c>
      <c r="C202" s="104"/>
      <c r="D202" s="137">
        <f>SUM(E202:H202)</f>
        <v>2888</v>
      </c>
      <c r="E202" s="82">
        <v>174</v>
      </c>
      <c r="F202" s="48">
        <v>13</v>
      </c>
      <c r="G202" s="82">
        <v>2280</v>
      </c>
      <c r="H202" s="48">
        <v>421</v>
      </c>
      <c r="I202" s="50">
        <f>SUM(J202:M202)</f>
        <v>1961</v>
      </c>
      <c r="J202" s="84">
        <v>41</v>
      </c>
      <c r="K202" s="51"/>
      <c r="L202" s="82">
        <v>1910</v>
      </c>
      <c r="M202" s="65">
        <v>10</v>
      </c>
    </row>
    <row r="203" spans="1:13" x14ac:dyDescent="0.25">
      <c r="A203" s="134" t="s">
        <v>345</v>
      </c>
      <c r="B203" s="207"/>
      <c r="C203" s="104"/>
      <c r="D203" s="137"/>
      <c r="E203" s="82"/>
      <c r="F203" s="48"/>
      <c r="G203" s="82"/>
      <c r="H203" s="48"/>
      <c r="I203" s="50"/>
      <c r="J203" s="84"/>
      <c r="K203" s="51"/>
      <c r="L203" s="82"/>
      <c r="M203" s="65"/>
    </row>
    <row r="204" spans="1:13" x14ac:dyDescent="0.25">
      <c r="A204" s="216" t="s">
        <v>337</v>
      </c>
      <c r="B204" s="207"/>
      <c r="C204" s="104"/>
      <c r="D204" s="137"/>
      <c r="E204" s="82"/>
      <c r="F204" s="48"/>
      <c r="G204" s="82"/>
      <c r="H204" s="48"/>
      <c r="I204" s="50"/>
      <c r="J204" s="84"/>
      <c r="K204" s="51"/>
      <c r="L204" s="82"/>
      <c r="M204" s="65"/>
    </row>
    <row r="205" spans="1:13" x14ac:dyDescent="0.25">
      <c r="A205" s="161">
        <v>1</v>
      </c>
      <c r="B205" s="207" t="s">
        <v>338</v>
      </c>
      <c r="C205" s="104"/>
      <c r="D205" s="137">
        <f>SUM(E205:H205)</f>
        <v>1485</v>
      </c>
      <c r="E205" s="82">
        <v>563</v>
      </c>
      <c r="F205" s="48">
        <v>159</v>
      </c>
      <c r="G205" s="82">
        <v>566</v>
      </c>
      <c r="H205" s="48">
        <v>197</v>
      </c>
      <c r="I205" s="50">
        <f>SUM(J205:M205)</f>
        <v>2507</v>
      </c>
      <c r="J205" s="84">
        <v>489</v>
      </c>
      <c r="K205" s="51">
        <v>147</v>
      </c>
      <c r="L205" s="82">
        <v>1126</v>
      </c>
      <c r="M205" s="65">
        <v>745</v>
      </c>
    </row>
    <row r="206" spans="1:13" ht="15.75" thickBot="1" x14ac:dyDescent="0.3">
      <c r="A206" s="161"/>
      <c r="B206" s="207"/>
      <c r="C206" s="104"/>
      <c r="D206" s="137"/>
      <c r="E206" s="82"/>
      <c r="F206" s="48"/>
      <c r="G206" s="82"/>
      <c r="H206" s="48"/>
      <c r="I206" s="50"/>
      <c r="J206" s="84"/>
      <c r="K206" s="51"/>
      <c r="L206" s="82"/>
      <c r="M206" s="65"/>
    </row>
    <row r="207" spans="1:13" ht="15.75" thickTop="1" x14ac:dyDescent="0.25">
      <c r="A207" s="163"/>
      <c r="B207" s="217"/>
      <c r="C207" s="164"/>
      <c r="D207" s="72"/>
      <c r="E207" s="165"/>
      <c r="F207" s="78"/>
      <c r="G207" s="165"/>
      <c r="H207" s="78"/>
      <c r="I207" s="90"/>
      <c r="J207" s="72"/>
      <c r="K207" s="91"/>
      <c r="L207" s="165"/>
      <c r="M207" s="92"/>
    </row>
    <row r="208" spans="1:13" x14ac:dyDescent="0.25">
      <c r="A208" s="161" t="s">
        <v>346</v>
      </c>
      <c r="B208" s="207"/>
      <c r="C208" s="135"/>
      <c r="D208" s="88">
        <f t="shared" ref="D208:M208" si="17">SUM(D114:D206)</f>
        <v>619577</v>
      </c>
      <c r="E208" s="88">
        <f t="shared" si="17"/>
        <v>145475</v>
      </c>
      <c r="F208" s="193">
        <f t="shared" si="17"/>
        <v>143632</v>
      </c>
      <c r="G208" s="88">
        <f t="shared" si="17"/>
        <v>164177</v>
      </c>
      <c r="H208" s="194">
        <f t="shared" si="17"/>
        <v>166293</v>
      </c>
      <c r="I208" s="195">
        <f t="shared" si="17"/>
        <v>1942998</v>
      </c>
      <c r="J208" s="88">
        <f t="shared" si="17"/>
        <v>154628</v>
      </c>
      <c r="K208" s="193">
        <f t="shared" si="17"/>
        <v>137085</v>
      </c>
      <c r="L208" s="88">
        <f t="shared" si="17"/>
        <v>789548</v>
      </c>
      <c r="M208" s="196">
        <f t="shared" si="17"/>
        <v>861737</v>
      </c>
    </row>
    <row r="209" spans="1:13" ht="15.75" thickBot="1" x14ac:dyDescent="0.3">
      <c r="A209" s="166"/>
      <c r="B209" s="167"/>
      <c r="C209" s="168"/>
      <c r="D209" s="169"/>
      <c r="E209" s="170"/>
      <c r="F209" s="93"/>
      <c r="G209" s="172"/>
      <c r="H209" s="94"/>
      <c r="I209" s="95"/>
      <c r="J209" s="175"/>
      <c r="K209" s="96"/>
      <c r="L209" s="172"/>
      <c r="M209" s="97"/>
    </row>
    <row r="210" spans="1:13" ht="15.75" thickTop="1" x14ac:dyDescent="0.25">
      <c r="A210" s="104"/>
      <c r="B210" s="104"/>
      <c r="C210" s="104"/>
      <c r="D210" s="197"/>
      <c r="E210" s="162"/>
      <c r="F210" s="48"/>
      <c r="G210" s="162"/>
      <c r="H210" s="48"/>
      <c r="I210" s="48"/>
      <c r="J210" s="162"/>
      <c r="K210" s="48"/>
      <c r="L210" s="162"/>
      <c r="M210" s="48"/>
    </row>
    <row r="211" spans="1:13" x14ac:dyDescent="0.25">
      <c r="A211" s="104"/>
      <c r="B211" s="104"/>
      <c r="C211" s="104"/>
      <c r="D211" s="197"/>
      <c r="E211" s="162"/>
      <c r="F211" s="48"/>
      <c r="G211" s="162"/>
      <c r="H211" s="48"/>
      <c r="I211" s="48"/>
      <c r="J211" s="162"/>
      <c r="K211" s="48"/>
      <c r="L211" s="162"/>
      <c r="M211" s="48"/>
    </row>
    <row r="212" spans="1:13" ht="15.75" thickBot="1" x14ac:dyDescent="0.3">
      <c r="A212" s="161"/>
      <c r="B212" s="104"/>
      <c r="C212" s="104"/>
      <c r="D212" s="197"/>
      <c r="E212" s="162"/>
      <c r="F212" s="48"/>
      <c r="G212" s="162"/>
      <c r="H212" s="48"/>
      <c r="I212" s="48"/>
      <c r="J212" s="162"/>
      <c r="K212" s="48"/>
      <c r="L212" s="162"/>
      <c r="M212" s="48"/>
    </row>
    <row r="213" spans="1:13" ht="15.75" thickTop="1" x14ac:dyDescent="0.25">
      <c r="A213" s="331" t="s">
        <v>347</v>
      </c>
      <c r="B213" s="332"/>
      <c r="C213" s="295" t="s">
        <v>229</v>
      </c>
      <c r="D213" s="295" t="s">
        <v>0</v>
      </c>
      <c r="E213" s="310" t="s">
        <v>230</v>
      </c>
      <c r="F213" s="311"/>
      <c r="G213" s="311"/>
      <c r="H213" s="311"/>
      <c r="I213" s="295" t="s">
        <v>0</v>
      </c>
      <c r="J213" s="310" t="s">
        <v>231</v>
      </c>
      <c r="K213" s="311"/>
      <c r="L213" s="311"/>
      <c r="M213" s="312"/>
    </row>
    <row r="214" spans="1:13" x14ac:dyDescent="0.25">
      <c r="A214" s="333"/>
      <c r="B214" s="334"/>
      <c r="C214" s="296"/>
      <c r="D214" s="296"/>
      <c r="E214" s="313" t="s">
        <v>234</v>
      </c>
      <c r="F214" s="314"/>
      <c r="G214" s="313" t="s">
        <v>341</v>
      </c>
      <c r="H214" s="315"/>
      <c r="I214" s="296"/>
      <c r="J214" s="313" t="s">
        <v>234</v>
      </c>
      <c r="K214" s="314"/>
      <c r="L214" s="313" t="s">
        <v>341</v>
      </c>
      <c r="M214" s="316"/>
    </row>
    <row r="215" spans="1:13" x14ac:dyDescent="0.25">
      <c r="A215" s="333"/>
      <c r="B215" s="334"/>
      <c r="C215" s="296"/>
      <c r="D215" s="296"/>
      <c r="E215" s="317" t="s">
        <v>236</v>
      </c>
      <c r="F215" s="319" t="s">
        <v>237</v>
      </c>
      <c r="G215" s="317" t="s">
        <v>236</v>
      </c>
      <c r="H215" s="321" t="s">
        <v>237</v>
      </c>
      <c r="I215" s="296"/>
      <c r="J215" s="317" t="s">
        <v>236</v>
      </c>
      <c r="K215" s="319" t="s">
        <v>237</v>
      </c>
      <c r="L215" s="317" t="s">
        <v>236</v>
      </c>
      <c r="M215" s="327" t="s">
        <v>237</v>
      </c>
    </row>
    <row r="216" spans="1:13" x14ac:dyDescent="0.25">
      <c r="A216" s="335"/>
      <c r="B216" s="336"/>
      <c r="C216" s="297"/>
      <c r="D216" s="297"/>
      <c r="E216" s="318"/>
      <c r="F216" s="320"/>
      <c r="G216" s="318"/>
      <c r="H216" s="322"/>
      <c r="I216" s="297"/>
      <c r="J216" s="318"/>
      <c r="K216" s="320"/>
      <c r="L216" s="318"/>
      <c r="M216" s="328"/>
    </row>
    <row r="217" spans="1:13" x14ac:dyDescent="0.25">
      <c r="A217" s="221" t="s">
        <v>239</v>
      </c>
      <c r="B217" s="204"/>
      <c r="C217" s="99"/>
      <c r="D217" s="106"/>
      <c r="E217" s="30"/>
      <c r="F217" s="107"/>
      <c r="G217" s="31"/>
      <c r="H217" s="108"/>
      <c r="I217" s="98"/>
      <c r="J217" s="31"/>
      <c r="K217" s="109"/>
      <c r="L217" s="31"/>
      <c r="M217" s="110"/>
    </row>
    <row r="218" spans="1:13" x14ac:dyDescent="0.25">
      <c r="A218" s="220" t="s">
        <v>241</v>
      </c>
      <c r="B218" s="180"/>
      <c r="C218" s="79"/>
      <c r="D218" s="181"/>
      <c r="E218" s="80"/>
      <c r="F218" s="182"/>
      <c r="G218" s="81"/>
      <c r="H218" s="183"/>
      <c r="I218" s="99"/>
      <c r="J218" s="81"/>
      <c r="K218" s="184"/>
      <c r="L218" s="81"/>
      <c r="M218" s="185"/>
    </row>
    <row r="219" spans="1:13" x14ac:dyDescent="0.25">
      <c r="A219" s="216" t="s">
        <v>244</v>
      </c>
      <c r="B219" s="207"/>
      <c r="C219" s="198" t="s">
        <v>348</v>
      </c>
      <c r="D219" s="137"/>
      <c r="E219" s="82"/>
      <c r="F219" s="186"/>
      <c r="G219" s="84"/>
      <c r="H219" s="187"/>
      <c r="I219" s="100"/>
      <c r="J219" s="84"/>
      <c r="K219" s="188"/>
      <c r="L219" s="84"/>
      <c r="M219" s="189"/>
    </row>
    <row r="220" spans="1:13" x14ac:dyDescent="0.25">
      <c r="A220" s="161">
        <v>1</v>
      </c>
      <c r="B220" s="180" t="s">
        <v>246</v>
      </c>
      <c r="C220" s="190"/>
      <c r="D220" s="137">
        <f>SUM(E220:H220)</f>
        <v>2288</v>
      </c>
      <c r="E220" s="82">
        <v>1099</v>
      </c>
      <c r="F220" s="83">
        <v>10</v>
      </c>
      <c r="G220" s="84">
        <v>1176</v>
      </c>
      <c r="H220" s="85">
        <v>3</v>
      </c>
      <c r="I220" s="50">
        <f>SUM(J220:M220)</f>
        <v>1376</v>
      </c>
      <c r="J220" s="84">
        <v>480</v>
      </c>
      <c r="K220" s="86">
        <v>9</v>
      </c>
      <c r="L220" s="84">
        <v>886</v>
      </c>
      <c r="M220" s="87">
        <v>1</v>
      </c>
    </row>
    <row r="221" spans="1:13" x14ac:dyDescent="0.25">
      <c r="A221" s="161">
        <v>2</v>
      </c>
      <c r="B221" s="207" t="s">
        <v>247</v>
      </c>
      <c r="C221" s="135"/>
      <c r="D221" s="137">
        <f>SUM(E221:H221)</f>
        <v>177</v>
      </c>
      <c r="E221" s="136">
        <v>155</v>
      </c>
      <c r="F221" s="186">
        <v>5</v>
      </c>
      <c r="G221" s="137">
        <v>17</v>
      </c>
      <c r="H221" s="187"/>
      <c r="I221" s="50">
        <f>SUM(J221:M221)</f>
        <v>11</v>
      </c>
      <c r="J221" s="137">
        <v>11</v>
      </c>
      <c r="K221" s="188"/>
      <c r="L221" s="137"/>
      <c r="M221" s="189"/>
    </row>
    <row r="222" spans="1:13" x14ac:dyDescent="0.25">
      <c r="A222" s="161">
        <v>3</v>
      </c>
      <c r="B222" s="207" t="s">
        <v>248</v>
      </c>
      <c r="C222" s="135"/>
      <c r="D222" s="137">
        <f>SUM(E222:H222)</f>
        <v>1116</v>
      </c>
      <c r="E222" s="136">
        <v>1095</v>
      </c>
      <c r="F222" s="48"/>
      <c r="G222" s="137">
        <v>21</v>
      </c>
      <c r="H222" s="49"/>
      <c r="I222" s="50">
        <f>SUM(J222:M222)</f>
        <v>28</v>
      </c>
      <c r="J222" s="137">
        <v>28</v>
      </c>
      <c r="K222" s="51"/>
      <c r="L222" s="137"/>
      <c r="M222" s="52"/>
    </row>
    <row r="223" spans="1:13" x14ac:dyDescent="0.25">
      <c r="A223" s="161">
        <v>4</v>
      </c>
      <c r="B223" s="207" t="s">
        <v>249</v>
      </c>
      <c r="C223" s="135"/>
      <c r="D223" s="137">
        <f>SUM(E223:H223)</f>
        <v>198</v>
      </c>
      <c r="E223" s="136">
        <v>185</v>
      </c>
      <c r="F223" s="48"/>
      <c r="G223" s="137">
        <v>13</v>
      </c>
      <c r="H223" s="49"/>
      <c r="I223" s="50">
        <f>SUM(J223:M223)</f>
        <v>1</v>
      </c>
      <c r="J223" s="137">
        <v>1</v>
      </c>
      <c r="K223" s="51"/>
      <c r="L223" s="137"/>
      <c r="M223" s="52"/>
    </row>
    <row r="224" spans="1:13" x14ac:dyDescent="0.25">
      <c r="A224" s="161" t="s">
        <v>250</v>
      </c>
      <c r="B224" s="207"/>
      <c r="C224" s="135"/>
      <c r="D224" s="137"/>
      <c r="E224" s="136"/>
      <c r="F224" s="48"/>
      <c r="G224" s="137"/>
      <c r="H224" s="49"/>
      <c r="I224" s="50"/>
      <c r="J224" s="137"/>
      <c r="K224" s="51"/>
      <c r="L224" s="137"/>
      <c r="M224" s="52"/>
    </row>
    <row r="225" spans="1:13" x14ac:dyDescent="0.25">
      <c r="A225" s="191">
        <v>1</v>
      </c>
      <c r="B225" s="207" t="s">
        <v>251</v>
      </c>
      <c r="C225" s="135"/>
      <c r="D225" s="137">
        <f t="shared" ref="D225:D234" si="18">SUM(E225:H225)</f>
        <v>438</v>
      </c>
      <c r="E225" s="136">
        <v>169</v>
      </c>
      <c r="F225" s="48">
        <v>145</v>
      </c>
      <c r="G225" s="137">
        <v>123</v>
      </c>
      <c r="H225" s="49">
        <v>1</v>
      </c>
      <c r="I225" s="50">
        <f t="shared" ref="I225:I234" si="19">SUM(J225:M225)</f>
        <v>930</v>
      </c>
      <c r="J225" s="137">
        <v>368</v>
      </c>
      <c r="K225" s="51">
        <v>361</v>
      </c>
      <c r="L225" s="137">
        <v>196</v>
      </c>
      <c r="M225" s="52">
        <v>5</v>
      </c>
    </row>
    <row r="226" spans="1:13" x14ac:dyDescent="0.25">
      <c r="A226" s="161">
        <v>2</v>
      </c>
      <c r="B226" s="207" t="s">
        <v>252</v>
      </c>
      <c r="C226" s="135"/>
      <c r="D226" s="137">
        <f t="shared" si="18"/>
        <v>455</v>
      </c>
      <c r="E226" s="136">
        <v>383</v>
      </c>
      <c r="F226" s="48">
        <v>6</v>
      </c>
      <c r="G226" s="137">
        <v>66</v>
      </c>
      <c r="H226" s="49"/>
      <c r="I226" s="50">
        <f t="shared" si="19"/>
        <v>134</v>
      </c>
      <c r="J226" s="137">
        <v>98</v>
      </c>
      <c r="K226" s="51">
        <v>1</v>
      </c>
      <c r="L226" s="137">
        <v>34</v>
      </c>
      <c r="M226" s="52">
        <v>1</v>
      </c>
    </row>
    <row r="227" spans="1:13" x14ac:dyDescent="0.25">
      <c r="A227" s="161">
        <v>3</v>
      </c>
      <c r="B227" s="207" t="s">
        <v>253</v>
      </c>
      <c r="C227" s="135"/>
      <c r="D227" s="137">
        <f t="shared" si="18"/>
        <v>836</v>
      </c>
      <c r="E227" s="136">
        <v>359</v>
      </c>
      <c r="F227" s="48">
        <v>325</v>
      </c>
      <c r="G227" s="137">
        <v>114</v>
      </c>
      <c r="H227" s="49">
        <v>38</v>
      </c>
      <c r="I227" s="50">
        <f t="shared" si="19"/>
        <v>223</v>
      </c>
      <c r="J227" s="137">
        <v>84</v>
      </c>
      <c r="K227" s="51">
        <v>53</v>
      </c>
      <c r="L227" s="137">
        <v>80</v>
      </c>
      <c r="M227" s="52">
        <v>6</v>
      </c>
    </row>
    <row r="228" spans="1:13" x14ac:dyDescent="0.25">
      <c r="A228" s="161">
        <v>4</v>
      </c>
      <c r="B228" s="207" t="s">
        <v>254</v>
      </c>
      <c r="C228" s="135"/>
      <c r="D228" s="137">
        <f t="shared" si="18"/>
        <v>107</v>
      </c>
      <c r="E228" s="136">
        <v>65</v>
      </c>
      <c r="F228" s="48">
        <v>42</v>
      </c>
      <c r="G228" s="137"/>
      <c r="H228" s="49"/>
      <c r="I228" s="50">
        <f t="shared" si="19"/>
        <v>6</v>
      </c>
      <c r="J228" s="137">
        <v>1</v>
      </c>
      <c r="K228" s="51">
        <v>4</v>
      </c>
      <c r="L228" s="137">
        <v>1</v>
      </c>
      <c r="M228" s="52"/>
    </row>
    <row r="229" spans="1:13" x14ac:dyDescent="0.25">
      <c r="A229" s="161">
        <v>5</v>
      </c>
      <c r="B229" s="207" t="s">
        <v>255</v>
      </c>
      <c r="C229" s="135"/>
      <c r="D229" s="137">
        <f t="shared" si="18"/>
        <v>37</v>
      </c>
      <c r="E229" s="136">
        <v>33</v>
      </c>
      <c r="F229" s="48">
        <v>3</v>
      </c>
      <c r="G229" s="137">
        <v>1</v>
      </c>
      <c r="H229" s="49"/>
      <c r="I229" s="50">
        <f t="shared" si="19"/>
        <v>7</v>
      </c>
      <c r="J229" s="137">
        <v>7</v>
      </c>
      <c r="K229" s="51"/>
      <c r="L229" s="137"/>
      <c r="M229" s="52"/>
    </row>
    <row r="230" spans="1:13" x14ac:dyDescent="0.25">
      <c r="A230" s="161">
        <v>6</v>
      </c>
      <c r="B230" s="207" t="s">
        <v>256</v>
      </c>
      <c r="C230" s="135"/>
      <c r="D230" s="137">
        <f t="shared" si="18"/>
        <v>136</v>
      </c>
      <c r="E230" s="136">
        <v>134</v>
      </c>
      <c r="F230" s="48">
        <v>1</v>
      </c>
      <c r="G230" s="137">
        <v>1</v>
      </c>
      <c r="H230" s="49"/>
      <c r="I230" s="50">
        <f t="shared" si="19"/>
        <v>45</v>
      </c>
      <c r="J230" s="137">
        <v>36</v>
      </c>
      <c r="K230" s="51">
        <v>1</v>
      </c>
      <c r="L230" s="137">
        <v>8</v>
      </c>
      <c r="M230" s="52"/>
    </row>
    <row r="231" spans="1:13" x14ac:dyDescent="0.25">
      <c r="A231" s="161">
        <v>7</v>
      </c>
      <c r="B231" s="207" t="s">
        <v>257</v>
      </c>
      <c r="C231" s="135"/>
      <c r="D231" s="137">
        <f t="shared" si="18"/>
        <v>956</v>
      </c>
      <c r="E231" s="136">
        <v>187</v>
      </c>
      <c r="F231" s="48">
        <v>652</v>
      </c>
      <c r="G231" s="137">
        <v>78</v>
      </c>
      <c r="H231" s="49">
        <v>39</v>
      </c>
      <c r="I231" s="50">
        <f t="shared" si="19"/>
        <v>1158</v>
      </c>
      <c r="J231" s="137">
        <v>173</v>
      </c>
      <c r="K231" s="51">
        <v>476</v>
      </c>
      <c r="L231" s="137">
        <v>265</v>
      </c>
      <c r="M231" s="52">
        <v>244</v>
      </c>
    </row>
    <row r="232" spans="1:13" x14ac:dyDescent="0.25">
      <c r="A232" s="161">
        <v>8</v>
      </c>
      <c r="B232" s="207" t="s">
        <v>258</v>
      </c>
      <c r="C232" s="135"/>
      <c r="D232" s="137">
        <f t="shared" si="18"/>
        <v>122</v>
      </c>
      <c r="E232" s="136">
        <v>68</v>
      </c>
      <c r="F232" s="48">
        <v>27</v>
      </c>
      <c r="G232" s="137">
        <v>26</v>
      </c>
      <c r="H232" s="49">
        <v>1</v>
      </c>
      <c r="I232" s="50">
        <f t="shared" si="19"/>
        <v>9</v>
      </c>
      <c r="J232" s="137">
        <v>5</v>
      </c>
      <c r="K232" s="51">
        <v>3</v>
      </c>
      <c r="L232" s="137">
        <v>1</v>
      </c>
      <c r="M232" s="52"/>
    </row>
    <row r="233" spans="1:13" x14ac:dyDescent="0.25">
      <c r="A233" s="161">
        <v>9</v>
      </c>
      <c r="B233" s="207" t="s">
        <v>259</v>
      </c>
      <c r="C233" s="135"/>
      <c r="D233" s="137">
        <f t="shared" si="18"/>
        <v>193</v>
      </c>
      <c r="E233" s="136">
        <v>42</v>
      </c>
      <c r="F233" s="48">
        <v>147</v>
      </c>
      <c r="G233" s="137">
        <v>3</v>
      </c>
      <c r="H233" s="49">
        <v>1</v>
      </c>
      <c r="I233" s="50">
        <f t="shared" si="19"/>
        <v>24</v>
      </c>
      <c r="J233" s="137">
        <v>1</v>
      </c>
      <c r="K233" s="51">
        <v>22</v>
      </c>
      <c r="L233" s="137">
        <v>1</v>
      </c>
      <c r="M233" s="52"/>
    </row>
    <row r="234" spans="1:13" x14ac:dyDescent="0.25">
      <c r="A234" s="161">
        <v>10</v>
      </c>
      <c r="B234" s="207" t="s">
        <v>260</v>
      </c>
      <c r="C234" s="135"/>
      <c r="D234" s="137">
        <f t="shared" si="18"/>
        <v>152</v>
      </c>
      <c r="E234" s="136">
        <v>91</v>
      </c>
      <c r="F234" s="48">
        <v>23</v>
      </c>
      <c r="G234" s="137">
        <v>36</v>
      </c>
      <c r="H234" s="49">
        <v>2</v>
      </c>
      <c r="I234" s="50">
        <f t="shared" si="19"/>
        <v>7</v>
      </c>
      <c r="J234" s="137">
        <v>1</v>
      </c>
      <c r="K234" s="51">
        <v>1</v>
      </c>
      <c r="L234" s="137">
        <v>5</v>
      </c>
      <c r="M234" s="52"/>
    </row>
    <row r="235" spans="1:13" x14ac:dyDescent="0.25">
      <c r="A235" s="134" t="s">
        <v>261</v>
      </c>
      <c r="B235" s="207"/>
      <c r="C235" s="135"/>
      <c r="D235" s="137"/>
      <c r="E235" s="136"/>
      <c r="F235" s="48"/>
      <c r="G235" s="137"/>
      <c r="H235" s="49"/>
      <c r="I235" s="50"/>
      <c r="J235" s="137"/>
      <c r="K235" s="51"/>
      <c r="L235" s="137"/>
      <c r="M235" s="52"/>
    </row>
    <row r="236" spans="1:13" x14ac:dyDescent="0.25">
      <c r="A236" s="216" t="s">
        <v>262</v>
      </c>
      <c r="B236" s="207"/>
      <c r="C236" s="135"/>
      <c r="D236" s="137"/>
      <c r="E236" s="136"/>
      <c r="F236" s="48"/>
      <c r="G236" s="137"/>
      <c r="H236" s="49"/>
      <c r="I236" s="50"/>
      <c r="J236" s="137"/>
      <c r="K236" s="51"/>
      <c r="L236" s="137"/>
      <c r="M236" s="52"/>
    </row>
    <row r="237" spans="1:13" x14ac:dyDescent="0.25">
      <c r="A237" s="161">
        <v>1</v>
      </c>
      <c r="B237" s="218" t="s">
        <v>263</v>
      </c>
      <c r="C237" s="135"/>
      <c r="D237" s="137">
        <f>SUM(E237:H237)</f>
        <v>24693</v>
      </c>
      <c r="E237" s="136"/>
      <c r="F237" s="48">
        <v>13534</v>
      </c>
      <c r="G237" s="137"/>
      <c r="H237" s="49">
        <v>11159</v>
      </c>
      <c r="I237" s="50">
        <f>SUM(J237:M237)</f>
        <v>17875</v>
      </c>
      <c r="J237" s="137"/>
      <c r="K237" s="51">
        <v>5290</v>
      </c>
      <c r="L237" s="137">
        <v>9</v>
      </c>
      <c r="M237" s="52">
        <v>12576</v>
      </c>
    </row>
    <row r="238" spans="1:13" x14ac:dyDescent="0.25">
      <c r="A238" s="216" t="s">
        <v>264</v>
      </c>
      <c r="B238" s="207"/>
      <c r="C238" s="135"/>
      <c r="D238" s="137"/>
      <c r="E238" s="136"/>
      <c r="F238" s="48"/>
      <c r="G238" s="137"/>
      <c r="H238" s="49"/>
      <c r="I238" s="50"/>
      <c r="J238" s="137"/>
      <c r="K238" s="51"/>
      <c r="L238" s="137"/>
      <c r="M238" s="52"/>
    </row>
    <row r="239" spans="1:13" x14ac:dyDescent="0.25">
      <c r="A239" s="161">
        <v>1</v>
      </c>
      <c r="B239" s="207" t="s">
        <v>265</v>
      </c>
      <c r="C239" s="135"/>
      <c r="D239" s="137">
        <f>SUM(E239:H239)</f>
        <v>398</v>
      </c>
      <c r="E239" s="136">
        <v>192</v>
      </c>
      <c r="F239" s="48">
        <v>149</v>
      </c>
      <c r="G239" s="137">
        <v>56</v>
      </c>
      <c r="H239" s="49">
        <v>1</v>
      </c>
      <c r="I239" s="50">
        <f>SUM(J239:M239)</f>
        <v>153</v>
      </c>
      <c r="J239" s="137">
        <v>92</v>
      </c>
      <c r="K239" s="51">
        <v>48</v>
      </c>
      <c r="L239" s="137">
        <v>10</v>
      </c>
      <c r="M239" s="52">
        <v>3</v>
      </c>
    </row>
    <row r="240" spans="1:13" x14ac:dyDescent="0.25">
      <c r="A240" s="161">
        <v>2</v>
      </c>
      <c r="B240" s="207" t="s">
        <v>149</v>
      </c>
      <c r="C240" s="135"/>
      <c r="D240" s="137">
        <f>SUM(E240:H240)</f>
        <v>20974</v>
      </c>
      <c r="E240" s="82">
        <v>283</v>
      </c>
      <c r="F240" s="48">
        <v>818</v>
      </c>
      <c r="G240" s="84">
        <v>16871</v>
      </c>
      <c r="H240" s="49">
        <v>3002</v>
      </c>
      <c r="I240" s="50">
        <f>SUM(J240:M240)</f>
        <v>15378</v>
      </c>
      <c r="J240" s="84">
        <v>78</v>
      </c>
      <c r="K240" s="51">
        <v>285</v>
      </c>
      <c r="L240" s="84">
        <v>9269</v>
      </c>
      <c r="M240" s="52">
        <v>5746</v>
      </c>
    </row>
    <row r="241" spans="1:13" x14ac:dyDescent="0.25">
      <c r="A241" s="134" t="s">
        <v>266</v>
      </c>
      <c r="B241" s="207"/>
      <c r="C241" s="135"/>
      <c r="D241" s="137"/>
      <c r="E241" s="82"/>
      <c r="F241" s="48"/>
      <c r="G241" s="84"/>
      <c r="H241" s="49"/>
      <c r="I241" s="50"/>
      <c r="J241" s="84"/>
      <c r="K241" s="51"/>
      <c r="L241" s="84"/>
      <c r="M241" s="52"/>
    </row>
    <row r="242" spans="1:13" x14ac:dyDescent="0.25">
      <c r="A242" s="104" t="s">
        <v>267</v>
      </c>
      <c r="B242" s="207"/>
      <c r="C242" s="104"/>
      <c r="D242" s="137"/>
      <c r="E242" s="82"/>
      <c r="F242" s="48"/>
      <c r="G242" s="82"/>
      <c r="H242" s="48"/>
      <c r="I242" s="50"/>
      <c r="J242" s="84"/>
      <c r="K242" s="51"/>
      <c r="L242" s="82"/>
      <c r="M242" s="65"/>
    </row>
    <row r="243" spans="1:13" x14ac:dyDescent="0.25">
      <c r="A243" s="191">
        <v>1</v>
      </c>
      <c r="B243" s="207" t="s">
        <v>268</v>
      </c>
      <c r="C243" s="104"/>
      <c r="D243" s="137">
        <f>SUM(E243:H243)</f>
        <v>8409</v>
      </c>
      <c r="E243" s="82">
        <v>3766</v>
      </c>
      <c r="F243" s="48">
        <v>725</v>
      </c>
      <c r="G243" s="82">
        <v>3808</v>
      </c>
      <c r="H243" s="48">
        <v>110</v>
      </c>
      <c r="I243" s="50">
        <f>SUM(J243:M243)</f>
        <v>2181</v>
      </c>
      <c r="J243" s="84">
        <v>919</v>
      </c>
      <c r="K243" s="51">
        <v>59</v>
      </c>
      <c r="L243" s="82">
        <v>1178</v>
      </c>
      <c r="M243" s="65">
        <v>25</v>
      </c>
    </row>
    <row r="244" spans="1:13" x14ac:dyDescent="0.25">
      <c r="A244" s="161" t="s">
        <v>269</v>
      </c>
      <c r="B244" s="207"/>
      <c r="C244" s="104"/>
      <c r="D244" s="137"/>
      <c r="E244" s="82"/>
      <c r="F244" s="48"/>
      <c r="G244" s="82"/>
      <c r="H244" s="48"/>
      <c r="I244" s="50"/>
      <c r="J244" s="84"/>
      <c r="K244" s="51"/>
      <c r="L244" s="82"/>
      <c r="M244" s="65"/>
    </row>
    <row r="245" spans="1:13" x14ac:dyDescent="0.25">
      <c r="A245" s="191">
        <v>1</v>
      </c>
      <c r="B245" s="207" t="s">
        <v>270</v>
      </c>
      <c r="C245" s="104"/>
      <c r="D245" s="137">
        <f t="shared" ref="D245:D250" si="20">SUM(E245:H245)</f>
        <v>2478</v>
      </c>
      <c r="E245" s="82">
        <v>2287</v>
      </c>
      <c r="F245" s="48">
        <v>5</v>
      </c>
      <c r="G245" s="82">
        <v>186</v>
      </c>
      <c r="H245" s="48"/>
      <c r="I245" s="50">
        <f t="shared" ref="I245:I250" si="21">SUM(J245:M245)</f>
        <v>743</v>
      </c>
      <c r="J245" s="84">
        <v>586</v>
      </c>
      <c r="K245" s="51">
        <v>3</v>
      </c>
      <c r="L245" s="82">
        <v>154</v>
      </c>
      <c r="M245" s="65"/>
    </row>
    <row r="246" spans="1:13" x14ac:dyDescent="0.25">
      <c r="A246" s="161">
        <v>2</v>
      </c>
      <c r="B246" s="207" t="s">
        <v>271</v>
      </c>
      <c r="C246" s="104"/>
      <c r="D246" s="137">
        <f t="shared" si="20"/>
        <v>2545</v>
      </c>
      <c r="E246" s="82">
        <v>341</v>
      </c>
      <c r="F246" s="48">
        <v>2</v>
      </c>
      <c r="G246" s="82">
        <v>2202</v>
      </c>
      <c r="H246" s="48"/>
      <c r="I246" s="50">
        <f t="shared" si="21"/>
        <v>771</v>
      </c>
      <c r="J246" s="84">
        <v>66</v>
      </c>
      <c r="K246" s="51"/>
      <c r="L246" s="82">
        <v>705</v>
      </c>
      <c r="M246" s="65"/>
    </row>
    <row r="247" spans="1:13" x14ac:dyDescent="0.25">
      <c r="A247" s="161">
        <v>3</v>
      </c>
      <c r="B247" s="207" t="s">
        <v>272</v>
      </c>
      <c r="C247" s="104"/>
      <c r="D247" s="137">
        <f t="shared" si="20"/>
        <v>1607</v>
      </c>
      <c r="E247" s="82">
        <v>1178</v>
      </c>
      <c r="F247" s="48">
        <v>11</v>
      </c>
      <c r="G247" s="82">
        <v>418</v>
      </c>
      <c r="H247" s="48"/>
      <c r="I247" s="50">
        <f t="shared" si="21"/>
        <v>58</v>
      </c>
      <c r="J247" s="84">
        <v>32</v>
      </c>
      <c r="K247" s="51"/>
      <c r="L247" s="82">
        <v>26</v>
      </c>
      <c r="M247" s="65"/>
    </row>
    <row r="248" spans="1:13" x14ac:dyDescent="0.25">
      <c r="A248" s="161">
        <v>4</v>
      </c>
      <c r="B248" s="207" t="s">
        <v>273</v>
      </c>
      <c r="C248" s="104"/>
      <c r="D248" s="137">
        <f t="shared" si="20"/>
        <v>189</v>
      </c>
      <c r="E248" s="82">
        <v>47</v>
      </c>
      <c r="F248" s="48">
        <v>1</v>
      </c>
      <c r="G248" s="82">
        <v>141</v>
      </c>
      <c r="H248" s="48"/>
      <c r="I248" s="50">
        <f t="shared" si="21"/>
        <v>0</v>
      </c>
      <c r="J248" s="84"/>
      <c r="K248" s="51"/>
      <c r="L248" s="82"/>
      <c r="M248" s="65"/>
    </row>
    <row r="249" spans="1:13" x14ac:dyDescent="0.25">
      <c r="A249" s="161">
        <v>5</v>
      </c>
      <c r="B249" s="207" t="s">
        <v>274</v>
      </c>
      <c r="C249" s="104"/>
      <c r="D249" s="137">
        <f t="shared" si="20"/>
        <v>634</v>
      </c>
      <c r="E249" s="82">
        <v>482</v>
      </c>
      <c r="F249" s="48">
        <v>55</v>
      </c>
      <c r="G249" s="82">
        <v>97</v>
      </c>
      <c r="H249" s="48"/>
      <c r="I249" s="50">
        <f t="shared" si="21"/>
        <v>129</v>
      </c>
      <c r="J249" s="84">
        <v>53</v>
      </c>
      <c r="K249" s="51">
        <v>14</v>
      </c>
      <c r="L249" s="82">
        <v>62</v>
      </c>
      <c r="M249" s="65"/>
    </row>
    <row r="250" spans="1:13" x14ac:dyDescent="0.25">
      <c r="A250" s="161">
        <v>6</v>
      </c>
      <c r="B250" s="207" t="s">
        <v>275</v>
      </c>
      <c r="C250" s="104"/>
      <c r="D250" s="137">
        <f t="shared" si="20"/>
        <v>464</v>
      </c>
      <c r="E250" s="82">
        <v>98</v>
      </c>
      <c r="F250" s="48">
        <v>3</v>
      </c>
      <c r="G250" s="82">
        <v>363</v>
      </c>
      <c r="H250" s="48"/>
      <c r="I250" s="50">
        <f t="shared" si="21"/>
        <v>69</v>
      </c>
      <c r="J250" s="84">
        <v>3</v>
      </c>
      <c r="K250" s="51"/>
      <c r="L250" s="82">
        <v>65</v>
      </c>
      <c r="M250" s="65">
        <v>1</v>
      </c>
    </row>
    <row r="251" spans="1:13" x14ac:dyDescent="0.25">
      <c r="A251" s="153" t="s">
        <v>276</v>
      </c>
      <c r="B251" s="207"/>
      <c r="C251" s="104"/>
      <c r="D251" s="137"/>
      <c r="E251" s="82"/>
      <c r="F251" s="48"/>
      <c r="G251" s="82"/>
      <c r="H251" s="48"/>
      <c r="I251" s="50"/>
      <c r="J251" s="84"/>
      <c r="K251" s="51"/>
      <c r="L251" s="82"/>
      <c r="M251" s="65"/>
    </row>
    <row r="252" spans="1:13" x14ac:dyDescent="0.25">
      <c r="A252" s="219" t="s">
        <v>278</v>
      </c>
      <c r="B252" s="207"/>
      <c r="C252" s="192" t="s">
        <v>349</v>
      </c>
      <c r="D252" s="137"/>
      <c r="E252" s="82"/>
      <c r="F252" s="48"/>
      <c r="G252" s="82"/>
      <c r="H252" s="48"/>
      <c r="I252" s="50"/>
      <c r="J252" s="84"/>
      <c r="K252" s="51"/>
      <c r="L252" s="82"/>
      <c r="M252" s="65"/>
    </row>
    <row r="253" spans="1:13" x14ac:dyDescent="0.25">
      <c r="A253" s="161">
        <v>1</v>
      </c>
      <c r="B253" s="207" t="s">
        <v>279</v>
      </c>
      <c r="C253" s="104"/>
      <c r="D253" s="137">
        <f>SUM(E253:H253)</f>
        <v>8407</v>
      </c>
      <c r="E253" s="82">
        <v>716</v>
      </c>
      <c r="F253" s="48">
        <v>164</v>
      </c>
      <c r="G253" s="82">
        <v>6607</v>
      </c>
      <c r="H253" s="48">
        <v>920</v>
      </c>
      <c r="I253" s="50">
        <f>SUM(J253:M253)</f>
        <v>539506</v>
      </c>
      <c r="J253" s="84">
        <v>6602</v>
      </c>
      <c r="K253" s="51">
        <v>2697</v>
      </c>
      <c r="L253" s="82">
        <v>208794</v>
      </c>
      <c r="M253" s="65">
        <v>321413</v>
      </c>
    </row>
    <row r="254" spans="1:13" x14ac:dyDescent="0.25">
      <c r="A254" s="161">
        <v>2</v>
      </c>
      <c r="B254" s="207" t="s">
        <v>280</v>
      </c>
      <c r="C254" s="104"/>
      <c r="D254" s="137">
        <f>SUM(E254:H254)</f>
        <v>54</v>
      </c>
      <c r="E254" s="82">
        <v>12</v>
      </c>
      <c r="F254" s="48"/>
      <c r="G254" s="82">
        <v>42</v>
      </c>
      <c r="H254" s="48"/>
      <c r="I254" s="50">
        <f>SUM(J254:M254)</f>
        <v>1389</v>
      </c>
      <c r="J254" s="84">
        <v>129</v>
      </c>
      <c r="K254" s="51">
        <v>2</v>
      </c>
      <c r="L254" s="82">
        <v>1118</v>
      </c>
      <c r="M254" s="65">
        <v>140</v>
      </c>
    </row>
    <row r="255" spans="1:13" x14ac:dyDescent="0.25">
      <c r="A255" s="161">
        <v>3</v>
      </c>
      <c r="B255" s="207" t="s">
        <v>281</v>
      </c>
      <c r="C255" s="104"/>
      <c r="D255" s="137">
        <f>SUM(E255:H255)</f>
        <v>4</v>
      </c>
      <c r="E255" s="82">
        <v>3</v>
      </c>
      <c r="F255" s="48"/>
      <c r="G255" s="82">
        <v>1</v>
      </c>
      <c r="H255" s="48"/>
      <c r="I255" s="50">
        <f>SUM(J255:M255)</f>
        <v>5</v>
      </c>
      <c r="J255" s="84">
        <v>5</v>
      </c>
      <c r="K255" s="51"/>
      <c r="L255" s="82"/>
      <c r="M255" s="65"/>
    </row>
    <row r="256" spans="1:13" x14ac:dyDescent="0.25">
      <c r="A256" s="161">
        <v>4</v>
      </c>
      <c r="B256" s="207" t="s">
        <v>282</v>
      </c>
      <c r="C256" s="104"/>
      <c r="D256" s="137">
        <f>SUM(E256:H256)</f>
        <v>370</v>
      </c>
      <c r="E256" s="82">
        <v>139</v>
      </c>
      <c r="F256" s="48"/>
      <c r="G256" s="82">
        <v>231</v>
      </c>
      <c r="H256" s="48"/>
      <c r="I256" s="50">
        <f>SUM(J256:M256)</f>
        <v>352</v>
      </c>
      <c r="J256" s="84">
        <v>42</v>
      </c>
      <c r="K256" s="51">
        <v>1</v>
      </c>
      <c r="L256" s="82">
        <v>309</v>
      </c>
      <c r="M256" s="65"/>
    </row>
    <row r="257" spans="1:13" x14ac:dyDescent="0.25">
      <c r="A257" s="153" t="s">
        <v>283</v>
      </c>
      <c r="B257" s="207"/>
      <c r="C257" s="104"/>
      <c r="D257" s="137"/>
      <c r="E257" s="82"/>
      <c r="F257" s="48"/>
      <c r="G257" s="82"/>
      <c r="H257" s="48"/>
      <c r="I257" s="50"/>
      <c r="J257" s="84"/>
      <c r="K257" s="51"/>
      <c r="L257" s="82"/>
      <c r="M257" s="65"/>
    </row>
    <row r="258" spans="1:13" x14ac:dyDescent="0.25">
      <c r="A258" s="219" t="s">
        <v>284</v>
      </c>
      <c r="B258" s="207"/>
      <c r="C258" s="104"/>
      <c r="D258" s="137"/>
      <c r="E258" s="82"/>
      <c r="F258" s="48"/>
      <c r="G258" s="82"/>
      <c r="H258" s="48"/>
      <c r="I258" s="50"/>
      <c r="J258" s="84"/>
      <c r="K258" s="51"/>
      <c r="L258" s="82"/>
      <c r="M258" s="65"/>
    </row>
    <row r="259" spans="1:13" x14ac:dyDescent="0.25">
      <c r="A259" s="161">
        <v>1</v>
      </c>
      <c r="B259" s="207" t="s">
        <v>285</v>
      </c>
      <c r="C259" s="104"/>
      <c r="D259" s="137">
        <f t="shared" ref="D259:D271" si="22">SUM(E259:H259)</f>
        <v>671</v>
      </c>
      <c r="E259" s="82">
        <v>412</v>
      </c>
      <c r="F259" s="48">
        <v>62</v>
      </c>
      <c r="G259" s="82">
        <v>195</v>
      </c>
      <c r="H259" s="48">
        <v>2</v>
      </c>
      <c r="I259" s="50">
        <f t="shared" ref="I259:I271" si="23">SUM(J259:M259)</f>
        <v>38</v>
      </c>
      <c r="J259" s="84">
        <v>18</v>
      </c>
      <c r="K259" s="51">
        <v>7</v>
      </c>
      <c r="L259" s="82">
        <v>13</v>
      </c>
      <c r="M259" s="65"/>
    </row>
    <row r="260" spans="1:13" x14ac:dyDescent="0.25">
      <c r="A260" s="161">
        <v>2</v>
      </c>
      <c r="B260" s="207" t="s">
        <v>286</v>
      </c>
      <c r="C260" s="104"/>
      <c r="D260" s="137">
        <f t="shared" si="22"/>
        <v>31</v>
      </c>
      <c r="E260" s="82">
        <v>31</v>
      </c>
      <c r="F260" s="48"/>
      <c r="G260" s="82"/>
      <c r="H260" s="48"/>
      <c r="I260" s="50">
        <f t="shared" si="23"/>
        <v>3</v>
      </c>
      <c r="J260" s="84">
        <v>3</v>
      </c>
      <c r="K260" s="51"/>
      <c r="L260" s="82"/>
      <c r="M260" s="65"/>
    </row>
    <row r="261" spans="1:13" x14ac:dyDescent="0.25">
      <c r="A261" s="161">
        <v>3</v>
      </c>
      <c r="B261" s="207" t="s">
        <v>287</v>
      </c>
      <c r="C261" s="104"/>
      <c r="D261" s="137">
        <f t="shared" si="22"/>
        <v>13</v>
      </c>
      <c r="E261" s="82">
        <v>12</v>
      </c>
      <c r="F261" s="48"/>
      <c r="G261" s="82">
        <v>1</v>
      </c>
      <c r="H261" s="48"/>
      <c r="I261" s="50">
        <f t="shared" si="23"/>
        <v>0</v>
      </c>
      <c r="J261" s="84"/>
      <c r="K261" s="51"/>
      <c r="L261" s="82"/>
      <c r="M261" s="65"/>
    </row>
    <row r="262" spans="1:13" x14ac:dyDescent="0.25">
      <c r="A262" s="161">
        <v>4</v>
      </c>
      <c r="B262" s="207" t="s">
        <v>288</v>
      </c>
      <c r="C262" s="104"/>
      <c r="D262" s="137">
        <f t="shared" si="22"/>
        <v>4</v>
      </c>
      <c r="E262" s="82">
        <v>1</v>
      </c>
      <c r="F262" s="48"/>
      <c r="G262" s="82">
        <v>3</v>
      </c>
      <c r="H262" s="48"/>
      <c r="I262" s="50">
        <f t="shared" si="23"/>
        <v>5</v>
      </c>
      <c r="J262" s="84"/>
      <c r="K262" s="51"/>
      <c r="L262" s="82">
        <v>5</v>
      </c>
      <c r="M262" s="65"/>
    </row>
    <row r="263" spans="1:13" x14ac:dyDescent="0.25">
      <c r="A263" s="161">
        <v>5</v>
      </c>
      <c r="B263" s="207" t="s">
        <v>289</v>
      </c>
      <c r="C263" s="104"/>
      <c r="D263" s="137">
        <f t="shared" si="22"/>
        <v>18</v>
      </c>
      <c r="E263" s="82">
        <v>18</v>
      </c>
      <c r="F263" s="48"/>
      <c r="G263" s="82"/>
      <c r="H263" s="48"/>
      <c r="I263" s="50">
        <f t="shared" si="23"/>
        <v>5</v>
      </c>
      <c r="J263" s="84">
        <v>5</v>
      </c>
      <c r="K263" s="51"/>
      <c r="L263" s="82"/>
      <c r="M263" s="65"/>
    </row>
    <row r="264" spans="1:13" x14ac:dyDescent="0.25">
      <c r="A264" s="161">
        <v>6</v>
      </c>
      <c r="B264" s="207" t="s">
        <v>290</v>
      </c>
      <c r="C264" s="104"/>
      <c r="D264" s="137">
        <f t="shared" si="22"/>
        <v>66</v>
      </c>
      <c r="E264" s="82">
        <v>56</v>
      </c>
      <c r="F264" s="48">
        <v>1</v>
      </c>
      <c r="G264" s="82">
        <v>9</v>
      </c>
      <c r="H264" s="48"/>
      <c r="I264" s="50">
        <f t="shared" si="23"/>
        <v>7</v>
      </c>
      <c r="J264" s="84">
        <v>2</v>
      </c>
      <c r="K264" s="51"/>
      <c r="L264" s="82">
        <v>5</v>
      </c>
      <c r="M264" s="65"/>
    </row>
    <row r="265" spans="1:13" x14ac:dyDescent="0.25">
      <c r="A265" s="161">
        <v>7</v>
      </c>
      <c r="B265" s="207" t="s">
        <v>291</v>
      </c>
      <c r="C265" s="104"/>
      <c r="D265" s="137">
        <f t="shared" si="22"/>
        <v>0</v>
      </c>
      <c r="E265" s="82"/>
      <c r="F265" s="48"/>
      <c r="G265" s="82"/>
      <c r="H265" s="48"/>
      <c r="I265" s="50">
        <f t="shared" si="23"/>
        <v>0</v>
      </c>
      <c r="J265" s="84"/>
      <c r="K265" s="51"/>
      <c r="L265" s="82"/>
      <c r="M265" s="65"/>
    </row>
    <row r="266" spans="1:13" x14ac:dyDescent="0.25">
      <c r="A266" s="161">
        <v>8</v>
      </c>
      <c r="B266" s="207" t="s">
        <v>292</v>
      </c>
      <c r="C266" s="104"/>
      <c r="D266" s="137">
        <f t="shared" si="22"/>
        <v>35</v>
      </c>
      <c r="E266" s="82">
        <v>33</v>
      </c>
      <c r="F266" s="48"/>
      <c r="G266" s="82">
        <v>2</v>
      </c>
      <c r="H266" s="48"/>
      <c r="I266" s="50">
        <f t="shared" si="23"/>
        <v>73</v>
      </c>
      <c r="J266" s="84">
        <v>73</v>
      </c>
      <c r="K266" s="51"/>
      <c r="L266" s="82"/>
      <c r="M266" s="65"/>
    </row>
    <row r="267" spans="1:13" x14ac:dyDescent="0.25">
      <c r="A267" s="161">
        <v>9</v>
      </c>
      <c r="B267" s="207" t="s">
        <v>293</v>
      </c>
      <c r="C267" s="104"/>
      <c r="D267" s="137">
        <f t="shared" si="22"/>
        <v>349</v>
      </c>
      <c r="E267" s="82">
        <v>329</v>
      </c>
      <c r="F267" s="48"/>
      <c r="G267" s="82">
        <v>20</v>
      </c>
      <c r="H267" s="48"/>
      <c r="I267" s="50">
        <f t="shared" si="23"/>
        <v>109</v>
      </c>
      <c r="J267" s="84">
        <v>99</v>
      </c>
      <c r="K267" s="51"/>
      <c r="L267" s="82">
        <v>10</v>
      </c>
      <c r="M267" s="65"/>
    </row>
    <row r="268" spans="1:13" x14ac:dyDescent="0.25">
      <c r="A268" s="161">
        <v>10</v>
      </c>
      <c r="B268" s="207" t="s">
        <v>294</v>
      </c>
      <c r="C268" s="104"/>
      <c r="D268" s="137">
        <f t="shared" si="22"/>
        <v>656</v>
      </c>
      <c r="E268" s="82">
        <v>540</v>
      </c>
      <c r="F268" s="48"/>
      <c r="G268" s="82">
        <v>116</v>
      </c>
      <c r="H268" s="48"/>
      <c r="I268" s="50">
        <f t="shared" si="23"/>
        <v>127</v>
      </c>
      <c r="J268" s="84">
        <v>86</v>
      </c>
      <c r="K268" s="51"/>
      <c r="L268" s="82">
        <v>41</v>
      </c>
      <c r="M268" s="65"/>
    </row>
    <row r="269" spans="1:13" x14ac:dyDescent="0.25">
      <c r="A269" s="161">
        <v>11</v>
      </c>
      <c r="B269" s="207" t="s">
        <v>295</v>
      </c>
      <c r="C269" s="104"/>
      <c r="D269" s="137">
        <f t="shared" si="22"/>
        <v>155</v>
      </c>
      <c r="E269" s="82">
        <v>92</v>
      </c>
      <c r="F269" s="48"/>
      <c r="G269" s="82">
        <v>63</v>
      </c>
      <c r="H269" s="48"/>
      <c r="I269" s="50">
        <f t="shared" si="23"/>
        <v>22</v>
      </c>
      <c r="J269" s="84">
        <v>15</v>
      </c>
      <c r="K269" s="51"/>
      <c r="L269" s="82">
        <v>7</v>
      </c>
      <c r="M269" s="65"/>
    </row>
    <row r="270" spans="1:13" x14ac:dyDescent="0.25">
      <c r="A270" s="161">
        <v>12</v>
      </c>
      <c r="B270" s="207" t="s">
        <v>296</v>
      </c>
      <c r="C270" s="104"/>
      <c r="D270" s="137">
        <f t="shared" si="22"/>
        <v>248</v>
      </c>
      <c r="E270" s="82">
        <v>186</v>
      </c>
      <c r="F270" s="48">
        <v>7</v>
      </c>
      <c r="G270" s="82">
        <v>54</v>
      </c>
      <c r="H270" s="48">
        <v>1</v>
      </c>
      <c r="I270" s="50">
        <f t="shared" si="23"/>
        <v>17</v>
      </c>
      <c r="J270" s="84">
        <v>8</v>
      </c>
      <c r="K270" s="51"/>
      <c r="L270" s="82">
        <v>9</v>
      </c>
      <c r="M270" s="65"/>
    </row>
    <row r="271" spans="1:13" x14ac:dyDescent="0.25">
      <c r="A271" s="161">
        <v>13</v>
      </c>
      <c r="B271" s="207" t="s">
        <v>297</v>
      </c>
      <c r="C271" s="104"/>
      <c r="D271" s="137">
        <f t="shared" si="22"/>
        <v>19</v>
      </c>
      <c r="E271" s="82">
        <v>17</v>
      </c>
      <c r="F271" s="48"/>
      <c r="G271" s="82">
        <v>2</v>
      </c>
      <c r="H271" s="48"/>
      <c r="I271" s="50">
        <f t="shared" si="23"/>
        <v>44</v>
      </c>
      <c r="J271" s="84">
        <v>5</v>
      </c>
      <c r="K271" s="51"/>
      <c r="L271" s="82">
        <v>38</v>
      </c>
      <c r="M271" s="65">
        <v>1</v>
      </c>
    </row>
    <row r="272" spans="1:13" x14ac:dyDescent="0.25">
      <c r="A272" s="216" t="s">
        <v>298</v>
      </c>
      <c r="B272" s="207"/>
      <c r="C272" s="104"/>
      <c r="D272" s="137"/>
      <c r="E272" s="82"/>
      <c r="F272" s="48"/>
      <c r="G272" s="82"/>
      <c r="H272" s="48"/>
      <c r="I272" s="50"/>
      <c r="J272" s="84"/>
      <c r="K272" s="51"/>
      <c r="L272" s="82"/>
      <c r="M272" s="65"/>
    </row>
    <row r="273" spans="1:13" x14ac:dyDescent="0.25">
      <c r="A273" s="161">
        <v>1</v>
      </c>
      <c r="B273" s="207" t="s">
        <v>299</v>
      </c>
      <c r="C273" s="104"/>
      <c r="D273" s="137">
        <f>SUM(E273:H273)</f>
        <v>3217</v>
      </c>
      <c r="E273" s="82">
        <v>407</v>
      </c>
      <c r="F273" s="48">
        <v>1</v>
      </c>
      <c r="G273" s="82">
        <v>2809</v>
      </c>
      <c r="H273" s="48"/>
      <c r="I273" s="50">
        <f>SUM(J273:M273)</f>
        <v>1756</v>
      </c>
      <c r="J273" s="84">
        <v>232</v>
      </c>
      <c r="K273" s="51"/>
      <c r="L273" s="82">
        <v>1524</v>
      </c>
      <c r="M273" s="65"/>
    </row>
    <row r="274" spans="1:13" x14ac:dyDescent="0.25">
      <c r="A274" s="161">
        <v>2</v>
      </c>
      <c r="B274" s="207" t="s">
        <v>300</v>
      </c>
      <c r="C274" s="104"/>
      <c r="D274" s="137">
        <f>SUM(E274:H274)</f>
        <v>4083</v>
      </c>
      <c r="E274" s="82">
        <v>1955</v>
      </c>
      <c r="F274" s="48">
        <v>1</v>
      </c>
      <c r="G274" s="82">
        <v>2126</v>
      </c>
      <c r="H274" s="48">
        <v>1</v>
      </c>
      <c r="I274" s="50">
        <f>SUM(J274:M274)</f>
        <v>2048</v>
      </c>
      <c r="J274" s="84">
        <v>620</v>
      </c>
      <c r="K274" s="51"/>
      <c r="L274" s="82">
        <v>1428</v>
      </c>
      <c r="M274" s="65"/>
    </row>
    <row r="275" spans="1:13" x14ac:dyDescent="0.25">
      <c r="A275" s="161">
        <v>3</v>
      </c>
      <c r="B275" s="207" t="s">
        <v>301</v>
      </c>
      <c r="C275" s="104"/>
      <c r="D275" s="137">
        <f>SUM(E275:H275)</f>
        <v>4</v>
      </c>
      <c r="E275" s="82">
        <v>4</v>
      </c>
      <c r="F275" s="48"/>
      <c r="G275" s="82"/>
      <c r="H275" s="48"/>
      <c r="I275" s="50">
        <f>SUM(J275:M275)</f>
        <v>47</v>
      </c>
      <c r="J275" s="84"/>
      <c r="K275" s="51"/>
      <c r="L275" s="82">
        <v>47</v>
      </c>
      <c r="M275" s="65"/>
    </row>
    <row r="276" spans="1:13" x14ac:dyDescent="0.25">
      <c r="A276" s="161">
        <v>4</v>
      </c>
      <c r="B276" s="207" t="s">
        <v>302</v>
      </c>
      <c r="C276" s="104"/>
      <c r="D276" s="137">
        <f>SUM(E276:H276)</f>
        <v>98</v>
      </c>
      <c r="E276" s="82">
        <v>46</v>
      </c>
      <c r="F276" s="48">
        <v>1</v>
      </c>
      <c r="G276" s="82">
        <v>50</v>
      </c>
      <c r="H276" s="48">
        <v>1</v>
      </c>
      <c r="I276" s="50">
        <f>SUM(J276:M276)</f>
        <v>13</v>
      </c>
      <c r="J276" s="84">
        <v>2</v>
      </c>
      <c r="K276" s="51"/>
      <c r="L276" s="82">
        <v>11</v>
      </c>
      <c r="M276" s="65"/>
    </row>
    <row r="277" spans="1:13" x14ac:dyDescent="0.25">
      <c r="A277" s="216" t="s">
        <v>303</v>
      </c>
      <c r="B277" s="207"/>
      <c r="C277" s="104"/>
      <c r="D277" s="137"/>
      <c r="E277" s="82"/>
      <c r="F277" s="48"/>
      <c r="G277" s="82"/>
      <c r="H277" s="48"/>
      <c r="I277" s="50"/>
      <c r="J277" s="84"/>
      <c r="K277" s="51"/>
      <c r="L277" s="82"/>
      <c r="M277" s="65"/>
    </row>
    <row r="278" spans="1:13" x14ac:dyDescent="0.25">
      <c r="A278" s="161">
        <v>1</v>
      </c>
      <c r="B278" s="207" t="s">
        <v>304</v>
      </c>
      <c r="C278" s="104"/>
      <c r="D278" s="137">
        <f>SUM(E278:H278)</f>
        <v>444</v>
      </c>
      <c r="E278" s="82">
        <v>221</v>
      </c>
      <c r="F278" s="48">
        <v>187</v>
      </c>
      <c r="G278" s="82">
        <v>34</v>
      </c>
      <c r="H278" s="48">
        <v>2</v>
      </c>
      <c r="I278" s="50">
        <f>SUM(J278:M278)</f>
        <v>40</v>
      </c>
      <c r="J278" s="84">
        <v>11</v>
      </c>
      <c r="K278" s="51">
        <v>15</v>
      </c>
      <c r="L278" s="82">
        <v>14</v>
      </c>
      <c r="M278" s="65"/>
    </row>
    <row r="279" spans="1:13" x14ac:dyDescent="0.25">
      <c r="A279" s="161">
        <v>2</v>
      </c>
      <c r="B279" s="207" t="s">
        <v>305</v>
      </c>
      <c r="C279" s="104"/>
      <c r="D279" s="137">
        <f>SUM(E279:H279)</f>
        <v>1444</v>
      </c>
      <c r="E279" s="82">
        <v>381</v>
      </c>
      <c r="F279" s="48">
        <v>597</v>
      </c>
      <c r="G279" s="82">
        <v>355</v>
      </c>
      <c r="H279" s="48">
        <v>111</v>
      </c>
      <c r="I279" s="50">
        <f>SUM(J279:M279)</f>
        <v>244</v>
      </c>
      <c r="J279" s="84">
        <v>48</v>
      </c>
      <c r="K279" s="51">
        <v>73</v>
      </c>
      <c r="L279" s="82">
        <v>69</v>
      </c>
      <c r="M279" s="65">
        <v>54</v>
      </c>
    </row>
    <row r="280" spans="1:13" x14ac:dyDescent="0.25">
      <c r="A280" s="161">
        <v>3</v>
      </c>
      <c r="B280" s="207" t="s">
        <v>306</v>
      </c>
      <c r="C280" s="104"/>
      <c r="D280" s="137">
        <f>SUM(E280:H280)</f>
        <v>8</v>
      </c>
      <c r="E280" s="82">
        <v>4</v>
      </c>
      <c r="F280" s="48"/>
      <c r="G280" s="82">
        <v>2</v>
      </c>
      <c r="H280" s="48">
        <v>2</v>
      </c>
      <c r="I280" s="50">
        <f>SUM(J280:M280)</f>
        <v>4</v>
      </c>
      <c r="J280" s="84">
        <v>2</v>
      </c>
      <c r="K280" s="51"/>
      <c r="L280" s="82">
        <v>2</v>
      </c>
      <c r="M280" s="65"/>
    </row>
    <row r="281" spans="1:13" x14ac:dyDescent="0.25">
      <c r="A281" s="216" t="s">
        <v>307</v>
      </c>
      <c r="B281" s="207"/>
      <c r="C281" s="192" t="s">
        <v>350</v>
      </c>
      <c r="D281" s="137"/>
      <c r="E281" s="82"/>
      <c r="F281" s="48"/>
      <c r="G281" s="82"/>
      <c r="H281" s="48"/>
      <c r="I281" s="50"/>
      <c r="J281" s="84"/>
      <c r="K281" s="51"/>
      <c r="L281" s="82"/>
      <c r="M281" s="65"/>
    </row>
    <row r="282" spans="1:13" x14ac:dyDescent="0.25">
      <c r="A282" s="161">
        <v>1</v>
      </c>
      <c r="B282" s="207" t="s">
        <v>309</v>
      </c>
      <c r="C282" s="104"/>
      <c r="D282" s="137">
        <f>SUM(E282:H282)</f>
        <v>784</v>
      </c>
      <c r="E282" s="82">
        <v>286</v>
      </c>
      <c r="F282" s="48">
        <v>9</v>
      </c>
      <c r="G282" s="82">
        <v>481</v>
      </c>
      <c r="H282" s="48">
        <v>8</v>
      </c>
      <c r="I282" s="50">
        <f>SUM(J282:M282)</f>
        <v>227</v>
      </c>
      <c r="J282" s="84">
        <v>84</v>
      </c>
      <c r="K282" s="51">
        <v>2</v>
      </c>
      <c r="L282" s="82">
        <v>137</v>
      </c>
      <c r="M282" s="65">
        <v>4</v>
      </c>
    </row>
    <row r="283" spans="1:13" x14ac:dyDescent="0.25">
      <c r="A283" s="161">
        <v>2</v>
      </c>
      <c r="B283" s="207" t="s">
        <v>310</v>
      </c>
      <c r="C283" s="104"/>
      <c r="D283" s="137">
        <f>SUM(E283:H283)</f>
        <v>1390</v>
      </c>
      <c r="E283" s="82">
        <v>497</v>
      </c>
      <c r="F283" s="48">
        <v>44</v>
      </c>
      <c r="G283" s="82">
        <v>792</v>
      </c>
      <c r="H283" s="48">
        <v>57</v>
      </c>
      <c r="I283" s="50">
        <f>SUM(J283:M283)</f>
        <v>308</v>
      </c>
      <c r="J283" s="84">
        <v>78</v>
      </c>
      <c r="K283" s="51">
        <v>3</v>
      </c>
      <c r="L283" s="82">
        <v>217</v>
      </c>
      <c r="M283" s="65">
        <v>10</v>
      </c>
    </row>
    <row r="284" spans="1:13" x14ac:dyDescent="0.25">
      <c r="A284" s="161">
        <v>3</v>
      </c>
      <c r="B284" s="207" t="s">
        <v>311</v>
      </c>
      <c r="C284" s="104"/>
      <c r="D284" s="137">
        <f>SUM(E284:H284)</f>
        <v>718</v>
      </c>
      <c r="E284" s="82">
        <v>299</v>
      </c>
      <c r="F284" s="48">
        <v>40</v>
      </c>
      <c r="G284" s="82">
        <v>365</v>
      </c>
      <c r="H284" s="48">
        <v>14</v>
      </c>
      <c r="I284" s="50">
        <f>SUM(J284:M284)</f>
        <v>88</v>
      </c>
      <c r="J284" s="84">
        <v>24</v>
      </c>
      <c r="K284" s="51"/>
      <c r="L284" s="82">
        <v>58</v>
      </c>
      <c r="M284" s="65">
        <v>6</v>
      </c>
    </row>
    <row r="285" spans="1:13" x14ac:dyDescent="0.25">
      <c r="A285" s="216" t="s">
        <v>312</v>
      </c>
      <c r="B285" s="207"/>
      <c r="C285" s="104"/>
      <c r="D285" s="137"/>
      <c r="E285" s="82"/>
      <c r="F285" s="48"/>
      <c r="G285" s="82"/>
      <c r="H285" s="48"/>
      <c r="I285" s="50"/>
      <c r="J285" s="84"/>
      <c r="K285" s="51"/>
      <c r="L285" s="82"/>
      <c r="M285" s="65"/>
    </row>
    <row r="286" spans="1:13" x14ac:dyDescent="0.25">
      <c r="A286" s="161">
        <v>1</v>
      </c>
      <c r="B286" s="207" t="s">
        <v>313</v>
      </c>
      <c r="C286" s="104"/>
      <c r="D286" s="137">
        <f>SUM(E286:H286)</f>
        <v>157</v>
      </c>
      <c r="E286" s="82">
        <v>62</v>
      </c>
      <c r="F286" s="48">
        <v>27</v>
      </c>
      <c r="G286" s="82">
        <v>66</v>
      </c>
      <c r="H286" s="48">
        <v>2</v>
      </c>
      <c r="I286" s="50">
        <f>SUM(J286:M286)</f>
        <v>9</v>
      </c>
      <c r="J286" s="84">
        <v>4</v>
      </c>
      <c r="K286" s="51"/>
      <c r="L286" s="82">
        <v>5</v>
      </c>
      <c r="M286" s="65"/>
    </row>
    <row r="287" spans="1:13" x14ac:dyDescent="0.25">
      <c r="A287" s="161">
        <v>2</v>
      </c>
      <c r="B287" s="207" t="s">
        <v>314</v>
      </c>
      <c r="C287" s="104"/>
      <c r="D287" s="137">
        <f>SUM(E287:H287)</f>
        <v>430</v>
      </c>
      <c r="E287" s="82">
        <v>131</v>
      </c>
      <c r="F287" s="48">
        <v>4</v>
      </c>
      <c r="G287" s="82">
        <v>263</v>
      </c>
      <c r="H287" s="48">
        <v>32</v>
      </c>
      <c r="I287" s="50">
        <f>SUM(J287:M287)</f>
        <v>81</v>
      </c>
      <c r="J287" s="84">
        <v>36</v>
      </c>
      <c r="K287" s="51"/>
      <c r="L287" s="82">
        <v>42</v>
      </c>
      <c r="M287" s="65">
        <v>3</v>
      </c>
    </row>
    <row r="288" spans="1:13" x14ac:dyDescent="0.25">
      <c r="A288" s="216" t="s">
        <v>315</v>
      </c>
      <c r="B288" s="207"/>
      <c r="C288" s="104"/>
      <c r="D288" s="137"/>
      <c r="E288" s="82"/>
      <c r="F288" s="48"/>
      <c r="G288" s="82"/>
      <c r="H288" s="48"/>
      <c r="I288" s="50"/>
      <c r="J288" s="84"/>
      <c r="K288" s="51"/>
      <c r="L288" s="82"/>
      <c r="M288" s="65"/>
    </row>
    <row r="289" spans="1:13" x14ac:dyDescent="0.25">
      <c r="A289" s="161">
        <v>1</v>
      </c>
      <c r="B289" s="207" t="s">
        <v>316</v>
      </c>
      <c r="C289" s="104"/>
      <c r="D289" s="137">
        <f t="shared" ref="D289:D295" si="24">SUM(E289:H289)</f>
        <v>586</v>
      </c>
      <c r="E289" s="82">
        <v>172</v>
      </c>
      <c r="F289" s="48"/>
      <c r="G289" s="82">
        <v>414</v>
      </c>
      <c r="H289" s="48"/>
      <c r="I289" s="50">
        <f t="shared" ref="I289:I295" si="25">SUM(J289:M289)</f>
        <v>8840</v>
      </c>
      <c r="J289" s="84">
        <v>419</v>
      </c>
      <c r="K289" s="51"/>
      <c r="L289" s="82">
        <v>8374</v>
      </c>
      <c r="M289" s="65">
        <v>47</v>
      </c>
    </row>
    <row r="290" spans="1:13" x14ac:dyDescent="0.25">
      <c r="A290" s="161">
        <v>2</v>
      </c>
      <c r="B290" s="207" t="s">
        <v>317</v>
      </c>
      <c r="C290" s="104"/>
      <c r="D290" s="137">
        <f t="shared" si="24"/>
        <v>401</v>
      </c>
      <c r="E290" s="82">
        <v>257</v>
      </c>
      <c r="F290" s="48">
        <v>29</v>
      </c>
      <c r="G290" s="82">
        <v>92</v>
      </c>
      <c r="H290" s="48">
        <v>23</v>
      </c>
      <c r="I290" s="50">
        <f t="shared" si="25"/>
        <v>49</v>
      </c>
      <c r="J290" s="84">
        <v>45</v>
      </c>
      <c r="K290" s="51"/>
      <c r="L290" s="82">
        <v>4</v>
      </c>
      <c r="M290" s="65"/>
    </row>
    <row r="291" spans="1:13" x14ac:dyDescent="0.25">
      <c r="A291" s="161">
        <v>3</v>
      </c>
      <c r="B291" s="207" t="s">
        <v>318</v>
      </c>
      <c r="C291" s="104"/>
      <c r="D291" s="137">
        <f t="shared" si="24"/>
        <v>374</v>
      </c>
      <c r="E291" s="82">
        <v>53</v>
      </c>
      <c r="F291" s="48"/>
      <c r="G291" s="82">
        <v>321</v>
      </c>
      <c r="H291" s="48"/>
      <c r="I291" s="50">
        <f t="shared" si="25"/>
        <v>159</v>
      </c>
      <c r="J291" s="84">
        <v>20</v>
      </c>
      <c r="K291" s="51"/>
      <c r="L291" s="82">
        <v>139</v>
      </c>
      <c r="M291" s="65"/>
    </row>
    <row r="292" spans="1:13" x14ac:dyDescent="0.25">
      <c r="A292" s="161">
        <v>4</v>
      </c>
      <c r="B292" s="207" t="s">
        <v>319</v>
      </c>
      <c r="C292" s="104"/>
      <c r="D292" s="137">
        <f t="shared" si="24"/>
        <v>0</v>
      </c>
      <c r="E292" s="82"/>
      <c r="F292" s="48"/>
      <c r="G292" s="82"/>
      <c r="H292" s="48"/>
      <c r="I292" s="50">
        <f t="shared" si="25"/>
        <v>0</v>
      </c>
      <c r="J292" s="84"/>
      <c r="K292" s="51"/>
      <c r="L292" s="82"/>
      <c r="M292" s="65"/>
    </row>
    <row r="293" spans="1:13" x14ac:dyDescent="0.25">
      <c r="A293" s="161">
        <v>5</v>
      </c>
      <c r="B293" s="207" t="s">
        <v>320</v>
      </c>
      <c r="C293" s="104"/>
      <c r="D293" s="137">
        <f t="shared" si="24"/>
        <v>10</v>
      </c>
      <c r="E293" s="82">
        <v>4</v>
      </c>
      <c r="F293" s="48"/>
      <c r="G293" s="82">
        <v>6</v>
      </c>
      <c r="H293" s="48"/>
      <c r="I293" s="50">
        <f t="shared" si="25"/>
        <v>8</v>
      </c>
      <c r="J293" s="84">
        <v>1</v>
      </c>
      <c r="K293" s="51"/>
      <c r="L293" s="82">
        <v>7</v>
      </c>
      <c r="M293" s="65"/>
    </row>
    <row r="294" spans="1:13" x14ac:dyDescent="0.25">
      <c r="A294" s="161">
        <v>6</v>
      </c>
      <c r="B294" s="207" t="s">
        <v>321</v>
      </c>
      <c r="C294" s="104"/>
      <c r="D294" s="137">
        <f t="shared" si="24"/>
        <v>294</v>
      </c>
      <c r="E294" s="82">
        <v>75</v>
      </c>
      <c r="F294" s="48"/>
      <c r="G294" s="82">
        <v>218</v>
      </c>
      <c r="H294" s="48">
        <v>1</v>
      </c>
      <c r="I294" s="50">
        <f t="shared" si="25"/>
        <v>52</v>
      </c>
      <c r="J294" s="84"/>
      <c r="K294" s="51"/>
      <c r="L294" s="82">
        <v>52</v>
      </c>
      <c r="M294" s="65"/>
    </row>
    <row r="295" spans="1:13" x14ac:dyDescent="0.25">
      <c r="A295" s="161">
        <v>7</v>
      </c>
      <c r="B295" s="207" t="s">
        <v>322</v>
      </c>
      <c r="C295" s="104"/>
      <c r="D295" s="137">
        <f t="shared" si="24"/>
        <v>1315</v>
      </c>
      <c r="E295" s="82">
        <v>931</v>
      </c>
      <c r="F295" s="48">
        <v>1</v>
      </c>
      <c r="G295" s="82">
        <v>383</v>
      </c>
      <c r="H295" s="48"/>
      <c r="I295" s="50">
        <f t="shared" si="25"/>
        <v>308</v>
      </c>
      <c r="J295" s="84">
        <v>196</v>
      </c>
      <c r="K295" s="51"/>
      <c r="L295" s="82">
        <v>112</v>
      </c>
      <c r="M295" s="65"/>
    </row>
    <row r="296" spans="1:13" x14ac:dyDescent="0.25">
      <c r="A296" s="161" t="s">
        <v>323</v>
      </c>
      <c r="B296" s="207"/>
      <c r="C296" s="104"/>
      <c r="D296" s="137"/>
      <c r="E296" s="82"/>
      <c r="F296" s="48"/>
      <c r="G296" s="82"/>
      <c r="H296" s="48"/>
      <c r="I296" s="50"/>
      <c r="J296" s="84"/>
      <c r="K296" s="51"/>
      <c r="L296" s="82"/>
      <c r="M296" s="65"/>
    </row>
    <row r="297" spans="1:13" x14ac:dyDescent="0.25">
      <c r="A297" s="191">
        <v>1</v>
      </c>
      <c r="B297" s="207" t="s">
        <v>324</v>
      </c>
      <c r="C297" s="104"/>
      <c r="D297" s="137">
        <f>SUM(E297:H297)</f>
        <v>10286</v>
      </c>
      <c r="E297" s="82">
        <v>1131</v>
      </c>
      <c r="F297" s="48">
        <v>16</v>
      </c>
      <c r="G297" s="82">
        <v>8954</v>
      </c>
      <c r="H297" s="48">
        <v>185</v>
      </c>
      <c r="I297" s="50">
        <f>SUM(J297:M297)</f>
        <v>6447</v>
      </c>
      <c r="J297" s="84">
        <v>358</v>
      </c>
      <c r="K297" s="51">
        <v>2</v>
      </c>
      <c r="L297" s="82">
        <v>5700</v>
      </c>
      <c r="M297" s="65">
        <v>387</v>
      </c>
    </row>
    <row r="298" spans="1:13" x14ac:dyDescent="0.25">
      <c r="A298" s="134" t="s">
        <v>325</v>
      </c>
      <c r="B298" s="207"/>
      <c r="C298" s="104"/>
      <c r="D298" s="137"/>
      <c r="E298" s="82"/>
      <c r="F298" s="48"/>
      <c r="G298" s="82"/>
      <c r="H298" s="48"/>
      <c r="I298" s="50"/>
      <c r="J298" s="84"/>
      <c r="K298" s="51"/>
      <c r="L298" s="82"/>
      <c r="M298" s="65"/>
    </row>
    <row r="299" spans="1:13" x14ac:dyDescent="0.25">
      <c r="A299" s="161" t="s">
        <v>326</v>
      </c>
      <c r="B299" s="207"/>
      <c r="C299" s="104"/>
      <c r="D299" s="137"/>
      <c r="E299" s="82"/>
      <c r="F299" s="48"/>
      <c r="G299" s="82"/>
      <c r="H299" s="48"/>
      <c r="I299" s="50"/>
      <c r="J299" s="84"/>
      <c r="K299" s="51"/>
      <c r="L299" s="82"/>
      <c r="M299" s="65"/>
    </row>
    <row r="300" spans="1:13" x14ac:dyDescent="0.25">
      <c r="A300" s="161">
        <v>1</v>
      </c>
      <c r="B300" s="207" t="s">
        <v>327</v>
      </c>
      <c r="C300" s="104"/>
      <c r="D300" s="137">
        <f>SUM(E300:H300)</f>
        <v>338</v>
      </c>
      <c r="E300" s="82">
        <v>195</v>
      </c>
      <c r="F300" s="48">
        <v>111</v>
      </c>
      <c r="G300" s="82">
        <v>29</v>
      </c>
      <c r="H300" s="48">
        <v>3</v>
      </c>
      <c r="I300" s="50">
        <f>SUM(J300:M300)</f>
        <v>115</v>
      </c>
      <c r="J300" s="84">
        <v>78</v>
      </c>
      <c r="K300" s="51">
        <v>30</v>
      </c>
      <c r="L300" s="82">
        <v>4</v>
      </c>
      <c r="M300" s="65">
        <v>3</v>
      </c>
    </row>
    <row r="301" spans="1:13" x14ac:dyDescent="0.25">
      <c r="A301" s="161">
        <v>2</v>
      </c>
      <c r="B301" s="207" t="s">
        <v>328</v>
      </c>
      <c r="C301" s="104"/>
      <c r="D301" s="137">
        <f>SUM(E301:H301)</f>
        <v>1261</v>
      </c>
      <c r="E301" s="82">
        <v>90</v>
      </c>
      <c r="F301" s="48">
        <v>445</v>
      </c>
      <c r="G301" s="82">
        <v>124</v>
      </c>
      <c r="H301" s="48">
        <v>602</v>
      </c>
      <c r="I301" s="50">
        <f>SUM(J301:M301)</f>
        <v>883</v>
      </c>
      <c r="J301" s="84">
        <v>21</v>
      </c>
      <c r="K301" s="51">
        <v>261</v>
      </c>
      <c r="L301" s="82">
        <v>51</v>
      </c>
      <c r="M301" s="65">
        <v>550</v>
      </c>
    </row>
    <row r="302" spans="1:13" x14ac:dyDescent="0.25">
      <c r="A302" s="161">
        <v>3</v>
      </c>
      <c r="B302" s="207" t="s">
        <v>329</v>
      </c>
      <c r="C302" s="104"/>
      <c r="D302" s="137">
        <f>SUM(E302:H302)</f>
        <v>300</v>
      </c>
      <c r="E302" s="82">
        <v>121</v>
      </c>
      <c r="F302" s="48">
        <v>84</v>
      </c>
      <c r="G302" s="82">
        <v>86</v>
      </c>
      <c r="H302" s="48">
        <v>9</v>
      </c>
      <c r="I302" s="50">
        <f>SUM(J302:M302)</f>
        <v>129</v>
      </c>
      <c r="J302" s="84">
        <v>27</v>
      </c>
      <c r="K302" s="51">
        <v>29</v>
      </c>
      <c r="L302" s="82">
        <v>56</v>
      </c>
      <c r="M302" s="65">
        <v>17</v>
      </c>
    </row>
    <row r="303" spans="1:13" x14ac:dyDescent="0.25">
      <c r="A303" s="134" t="s">
        <v>330</v>
      </c>
      <c r="B303" s="207"/>
      <c r="C303" s="104"/>
      <c r="D303" s="137"/>
      <c r="E303" s="82"/>
      <c r="F303" s="48"/>
      <c r="G303" s="82"/>
      <c r="H303" s="48"/>
      <c r="I303" s="50"/>
      <c r="J303" s="84"/>
      <c r="K303" s="51"/>
      <c r="L303" s="82"/>
      <c r="M303" s="65"/>
    </row>
    <row r="304" spans="1:13" x14ac:dyDescent="0.25">
      <c r="A304" s="216" t="s">
        <v>331</v>
      </c>
      <c r="B304" s="207"/>
      <c r="C304" s="104"/>
      <c r="D304" s="137"/>
      <c r="E304" s="82"/>
      <c r="F304" s="48"/>
      <c r="G304" s="82"/>
      <c r="H304" s="48"/>
      <c r="I304" s="50"/>
      <c r="J304" s="84"/>
      <c r="K304" s="51"/>
      <c r="L304" s="82"/>
      <c r="M304" s="65"/>
    </row>
    <row r="305" spans="1:13" x14ac:dyDescent="0.25">
      <c r="A305" s="161">
        <v>1</v>
      </c>
      <c r="B305" s="207" t="s">
        <v>332</v>
      </c>
      <c r="C305" s="104"/>
      <c r="D305" s="137">
        <f>SUM(E305:H305)</f>
        <v>41372</v>
      </c>
      <c r="E305" s="82">
        <v>10066</v>
      </c>
      <c r="F305" s="48">
        <v>10917</v>
      </c>
      <c r="G305" s="82">
        <v>10497</v>
      </c>
      <c r="H305" s="48">
        <v>9892</v>
      </c>
      <c r="I305" s="50">
        <f>SUM(J305:M305)</f>
        <v>433784</v>
      </c>
      <c r="J305" s="84">
        <v>6550</v>
      </c>
      <c r="K305" s="51">
        <v>5994</v>
      </c>
      <c r="L305" s="82">
        <v>205667</v>
      </c>
      <c r="M305" s="65">
        <v>215573</v>
      </c>
    </row>
    <row r="306" spans="1:13" x14ac:dyDescent="0.25">
      <c r="A306" s="216" t="s">
        <v>333</v>
      </c>
      <c r="B306" s="207"/>
      <c r="C306" s="104"/>
      <c r="D306" s="137"/>
      <c r="E306" s="82"/>
      <c r="F306" s="48"/>
      <c r="G306" s="82"/>
      <c r="H306" s="48"/>
      <c r="I306" s="50"/>
      <c r="J306" s="84"/>
      <c r="K306" s="51"/>
      <c r="L306" s="82"/>
      <c r="M306" s="65"/>
    </row>
    <row r="307" spans="1:13" x14ac:dyDescent="0.25">
      <c r="A307" s="161">
        <v>1</v>
      </c>
      <c r="B307" s="207" t="s">
        <v>334</v>
      </c>
      <c r="C307" s="104"/>
      <c r="D307" s="137">
        <f>SUM(E307:H307)</f>
        <v>157</v>
      </c>
      <c r="E307" s="82">
        <v>13</v>
      </c>
      <c r="F307" s="48">
        <v>47</v>
      </c>
      <c r="G307" s="82">
        <v>75</v>
      </c>
      <c r="H307" s="48">
        <v>22</v>
      </c>
      <c r="I307" s="50">
        <f>SUM(J307:M307)</f>
        <v>127</v>
      </c>
      <c r="J307" s="84">
        <v>8</v>
      </c>
      <c r="K307" s="51"/>
      <c r="L307" s="82">
        <v>91</v>
      </c>
      <c r="M307" s="65">
        <v>28</v>
      </c>
    </row>
    <row r="308" spans="1:13" x14ac:dyDescent="0.25">
      <c r="A308" s="161">
        <v>2</v>
      </c>
      <c r="B308" s="207" t="s">
        <v>335</v>
      </c>
      <c r="C308" s="104"/>
      <c r="D308" s="137">
        <f>SUM(E308:H308)</f>
        <v>1825</v>
      </c>
      <c r="E308" s="82">
        <v>39</v>
      </c>
      <c r="F308" s="48">
        <v>4</v>
      </c>
      <c r="G308" s="82">
        <v>1644</v>
      </c>
      <c r="H308" s="48">
        <v>138</v>
      </c>
      <c r="I308" s="50">
        <f>SUM(J308:M308)</f>
        <v>315</v>
      </c>
      <c r="J308" s="84"/>
      <c r="K308" s="51"/>
      <c r="L308" s="82">
        <v>295</v>
      </c>
      <c r="M308" s="65">
        <v>20</v>
      </c>
    </row>
    <row r="309" spans="1:13" x14ac:dyDescent="0.25">
      <c r="A309" s="134" t="s">
        <v>345</v>
      </c>
      <c r="B309" s="207"/>
      <c r="C309" s="104"/>
      <c r="D309" s="137"/>
      <c r="E309" s="82"/>
      <c r="F309" s="48"/>
      <c r="G309" s="82"/>
      <c r="H309" s="48"/>
      <c r="I309" s="50"/>
      <c r="J309" s="84"/>
      <c r="K309" s="51"/>
      <c r="L309" s="82"/>
      <c r="M309" s="65"/>
    </row>
    <row r="310" spans="1:13" x14ac:dyDescent="0.25">
      <c r="A310" s="216" t="s">
        <v>337</v>
      </c>
      <c r="B310" s="207"/>
      <c r="C310" s="104"/>
      <c r="D310" s="137"/>
      <c r="E310" s="82"/>
      <c r="F310" s="48"/>
      <c r="G310" s="82"/>
      <c r="H310" s="48"/>
      <c r="I310" s="50"/>
      <c r="J310" s="84"/>
      <c r="K310" s="51"/>
      <c r="L310" s="82"/>
      <c r="M310" s="65"/>
    </row>
    <row r="311" spans="1:13" x14ac:dyDescent="0.25">
      <c r="A311" s="161">
        <v>1</v>
      </c>
      <c r="B311" s="207" t="s">
        <v>338</v>
      </c>
      <c r="C311" s="104"/>
      <c r="D311" s="137">
        <f>SUM(E311:H311)</f>
        <v>990</v>
      </c>
      <c r="E311" s="82">
        <v>275</v>
      </c>
      <c r="F311" s="48">
        <v>193</v>
      </c>
      <c r="G311" s="82">
        <v>372</v>
      </c>
      <c r="H311" s="48">
        <v>150</v>
      </c>
      <c r="I311" s="50">
        <f>SUM(J311:M311)</f>
        <v>1203</v>
      </c>
      <c r="J311" s="84">
        <v>151</v>
      </c>
      <c r="K311" s="51">
        <v>138</v>
      </c>
      <c r="L311" s="82">
        <v>585</v>
      </c>
      <c r="M311" s="65">
        <v>329</v>
      </c>
    </row>
    <row r="312" spans="1:13" ht="15.75" thickBot="1" x14ac:dyDescent="0.3">
      <c r="A312" s="161"/>
      <c r="B312" s="207"/>
      <c r="C312" s="104"/>
      <c r="D312" s="137"/>
      <c r="E312" s="82"/>
      <c r="F312" s="48"/>
      <c r="G312" s="82"/>
      <c r="H312" s="48"/>
      <c r="I312" s="101"/>
      <c r="J312" s="84"/>
      <c r="K312" s="51"/>
      <c r="L312" s="82"/>
      <c r="M312" s="65"/>
    </row>
    <row r="313" spans="1:13" ht="15.75" thickTop="1" x14ac:dyDescent="0.25">
      <c r="A313" s="163"/>
      <c r="B313" s="217"/>
      <c r="C313" s="164"/>
      <c r="D313" s="72"/>
      <c r="E313" s="165"/>
      <c r="F313" s="78"/>
      <c r="G313" s="165"/>
      <c r="H313" s="78"/>
      <c r="I313" s="90"/>
      <c r="J313" s="72"/>
      <c r="K313" s="91"/>
      <c r="L313" s="165"/>
      <c r="M313" s="92"/>
    </row>
    <row r="314" spans="1:13" x14ac:dyDescent="0.25">
      <c r="A314" s="161" t="s">
        <v>351</v>
      </c>
      <c r="B314" s="207"/>
      <c r="C314" s="135"/>
      <c r="D314" s="88">
        <f t="shared" ref="D314:M314" si="26">SUM(D220:D312)</f>
        <v>152988</v>
      </c>
      <c r="E314" s="89">
        <f t="shared" si="26"/>
        <v>33051</v>
      </c>
      <c r="F314" s="199">
        <f t="shared" si="26"/>
        <v>29681</v>
      </c>
      <c r="G314" s="89">
        <f t="shared" si="26"/>
        <v>63721</v>
      </c>
      <c r="H314" s="199">
        <f t="shared" si="26"/>
        <v>26535</v>
      </c>
      <c r="I314" s="88">
        <f t="shared" si="26"/>
        <v>1040302</v>
      </c>
      <c r="J314" s="89">
        <f t="shared" si="26"/>
        <v>19230</v>
      </c>
      <c r="K314" s="199">
        <f t="shared" si="26"/>
        <v>15884</v>
      </c>
      <c r="L314" s="88">
        <f t="shared" si="26"/>
        <v>447995</v>
      </c>
      <c r="M314" s="196">
        <f t="shared" si="26"/>
        <v>557193</v>
      </c>
    </row>
    <row r="315" spans="1:13" ht="15.75" thickBot="1" x14ac:dyDescent="0.3">
      <c r="A315" s="166"/>
      <c r="B315" s="167"/>
      <c r="C315" s="168"/>
      <c r="D315" s="169"/>
      <c r="E315" s="170"/>
      <c r="F315" s="93"/>
      <c r="G315" s="172"/>
      <c r="H315" s="94"/>
      <c r="I315" s="95"/>
      <c r="J315" s="175"/>
      <c r="K315" s="96"/>
      <c r="L315" s="172"/>
      <c r="M315" s="102"/>
    </row>
    <row r="316" spans="1:13" ht="15.75" thickTop="1" x14ac:dyDescent="0.25"/>
    <row r="318" spans="1:13" ht="15.75" thickBot="1" x14ac:dyDescent="0.3"/>
    <row r="319" spans="1:13" ht="15.75" thickTop="1" x14ac:dyDescent="0.25">
      <c r="A319" s="331" t="s">
        <v>352</v>
      </c>
      <c r="B319" s="332"/>
      <c r="C319" s="295" t="s">
        <v>229</v>
      </c>
      <c r="D319" s="295" t="s">
        <v>0</v>
      </c>
      <c r="E319" s="310" t="s">
        <v>230</v>
      </c>
      <c r="F319" s="311"/>
      <c r="G319" s="311"/>
      <c r="H319" s="311"/>
      <c r="I319" s="295" t="s">
        <v>0</v>
      </c>
      <c r="J319" s="310" t="s">
        <v>231</v>
      </c>
      <c r="K319" s="311"/>
      <c r="L319" s="311"/>
      <c r="M319" s="312"/>
    </row>
    <row r="320" spans="1:13" x14ac:dyDescent="0.25">
      <c r="A320" s="333"/>
      <c r="B320" s="334"/>
      <c r="C320" s="296"/>
      <c r="D320" s="296"/>
      <c r="E320" s="313" t="s">
        <v>234</v>
      </c>
      <c r="F320" s="314"/>
      <c r="G320" s="313" t="s">
        <v>341</v>
      </c>
      <c r="H320" s="315"/>
      <c r="I320" s="296"/>
      <c r="J320" s="313" t="s">
        <v>234</v>
      </c>
      <c r="K320" s="314"/>
      <c r="L320" s="313" t="s">
        <v>341</v>
      </c>
      <c r="M320" s="316"/>
    </row>
    <row r="321" spans="1:13" x14ac:dyDescent="0.25">
      <c r="A321" s="333"/>
      <c r="B321" s="334"/>
      <c r="C321" s="296"/>
      <c r="D321" s="296"/>
      <c r="E321" s="323" t="s">
        <v>236</v>
      </c>
      <c r="F321" s="319" t="s">
        <v>237</v>
      </c>
      <c r="G321" s="323" t="s">
        <v>236</v>
      </c>
      <c r="H321" s="329" t="s">
        <v>237</v>
      </c>
      <c r="I321" s="296"/>
      <c r="J321" s="323" t="s">
        <v>236</v>
      </c>
      <c r="K321" s="319" t="s">
        <v>237</v>
      </c>
      <c r="L321" s="317" t="s">
        <v>236</v>
      </c>
      <c r="M321" s="327" t="s">
        <v>237</v>
      </c>
    </row>
    <row r="322" spans="1:13" x14ac:dyDescent="0.25">
      <c r="A322" s="335"/>
      <c r="B322" s="336"/>
      <c r="C322" s="297"/>
      <c r="D322" s="297"/>
      <c r="E322" s="324"/>
      <c r="F322" s="320"/>
      <c r="G322" s="324"/>
      <c r="H322" s="330"/>
      <c r="I322" s="297"/>
      <c r="J322" s="324"/>
      <c r="K322" s="320"/>
      <c r="L322" s="318"/>
      <c r="M322" s="328"/>
    </row>
    <row r="323" spans="1:13" x14ac:dyDescent="0.25">
      <c r="A323" s="221" t="s">
        <v>239</v>
      </c>
      <c r="B323" s="204"/>
      <c r="C323" s="99"/>
      <c r="D323" s="106"/>
      <c r="E323" s="30"/>
      <c r="F323" s="107"/>
      <c r="G323" s="31"/>
      <c r="H323" s="108"/>
      <c r="I323" s="98"/>
      <c r="J323" s="31"/>
      <c r="K323" s="109"/>
      <c r="L323" s="31"/>
      <c r="M323" s="110"/>
    </row>
    <row r="324" spans="1:13" x14ac:dyDescent="0.25">
      <c r="A324" s="220" t="s">
        <v>241</v>
      </c>
      <c r="B324" s="180"/>
      <c r="C324" s="79" t="s">
        <v>353</v>
      </c>
      <c r="D324" s="181"/>
      <c r="E324" s="80"/>
      <c r="F324" s="182"/>
      <c r="G324" s="81"/>
      <c r="H324" s="183"/>
      <c r="I324" s="99"/>
      <c r="J324" s="81"/>
      <c r="K324" s="184"/>
      <c r="L324" s="81"/>
      <c r="M324" s="185"/>
    </row>
    <row r="325" spans="1:13" x14ac:dyDescent="0.25">
      <c r="A325" s="216" t="s">
        <v>244</v>
      </c>
      <c r="B325" s="207"/>
      <c r="C325" s="135"/>
      <c r="D325" s="137"/>
      <c r="E325" s="82"/>
      <c r="F325" s="186"/>
      <c r="G325" s="84"/>
      <c r="H325" s="187"/>
      <c r="I325" s="100"/>
      <c r="J325" s="84"/>
      <c r="K325" s="188"/>
      <c r="L325" s="84"/>
      <c r="M325" s="189"/>
    </row>
    <row r="326" spans="1:13" x14ac:dyDescent="0.25">
      <c r="A326" s="161">
        <v>1</v>
      </c>
      <c r="B326" s="180" t="s">
        <v>246</v>
      </c>
      <c r="C326" s="190"/>
      <c r="D326" s="137">
        <f>SUM(E326:H326)</f>
        <v>4761</v>
      </c>
      <c r="E326" s="82">
        <v>3443</v>
      </c>
      <c r="F326" s="83">
        <v>99</v>
      </c>
      <c r="G326" s="84">
        <v>1219</v>
      </c>
      <c r="H326" s="85"/>
      <c r="I326" s="50">
        <f>SUM(J326:M326)</f>
        <v>1271</v>
      </c>
      <c r="J326" s="84">
        <v>640</v>
      </c>
      <c r="K326" s="86">
        <v>2</v>
      </c>
      <c r="L326" s="84">
        <v>629</v>
      </c>
      <c r="M326" s="87"/>
    </row>
    <row r="327" spans="1:13" x14ac:dyDescent="0.25">
      <c r="A327" s="161">
        <v>2</v>
      </c>
      <c r="B327" s="207" t="s">
        <v>247</v>
      </c>
      <c r="C327" s="135"/>
      <c r="D327" s="137">
        <f>SUM(E327:H327)</f>
        <v>756</v>
      </c>
      <c r="E327" s="136">
        <v>723</v>
      </c>
      <c r="F327" s="186">
        <v>5</v>
      </c>
      <c r="G327" s="137">
        <v>28</v>
      </c>
      <c r="H327" s="187"/>
      <c r="I327" s="50">
        <f>SUM(J327:M327)</f>
        <v>14</v>
      </c>
      <c r="J327" s="137">
        <v>13</v>
      </c>
      <c r="K327" s="188"/>
      <c r="L327" s="137">
        <v>1</v>
      </c>
      <c r="M327" s="189"/>
    </row>
    <row r="328" spans="1:13" x14ac:dyDescent="0.25">
      <c r="A328" s="161">
        <v>3</v>
      </c>
      <c r="B328" s="207" t="s">
        <v>248</v>
      </c>
      <c r="C328" s="135"/>
      <c r="D328" s="137">
        <f>SUM(E328:H328)</f>
        <v>5141</v>
      </c>
      <c r="E328" s="136">
        <v>5137</v>
      </c>
      <c r="F328" s="48"/>
      <c r="G328" s="137">
        <v>4</v>
      </c>
      <c r="H328" s="49"/>
      <c r="I328" s="50">
        <f>SUM(J328:M328)</f>
        <v>1</v>
      </c>
      <c r="J328" s="137">
        <v>1</v>
      </c>
      <c r="K328" s="51"/>
      <c r="L328" s="137"/>
      <c r="M328" s="52"/>
    </row>
    <row r="329" spans="1:13" x14ac:dyDescent="0.25">
      <c r="A329" s="161">
        <v>4</v>
      </c>
      <c r="B329" s="207" t="s">
        <v>249</v>
      </c>
      <c r="C329" s="135"/>
      <c r="D329" s="137">
        <f>SUM(E329:H329)</f>
        <v>27</v>
      </c>
      <c r="E329" s="136">
        <v>26</v>
      </c>
      <c r="F329" s="48">
        <v>1</v>
      </c>
      <c r="G329" s="137"/>
      <c r="H329" s="49"/>
      <c r="I329" s="50">
        <f>SUM(J329:M329)</f>
        <v>0</v>
      </c>
      <c r="J329" s="137"/>
      <c r="K329" s="51"/>
      <c r="L329" s="137"/>
      <c r="M329" s="52"/>
    </row>
    <row r="330" spans="1:13" x14ac:dyDescent="0.25">
      <c r="A330" s="161" t="s">
        <v>250</v>
      </c>
      <c r="B330" s="207"/>
      <c r="C330" s="135"/>
      <c r="D330" s="137"/>
      <c r="E330" s="136"/>
      <c r="F330" s="48"/>
      <c r="G330" s="137"/>
      <c r="H330" s="49"/>
      <c r="I330" s="50"/>
      <c r="J330" s="137"/>
      <c r="K330" s="51"/>
      <c r="L330" s="137"/>
      <c r="M330" s="52"/>
    </row>
    <row r="331" spans="1:13" x14ac:dyDescent="0.25">
      <c r="A331" s="191">
        <v>1</v>
      </c>
      <c r="B331" s="207" t="s">
        <v>251</v>
      </c>
      <c r="C331" s="135"/>
      <c r="D331" s="137">
        <f t="shared" ref="D331:D340" si="27">SUM(E331:H331)</f>
        <v>706</v>
      </c>
      <c r="E331" s="136">
        <v>400</v>
      </c>
      <c r="F331" s="48">
        <v>121</v>
      </c>
      <c r="G331" s="137">
        <v>184</v>
      </c>
      <c r="H331" s="49">
        <v>1</v>
      </c>
      <c r="I331" s="50">
        <f t="shared" ref="I331:I340" si="28">SUM(J331:M331)</f>
        <v>307</v>
      </c>
      <c r="J331" s="137">
        <v>117</v>
      </c>
      <c r="K331" s="51">
        <v>23</v>
      </c>
      <c r="L331" s="137">
        <v>165</v>
      </c>
      <c r="M331" s="52">
        <v>2</v>
      </c>
    </row>
    <row r="332" spans="1:13" x14ac:dyDescent="0.25">
      <c r="A332" s="161">
        <v>2</v>
      </c>
      <c r="B332" s="207" t="s">
        <v>252</v>
      </c>
      <c r="C332" s="135"/>
      <c r="D332" s="137">
        <f t="shared" si="27"/>
        <v>1132</v>
      </c>
      <c r="E332" s="136">
        <v>1084</v>
      </c>
      <c r="F332" s="48">
        <v>20</v>
      </c>
      <c r="G332" s="137">
        <v>28</v>
      </c>
      <c r="H332" s="49"/>
      <c r="I332" s="50">
        <f t="shared" si="28"/>
        <v>62</v>
      </c>
      <c r="J332" s="137">
        <v>57</v>
      </c>
      <c r="K332" s="51"/>
      <c r="L332" s="137">
        <v>5</v>
      </c>
      <c r="M332" s="52"/>
    </row>
    <row r="333" spans="1:13" x14ac:dyDescent="0.25">
      <c r="A333" s="161">
        <v>3</v>
      </c>
      <c r="B333" s="207" t="s">
        <v>253</v>
      </c>
      <c r="C333" s="135"/>
      <c r="D333" s="137">
        <f t="shared" si="27"/>
        <v>2325</v>
      </c>
      <c r="E333" s="136">
        <v>924</v>
      </c>
      <c r="F333" s="48">
        <v>1000</v>
      </c>
      <c r="G333" s="137">
        <v>370</v>
      </c>
      <c r="H333" s="49">
        <v>31</v>
      </c>
      <c r="I333" s="50">
        <f t="shared" si="28"/>
        <v>271</v>
      </c>
      <c r="J333" s="137">
        <v>64</v>
      </c>
      <c r="K333" s="51">
        <v>96</v>
      </c>
      <c r="L333" s="137">
        <v>101</v>
      </c>
      <c r="M333" s="52">
        <v>10</v>
      </c>
    </row>
    <row r="334" spans="1:13" x14ac:dyDescent="0.25">
      <c r="A334" s="161">
        <v>4</v>
      </c>
      <c r="B334" s="207" t="s">
        <v>254</v>
      </c>
      <c r="C334" s="135"/>
      <c r="D334" s="137">
        <f t="shared" si="27"/>
        <v>280</v>
      </c>
      <c r="E334" s="136">
        <v>189</v>
      </c>
      <c r="F334" s="48">
        <v>91</v>
      </c>
      <c r="G334" s="137"/>
      <c r="H334" s="49"/>
      <c r="I334" s="50">
        <f t="shared" si="28"/>
        <v>6</v>
      </c>
      <c r="J334" s="137">
        <v>3</v>
      </c>
      <c r="K334" s="51">
        <v>2</v>
      </c>
      <c r="L334" s="137">
        <v>1</v>
      </c>
      <c r="M334" s="52"/>
    </row>
    <row r="335" spans="1:13" x14ac:dyDescent="0.25">
      <c r="A335" s="161">
        <v>5</v>
      </c>
      <c r="B335" s="207" t="s">
        <v>255</v>
      </c>
      <c r="C335" s="135"/>
      <c r="D335" s="137">
        <f t="shared" si="27"/>
        <v>160</v>
      </c>
      <c r="E335" s="136">
        <v>155</v>
      </c>
      <c r="F335" s="48">
        <v>5</v>
      </c>
      <c r="G335" s="137"/>
      <c r="H335" s="49"/>
      <c r="I335" s="50">
        <f t="shared" si="28"/>
        <v>25</v>
      </c>
      <c r="J335" s="137">
        <v>25</v>
      </c>
      <c r="K335" s="51"/>
      <c r="L335" s="137"/>
      <c r="M335" s="52"/>
    </row>
    <row r="336" spans="1:13" x14ac:dyDescent="0.25">
      <c r="A336" s="161">
        <v>6</v>
      </c>
      <c r="B336" s="207" t="s">
        <v>256</v>
      </c>
      <c r="C336" s="135"/>
      <c r="D336" s="137">
        <f t="shared" si="27"/>
        <v>657</v>
      </c>
      <c r="E336" s="136">
        <v>656</v>
      </c>
      <c r="F336" s="48"/>
      <c r="G336" s="137">
        <v>1</v>
      </c>
      <c r="H336" s="49"/>
      <c r="I336" s="50">
        <f t="shared" si="28"/>
        <v>64</v>
      </c>
      <c r="J336" s="137">
        <v>63</v>
      </c>
      <c r="K336" s="51"/>
      <c r="L336" s="137">
        <v>1</v>
      </c>
      <c r="M336" s="52"/>
    </row>
    <row r="337" spans="1:13" x14ac:dyDescent="0.25">
      <c r="A337" s="161">
        <v>7</v>
      </c>
      <c r="B337" s="207" t="s">
        <v>257</v>
      </c>
      <c r="C337" s="135"/>
      <c r="D337" s="137">
        <f t="shared" si="27"/>
        <v>2014</v>
      </c>
      <c r="E337" s="136">
        <v>643</v>
      </c>
      <c r="F337" s="48">
        <v>1224</v>
      </c>
      <c r="G337" s="137">
        <v>106</v>
      </c>
      <c r="H337" s="49">
        <v>41</v>
      </c>
      <c r="I337" s="50">
        <f t="shared" si="28"/>
        <v>1562</v>
      </c>
      <c r="J337" s="137">
        <v>704</v>
      </c>
      <c r="K337" s="51">
        <v>397</v>
      </c>
      <c r="L337" s="137">
        <v>403</v>
      </c>
      <c r="M337" s="52">
        <v>58</v>
      </c>
    </row>
    <row r="338" spans="1:13" x14ac:dyDescent="0.25">
      <c r="A338" s="161">
        <v>8</v>
      </c>
      <c r="B338" s="207" t="s">
        <v>258</v>
      </c>
      <c r="C338" s="135"/>
      <c r="D338" s="137">
        <f t="shared" si="27"/>
        <v>362</v>
      </c>
      <c r="E338" s="136">
        <v>274</v>
      </c>
      <c r="F338" s="48">
        <v>77</v>
      </c>
      <c r="G338" s="137">
        <v>11</v>
      </c>
      <c r="H338" s="49"/>
      <c r="I338" s="50">
        <f t="shared" si="28"/>
        <v>29</v>
      </c>
      <c r="J338" s="137">
        <v>24</v>
      </c>
      <c r="K338" s="51">
        <v>5</v>
      </c>
      <c r="L338" s="137"/>
      <c r="M338" s="52"/>
    </row>
    <row r="339" spans="1:13" x14ac:dyDescent="0.25">
      <c r="A339" s="161">
        <v>9</v>
      </c>
      <c r="B339" s="207" t="s">
        <v>259</v>
      </c>
      <c r="C339" s="135"/>
      <c r="D339" s="137">
        <f t="shared" si="27"/>
        <v>523</v>
      </c>
      <c r="E339" s="136">
        <v>226</v>
      </c>
      <c r="F339" s="48">
        <v>289</v>
      </c>
      <c r="G339" s="137">
        <v>7</v>
      </c>
      <c r="H339" s="49">
        <v>1</v>
      </c>
      <c r="I339" s="50">
        <f t="shared" si="28"/>
        <v>24</v>
      </c>
      <c r="J339" s="137">
        <v>5</v>
      </c>
      <c r="K339" s="51">
        <v>19</v>
      </c>
      <c r="L339" s="137"/>
      <c r="M339" s="52"/>
    </row>
    <row r="340" spans="1:13" x14ac:dyDescent="0.25">
      <c r="A340" s="161">
        <v>10</v>
      </c>
      <c r="B340" s="207" t="s">
        <v>260</v>
      </c>
      <c r="C340" s="135"/>
      <c r="D340" s="137">
        <f t="shared" si="27"/>
        <v>543</v>
      </c>
      <c r="E340" s="136">
        <v>408</v>
      </c>
      <c r="F340" s="48">
        <v>97</v>
      </c>
      <c r="G340" s="137">
        <v>37</v>
      </c>
      <c r="H340" s="49">
        <v>1</v>
      </c>
      <c r="I340" s="50">
        <f t="shared" si="28"/>
        <v>20</v>
      </c>
      <c r="J340" s="137">
        <v>15</v>
      </c>
      <c r="K340" s="51">
        <v>2</v>
      </c>
      <c r="L340" s="137">
        <v>3</v>
      </c>
      <c r="M340" s="52"/>
    </row>
    <row r="341" spans="1:13" x14ac:dyDescent="0.25">
      <c r="A341" s="134" t="s">
        <v>261</v>
      </c>
      <c r="B341" s="207"/>
      <c r="C341" s="135"/>
      <c r="D341" s="137"/>
      <c r="E341" s="136"/>
      <c r="F341" s="48"/>
      <c r="G341" s="137"/>
      <c r="H341" s="49"/>
      <c r="I341" s="50"/>
      <c r="J341" s="137"/>
      <c r="K341" s="51"/>
      <c r="L341" s="137"/>
      <c r="M341" s="52"/>
    </row>
    <row r="342" spans="1:13" x14ac:dyDescent="0.25">
      <c r="A342" s="216" t="s">
        <v>262</v>
      </c>
      <c r="B342" s="207"/>
      <c r="C342" s="135"/>
      <c r="D342" s="137"/>
      <c r="E342" s="136"/>
      <c r="F342" s="48"/>
      <c r="G342" s="137"/>
      <c r="H342" s="49"/>
      <c r="I342" s="50"/>
      <c r="J342" s="137"/>
      <c r="K342" s="51"/>
      <c r="L342" s="137"/>
      <c r="M342" s="52"/>
    </row>
    <row r="343" spans="1:13" x14ac:dyDescent="0.25">
      <c r="A343" s="161">
        <v>1</v>
      </c>
      <c r="B343" s="218" t="s">
        <v>263</v>
      </c>
      <c r="C343" s="135"/>
      <c r="D343" s="137">
        <f>SUM(E343:H343)</f>
        <v>60600</v>
      </c>
      <c r="E343" s="136">
        <v>7</v>
      </c>
      <c r="F343" s="48">
        <v>51475</v>
      </c>
      <c r="G343" s="137">
        <v>4</v>
      </c>
      <c r="H343" s="49">
        <v>9114</v>
      </c>
      <c r="I343" s="50">
        <f>SUM(J343:M343)</f>
        <v>41184</v>
      </c>
      <c r="J343" s="137">
        <v>12</v>
      </c>
      <c r="K343" s="51">
        <v>28864</v>
      </c>
      <c r="L343" s="137">
        <v>7</v>
      </c>
      <c r="M343" s="52">
        <v>12301</v>
      </c>
    </row>
    <row r="344" spans="1:13" x14ac:dyDescent="0.25">
      <c r="A344" s="216" t="s">
        <v>264</v>
      </c>
      <c r="B344" s="207"/>
      <c r="C344" s="135"/>
      <c r="D344" s="137"/>
      <c r="E344" s="136"/>
      <c r="F344" s="48"/>
      <c r="G344" s="137"/>
      <c r="H344" s="49"/>
      <c r="I344" s="50"/>
      <c r="J344" s="137"/>
      <c r="K344" s="51"/>
      <c r="L344" s="137"/>
      <c r="M344" s="52"/>
    </row>
    <row r="345" spans="1:13" x14ac:dyDescent="0.25">
      <c r="A345" s="161">
        <v>1</v>
      </c>
      <c r="B345" s="207" t="s">
        <v>265</v>
      </c>
      <c r="C345" s="135"/>
      <c r="D345" s="137">
        <f>SUM(E345:H345)</f>
        <v>1640</v>
      </c>
      <c r="E345" s="136">
        <v>933</v>
      </c>
      <c r="F345" s="48">
        <v>658</v>
      </c>
      <c r="G345" s="137">
        <v>39</v>
      </c>
      <c r="H345" s="49">
        <v>10</v>
      </c>
      <c r="I345" s="50">
        <f>SUM(J345:M345)</f>
        <v>150</v>
      </c>
      <c r="J345" s="137">
        <v>105</v>
      </c>
      <c r="K345" s="51">
        <v>43</v>
      </c>
      <c r="L345" s="137">
        <v>2</v>
      </c>
      <c r="M345" s="52"/>
    </row>
    <row r="346" spans="1:13" x14ac:dyDescent="0.25">
      <c r="A346" s="161">
        <v>2</v>
      </c>
      <c r="B346" s="207" t="s">
        <v>149</v>
      </c>
      <c r="C346" s="135"/>
      <c r="D346" s="137">
        <f>SUM(E346:H346)</f>
        <v>48948</v>
      </c>
      <c r="E346" s="82">
        <v>2524</v>
      </c>
      <c r="F346" s="48">
        <v>3949</v>
      </c>
      <c r="G346" s="84">
        <v>32081</v>
      </c>
      <c r="H346" s="49">
        <v>10394</v>
      </c>
      <c r="I346" s="50">
        <f>SUM(J346:M346)</f>
        <v>26378</v>
      </c>
      <c r="J346" s="84">
        <v>258</v>
      </c>
      <c r="K346" s="51">
        <v>456</v>
      </c>
      <c r="L346" s="84">
        <v>14308</v>
      </c>
      <c r="M346" s="52">
        <v>11356</v>
      </c>
    </row>
    <row r="347" spans="1:13" x14ac:dyDescent="0.25">
      <c r="A347" s="134" t="s">
        <v>266</v>
      </c>
      <c r="B347" s="207"/>
      <c r="C347" s="135"/>
      <c r="D347" s="137"/>
      <c r="E347" s="82"/>
      <c r="F347" s="48"/>
      <c r="G347" s="84"/>
      <c r="H347" s="49"/>
      <c r="I347" s="50"/>
      <c r="J347" s="84"/>
      <c r="K347" s="51"/>
      <c r="L347" s="84"/>
      <c r="M347" s="52"/>
    </row>
    <row r="348" spans="1:13" x14ac:dyDescent="0.25">
      <c r="A348" s="104" t="s">
        <v>267</v>
      </c>
      <c r="B348" s="207"/>
      <c r="C348" s="104"/>
      <c r="D348" s="137"/>
      <c r="E348" s="82"/>
      <c r="F348" s="48"/>
      <c r="G348" s="82"/>
      <c r="H348" s="48"/>
      <c r="I348" s="50"/>
      <c r="J348" s="84"/>
      <c r="K348" s="51"/>
      <c r="L348" s="82"/>
      <c r="M348" s="65"/>
    </row>
    <row r="349" spans="1:13" x14ac:dyDescent="0.25">
      <c r="A349" s="191">
        <v>1</v>
      </c>
      <c r="B349" s="207" t="s">
        <v>268</v>
      </c>
      <c r="C349" s="104"/>
      <c r="D349" s="137">
        <f>SUM(E349:H349)</f>
        <v>22377</v>
      </c>
      <c r="E349" s="82">
        <v>13701</v>
      </c>
      <c r="F349" s="48">
        <v>1869</v>
      </c>
      <c r="G349" s="82">
        <v>6763</v>
      </c>
      <c r="H349" s="48">
        <v>44</v>
      </c>
      <c r="I349" s="50">
        <f>SUM(J349:M349)</f>
        <v>2794</v>
      </c>
      <c r="J349" s="84">
        <v>1948</v>
      </c>
      <c r="K349" s="51">
        <v>61</v>
      </c>
      <c r="L349" s="82">
        <v>781</v>
      </c>
      <c r="M349" s="65">
        <v>4</v>
      </c>
    </row>
    <row r="350" spans="1:13" x14ac:dyDescent="0.25">
      <c r="A350" s="161" t="s">
        <v>269</v>
      </c>
      <c r="B350" s="207"/>
      <c r="C350" s="104"/>
      <c r="D350" s="137"/>
      <c r="E350" s="82"/>
      <c r="F350" s="48"/>
      <c r="G350" s="82"/>
      <c r="H350" s="48"/>
      <c r="I350" s="50"/>
      <c r="J350" s="84"/>
      <c r="K350" s="51"/>
      <c r="L350" s="82"/>
      <c r="M350" s="65"/>
    </row>
    <row r="351" spans="1:13" x14ac:dyDescent="0.25">
      <c r="A351" s="191">
        <v>1</v>
      </c>
      <c r="B351" s="207" t="s">
        <v>270</v>
      </c>
      <c r="C351" s="104"/>
      <c r="D351" s="137">
        <f t="shared" ref="D351:D356" si="29">SUM(E351:H351)</f>
        <v>3736</v>
      </c>
      <c r="E351" s="82">
        <v>3590</v>
      </c>
      <c r="F351" s="48">
        <v>30</v>
      </c>
      <c r="G351" s="82">
        <v>116</v>
      </c>
      <c r="H351" s="48"/>
      <c r="I351" s="50">
        <f t="shared" ref="I351:I356" si="30">SUM(J351:M351)</f>
        <v>616</v>
      </c>
      <c r="J351" s="84">
        <v>559</v>
      </c>
      <c r="K351" s="51">
        <v>1</v>
      </c>
      <c r="L351" s="82">
        <v>56</v>
      </c>
      <c r="M351" s="65"/>
    </row>
    <row r="352" spans="1:13" x14ac:dyDescent="0.25">
      <c r="A352" s="161">
        <v>2</v>
      </c>
      <c r="B352" s="207" t="s">
        <v>271</v>
      </c>
      <c r="C352" s="104"/>
      <c r="D352" s="137">
        <f t="shared" si="29"/>
        <v>6935</v>
      </c>
      <c r="E352" s="82">
        <v>2400</v>
      </c>
      <c r="F352" s="48">
        <v>8</v>
      </c>
      <c r="G352" s="89">
        <v>4525</v>
      </c>
      <c r="H352" s="48">
        <v>2</v>
      </c>
      <c r="I352" s="50">
        <f t="shared" si="30"/>
        <v>1204</v>
      </c>
      <c r="J352" s="84">
        <v>413</v>
      </c>
      <c r="K352" s="51">
        <v>1</v>
      </c>
      <c r="L352" s="82">
        <v>789</v>
      </c>
      <c r="M352" s="65">
        <v>1</v>
      </c>
    </row>
    <row r="353" spans="1:13" x14ac:dyDescent="0.25">
      <c r="A353" s="161">
        <v>3</v>
      </c>
      <c r="B353" s="207" t="s">
        <v>272</v>
      </c>
      <c r="C353" s="104"/>
      <c r="D353" s="137">
        <f t="shared" si="29"/>
        <v>46</v>
      </c>
      <c r="E353" s="82">
        <v>46</v>
      </c>
      <c r="F353" s="48"/>
      <c r="G353" s="82"/>
      <c r="H353" s="48"/>
      <c r="I353" s="50">
        <f t="shared" si="30"/>
        <v>7</v>
      </c>
      <c r="J353" s="84">
        <v>7</v>
      </c>
      <c r="K353" s="51"/>
      <c r="L353" s="82"/>
      <c r="M353" s="65"/>
    </row>
    <row r="354" spans="1:13" x14ac:dyDescent="0.25">
      <c r="A354" s="161">
        <v>4</v>
      </c>
      <c r="B354" s="207" t="s">
        <v>273</v>
      </c>
      <c r="C354" s="104"/>
      <c r="D354" s="137">
        <f t="shared" si="29"/>
        <v>19</v>
      </c>
      <c r="E354" s="82">
        <v>11</v>
      </c>
      <c r="F354" s="48"/>
      <c r="G354" s="82">
        <v>8</v>
      </c>
      <c r="H354" s="48"/>
      <c r="I354" s="50">
        <f t="shared" si="30"/>
        <v>2</v>
      </c>
      <c r="J354" s="84">
        <v>2</v>
      </c>
      <c r="K354" s="51"/>
      <c r="L354" s="82"/>
      <c r="M354" s="65"/>
    </row>
    <row r="355" spans="1:13" x14ac:dyDescent="0.25">
      <c r="A355" s="161">
        <v>5</v>
      </c>
      <c r="B355" s="207" t="s">
        <v>274</v>
      </c>
      <c r="C355" s="104"/>
      <c r="D355" s="137">
        <f t="shared" si="29"/>
        <v>1602</v>
      </c>
      <c r="E355" s="82">
        <v>1205</v>
      </c>
      <c r="F355" s="48">
        <v>168</v>
      </c>
      <c r="G355" s="82">
        <v>228</v>
      </c>
      <c r="H355" s="48">
        <v>1</v>
      </c>
      <c r="I355" s="50">
        <f t="shared" si="30"/>
        <v>221</v>
      </c>
      <c r="J355" s="84">
        <v>101</v>
      </c>
      <c r="K355" s="51">
        <v>17</v>
      </c>
      <c r="L355" s="82">
        <v>103</v>
      </c>
      <c r="M355" s="65"/>
    </row>
    <row r="356" spans="1:13" x14ac:dyDescent="0.25">
      <c r="A356" s="161">
        <v>6</v>
      </c>
      <c r="B356" s="207" t="s">
        <v>275</v>
      </c>
      <c r="C356" s="104"/>
      <c r="D356" s="137">
        <f t="shared" si="29"/>
        <v>754</v>
      </c>
      <c r="E356" s="82">
        <v>461</v>
      </c>
      <c r="F356" s="48">
        <v>2</v>
      </c>
      <c r="G356" s="82">
        <v>291</v>
      </c>
      <c r="H356" s="48"/>
      <c r="I356" s="50">
        <f t="shared" si="30"/>
        <v>52</v>
      </c>
      <c r="J356" s="84">
        <v>11</v>
      </c>
      <c r="K356" s="51"/>
      <c r="L356" s="82">
        <v>41</v>
      </c>
      <c r="M356" s="65"/>
    </row>
    <row r="357" spans="1:13" x14ac:dyDescent="0.25">
      <c r="A357" s="153" t="s">
        <v>276</v>
      </c>
      <c r="B357" s="207"/>
      <c r="C357" s="104"/>
      <c r="D357" s="137"/>
      <c r="E357" s="82"/>
      <c r="F357" s="48"/>
      <c r="G357" s="82"/>
      <c r="H357" s="48"/>
      <c r="I357" s="50"/>
      <c r="J357" s="84"/>
      <c r="K357" s="51"/>
      <c r="L357" s="82"/>
      <c r="M357" s="65"/>
    </row>
    <row r="358" spans="1:13" x14ac:dyDescent="0.25">
      <c r="A358" s="219" t="s">
        <v>278</v>
      </c>
      <c r="B358" s="207"/>
      <c r="C358" s="104"/>
      <c r="D358" s="137"/>
      <c r="E358" s="82"/>
      <c r="F358" s="48"/>
      <c r="G358" s="82"/>
      <c r="H358" s="48"/>
      <c r="I358" s="50"/>
      <c r="J358" s="84"/>
      <c r="K358" s="51"/>
      <c r="L358" s="82"/>
      <c r="M358" s="65"/>
    </row>
    <row r="359" spans="1:13" x14ac:dyDescent="0.25">
      <c r="A359" s="161">
        <v>1</v>
      </c>
      <c r="B359" s="207" t="s">
        <v>279</v>
      </c>
      <c r="C359" s="192" t="s">
        <v>354</v>
      </c>
      <c r="D359" s="137">
        <f>SUM(E359:H359)</f>
        <v>13716</v>
      </c>
      <c r="E359" s="82">
        <v>3400</v>
      </c>
      <c r="F359" s="48">
        <v>378</v>
      </c>
      <c r="G359" s="82">
        <v>5910</v>
      </c>
      <c r="H359" s="48">
        <v>4028</v>
      </c>
      <c r="I359" s="50">
        <f>SUM(J359:M359)</f>
        <v>483853</v>
      </c>
      <c r="J359" s="84">
        <v>39628</v>
      </c>
      <c r="K359" s="51">
        <v>10542</v>
      </c>
      <c r="L359" s="82">
        <v>169416</v>
      </c>
      <c r="M359" s="65">
        <v>264267</v>
      </c>
    </row>
    <row r="360" spans="1:13" x14ac:dyDescent="0.25">
      <c r="A360" s="161">
        <v>2</v>
      </c>
      <c r="B360" s="207" t="s">
        <v>280</v>
      </c>
      <c r="C360" s="104"/>
      <c r="D360" s="137">
        <f>SUM(E360:H360)</f>
        <v>47</v>
      </c>
      <c r="E360" s="82">
        <v>28</v>
      </c>
      <c r="F360" s="48">
        <v>1</v>
      </c>
      <c r="G360" s="82">
        <v>18</v>
      </c>
      <c r="H360" s="48"/>
      <c r="I360" s="50">
        <f>SUM(J360:M360)</f>
        <v>116</v>
      </c>
      <c r="J360" s="84">
        <v>45</v>
      </c>
      <c r="K360" s="51"/>
      <c r="L360" s="82">
        <v>70</v>
      </c>
      <c r="M360" s="65">
        <v>1</v>
      </c>
    </row>
    <row r="361" spans="1:13" x14ac:dyDescent="0.25">
      <c r="A361" s="161">
        <v>3</v>
      </c>
      <c r="B361" s="207" t="s">
        <v>281</v>
      </c>
      <c r="C361" s="104"/>
      <c r="D361" s="137">
        <f>SUM(E361:H361)</f>
        <v>3</v>
      </c>
      <c r="E361" s="82"/>
      <c r="F361" s="48"/>
      <c r="G361" s="82">
        <v>3</v>
      </c>
      <c r="H361" s="48"/>
      <c r="I361" s="50">
        <f>SUM(J361:M361)</f>
        <v>0</v>
      </c>
      <c r="J361" s="84"/>
      <c r="K361" s="51"/>
      <c r="L361" s="82"/>
      <c r="M361" s="65"/>
    </row>
    <row r="362" spans="1:13" x14ac:dyDescent="0.25">
      <c r="A362" s="161">
        <v>4</v>
      </c>
      <c r="B362" s="207" t="s">
        <v>282</v>
      </c>
      <c r="C362" s="104"/>
      <c r="D362" s="137">
        <f>SUM(E362:H362)</f>
        <v>945</v>
      </c>
      <c r="E362" s="82">
        <v>576</v>
      </c>
      <c r="F362" s="48">
        <v>2</v>
      </c>
      <c r="G362" s="82">
        <v>367</v>
      </c>
      <c r="H362" s="48"/>
      <c r="I362" s="50">
        <f>SUM(J362:M362)</f>
        <v>141</v>
      </c>
      <c r="J362" s="84">
        <v>60</v>
      </c>
      <c r="K362" s="51"/>
      <c r="L362" s="82">
        <v>81</v>
      </c>
      <c r="M362" s="65"/>
    </row>
    <row r="363" spans="1:13" x14ac:dyDescent="0.25">
      <c r="A363" s="153" t="s">
        <v>283</v>
      </c>
      <c r="B363" s="207"/>
      <c r="C363" s="104"/>
      <c r="D363" s="137"/>
      <c r="E363" s="82"/>
      <c r="F363" s="48"/>
      <c r="G363" s="82"/>
      <c r="H363" s="48"/>
      <c r="I363" s="50"/>
      <c r="J363" s="84"/>
      <c r="K363" s="51"/>
      <c r="L363" s="82"/>
      <c r="M363" s="65"/>
    </row>
    <row r="364" spans="1:13" x14ac:dyDescent="0.25">
      <c r="A364" s="219" t="s">
        <v>284</v>
      </c>
      <c r="B364" s="207"/>
      <c r="C364" s="104"/>
      <c r="D364" s="137"/>
      <c r="E364" s="82"/>
      <c r="F364" s="48"/>
      <c r="G364" s="82"/>
      <c r="H364" s="48"/>
      <c r="I364" s="50"/>
      <c r="J364" s="84"/>
      <c r="K364" s="51"/>
      <c r="L364" s="82"/>
      <c r="M364" s="65"/>
    </row>
    <row r="365" spans="1:13" x14ac:dyDescent="0.25">
      <c r="A365" s="161">
        <v>1</v>
      </c>
      <c r="B365" s="207" t="s">
        <v>285</v>
      </c>
      <c r="C365" s="104"/>
      <c r="D365" s="137">
        <f t="shared" ref="D365:D377" si="31">SUM(E365:H365)</f>
        <v>1825</v>
      </c>
      <c r="E365" s="82">
        <v>1308</v>
      </c>
      <c r="F365" s="48">
        <v>227</v>
      </c>
      <c r="G365" s="82">
        <v>287</v>
      </c>
      <c r="H365" s="48">
        <v>3</v>
      </c>
      <c r="I365" s="50">
        <f t="shared" ref="I365:I377" si="32">SUM(J365:M365)</f>
        <v>20</v>
      </c>
      <c r="J365" s="84">
        <v>17</v>
      </c>
      <c r="K365" s="51">
        <v>1</v>
      </c>
      <c r="L365" s="82">
        <v>2</v>
      </c>
      <c r="M365" s="65"/>
    </row>
    <row r="366" spans="1:13" x14ac:dyDescent="0.25">
      <c r="A366" s="161">
        <v>2</v>
      </c>
      <c r="B366" s="207" t="s">
        <v>286</v>
      </c>
      <c r="C366" s="104"/>
      <c r="D366" s="137">
        <f t="shared" si="31"/>
        <v>64</v>
      </c>
      <c r="E366" s="82">
        <v>62</v>
      </c>
      <c r="F366" s="48">
        <v>2</v>
      </c>
      <c r="G366" s="82"/>
      <c r="H366" s="48"/>
      <c r="I366" s="50">
        <f t="shared" si="32"/>
        <v>2</v>
      </c>
      <c r="J366" s="84">
        <v>2</v>
      </c>
      <c r="K366" s="51"/>
      <c r="L366" s="82"/>
      <c r="M366" s="65"/>
    </row>
    <row r="367" spans="1:13" x14ac:dyDescent="0.25">
      <c r="A367" s="161">
        <v>3</v>
      </c>
      <c r="B367" s="207" t="s">
        <v>287</v>
      </c>
      <c r="C367" s="104"/>
      <c r="D367" s="137">
        <f t="shared" si="31"/>
        <v>31</v>
      </c>
      <c r="E367" s="82">
        <v>30</v>
      </c>
      <c r="F367" s="48"/>
      <c r="G367" s="82">
        <v>1</v>
      </c>
      <c r="H367" s="48"/>
      <c r="I367" s="50">
        <f t="shared" si="32"/>
        <v>1</v>
      </c>
      <c r="J367" s="84"/>
      <c r="K367" s="51">
        <v>1</v>
      </c>
      <c r="L367" s="82"/>
      <c r="M367" s="65"/>
    </row>
    <row r="368" spans="1:13" x14ac:dyDescent="0.25">
      <c r="A368" s="161">
        <v>4</v>
      </c>
      <c r="B368" s="207" t="s">
        <v>288</v>
      </c>
      <c r="C368" s="104"/>
      <c r="D368" s="137">
        <f t="shared" si="31"/>
        <v>19</v>
      </c>
      <c r="E368" s="82">
        <v>18</v>
      </c>
      <c r="F368" s="48"/>
      <c r="G368" s="82"/>
      <c r="H368" s="48">
        <v>1</v>
      </c>
      <c r="I368" s="50">
        <f t="shared" si="32"/>
        <v>0</v>
      </c>
      <c r="J368" s="84"/>
      <c r="K368" s="51"/>
      <c r="L368" s="82"/>
      <c r="M368" s="65"/>
    </row>
    <row r="369" spans="1:13" x14ac:dyDescent="0.25">
      <c r="A369" s="161">
        <v>5</v>
      </c>
      <c r="B369" s="207" t="s">
        <v>289</v>
      </c>
      <c r="C369" s="104"/>
      <c r="D369" s="137">
        <f t="shared" si="31"/>
        <v>66</v>
      </c>
      <c r="E369" s="82">
        <v>65</v>
      </c>
      <c r="F369" s="48">
        <v>1</v>
      </c>
      <c r="G369" s="82"/>
      <c r="H369" s="48"/>
      <c r="I369" s="50">
        <f t="shared" si="32"/>
        <v>0</v>
      </c>
      <c r="J369" s="84"/>
      <c r="K369" s="51"/>
      <c r="L369" s="82"/>
      <c r="M369" s="65"/>
    </row>
    <row r="370" spans="1:13" x14ac:dyDescent="0.25">
      <c r="A370" s="161">
        <v>6</v>
      </c>
      <c r="B370" s="207" t="s">
        <v>290</v>
      </c>
      <c r="C370" s="104"/>
      <c r="D370" s="137">
        <f t="shared" si="31"/>
        <v>222</v>
      </c>
      <c r="E370" s="82">
        <v>219</v>
      </c>
      <c r="F370" s="48"/>
      <c r="G370" s="82">
        <v>3</v>
      </c>
      <c r="H370" s="48"/>
      <c r="I370" s="50">
        <f t="shared" si="32"/>
        <v>7</v>
      </c>
      <c r="J370" s="84">
        <v>7</v>
      </c>
      <c r="K370" s="51"/>
      <c r="L370" s="82"/>
      <c r="M370" s="65"/>
    </row>
    <row r="371" spans="1:13" x14ac:dyDescent="0.25">
      <c r="A371" s="161">
        <v>7</v>
      </c>
      <c r="B371" s="207" t="s">
        <v>291</v>
      </c>
      <c r="C371" s="104"/>
      <c r="D371" s="137">
        <f t="shared" si="31"/>
        <v>8</v>
      </c>
      <c r="E371" s="82">
        <v>8</v>
      </c>
      <c r="F371" s="48"/>
      <c r="G371" s="82"/>
      <c r="H371" s="48"/>
      <c r="I371" s="50">
        <f t="shared" si="32"/>
        <v>0</v>
      </c>
      <c r="J371" s="84"/>
      <c r="K371" s="51"/>
      <c r="L371" s="82"/>
      <c r="M371" s="65"/>
    </row>
    <row r="372" spans="1:13" x14ac:dyDescent="0.25">
      <c r="A372" s="161">
        <v>8</v>
      </c>
      <c r="B372" s="207" t="s">
        <v>292</v>
      </c>
      <c r="C372" s="104"/>
      <c r="D372" s="137">
        <f t="shared" si="31"/>
        <v>21</v>
      </c>
      <c r="E372" s="82">
        <v>20</v>
      </c>
      <c r="F372" s="48">
        <v>1</v>
      </c>
      <c r="G372" s="82"/>
      <c r="H372" s="48"/>
      <c r="I372" s="50">
        <f t="shared" si="32"/>
        <v>918</v>
      </c>
      <c r="J372" s="84">
        <v>105</v>
      </c>
      <c r="K372" s="51">
        <v>6</v>
      </c>
      <c r="L372" s="82">
        <v>807</v>
      </c>
      <c r="M372" s="65"/>
    </row>
    <row r="373" spans="1:13" x14ac:dyDescent="0.25">
      <c r="A373" s="161">
        <v>9</v>
      </c>
      <c r="B373" s="207" t="s">
        <v>293</v>
      </c>
      <c r="C373" s="104"/>
      <c r="D373" s="137">
        <f t="shared" si="31"/>
        <v>1052</v>
      </c>
      <c r="E373" s="82">
        <v>1049</v>
      </c>
      <c r="F373" s="48">
        <v>1</v>
      </c>
      <c r="G373" s="82">
        <v>2</v>
      </c>
      <c r="H373" s="48"/>
      <c r="I373" s="50">
        <f t="shared" si="32"/>
        <v>107</v>
      </c>
      <c r="J373" s="84">
        <v>106</v>
      </c>
      <c r="K373" s="51"/>
      <c r="L373" s="82">
        <v>1</v>
      </c>
      <c r="M373" s="65"/>
    </row>
    <row r="374" spans="1:13" x14ac:dyDescent="0.25">
      <c r="A374" s="161">
        <v>10</v>
      </c>
      <c r="B374" s="207" t="s">
        <v>294</v>
      </c>
      <c r="C374" s="104"/>
      <c r="D374" s="137">
        <f t="shared" si="31"/>
        <v>1331</v>
      </c>
      <c r="E374" s="82">
        <v>1161</v>
      </c>
      <c r="F374" s="48">
        <v>3</v>
      </c>
      <c r="G374" s="82">
        <v>167</v>
      </c>
      <c r="H374" s="48"/>
      <c r="I374" s="50">
        <f t="shared" si="32"/>
        <v>110</v>
      </c>
      <c r="J374" s="84">
        <v>102</v>
      </c>
      <c r="K374" s="51"/>
      <c r="L374" s="82">
        <v>8</v>
      </c>
      <c r="M374" s="65"/>
    </row>
    <row r="375" spans="1:13" x14ac:dyDescent="0.25">
      <c r="A375" s="161">
        <v>11</v>
      </c>
      <c r="B375" s="207" t="s">
        <v>295</v>
      </c>
      <c r="C375" s="104"/>
      <c r="D375" s="137">
        <f t="shared" si="31"/>
        <v>51</v>
      </c>
      <c r="E375" s="82">
        <v>45</v>
      </c>
      <c r="F375" s="48">
        <v>4</v>
      </c>
      <c r="G375" s="82">
        <v>2</v>
      </c>
      <c r="H375" s="48"/>
      <c r="I375" s="50">
        <f t="shared" si="32"/>
        <v>2</v>
      </c>
      <c r="J375" s="84">
        <v>2</v>
      </c>
      <c r="K375" s="51"/>
      <c r="L375" s="82"/>
      <c r="M375" s="65"/>
    </row>
    <row r="376" spans="1:13" x14ac:dyDescent="0.25">
      <c r="A376" s="161">
        <v>12</v>
      </c>
      <c r="B376" s="207" t="s">
        <v>296</v>
      </c>
      <c r="C376" s="104"/>
      <c r="D376" s="137">
        <f t="shared" si="31"/>
        <v>661</v>
      </c>
      <c r="E376" s="82">
        <v>605</v>
      </c>
      <c r="F376" s="48">
        <v>18</v>
      </c>
      <c r="G376" s="82">
        <v>38</v>
      </c>
      <c r="H376" s="48"/>
      <c r="I376" s="50">
        <f t="shared" si="32"/>
        <v>17</v>
      </c>
      <c r="J376" s="84">
        <v>17</v>
      </c>
      <c r="K376" s="51"/>
      <c r="L376" s="82"/>
      <c r="M376" s="65"/>
    </row>
    <row r="377" spans="1:13" x14ac:dyDescent="0.25">
      <c r="A377" s="161">
        <v>13</v>
      </c>
      <c r="B377" s="207" t="s">
        <v>297</v>
      </c>
      <c r="C377" s="104"/>
      <c r="D377" s="137">
        <f t="shared" si="31"/>
        <v>240</v>
      </c>
      <c r="E377" s="82">
        <v>14</v>
      </c>
      <c r="F377" s="48">
        <v>3</v>
      </c>
      <c r="G377" s="82">
        <v>223</v>
      </c>
      <c r="H377" s="48"/>
      <c r="I377" s="50">
        <f t="shared" si="32"/>
        <v>0</v>
      </c>
      <c r="J377" s="84"/>
      <c r="K377" s="51"/>
      <c r="L377" s="82"/>
      <c r="M377" s="65"/>
    </row>
    <row r="378" spans="1:13" x14ac:dyDescent="0.25">
      <c r="A378" s="216" t="s">
        <v>298</v>
      </c>
      <c r="B378" s="207"/>
      <c r="C378" s="104"/>
      <c r="D378" s="137"/>
      <c r="E378" s="82"/>
      <c r="F378" s="48"/>
      <c r="G378" s="82"/>
      <c r="H378" s="48"/>
      <c r="I378" s="50"/>
      <c r="J378" s="84"/>
      <c r="K378" s="51"/>
      <c r="L378" s="82"/>
      <c r="M378" s="65"/>
    </row>
    <row r="379" spans="1:13" x14ac:dyDescent="0.25">
      <c r="A379" s="161">
        <v>1</v>
      </c>
      <c r="B379" s="207" t="s">
        <v>299</v>
      </c>
      <c r="C379" s="104"/>
      <c r="D379" s="137">
        <f>SUM(E379:H379)</f>
        <v>5006</v>
      </c>
      <c r="E379" s="82">
        <v>1133</v>
      </c>
      <c r="F379" s="48">
        <v>3</v>
      </c>
      <c r="G379" s="82">
        <v>3870</v>
      </c>
      <c r="H379" s="48"/>
      <c r="I379" s="50">
        <f>SUM(J379:M379)</f>
        <v>5343</v>
      </c>
      <c r="J379" s="84">
        <v>1386</v>
      </c>
      <c r="K379" s="51"/>
      <c r="L379" s="82">
        <v>3957</v>
      </c>
      <c r="M379" s="65"/>
    </row>
    <row r="380" spans="1:13" x14ac:dyDescent="0.25">
      <c r="A380" s="161">
        <v>2</v>
      </c>
      <c r="B380" s="207" t="s">
        <v>300</v>
      </c>
      <c r="C380" s="104"/>
      <c r="D380" s="137">
        <f>SUM(E380:H380)</f>
        <v>16269</v>
      </c>
      <c r="E380" s="82">
        <v>10148</v>
      </c>
      <c r="F380" s="48">
        <v>11</v>
      </c>
      <c r="G380" s="82">
        <v>6110</v>
      </c>
      <c r="H380" s="48"/>
      <c r="I380" s="50">
        <f>SUM(J380:M380)</f>
        <v>2214</v>
      </c>
      <c r="J380" s="84">
        <v>1331</v>
      </c>
      <c r="K380" s="51"/>
      <c r="L380" s="82">
        <v>883</v>
      </c>
      <c r="M380" s="65"/>
    </row>
    <row r="381" spans="1:13" x14ac:dyDescent="0.25">
      <c r="A381" s="161">
        <v>3</v>
      </c>
      <c r="B381" s="207" t="s">
        <v>301</v>
      </c>
      <c r="C381" s="104"/>
      <c r="D381" s="137">
        <f>SUM(E381:H381)</f>
        <v>101</v>
      </c>
      <c r="E381" s="82">
        <v>69</v>
      </c>
      <c r="F381" s="48"/>
      <c r="G381" s="82">
        <v>32</v>
      </c>
      <c r="H381" s="48"/>
      <c r="I381" s="50">
        <f>SUM(J381:M381)</f>
        <v>56</v>
      </c>
      <c r="J381" s="84">
        <v>45</v>
      </c>
      <c r="K381" s="51"/>
      <c r="L381" s="82">
        <v>11</v>
      </c>
      <c r="M381" s="65"/>
    </row>
    <row r="382" spans="1:13" x14ac:dyDescent="0.25">
      <c r="A382" s="161">
        <v>4</v>
      </c>
      <c r="B382" s="207" t="s">
        <v>302</v>
      </c>
      <c r="C382" s="104"/>
      <c r="D382" s="137">
        <f>SUM(E382:H382)</f>
        <v>1398</v>
      </c>
      <c r="E382" s="82">
        <v>239</v>
      </c>
      <c r="F382" s="48">
        <v>1</v>
      </c>
      <c r="G382" s="82">
        <v>1158</v>
      </c>
      <c r="H382" s="48"/>
      <c r="I382" s="50">
        <f>SUM(J382:M382)</f>
        <v>5</v>
      </c>
      <c r="J382" s="84">
        <v>3</v>
      </c>
      <c r="K382" s="51"/>
      <c r="L382" s="82">
        <v>2</v>
      </c>
      <c r="M382" s="65"/>
    </row>
    <row r="383" spans="1:13" x14ac:dyDescent="0.25">
      <c r="A383" s="216" t="s">
        <v>303</v>
      </c>
      <c r="B383" s="207"/>
      <c r="C383" s="104"/>
      <c r="D383" s="137"/>
      <c r="E383" s="82"/>
      <c r="F383" s="48"/>
      <c r="G383" s="82"/>
      <c r="H383" s="48"/>
      <c r="I383" s="50"/>
      <c r="J383" s="84"/>
      <c r="K383" s="51"/>
      <c r="L383" s="82"/>
      <c r="M383" s="65"/>
    </row>
    <row r="384" spans="1:13" x14ac:dyDescent="0.25">
      <c r="A384" s="161">
        <v>1</v>
      </c>
      <c r="B384" s="207" t="s">
        <v>304</v>
      </c>
      <c r="C384" s="104"/>
      <c r="D384" s="137">
        <f>SUM(E384:H384)</f>
        <v>1613</v>
      </c>
      <c r="E384" s="82">
        <v>834</v>
      </c>
      <c r="F384" s="48">
        <v>675</v>
      </c>
      <c r="G384" s="82">
        <v>104</v>
      </c>
      <c r="H384" s="48"/>
      <c r="I384" s="50">
        <f>SUM(J384:M384)</f>
        <v>44</v>
      </c>
      <c r="J384" s="84">
        <v>34</v>
      </c>
      <c r="K384" s="51">
        <v>10</v>
      </c>
      <c r="L384" s="82"/>
      <c r="M384" s="65"/>
    </row>
    <row r="385" spans="1:13" x14ac:dyDescent="0.25">
      <c r="A385" s="161">
        <v>2</v>
      </c>
      <c r="B385" s="207" t="s">
        <v>305</v>
      </c>
      <c r="C385" s="104"/>
      <c r="D385" s="137">
        <f>SUM(E385:H385)</f>
        <v>4826</v>
      </c>
      <c r="E385" s="82">
        <v>2316</v>
      </c>
      <c r="F385" s="48">
        <v>2039</v>
      </c>
      <c r="G385" s="82">
        <v>395</v>
      </c>
      <c r="H385" s="48">
        <v>76</v>
      </c>
      <c r="I385" s="50">
        <f>SUM(J385:M385)</f>
        <v>131</v>
      </c>
      <c r="J385" s="84">
        <v>60</v>
      </c>
      <c r="K385" s="51">
        <v>55</v>
      </c>
      <c r="L385" s="82">
        <v>16</v>
      </c>
      <c r="M385" s="65"/>
    </row>
    <row r="386" spans="1:13" x14ac:dyDescent="0.25">
      <c r="A386" s="161">
        <v>3</v>
      </c>
      <c r="B386" s="207" t="s">
        <v>306</v>
      </c>
      <c r="C386" s="104"/>
      <c r="D386" s="137">
        <f>SUM(E386:H386)</f>
        <v>43</v>
      </c>
      <c r="E386" s="82">
        <v>33</v>
      </c>
      <c r="F386" s="48">
        <v>3</v>
      </c>
      <c r="G386" s="82">
        <v>7</v>
      </c>
      <c r="H386" s="48"/>
      <c r="I386" s="50">
        <f>SUM(J386:M386)</f>
        <v>2</v>
      </c>
      <c r="J386" s="84">
        <v>2</v>
      </c>
      <c r="K386" s="51"/>
      <c r="L386" s="82"/>
      <c r="M386" s="65"/>
    </row>
    <row r="387" spans="1:13" x14ac:dyDescent="0.25">
      <c r="A387" s="216" t="s">
        <v>307</v>
      </c>
      <c r="B387" s="207"/>
      <c r="C387" s="104"/>
      <c r="D387" s="137"/>
      <c r="E387" s="82"/>
      <c r="F387" s="48"/>
      <c r="G387" s="82"/>
      <c r="H387" s="48"/>
      <c r="I387" s="50"/>
      <c r="J387" s="84"/>
      <c r="K387" s="51"/>
      <c r="L387" s="82"/>
      <c r="M387" s="65"/>
    </row>
    <row r="388" spans="1:13" x14ac:dyDescent="0.25">
      <c r="A388" s="161">
        <v>1</v>
      </c>
      <c r="B388" s="207" t="s">
        <v>309</v>
      </c>
      <c r="C388" s="192" t="s">
        <v>355</v>
      </c>
      <c r="D388" s="137">
        <f>SUM(E388:H388)</f>
        <v>2351</v>
      </c>
      <c r="E388" s="82">
        <v>1740</v>
      </c>
      <c r="F388" s="48">
        <v>40</v>
      </c>
      <c r="G388" s="82">
        <v>571</v>
      </c>
      <c r="H388" s="48"/>
      <c r="I388" s="50">
        <f>SUM(J388:M388)</f>
        <v>202</v>
      </c>
      <c r="J388" s="84">
        <v>132</v>
      </c>
      <c r="K388" s="51">
        <v>3</v>
      </c>
      <c r="L388" s="82">
        <v>67</v>
      </c>
      <c r="M388" s="65"/>
    </row>
    <row r="389" spans="1:13" x14ac:dyDescent="0.25">
      <c r="A389" s="161">
        <v>2</v>
      </c>
      <c r="B389" s="207" t="s">
        <v>310</v>
      </c>
      <c r="C389" s="104"/>
      <c r="D389" s="137">
        <f>SUM(E389:H389)</f>
        <v>2824</v>
      </c>
      <c r="E389" s="82">
        <v>2059</v>
      </c>
      <c r="F389" s="48">
        <v>130</v>
      </c>
      <c r="G389" s="82">
        <v>625</v>
      </c>
      <c r="H389" s="48">
        <v>10</v>
      </c>
      <c r="I389" s="50">
        <f>SUM(J389:M389)</f>
        <v>181</v>
      </c>
      <c r="J389" s="84">
        <v>140</v>
      </c>
      <c r="K389" s="51">
        <v>2</v>
      </c>
      <c r="L389" s="82">
        <v>39</v>
      </c>
      <c r="M389" s="65"/>
    </row>
    <row r="390" spans="1:13" x14ac:dyDescent="0.25">
      <c r="A390" s="161">
        <v>3</v>
      </c>
      <c r="B390" s="207" t="s">
        <v>311</v>
      </c>
      <c r="C390" s="104"/>
      <c r="D390" s="137">
        <f>SUM(E390:H390)</f>
        <v>2051</v>
      </c>
      <c r="E390" s="82">
        <v>1277</v>
      </c>
      <c r="F390" s="48">
        <v>62</v>
      </c>
      <c r="G390" s="82">
        <v>698</v>
      </c>
      <c r="H390" s="48">
        <v>14</v>
      </c>
      <c r="I390" s="50">
        <f>SUM(J390:M390)</f>
        <v>44</v>
      </c>
      <c r="J390" s="84">
        <v>40</v>
      </c>
      <c r="K390" s="51">
        <v>1</v>
      </c>
      <c r="L390" s="82"/>
      <c r="M390" s="65">
        <v>3</v>
      </c>
    </row>
    <row r="391" spans="1:13" x14ac:dyDescent="0.25">
      <c r="A391" s="216" t="s">
        <v>312</v>
      </c>
      <c r="B391" s="207"/>
      <c r="C391" s="104"/>
      <c r="D391" s="137"/>
      <c r="E391" s="82"/>
      <c r="F391" s="48"/>
      <c r="G391" s="82"/>
      <c r="H391" s="48"/>
      <c r="I391" s="50"/>
      <c r="J391" s="84"/>
      <c r="K391" s="51"/>
      <c r="L391" s="82"/>
      <c r="M391" s="65"/>
    </row>
    <row r="392" spans="1:13" x14ac:dyDescent="0.25">
      <c r="A392" s="161">
        <v>1</v>
      </c>
      <c r="B392" s="207" t="s">
        <v>313</v>
      </c>
      <c r="C392" s="104"/>
      <c r="D392" s="137">
        <f>SUM(E392:H392)</f>
        <v>163</v>
      </c>
      <c r="E392" s="82">
        <v>95</v>
      </c>
      <c r="F392" s="48">
        <v>27</v>
      </c>
      <c r="G392" s="82">
        <v>38</v>
      </c>
      <c r="H392" s="48">
        <v>3</v>
      </c>
      <c r="I392" s="50">
        <f>SUM(J392:M392)</f>
        <v>12</v>
      </c>
      <c r="J392" s="84">
        <v>6</v>
      </c>
      <c r="K392" s="51"/>
      <c r="L392" s="82">
        <v>6</v>
      </c>
      <c r="M392" s="65"/>
    </row>
    <row r="393" spans="1:13" x14ac:dyDescent="0.25">
      <c r="A393" s="161">
        <v>2</v>
      </c>
      <c r="B393" s="207" t="s">
        <v>314</v>
      </c>
      <c r="C393" s="104"/>
      <c r="D393" s="137">
        <f>SUM(E393:H393)</f>
        <v>708</v>
      </c>
      <c r="E393" s="82">
        <v>357</v>
      </c>
      <c r="F393" s="48">
        <v>9</v>
      </c>
      <c r="G393" s="82">
        <v>341</v>
      </c>
      <c r="H393" s="48">
        <v>1</v>
      </c>
      <c r="I393" s="50">
        <f>SUM(J393:M393)</f>
        <v>315</v>
      </c>
      <c r="J393" s="84">
        <v>44</v>
      </c>
      <c r="K393" s="51"/>
      <c r="L393" s="82">
        <v>271</v>
      </c>
      <c r="M393" s="65"/>
    </row>
    <row r="394" spans="1:13" x14ac:dyDescent="0.25">
      <c r="A394" s="216" t="s">
        <v>315</v>
      </c>
      <c r="B394" s="207"/>
      <c r="C394" s="104"/>
      <c r="D394" s="137"/>
      <c r="E394" s="82"/>
      <c r="F394" s="48"/>
      <c r="G394" s="82"/>
      <c r="H394" s="48"/>
      <c r="I394" s="50"/>
      <c r="J394" s="84"/>
      <c r="K394" s="51"/>
      <c r="L394" s="82"/>
      <c r="M394" s="65"/>
    </row>
    <row r="395" spans="1:13" x14ac:dyDescent="0.25">
      <c r="A395" s="161">
        <v>1</v>
      </c>
      <c r="B395" s="207" t="s">
        <v>316</v>
      </c>
      <c r="C395" s="104"/>
      <c r="D395" s="137">
        <f t="shared" ref="D395:D401" si="33">SUM(E395:H395)</f>
        <v>237094</v>
      </c>
      <c r="E395" s="82">
        <v>23944</v>
      </c>
      <c r="F395" s="48">
        <v>11</v>
      </c>
      <c r="G395" s="82">
        <v>213139</v>
      </c>
      <c r="H395" s="48"/>
      <c r="I395" s="50">
        <f t="shared" ref="I395:I401" si="34">SUM(J395:M395)</f>
        <v>26187</v>
      </c>
      <c r="J395" s="84">
        <v>3236</v>
      </c>
      <c r="K395" s="51">
        <v>1</v>
      </c>
      <c r="L395" s="82">
        <v>22950</v>
      </c>
      <c r="M395" s="65"/>
    </row>
    <row r="396" spans="1:13" x14ac:dyDescent="0.25">
      <c r="A396" s="161">
        <v>2</v>
      </c>
      <c r="B396" s="207" t="s">
        <v>317</v>
      </c>
      <c r="C396" s="104"/>
      <c r="D396" s="137">
        <f t="shared" si="33"/>
        <v>1598</v>
      </c>
      <c r="E396" s="82">
        <v>1392</v>
      </c>
      <c r="F396" s="48">
        <v>1</v>
      </c>
      <c r="G396" s="82">
        <v>205</v>
      </c>
      <c r="H396" s="48"/>
      <c r="I396" s="50">
        <f t="shared" si="34"/>
        <v>308</v>
      </c>
      <c r="J396" s="84">
        <v>91</v>
      </c>
      <c r="K396" s="51"/>
      <c r="L396" s="82">
        <v>217</v>
      </c>
      <c r="M396" s="65"/>
    </row>
    <row r="397" spans="1:13" x14ac:dyDescent="0.25">
      <c r="A397" s="161">
        <v>3</v>
      </c>
      <c r="B397" s="207" t="s">
        <v>318</v>
      </c>
      <c r="C397" s="104"/>
      <c r="D397" s="137">
        <f t="shared" si="33"/>
        <v>3124</v>
      </c>
      <c r="E397" s="82">
        <v>567</v>
      </c>
      <c r="F397" s="48">
        <v>2</v>
      </c>
      <c r="G397" s="82">
        <v>2555</v>
      </c>
      <c r="H397" s="48"/>
      <c r="I397" s="50">
        <f t="shared" si="34"/>
        <v>1616</v>
      </c>
      <c r="J397" s="84">
        <v>194</v>
      </c>
      <c r="K397" s="51">
        <v>2</v>
      </c>
      <c r="L397" s="82">
        <v>1420</v>
      </c>
      <c r="M397" s="65"/>
    </row>
    <row r="398" spans="1:13" x14ac:dyDescent="0.25">
      <c r="A398" s="161">
        <v>4</v>
      </c>
      <c r="B398" s="207" t="s">
        <v>319</v>
      </c>
      <c r="C398" s="104"/>
      <c r="D398" s="137">
        <f t="shared" si="33"/>
        <v>1</v>
      </c>
      <c r="E398" s="82">
        <v>1</v>
      </c>
      <c r="F398" s="48"/>
      <c r="G398" s="82"/>
      <c r="H398" s="48"/>
      <c r="I398" s="50">
        <f t="shared" si="34"/>
        <v>19</v>
      </c>
      <c r="J398" s="84">
        <v>13</v>
      </c>
      <c r="K398" s="51"/>
      <c r="L398" s="82">
        <v>5</v>
      </c>
      <c r="M398" s="65">
        <v>1</v>
      </c>
    </row>
    <row r="399" spans="1:13" x14ac:dyDescent="0.25">
      <c r="A399" s="161">
        <v>5</v>
      </c>
      <c r="B399" s="207" t="s">
        <v>320</v>
      </c>
      <c r="C399" s="104"/>
      <c r="D399" s="137">
        <f t="shared" si="33"/>
        <v>47</v>
      </c>
      <c r="E399" s="82">
        <v>30</v>
      </c>
      <c r="F399" s="48">
        <v>2</v>
      </c>
      <c r="G399" s="82">
        <v>15</v>
      </c>
      <c r="H399" s="48"/>
      <c r="I399" s="50">
        <f t="shared" si="34"/>
        <v>21</v>
      </c>
      <c r="J399" s="84">
        <v>21</v>
      </c>
      <c r="K399" s="51"/>
      <c r="L399" s="82"/>
      <c r="M399" s="65"/>
    </row>
    <row r="400" spans="1:13" x14ac:dyDescent="0.25">
      <c r="A400" s="161">
        <v>6</v>
      </c>
      <c r="B400" s="207" t="s">
        <v>321</v>
      </c>
      <c r="C400" s="104"/>
      <c r="D400" s="137">
        <f t="shared" si="33"/>
        <v>247</v>
      </c>
      <c r="E400" s="82">
        <v>227</v>
      </c>
      <c r="F400" s="48">
        <v>3</v>
      </c>
      <c r="G400" s="82">
        <v>17</v>
      </c>
      <c r="H400" s="48"/>
      <c r="I400" s="50">
        <f t="shared" si="34"/>
        <v>2</v>
      </c>
      <c r="J400" s="84">
        <v>2</v>
      </c>
      <c r="K400" s="51"/>
      <c r="L400" s="82"/>
      <c r="M400" s="65"/>
    </row>
    <row r="401" spans="1:13" x14ac:dyDescent="0.25">
      <c r="A401" s="161">
        <v>7</v>
      </c>
      <c r="B401" s="207" t="s">
        <v>322</v>
      </c>
      <c r="C401" s="104"/>
      <c r="D401" s="137">
        <f t="shared" si="33"/>
        <v>4085</v>
      </c>
      <c r="E401" s="82">
        <v>3415</v>
      </c>
      <c r="F401" s="48">
        <v>11</v>
      </c>
      <c r="G401" s="82">
        <v>659</v>
      </c>
      <c r="H401" s="48"/>
      <c r="I401" s="50">
        <f t="shared" si="34"/>
        <v>511</v>
      </c>
      <c r="J401" s="84">
        <v>474</v>
      </c>
      <c r="K401" s="51"/>
      <c r="L401" s="82">
        <v>37</v>
      </c>
      <c r="M401" s="65"/>
    </row>
    <row r="402" spans="1:13" x14ac:dyDescent="0.25">
      <c r="A402" s="161" t="s">
        <v>323</v>
      </c>
      <c r="B402" s="207"/>
      <c r="C402" s="104"/>
      <c r="D402" s="137"/>
      <c r="E402" s="82"/>
      <c r="F402" s="48"/>
      <c r="G402" s="82"/>
      <c r="H402" s="48"/>
      <c r="I402" s="50"/>
      <c r="J402" s="84"/>
      <c r="K402" s="51"/>
      <c r="L402" s="82"/>
      <c r="M402" s="65"/>
    </row>
    <row r="403" spans="1:13" x14ac:dyDescent="0.25">
      <c r="A403" s="191">
        <v>1</v>
      </c>
      <c r="B403" s="207" t="s">
        <v>324</v>
      </c>
      <c r="C403" s="104"/>
      <c r="D403" s="137">
        <f>SUM(E403:H403)</f>
        <v>16232</v>
      </c>
      <c r="E403" s="82">
        <v>3978</v>
      </c>
      <c r="F403" s="48">
        <v>5</v>
      </c>
      <c r="G403" s="82">
        <v>12249</v>
      </c>
      <c r="H403" s="48"/>
      <c r="I403" s="50">
        <f>SUM(J403:M403)</f>
        <v>6417</v>
      </c>
      <c r="J403" s="84">
        <v>778</v>
      </c>
      <c r="K403" s="51"/>
      <c r="L403" s="82">
        <v>5637</v>
      </c>
      <c r="M403" s="65">
        <v>2</v>
      </c>
    </row>
    <row r="404" spans="1:13" x14ac:dyDescent="0.25">
      <c r="A404" s="134" t="s">
        <v>325</v>
      </c>
      <c r="B404" s="207"/>
      <c r="C404" s="104"/>
      <c r="D404" s="137"/>
      <c r="E404" s="82"/>
      <c r="F404" s="48"/>
      <c r="G404" s="82"/>
      <c r="H404" s="48"/>
      <c r="I404" s="50"/>
      <c r="J404" s="84"/>
      <c r="K404" s="51"/>
      <c r="L404" s="82"/>
      <c r="M404" s="65"/>
    </row>
    <row r="405" spans="1:13" x14ac:dyDescent="0.25">
      <c r="A405" s="161" t="s">
        <v>326</v>
      </c>
      <c r="B405" s="207"/>
      <c r="C405" s="104"/>
      <c r="D405" s="137"/>
      <c r="E405" s="82"/>
      <c r="F405" s="48"/>
      <c r="G405" s="82"/>
      <c r="H405" s="48"/>
      <c r="I405" s="50"/>
      <c r="J405" s="84"/>
      <c r="K405" s="51"/>
      <c r="L405" s="82"/>
      <c r="M405" s="65"/>
    </row>
    <row r="406" spans="1:13" x14ac:dyDescent="0.25">
      <c r="A406" s="161">
        <v>1</v>
      </c>
      <c r="B406" s="207" t="s">
        <v>327</v>
      </c>
      <c r="C406" s="104"/>
      <c r="D406" s="137">
        <f>SUM(E406:H406)</f>
        <v>644</v>
      </c>
      <c r="E406" s="82">
        <v>417</v>
      </c>
      <c r="F406" s="48">
        <v>215</v>
      </c>
      <c r="G406" s="82">
        <v>12</v>
      </c>
      <c r="H406" s="48"/>
      <c r="I406" s="50">
        <f>SUM(J406:M406)</f>
        <v>102</v>
      </c>
      <c r="J406" s="84">
        <v>45</v>
      </c>
      <c r="K406" s="51">
        <v>51</v>
      </c>
      <c r="L406" s="82">
        <v>6</v>
      </c>
      <c r="M406" s="65"/>
    </row>
    <row r="407" spans="1:13" x14ac:dyDescent="0.25">
      <c r="A407" s="161">
        <v>2</v>
      </c>
      <c r="B407" s="207" t="s">
        <v>328</v>
      </c>
      <c r="C407" s="104"/>
      <c r="D407" s="137">
        <f>SUM(E407:H407)</f>
        <v>1249</v>
      </c>
      <c r="E407" s="82">
        <v>233</v>
      </c>
      <c r="F407" s="48">
        <v>737</v>
      </c>
      <c r="G407" s="82">
        <v>47</v>
      </c>
      <c r="H407" s="48">
        <v>232</v>
      </c>
      <c r="I407" s="50">
        <f>SUM(J407:M407)</f>
        <v>1162</v>
      </c>
      <c r="J407" s="84">
        <v>78</v>
      </c>
      <c r="K407" s="51">
        <v>579</v>
      </c>
      <c r="L407" s="82">
        <v>56</v>
      </c>
      <c r="M407" s="65">
        <v>449</v>
      </c>
    </row>
    <row r="408" spans="1:13" x14ac:dyDescent="0.25">
      <c r="A408" s="161">
        <v>3</v>
      </c>
      <c r="B408" s="207" t="s">
        <v>329</v>
      </c>
      <c r="C408" s="104"/>
      <c r="D408" s="137">
        <f>SUM(E408:H408)</f>
        <v>272</v>
      </c>
      <c r="E408" s="82">
        <v>147</v>
      </c>
      <c r="F408" s="48">
        <v>85</v>
      </c>
      <c r="G408" s="82">
        <v>25</v>
      </c>
      <c r="H408" s="48">
        <v>15</v>
      </c>
      <c r="I408" s="50">
        <f>SUM(J408:M408)</f>
        <v>786</v>
      </c>
      <c r="J408" s="84">
        <v>134</v>
      </c>
      <c r="K408" s="51">
        <v>103</v>
      </c>
      <c r="L408" s="82">
        <v>305</v>
      </c>
      <c r="M408" s="65">
        <v>244</v>
      </c>
    </row>
    <row r="409" spans="1:13" x14ac:dyDescent="0.25">
      <c r="A409" s="134" t="s">
        <v>330</v>
      </c>
      <c r="B409" s="207"/>
      <c r="C409" s="104"/>
      <c r="D409" s="137"/>
      <c r="E409" s="82"/>
      <c r="F409" s="48"/>
      <c r="G409" s="82"/>
      <c r="H409" s="48"/>
      <c r="I409" s="50"/>
      <c r="J409" s="84"/>
      <c r="K409" s="51"/>
      <c r="L409" s="82"/>
      <c r="M409" s="65"/>
    </row>
    <row r="410" spans="1:13" x14ac:dyDescent="0.25">
      <c r="A410" s="216" t="s">
        <v>331</v>
      </c>
      <c r="B410" s="207"/>
      <c r="C410" s="104"/>
      <c r="D410" s="137"/>
      <c r="E410" s="82"/>
      <c r="F410" s="48"/>
      <c r="G410" s="82"/>
      <c r="H410" s="48"/>
      <c r="I410" s="50"/>
      <c r="J410" s="84"/>
      <c r="K410" s="51"/>
      <c r="L410" s="82"/>
      <c r="M410" s="65"/>
    </row>
    <row r="411" spans="1:13" x14ac:dyDescent="0.25">
      <c r="A411" s="161">
        <v>1</v>
      </c>
      <c r="B411" s="207" t="s">
        <v>332</v>
      </c>
      <c r="C411" s="104"/>
      <c r="D411" s="137">
        <f>SUM(E411:H411)</f>
        <v>102807</v>
      </c>
      <c r="E411" s="82">
        <v>40595</v>
      </c>
      <c r="F411" s="48">
        <v>40417</v>
      </c>
      <c r="G411" s="82">
        <v>10670</v>
      </c>
      <c r="H411" s="48">
        <v>11125</v>
      </c>
      <c r="I411" s="50">
        <f>SUM(J411:M411)</f>
        <v>475098</v>
      </c>
      <c r="J411" s="84">
        <v>37572</v>
      </c>
      <c r="K411" s="51">
        <v>35102</v>
      </c>
      <c r="L411" s="82">
        <v>196818</v>
      </c>
      <c r="M411" s="65">
        <v>205606</v>
      </c>
    </row>
    <row r="412" spans="1:13" x14ac:dyDescent="0.25">
      <c r="A412" s="216" t="s">
        <v>333</v>
      </c>
      <c r="B412" s="207"/>
      <c r="C412" s="104"/>
      <c r="D412" s="137"/>
      <c r="E412" s="82"/>
      <c r="F412" s="48"/>
      <c r="G412" s="82"/>
      <c r="H412" s="48"/>
      <c r="I412" s="50"/>
      <c r="J412" s="84"/>
      <c r="K412" s="51"/>
      <c r="L412" s="82"/>
      <c r="M412" s="65"/>
    </row>
    <row r="413" spans="1:13" x14ac:dyDescent="0.25">
      <c r="A413" s="161">
        <v>1</v>
      </c>
      <c r="B413" s="207" t="s">
        <v>334</v>
      </c>
      <c r="C413" s="104"/>
      <c r="D413" s="137">
        <f>SUM(E413:H413)</f>
        <v>2140</v>
      </c>
      <c r="E413" s="82">
        <v>311</v>
      </c>
      <c r="F413" s="48">
        <v>210</v>
      </c>
      <c r="G413" s="82">
        <v>1328</v>
      </c>
      <c r="H413" s="48">
        <v>291</v>
      </c>
      <c r="I413" s="50">
        <f>SUM(J413:M413)</f>
        <v>234</v>
      </c>
      <c r="J413" s="84">
        <v>22</v>
      </c>
      <c r="K413" s="51">
        <v>22</v>
      </c>
      <c r="L413" s="82">
        <v>130</v>
      </c>
      <c r="M413" s="65">
        <v>60</v>
      </c>
    </row>
    <row r="414" spans="1:13" x14ac:dyDescent="0.25">
      <c r="A414" s="161">
        <v>2</v>
      </c>
      <c r="B414" s="207" t="s">
        <v>335</v>
      </c>
      <c r="C414" s="104"/>
      <c r="D414" s="137">
        <f>SUM(E414:H414)</f>
        <v>5025</v>
      </c>
      <c r="E414" s="82">
        <v>841</v>
      </c>
      <c r="F414" s="48">
        <v>32</v>
      </c>
      <c r="G414" s="82">
        <v>3871</v>
      </c>
      <c r="H414" s="48">
        <v>281</v>
      </c>
      <c r="I414" s="50">
        <f>SUM(J414:M414)</f>
        <v>704</v>
      </c>
      <c r="J414" s="84">
        <v>64</v>
      </c>
      <c r="K414" s="51"/>
      <c r="L414" s="82">
        <v>630</v>
      </c>
      <c r="M414" s="65">
        <v>10</v>
      </c>
    </row>
    <row r="415" spans="1:13" x14ac:dyDescent="0.25">
      <c r="A415" s="134" t="s">
        <v>345</v>
      </c>
      <c r="B415" s="207"/>
      <c r="C415" s="104"/>
      <c r="D415" s="137"/>
      <c r="E415" s="82"/>
      <c r="F415" s="48"/>
      <c r="G415" s="82"/>
      <c r="H415" s="48"/>
      <c r="I415" s="50"/>
      <c r="J415" s="84"/>
      <c r="K415" s="51"/>
      <c r="L415" s="82"/>
      <c r="M415" s="65"/>
    </row>
    <row r="416" spans="1:13" x14ac:dyDescent="0.25">
      <c r="A416" s="216" t="s">
        <v>337</v>
      </c>
      <c r="B416" s="207"/>
      <c r="C416" s="104"/>
      <c r="D416" s="137"/>
      <c r="E416" s="82"/>
      <c r="F416" s="48"/>
      <c r="G416" s="82"/>
      <c r="H416" s="48"/>
      <c r="I416" s="50"/>
      <c r="J416" s="84"/>
      <c r="K416" s="51"/>
      <c r="L416" s="82"/>
      <c r="M416" s="65"/>
    </row>
    <row r="417" spans="1:13" x14ac:dyDescent="0.25">
      <c r="A417" s="161">
        <v>1</v>
      </c>
      <c r="B417" s="207" t="s">
        <v>338</v>
      </c>
      <c r="C417" s="104"/>
      <c r="D417" s="137">
        <f>SUM(E417:H417)</f>
        <v>1244</v>
      </c>
      <c r="E417" s="82">
        <v>512</v>
      </c>
      <c r="F417" s="48">
        <v>224</v>
      </c>
      <c r="G417" s="82">
        <v>354</v>
      </c>
      <c r="H417" s="48">
        <v>154</v>
      </c>
      <c r="I417" s="50">
        <f>SUM(J417:M417)</f>
        <v>2252</v>
      </c>
      <c r="J417" s="84">
        <v>471</v>
      </c>
      <c r="K417" s="51">
        <v>280</v>
      </c>
      <c r="L417" s="82">
        <v>777</v>
      </c>
      <c r="M417" s="65">
        <v>724</v>
      </c>
    </row>
    <row r="418" spans="1:13" ht="15.75" thickBot="1" x14ac:dyDescent="0.3">
      <c r="A418" s="161"/>
      <c r="B418" s="207"/>
      <c r="C418" s="104"/>
      <c r="D418" s="137"/>
      <c r="E418" s="82"/>
      <c r="F418" s="48"/>
      <c r="G418" s="82"/>
      <c r="H418" s="48"/>
      <c r="I418" s="101"/>
      <c r="J418" s="84"/>
      <c r="K418" s="51"/>
      <c r="L418" s="82"/>
      <c r="M418" s="65"/>
    </row>
    <row r="419" spans="1:13" ht="15.75" thickTop="1" x14ac:dyDescent="0.25">
      <c r="A419" s="163"/>
      <c r="B419" s="217"/>
      <c r="C419" s="164"/>
      <c r="D419" s="72"/>
      <c r="E419" s="165"/>
      <c r="F419" s="78"/>
      <c r="G419" s="165"/>
      <c r="H419" s="78"/>
      <c r="I419" s="90"/>
      <c r="J419" s="72"/>
      <c r="K419" s="91"/>
      <c r="L419" s="165"/>
      <c r="M419" s="92"/>
    </row>
    <row r="420" spans="1:13" x14ac:dyDescent="0.25">
      <c r="A420" s="161" t="s">
        <v>356</v>
      </c>
      <c r="B420" s="207"/>
      <c r="C420" s="135"/>
      <c r="D420" s="201">
        <f t="shared" ref="D420:M420" si="35">SUM(D326:D417)</f>
        <v>599508</v>
      </c>
      <c r="E420" s="88">
        <f t="shared" si="35"/>
        <v>144684</v>
      </c>
      <c r="F420" s="193">
        <f t="shared" si="35"/>
        <v>106784</v>
      </c>
      <c r="G420" s="88">
        <f t="shared" si="35"/>
        <v>312166</v>
      </c>
      <c r="H420" s="202">
        <f t="shared" si="35"/>
        <v>35874</v>
      </c>
      <c r="I420" s="88">
        <f t="shared" si="35"/>
        <v>1085526</v>
      </c>
      <c r="J420" s="88">
        <f t="shared" si="35"/>
        <v>91656</v>
      </c>
      <c r="K420" s="193">
        <f t="shared" si="35"/>
        <v>76750</v>
      </c>
      <c r="L420" s="88">
        <f t="shared" si="35"/>
        <v>422021</v>
      </c>
      <c r="M420" s="196">
        <f t="shared" si="35"/>
        <v>495099</v>
      </c>
    </row>
    <row r="421" spans="1:13" ht="15.75" thickBot="1" x14ac:dyDescent="0.3">
      <c r="A421" s="166"/>
      <c r="B421" s="167"/>
      <c r="C421" s="168"/>
      <c r="D421" s="169"/>
      <c r="E421" s="170"/>
      <c r="F421" s="93"/>
      <c r="G421" s="172"/>
      <c r="H421" s="94"/>
      <c r="I421" s="95"/>
      <c r="J421" s="175"/>
      <c r="K421" s="96"/>
      <c r="L421" s="172"/>
      <c r="M421" s="97"/>
    </row>
    <row r="422" spans="1:13" ht="15.75" thickTop="1" x14ac:dyDescent="0.25"/>
    <row r="424" spans="1:13" ht="15.75" thickBot="1" x14ac:dyDescent="0.3"/>
    <row r="425" spans="1:13" ht="15.75" thickTop="1" x14ac:dyDescent="0.25">
      <c r="A425" s="331" t="s">
        <v>357</v>
      </c>
      <c r="B425" s="332"/>
      <c r="C425" s="295" t="s">
        <v>229</v>
      </c>
      <c r="D425" s="295" t="s">
        <v>0</v>
      </c>
      <c r="E425" s="310" t="s">
        <v>230</v>
      </c>
      <c r="F425" s="311"/>
      <c r="G425" s="311"/>
      <c r="H425" s="311"/>
      <c r="I425" s="295" t="s">
        <v>0</v>
      </c>
      <c r="J425" s="310" t="s">
        <v>231</v>
      </c>
      <c r="K425" s="311"/>
      <c r="L425" s="311"/>
      <c r="M425" s="312"/>
    </row>
    <row r="426" spans="1:13" x14ac:dyDescent="0.25">
      <c r="A426" s="333"/>
      <c r="B426" s="334"/>
      <c r="C426" s="296"/>
      <c r="D426" s="296"/>
      <c r="E426" s="313" t="s">
        <v>234</v>
      </c>
      <c r="F426" s="314"/>
      <c r="G426" s="313" t="s">
        <v>341</v>
      </c>
      <c r="H426" s="315"/>
      <c r="I426" s="296"/>
      <c r="J426" s="313" t="s">
        <v>234</v>
      </c>
      <c r="K426" s="314"/>
      <c r="L426" s="313" t="s">
        <v>341</v>
      </c>
      <c r="M426" s="316"/>
    </row>
    <row r="427" spans="1:13" x14ac:dyDescent="0.25">
      <c r="A427" s="333"/>
      <c r="B427" s="334"/>
      <c r="C427" s="296"/>
      <c r="D427" s="296"/>
      <c r="E427" s="317" t="s">
        <v>236</v>
      </c>
      <c r="F427" s="319" t="s">
        <v>237</v>
      </c>
      <c r="G427" s="317" t="s">
        <v>236</v>
      </c>
      <c r="H427" s="321" t="s">
        <v>237</v>
      </c>
      <c r="I427" s="296"/>
      <c r="J427" s="317" t="s">
        <v>236</v>
      </c>
      <c r="K427" s="319" t="s">
        <v>237</v>
      </c>
      <c r="L427" s="317" t="s">
        <v>236</v>
      </c>
      <c r="M427" s="327" t="s">
        <v>237</v>
      </c>
    </row>
    <row r="428" spans="1:13" x14ac:dyDescent="0.25">
      <c r="A428" s="335"/>
      <c r="B428" s="336"/>
      <c r="C428" s="297"/>
      <c r="D428" s="297"/>
      <c r="E428" s="318"/>
      <c r="F428" s="320"/>
      <c r="G428" s="318"/>
      <c r="H428" s="322"/>
      <c r="I428" s="297"/>
      <c r="J428" s="318"/>
      <c r="K428" s="320"/>
      <c r="L428" s="318"/>
      <c r="M428" s="328"/>
    </row>
    <row r="429" spans="1:13" x14ac:dyDescent="0.25">
      <c r="A429" s="221" t="s">
        <v>239</v>
      </c>
      <c r="B429" s="204"/>
      <c r="C429" s="99"/>
      <c r="D429" s="106"/>
      <c r="E429" s="30"/>
      <c r="F429" s="107"/>
      <c r="G429" s="31"/>
      <c r="H429" s="108"/>
      <c r="I429" s="98"/>
      <c r="J429" s="31"/>
      <c r="K429" s="109"/>
      <c r="L429" s="31"/>
      <c r="M429" s="110"/>
    </row>
    <row r="430" spans="1:13" x14ac:dyDescent="0.25">
      <c r="A430" s="220" t="s">
        <v>241</v>
      </c>
      <c r="B430" s="180"/>
      <c r="C430" s="79"/>
      <c r="D430" s="181"/>
      <c r="E430" s="80"/>
      <c r="F430" s="182"/>
      <c r="G430" s="81"/>
      <c r="H430" s="183"/>
      <c r="I430" s="99"/>
      <c r="J430" s="81"/>
      <c r="K430" s="184"/>
      <c r="L430" s="81"/>
      <c r="M430" s="185"/>
    </row>
    <row r="431" spans="1:13" x14ac:dyDescent="0.25">
      <c r="A431" s="216" t="s">
        <v>244</v>
      </c>
      <c r="B431" s="207"/>
      <c r="C431" s="198" t="s">
        <v>358</v>
      </c>
      <c r="D431" s="137"/>
      <c r="E431" s="82"/>
      <c r="F431" s="186"/>
      <c r="G431" s="84"/>
      <c r="H431" s="187"/>
      <c r="I431" s="100"/>
      <c r="J431" s="84"/>
      <c r="K431" s="188"/>
      <c r="L431" s="84"/>
      <c r="M431" s="189"/>
    </row>
    <row r="432" spans="1:13" x14ac:dyDescent="0.25">
      <c r="A432" s="161">
        <v>1</v>
      </c>
      <c r="B432" s="180" t="s">
        <v>246</v>
      </c>
      <c r="C432" s="190"/>
      <c r="D432" s="137">
        <f>SUM(E432:H432)</f>
        <v>806</v>
      </c>
      <c r="E432" s="82">
        <v>562</v>
      </c>
      <c r="F432" s="83">
        <v>11</v>
      </c>
      <c r="G432" s="84">
        <v>233</v>
      </c>
      <c r="H432" s="85"/>
      <c r="I432" s="50">
        <f>SUM(J432:M432)</f>
        <v>303</v>
      </c>
      <c r="J432" s="84">
        <v>225</v>
      </c>
      <c r="K432" s="86"/>
      <c r="L432" s="84">
        <v>78</v>
      </c>
      <c r="M432" s="87"/>
    </row>
    <row r="433" spans="1:13" x14ac:dyDescent="0.25">
      <c r="A433" s="161">
        <v>2</v>
      </c>
      <c r="B433" s="207" t="s">
        <v>247</v>
      </c>
      <c r="C433" s="135"/>
      <c r="D433" s="137">
        <f>SUM(E433:H433)</f>
        <v>154</v>
      </c>
      <c r="E433" s="136">
        <v>148</v>
      </c>
      <c r="F433" s="186"/>
      <c r="G433" s="137">
        <v>6</v>
      </c>
      <c r="H433" s="187"/>
      <c r="I433" s="50">
        <f>SUM(J433:M433)</f>
        <v>2</v>
      </c>
      <c r="J433" s="137">
        <v>2</v>
      </c>
      <c r="K433" s="188"/>
      <c r="L433" s="137"/>
      <c r="M433" s="189"/>
    </row>
    <row r="434" spans="1:13" x14ac:dyDescent="0.25">
      <c r="A434" s="161">
        <v>3</v>
      </c>
      <c r="B434" s="207" t="s">
        <v>248</v>
      </c>
      <c r="C434" s="135"/>
      <c r="D434" s="137">
        <f>SUM(E434:H434)</f>
        <v>4051</v>
      </c>
      <c r="E434" s="136">
        <v>4049</v>
      </c>
      <c r="F434" s="48"/>
      <c r="G434" s="137">
        <v>2</v>
      </c>
      <c r="H434" s="49"/>
      <c r="I434" s="50">
        <f>SUM(J434:M434)</f>
        <v>12</v>
      </c>
      <c r="J434" s="137">
        <v>12</v>
      </c>
      <c r="K434" s="51"/>
      <c r="L434" s="137"/>
      <c r="M434" s="52"/>
    </row>
    <row r="435" spans="1:13" x14ac:dyDescent="0.25">
      <c r="A435" s="161">
        <v>4</v>
      </c>
      <c r="B435" s="207" t="s">
        <v>249</v>
      </c>
      <c r="C435" s="135"/>
      <c r="D435" s="137">
        <f>SUM(E435:H435)</f>
        <v>0</v>
      </c>
      <c r="E435" s="136"/>
      <c r="F435" s="48"/>
      <c r="G435" s="137"/>
      <c r="H435" s="49"/>
      <c r="I435" s="50">
        <f>SUM(J435:M435)</f>
        <v>0</v>
      </c>
      <c r="J435" s="137"/>
      <c r="K435" s="51"/>
      <c r="L435" s="137"/>
      <c r="M435" s="52"/>
    </row>
    <row r="436" spans="1:13" x14ac:dyDescent="0.25">
      <c r="A436" s="161" t="s">
        <v>250</v>
      </c>
      <c r="B436" s="207"/>
      <c r="C436" s="135"/>
      <c r="D436" s="137"/>
      <c r="E436" s="136"/>
      <c r="F436" s="48"/>
      <c r="G436" s="137"/>
      <c r="H436" s="49"/>
      <c r="I436" s="50"/>
      <c r="J436" s="137"/>
      <c r="K436" s="51"/>
      <c r="L436" s="137"/>
      <c r="M436" s="52"/>
    </row>
    <row r="437" spans="1:13" x14ac:dyDescent="0.25">
      <c r="A437" s="191">
        <v>1</v>
      </c>
      <c r="B437" s="207" t="s">
        <v>251</v>
      </c>
      <c r="C437" s="135"/>
      <c r="D437" s="137">
        <f t="shared" ref="D437:D446" si="36">SUM(E437:H437)</f>
        <v>331</v>
      </c>
      <c r="E437" s="136">
        <v>183</v>
      </c>
      <c r="F437" s="48">
        <v>37</v>
      </c>
      <c r="G437" s="137">
        <v>111</v>
      </c>
      <c r="H437" s="49"/>
      <c r="I437" s="50">
        <f t="shared" ref="I437:I446" si="37">SUM(J437:M437)</f>
        <v>105</v>
      </c>
      <c r="J437" s="137">
        <v>20</v>
      </c>
      <c r="K437" s="51">
        <v>1</v>
      </c>
      <c r="L437" s="137">
        <v>84</v>
      </c>
      <c r="M437" s="52"/>
    </row>
    <row r="438" spans="1:13" x14ac:dyDescent="0.25">
      <c r="A438" s="161">
        <v>2</v>
      </c>
      <c r="B438" s="207" t="s">
        <v>252</v>
      </c>
      <c r="C438" s="135"/>
      <c r="D438" s="137">
        <f t="shared" si="36"/>
        <v>385</v>
      </c>
      <c r="E438" s="136">
        <v>362</v>
      </c>
      <c r="F438" s="48">
        <v>2</v>
      </c>
      <c r="G438" s="137">
        <v>21</v>
      </c>
      <c r="H438" s="49"/>
      <c r="I438" s="50">
        <f t="shared" si="37"/>
        <v>26</v>
      </c>
      <c r="J438" s="137">
        <v>25</v>
      </c>
      <c r="K438" s="51"/>
      <c r="L438" s="137">
        <v>1</v>
      </c>
      <c r="M438" s="52"/>
    </row>
    <row r="439" spans="1:13" x14ac:dyDescent="0.25">
      <c r="A439" s="161">
        <v>3</v>
      </c>
      <c r="B439" s="207" t="s">
        <v>253</v>
      </c>
      <c r="C439" s="135"/>
      <c r="D439" s="137">
        <f t="shared" si="36"/>
        <v>391</v>
      </c>
      <c r="E439" s="136">
        <v>208</v>
      </c>
      <c r="F439" s="48">
        <v>149</v>
      </c>
      <c r="G439" s="137">
        <v>26</v>
      </c>
      <c r="H439" s="49">
        <v>8</v>
      </c>
      <c r="I439" s="50">
        <f t="shared" si="37"/>
        <v>74</v>
      </c>
      <c r="J439" s="137">
        <v>30</v>
      </c>
      <c r="K439" s="51">
        <v>28</v>
      </c>
      <c r="L439" s="137">
        <v>8</v>
      </c>
      <c r="M439" s="52">
        <v>8</v>
      </c>
    </row>
    <row r="440" spans="1:13" x14ac:dyDescent="0.25">
      <c r="A440" s="161">
        <v>4</v>
      </c>
      <c r="B440" s="207" t="s">
        <v>254</v>
      </c>
      <c r="C440" s="135"/>
      <c r="D440" s="137">
        <f t="shared" si="36"/>
        <v>34</v>
      </c>
      <c r="E440" s="136">
        <v>24</v>
      </c>
      <c r="F440" s="48">
        <v>10</v>
      </c>
      <c r="G440" s="137"/>
      <c r="H440" s="49"/>
      <c r="I440" s="50">
        <f t="shared" si="37"/>
        <v>1</v>
      </c>
      <c r="J440" s="137">
        <v>1</v>
      </c>
      <c r="K440" s="51"/>
      <c r="L440" s="137"/>
      <c r="M440" s="52"/>
    </row>
    <row r="441" spans="1:13" x14ac:dyDescent="0.25">
      <c r="A441" s="161">
        <v>5</v>
      </c>
      <c r="B441" s="207" t="s">
        <v>255</v>
      </c>
      <c r="C441" s="135"/>
      <c r="D441" s="137">
        <f t="shared" si="36"/>
        <v>7</v>
      </c>
      <c r="E441" s="136">
        <v>7</v>
      </c>
      <c r="F441" s="48"/>
      <c r="G441" s="137"/>
      <c r="H441" s="49"/>
      <c r="I441" s="50">
        <f t="shared" si="37"/>
        <v>0</v>
      </c>
      <c r="J441" s="137"/>
      <c r="K441" s="51"/>
      <c r="L441" s="137"/>
      <c r="M441" s="52"/>
    </row>
    <row r="442" spans="1:13" x14ac:dyDescent="0.25">
      <c r="A442" s="161">
        <v>6</v>
      </c>
      <c r="B442" s="207" t="s">
        <v>256</v>
      </c>
      <c r="C442" s="135"/>
      <c r="D442" s="137">
        <f t="shared" si="36"/>
        <v>45</v>
      </c>
      <c r="E442" s="136">
        <v>45</v>
      </c>
      <c r="F442" s="48"/>
      <c r="G442" s="137"/>
      <c r="H442" s="49"/>
      <c r="I442" s="50">
        <f t="shared" si="37"/>
        <v>19</v>
      </c>
      <c r="J442" s="137">
        <v>19</v>
      </c>
      <c r="K442" s="51"/>
      <c r="L442" s="137"/>
      <c r="M442" s="52"/>
    </row>
    <row r="443" spans="1:13" x14ac:dyDescent="0.25">
      <c r="A443" s="161">
        <v>7</v>
      </c>
      <c r="B443" s="207" t="s">
        <v>257</v>
      </c>
      <c r="C443" s="135"/>
      <c r="D443" s="137">
        <f t="shared" si="36"/>
        <v>765</v>
      </c>
      <c r="E443" s="136">
        <v>231</v>
      </c>
      <c r="F443" s="48">
        <v>429</v>
      </c>
      <c r="G443" s="137">
        <v>77</v>
      </c>
      <c r="H443" s="49">
        <v>28</v>
      </c>
      <c r="I443" s="50">
        <f t="shared" si="37"/>
        <v>1178</v>
      </c>
      <c r="J443" s="137">
        <v>397</v>
      </c>
      <c r="K443" s="51">
        <v>641</v>
      </c>
      <c r="L443" s="137">
        <v>96</v>
      </c>
      <c r="M443" s="52">
        <v>44</v>
      </c>
    </row>
    <row r="444" spans="1:13" x14ac:dyDescent="0.25">
      <c r="A444" s="161">
        <v>8</v>
      </c>
      <c r="B444" s="207" t="s">
        <v>258</v>
      </c>
      <c r="C444" s="135"/>
      <c r="D444" s="137">
        <f t="shared" si="36"/>
        <v>64</v>
      </c>
      <c r="E444" s="136">
        <v>54</v>
      </c>
      <c r="F444" s="48">
        <v>8</v>
      </c>
      <c r="G444" s="137">
        <v>1</v>
      </c>
      <c r="H444" s="49">
        <v>1</v>
      </c>
      <c r="I444" s="50">
        <f t="shared" si="37"/>
        <v>17</v>
      </c>
      <c r="J444" s="137">
        <v>16</v>
      </c>
      <c r="K444" s="51"/>
      <c r="L444" s="137">
        <v>1</v>
      </c>
      <c r="M444" s="52"/>
    </row>
    <row r="445" spans="1:13" x14ac:dyDescent="0.25">
      <c r="A445" s="161">
        <v>9</v>
      </c>
      <c r="B445" s="207" t="s">
        <v>259</v>
      </c>
      <c r="C445" s="135"/>
      <c r="D445" s="137">
        <f t="shared" si="36"/>
        <v>94</v>
      </c>
      <c r="E445" s="136">
        <v>17</v>
      </c>
      <c r="F445" s="48">
        <v>70</v>
      </c>
      <c r="G445" s="137">
        <v>7</v>
      </c>
      <c r="H445" s="49"/>
      <c r="I445" s="50">
        <f t="shared" si="37"/>
        <v>6</v>
      </c>
      <c r="J445" s="137">
        <v>2</v>
      </c>
      <c r="K445" s="51">
        <v>4</v>
      </c>
      <c r="L445" s="137"/>
      <c r="M445" s="52"/>
    </row>
    <row r="446" spans="1:13" x14ac:dyDescent="0.25">
      <c r="A446" s="161">
        <v>10</v>
      </c>
      <c r="B446" s="207" t="s">
        <v>260</v>
      </c>
      <c r="C446" s="135"/>
      <c r="D446" s="137">
        <f t="shared" si="36"/>
        <v>47</v>
      </c>
      <c r="E446" s="136">
        <v>40</v>
      </c>
      <c r="F446" s="48">
        <v>7</v>
      </c>
      <c r="G446" s="137"/>
      <c r="H446" s="49"/>
      <c r="I446" s="50">
        <f t="shared" si="37"/>
        <v>1</v>
      </c>
      <c r="J446" s="137">
        <v>1</v>
      </c>
      <c r="K446" s="51"/>
      <c r="L446" s="137"/>
      <c r="M446" s="52"/>
    </row>
    <row r="447" spans="1:13" x14ac:dyDescent="0.25">
      <c r="A447" s="134" t="s">
        <v>261</v>
      </c>
      <c r="B447" s="207"/>
      <c r="C447" s="135"/>
      <c r="D447" s="137"/>
      <c r="E447" s="136"/>
      <c r="F447" s="48"/>
      <c r="G447" s="137"/>
      <c r="H447" s="49"/>
      <c r="I447" s="50"/>
      <c r="J447" s="137"/>
      <c r="K447" s="51"/>
      <c r="L447" s="137"/>
      <c r="M447" s="52"/>
    </row>
    <row r="448" spans="1:13" x14ac:dyDescent="0.25">
      <c r="A448" s="216" t="s">
        <v>262</v>
      </c>
      <c r="B448" s="207"/>
      <c r="C448" s="135"/>
      <c r="D448" s="137"/>
      <c r="E448" s="136"/>
      <c r="F448" s="48"/>
      <c r="G448" s="137"/>
      <c r="H448" s="49"/>
      <c r="I448" s="50"/>
      <c r="J448" s="137"/>
      <c r="K448" s="51"/>
      <c r="L448" s="137"/>
      <c r="M448" s="52"/>
    </row>
    <row r="449" spans="1:13" x14ac:dyDescent="0.25">
      <c r="A449" s="161">
        <v>1</v>
      </c>
      <c r="B449" s="218" t="s">
        <v>263</v>
      </c>
      <c r="C449" s="135"/>
      <c r="D449" s="137">
        <f>SUM(E449:H449)</f>
        <v>14186</v>
      </c>
      <c r="E449" s="136">
        <v>1</v>
      </c>
      <c r="F449" s="48">
        <v>11076</v>
      </c>
      <c r="G449" s="137"/>
      <c r="H449" s="49">
        <v>3109</v>
      </c>
      <c r="I449" s="50">
        <f>SUM(J449:M449)</f>
        <v>38181</v>
      </c>
      <c r="J449" s="137">
        <v>6</v>
      </c>
      <c r="K449" s="51">
        <v>23525</v>
      </c>
      <c r="L449" s="137">
        <v>2</v>
      </c>
      <c r="M449" s="52">
        <v>14648</v>
      </c>
    </row>
    <row r="450" spans="1:13" x14ac:dyDescent="0.25">
      <c r="A450" s="216" t="s">
        <v>264</v>
      </c>
      <c r="B450" s="207"/>
      <c r="C450" s="135"/>
      <c r="D450" s="137"/>
      <c r="E450" s="136"/>
      <c r="F450" s="48"/>
      <c r="G450" s="137"/>
      <c r="H450" s="49"/>
      <c r="I450" s="50"/>
      <c r="J450" s="137"/>
      <c r="K450" s="51"/>
      <c r="L450" s="137"/>
      <c r="M450" s="52"/>
    </row>
    <row r="451" spans="1:13" x14ac:dyDescent="0.25">
      <c r="A451" s="161">
        <v>1</v>
      </c>
      <c r="B451" s="207" t="s">
        <v>265</v>
      </c>
      <c r="C451" s="135"/>
      <c r="D451" s="137">
        <f>SUM(E451:H451)</f>
        <v>287</v>
      </c>
      <c r="E451" s="136">
        <v>175</v>
      </c>
      <c r="F451" s="48">
        <v>109</v>
      </c>
      <c r="G451" s="137">
        <v>2</v>
      </c>
      <c r="H451" s="49">
        <v>1</v>
      </c>
      <c r="I451" s="50">
        <f>SUM(J451:M451)</f>
        <v>21</v>
      </c>
      <c r="J451" s="137">
        <v>11</v>
      </c>
      <c r="K451" s="51">
        <v>9</v>
      </c>
      <c r="L451" s="137">
        <v>1</v>
      </c>
      <c r="M451" s="52"/>
    </row>
    <row r="452" spans="1:13" x14ac:dyDescent="0.25">
      <c r="A452" s="161">
        <v>2</v>
      </c>
      <c r="B452" s="207" t="s">
        <v>149</v>
      </c>
      <c r="C452" s="135"/>
      <c r="D452" s="137">
        <f>SUM(E452:H452)</f>
        <v>11415</v>
      </c>
      <c r="E452" s="82">
        <v>288</v>
      </c>
      <c r="F452" s="48">
        <v>515</v>
      </c>
      <c r="G452" s="84">
        <v>5496</v>
      </c>
      <c r="H452" s="49">
        <v>5116</v>
      </c>
      <c r="I452" s="50">
        <f>SUM(J452:M452)</f>
        <v>38299</v>
      </c>
      <c r="J452" s="84">
        <v>284</v>
      </c>
      <c r="K452" s="51">
        <v>425</v>
      </c>
      <c r="L452" s="84">
        <v>15478</v>
      </c>
      <c r="M452" s="52">
        <v>22112</v>
      </c>
    </row>
    <row r="453" spans="1:13" x14ac:dyDescent="0.25">
      <c r="A453" s="134" t="s">
        <v>266</v>
      </c>
      <c r="B453" s="207"/>
      <c r="C453" s="135"/>
      <c r="D453" s="137"/>
      <c r="E453" s="82"/>
      <c r="F453" s="48"/>
      <c r="G453" s="84"/>
      <c r="H453" s="49"/>
      <c r="I453" s="50"/>
      <c r="J453" s="84"/>
      <c r="K453" s="51"/>
      <c r="L453" s="84"/>
      <c r="M453" s="52"/>
    </row>
    <row r="454" spans="1:13" x14ac:dyDescent="0.25">
      <c r="A454" s="104" t="s">
        <v>267</v>
      </c>
      <c r="B454" s="207"/>
      <c r="C454" s="104"/>
      <c r="D454" s="137"/>
      <c r="E454" s="82"/>
      <c r="F454" s="48"/>
      <c r="G454" s="82"/>
      <c r="H454" s="48"/>
      <c r="I454" s="50"/>
      <c r="J454" s="84"/>
      <c r="K454" s="51"/>
      <c r="L454" s="82"/>
      <c r="M454" s="65"/>
    </row>
    <row r="455" spans="1:13" x14ac:dyDescent="0.25">
      <c r="A455" s="191">
        <v>1</v>
      </c>
      <c r="B455" s="207" t="s">
        <v>268</v>
      </c>
      <c r="C455" s="104"/>
      <c r="D455" s="137">
        <f>SUM(E455:H455)</f>
        <v>3743</v>
      </c>
      <c r="E455" s="82">
        <v>2977</v>
      </c>
      <c r="F455" s="48">
        <v>330</v>
      </c>
      <c r="G455" s="82">
        <v>436</v>
      </c>
      <c r="H455" s="48"/>
      <c r="I455" s="50">
        <f>SUM(J455:M455)</f>
        <v>1080</v>
      </c>
      <c r="J455" s="84">
        <v>906</v>
      </c>
      <c r="K455" s="51">
        <v>28</v>
      </c>
      <c r="L455" s="82">
        <v>146</v>
      </c>
      <c r="M455" s="65"/>
    </row>
    <row r="456" spans="1:13" x14ac:dyDescent="0.25">
      <c r="A456" s="161" t="s">
        <v>269</v>
      </c>
      <c r="B456" s="207"/>
      <c r="C456" s="104"/>
      <c r="D456" s="137"/>
      <c r="E456" s="82"/>
      <c r="F456" s="48"/>
      <c r="G456" s="82"/>
      <c r="H456" s="48"/>
      <c r="I456" s="50"/>
      <c r="J456" s="84"/>
      <c r="K456" s="51"/>
      <c r="L456" s="82"/>
      <c r="M456" s="65"/>
    </row>
    <row r="457" spans="1:13" x14ac:dyDescent="0.25">
      <c r="A457" s="191">
        <v>1</v>
      </c>
      <c r="B457" s="207" t="s">
        <v>270</v>
      </c>
      <c r="C457" s="104"/>
      <c r="D457" s="137">
        <f t="shared" ref="D457:D462" si="38">SUM(E457:H457)</f>
        <v>622</v>
      </c>
      <c r="E457" s="82">
        <v>583</v>
      </c>
      <c r="F457" s="48">
        <v>2</v>
      </c>
      <c r="G457" s="82">
        <v>36</v>
      </c>
      <c r="H457" s="48">
        <v>1</v>
      </c>
      <c r="I457" s="50">
        <f t="shared" ref="I457:I462" si="39">SUM(J457:M457)</f>
        <v>217</v>
      </c>
      <c r="J457" s="84">
        <v>186</v>
      </c>
      <c r="K457" s="51"/>
      <c r="L457" s="82">
        <v>31</v>
      </c>
      <c r="M457" s="65"/>
    </row>
    <row r="458" spans="1:13" x14ac:dyDescent="0.25">
      <c r="A458" s="161">
        <v>2</v>
      </c>
      <c r="B458" s="207" t="s">
        <v>271</v>
      </c>
      <c r="C458" s="104"/>
      <c r="D458" s="137">
        <f t="shared" si="38"/>
        <v>849</v>
      </c>
      <c r="E458" s="82">
        <v>480</v>
      </c>
      <c r="F458" s="48">
        <v>2</v>
      </c>
      <c r="G458" s="82">
        <v>367</v>
      </c>
      <c r="H458" s="48"/>
      <c r="I458" s="50">
        <f t="shared" si="39"/>
        <v>465</v>
      </c>
      <c r="J458" s="84">
        <v>163</v>
      </c>
      <c r="K458" s="51"/>
      <c r="L458" s="82">
        <v>302</v>
      </c>
      <c r="M458" s="65"/>
    </row>
    <row r="459" spans="1:13" x14ac:dyDescent="0.25">
      <c r="A459" s="161">
        <v>3</v>
      </c>
      <c r="B459" s="207" t="s">
        <v>272</v>
      </c>
      <c r="C459" s="104"/>
      <c r="D459" s="137">
        <f t="shared" si="38"/>
        <v>3</v>
      </c>
      <c r="E459" s="82">
        <v>3</v>
      </c>
      <c r="F459" s="48"/>
      <c r="G459" s="82"/>
      <c r="H459" s="48"/>
      <c r="I459" s="50">
        <f t="shared" si="39"/>
        <v>3</v>
      </c>
      <c r="J459" s="84">
        <v>2</v>
      </c>
      <c r="K459" s="51"/>
      <c r="L459" s="82">
        <v>1</v>
      </c>
      <c r="M459" s="65"/>
    </row>
    <row r="460" spans="1:13" x14ac:dyDescent="0.25">
      <c r="A460" s="161">
        <v>4</v>
      </c>
      <c r="B460" s="207" t="s">
        <v>273</v>
      </c>
      <c r="C460" s="104"/>
      <c r="D460" s="137">
        <f t="shared" si="38"/>
        <v>0</v>
      </c>
      <c r="E460" s="82"/>
      <c r="F460" s="48"/>
      <c r="G460" s="82"/>
      <c r="H460" s="48"/>
      <c r="I460" s="50">
        <f t="shared" si="39"/>
        <v>0</v>
      </c>
      <c r="J460" s="84"/>
      <c r="K460" s="51"/>
      <c r="L460" s="82"/>
      <c r="M460" s="65"/>
    </row>
    <row r="461" spans="1:13" x14ac:dyDescent="0.25">
      <c r="A461" s="161">
        <v>5</v>
      </c>
      <c r="B461" s="207" t="s">
        <v>274</v>
      </c>
      <c r="C461" s="104"/>
      <c r="D461" s="137">
        <f t="shared" si="38"/>
        <v>325</v>
      </c>
      <c r="E461" s="82">
        <v>263</v>
      </c>
      <c r="F461" s="48">
        <v>14</v>
      </c>
      <c r="G461" s="82">
        <v>48</v>
      </c>
      <c r="H461" s="48"/>
      <c r="I461" s="50">
        <f t="shared" si="39"/>
        <v>38</v>
      </c>
      <c r="J461" s="84">
        <v>26</v>
      </c>
      <c r="K461" s="51">
        <v>2</v>
      </c>
      <c r="L461" s="82">
        <v>10</v>
      </c>
      <c r="M461" s="65"/>
    </row>
    <row r="462" spans="1:13" x14ac:dyDescent="0.25">
      <c r="A462" s="161">
        <v>6</v>
      </c>
      <c r="B462" s="207" t="s">
        <v>275</v>
      </c>
      <c r="C462" s="104"/>
      <c r="D462" s="137">
        <f t="shared" si="38"/>
        <v>74</v>
      </c>
      <c r="E462" s="82">
        <v>16</v>
      </c>
      <c r="F462" s="48">
        <v>1</v>
      </c>
      <c r="G462" s="82">
        <v>57</v>
      </c>
      <c r="H462" s="48"/>
      <c r="I462" s="50">
        <f t="shared" si="39"/>
        <v>10</v>
      </c>
      <c r="J462" s="84">
        <v>2</v>
      </c>
      <c r="K462" s="51"/>
      <c r="L462" s="82">
        <v>8</v>
      </c>
      <c r="M462" s="65"/>
    </row>
    <row r="463" spans="1:13" x14ac:dyDescent="0.25">
      <c r="A463" s="153" t="s">
        <v>276</v>
      </c>
      <c r="B463" s="207"/>
      <c r="C463" s="104"/>
      <c r="D463" s="137"/>
      <c r="E463" s="82"/>
      <c r="F463" s="48"/>
      <c r="G463" s="82"/>
      <c r="H463" s="48"/>
      <c r="I463" s="50"/>
      <c r="J463" s="84"/>
      <c r="K463" s="51"/>
      <c r="L463" s="82"/>
      <c r="M463" s="65"/>
    </row>
    <row r="464" spans="1:13" x14ac:dyDescent="0.25">
      <c r="A464" s="219" t="s">
        <v>278</v>
      </c>
      <c r="B464" s="207"/>
      <c r="C464" s="192" t="s">
        <v>359</v>
      </c>
      <c r="D464" s="137"/>
      <c r="E464" s="82"/>
      <c r="F464" s="48"/>
      <c r="G464" s="82"/>
      <c r="H464" s="48"/>
      <c r="I464" s="50"/>
      <c r="J464" s="84"/>
      <c r="K464" s="51"/>
      <c r="L464" s="82"/>
      <c r="M464" s="65"/>
    </row>
    <row r="465" spans="1:13" x14ac:dyDescent="0.25">
      <c r="A465" s="161">
        <v>1</v>
      </c>
      <c r="B465" s="207" t="s">
        <v>279</v>
      </c>
      <c r="C465" s="104"/>
      <c r="D465" s="137">
        <f>SUM(E465:H465)</f>
        <v>11845</v>
      </c>
      <c r="E465" s="82">
        <v>1982</v>
      </c>
      <c r="F465" s="48">
        <v>171</v>
      </c>
      <c r="G465" s="82">
        <v>4458</v>
      </c>
      <c r="H465" s="48">
        <v>5234</v>
      </c>
      <c r="I465" s="50">
        <f>SUM(J465:M465)</f>
        <v>149388</v>
      </c>
      <c r="J465" s="84">
        <v>32009</v>
      </c>
      <c r="K465" s="51">
        <v>5098</v>
      </c>
      <c r="L465" s="82">
        <v>64751</v>
      </c>
      <c r="M465" s="65">
        <v>47530</v>
      </c>
    </row>
    <row r="466" spans="1:13" x14ac:dyDescent="0.25">
      <c r="A466" s="161">
        <v>2</v>
      </c>
      <c r="B466" s="207" t="s">
        <v>280</v>
      </c>
      <c r="C466" s="104"/>
      <c r="D466" s="137">
        <f>SUM(E466:H466)</f>
        <v>14</v>
      </c>
      <c r="E466" s="82">
        <v>14</v>
      </c>
      <c r="F466" s="48"/>
      <c r="G466" s="82"/>
      <c r="H466" s="48"/>
      <c r="I466" s="50">
        <f>SUM(J466:M466)</f>
        <v>9</v>
      </c>
      <c r="J466" s="84">
        <v>9</v>
      </c>
      <c r="K466" s="51"/>
      <c r="L466" s="82"/>
      <c r="M466" s="65"/>
    </row>
    <row r="467" spans="1:13" x14ac:dyDescent="0.25">
      <c r="A467" s="161">
        <v>3</v>
      </c>
      <c r="B467" s="207" t="s">
        <v>281</v>
      </c>
      <c r="C467" s="104"/>
      <c r="D467" s="137">
        <f>SUM(E467:H467)</f>
        <v>0</v>
      </c>
      <c r="E467" s="82"/>
      <c r="F467" s="48"/>
      <c r="G467" s="82"/>
      <c r="H467" s="48"/>
      <c r="I467" s="50">
        <f>SUM(J467:M467)</f>
        <v>3</v>
      </c>
      <c r="J467" s="84">
        <v>1</v>
      </c>
      <c r="K467" s="51"/>
      <c r="L467" s="82">
        <v>2</v>
      </c>
      <c r="M467" s="65"/>
    </row>
    <row r="468" spans="1:13" x14ac:dyDescent="0.25">
      <c r="A468" s="161">
        <v>4</v>
      </c>
      <c r="B468" s="207" t="s">
        <v>282</v>
      </c>
      <c r="C468" s="104"/>
      <c r="D468" s="137">
        <f>SUM(E468:H468)</f>
        <v>126</v>
      </c>
      <c r="E468" s="82">
        <v>73</v>
      </c>
      <c r="F468" s="48"/>
      <c r="G468" s="82">
        <v>53</v>
      </c>
      <c r="H468" s="48"/>
      <c r="I468" s="50">
        <f>SUM(J468:M468)</f>
        <v>62</v>
      </c>
      <c r="J468" s="84">
        <v>28</v>
      </c>
      <c r="K468" s="51"/>
      <c r="L468" s="82">
        <v>34</v>
      </c>
      <c r="M468" s="65"/>
    </row>
    <row r="469" spans="1:13" x14ac:dyDescent="0.25">
      <c r="A469" s="153" t="s">
        <v>283</v>
      </c>
      <c r="B469" s="207"/>
      <c r="C469" s="104"/>
      <c r="D469" s="137"/>
      <c r="E469" s="82"/>
      <c r="F469" s="48"/>
      <c r="G469" s="82"/>
      <c r="H469" s="48"/>
      <c r="I469" s="50"/>
      <c r="J469" s="84"/>
      <c r="K469" s="51"/>
      <c r="L469" s="82"/>
      <c r="M469" s="65"/>
    </row>
    <row r="470" spans="1:13" x14ac:dyDescent="0.25">
      <c r="A470" s="219" t="s">
        <v>284</v>
      </c>
      <c r="B470" s="207"/>
      <c r="C470" s="104"/>
      <c r="D470" s="137"/>
      <c r="E470" s="82"/>
      <c r="F470" s="48"/>
      <c r="G470" s="82"/>
      <c r="H470" s="48"/>
      <c r="I470" s="50"/>
      <c r="J470" s="84"/>
      <c r="K470" s="51"/>
      <c r="L470" s="82"/>
      <c r="M470" s="65"/>
    </row>
    <row r="471" spans="1:13" x14ac:dyDescent="0.25">
      <c r="A471" s="161">
        <v>1</v>
      </c>
      <c r="B471" s="207" t="s">
        <v>285</v>
      </c>
      <c r="C471" s="104"/>
      <c r="D471" s="137">
        <f t="shared" ref="D471:D483" si="40">SUM(E471:H471)</f>
        <v>178</v>
      </c>
      <c r="E471" s="82">
        <v>154</v>
      </c>
      <c r="F471" s="48">
        <v>21</v>
      </c>
      <c r="G471" s="82">
        <v>3</v>
      </c>
      <c r="H471" s="48"/>
      <c r="I471" s="50">
        <f t="shared" ref="I471:I483" si="41">SUM(J471:M471)</f>
        <v>9</v>
      </c>
      <c r="J471" s="84">
        <v>3</v>
      </c>
      <c r="K471" s="51"/>
      <c r="L471" s="82">
        <v>6</v>
      </c>
      <c r="M471" s="65"/>
    </row>
    <row r="472" spans="1:13" x14ac:dyDescent="0.25">
      <c r="A472" s="161">
        <v>2</v>
      </c>
      <c r="B472" s="207" t="s">
        <v>286</v>
      </c>
      <c r="C472" s="104"/>
      <c r="D472" s="137">
        <f t="shared" si="40"/>
        <v>11</v>
      </c>
      <c r="E472" s="82">
        <v>11</v>
      </c>
      <c r="F472" s="48"/>
      <c r="G472" s="82"/>
      <c r="H472" s="48"/>
      <c r="I472" s="50">
        <f t="shared" si="41"/>
        <v>2</v>
      </c>
      <c r="J472" s="84">
        <v>1</v>
      </c>
      <c r="K472" s="51"/>
      <c r="L472" s="82">
        <v>1</v>
      </c>
      <c r="M472" s="65"/>
    </row>
    <row r="473" spans="1:13" x14ac:dyDescent="0.25">
      <c r="A473" s="161">
        <v>3</v>
      </c>
      <c r="B473" s="207" t="s">
        <v>287</v>
      </c>
      <c r="C473" s="104"/>
      <c r="D473" s="137">
        <f t="shared" si="40"/>
        <v>1</v>
      </c>
      <c r="E473" s="82">
        <v>1</v>
      </c>
      <c r="F473" s="48"/>
      <c r="G473" s="82"/>
      <c r="H473" s="48"/>
      <c r="I473" s="50">
        <f t="shared" si="41"/>
        <v>0</v>
      </c>
      <c r="J473" s="84"/>
      <c r="K473" s="51"/>
      <c r="L473" s="82"/>
      <c r="M473" s="65"/>
    </row>
    <row r="474" spans="1:13" x14ac:dyDescent="0.25">
      <c r="A474" s="161">
        <v>4</v>
      </c>
      <c r="B474" s="207" t="s">
        <v>288</v>
      </c>
      <c r="C474" s="104"/>
      <c r="D474" s="137">
        <f t="shared" si="40"/>
        <v>0</v>
      </c>
      <c r="E474" s="82"/>
      <c r="F474" s="48"/>
      <c r="G474" s="82"/>
      <c r="H474" s="48"/>
      <c r="I474" s="50">
        <f t="shared" si="41"/>
        <v>0</v>
      </c>
      <c r="J474" s="84"/>
      <c r="K474" s="51"/>
      <c r="L474" s="82"/>
      <c r="M474" s="65"/>
    </row>
    <row r="475" spans="1:13" x14ac:dyDescent="0.25">
      <c r="A475" s="161">
        <v>5</v>
      </c>
      <c r="B475" s="207" t="s">
        <v>289</v>
      </c>
      <c r="C475" s="104"/>
      <c r="D475" s="137">
        <f t="shared" si="40"/>
        <v>2</v>
      </c>
      <c r="E475" s="82">
        <v>2</v>
      </c>
      <c r="F475" s="48"/>
      <c r="G475" s="82"/>
      <c r="H475" s="48"/>
      <c r="I475" s="50">
        <f t="shared" si="41"/>
        <v>0</v>
      </c>
      <c r="J475" s="84"/>
      <c r="K475" s="51"/>
      <c r="L475" s="82"/>
      <c r="M475" s="65"/>
    </row>
    <row r="476" spans="1:13" x14ac:dyDescent="0.25">
      <c r="A476" s="161">
        <v>6</v>
      </c>
      <c r="B476" s="207" t="s">
        <v>290</v>
      </c>
      <c r="C476" s="104"/>
      <c r="D476" s="137">
        <f t="shared" si="40"/>
        <v>49</v>
      </c>
      <c r="E476" s="82">
        <v>49</v>
      </c>
      <c r="F476" s="48"/>
      <c r="G476" s="82"/>
      <c r="H476" s="48"/>
      <c r="I476" s="50">
        <f t="shared" si="41"/>
        <v>1</v>
      </c>
      <c r="J476" s="84">
        <v>1</v>
      </c>
      <c r="K476" s="51"/>
      <c r="L476" s="82"/>
      <c r="M476" s="65"/>
    </row>
    <row r="477" spans="1:13" x14ac:dyDescent="0.25">
      <c r="A477" s="161">
        <v>7</v>
      </c>
      <c r="B477" s="207" t="s">
        <v>291</v>
      </c>
      <c r="C477" s="104"/>
      <c r="D477" s="137">
        <f t="shared" si="40"/>
        <v>0</v>
      </c>
      <c r="E477" s="82"/>
      <c r="F477" s="48"/>
      <c r="G477" s="82"/>
      <c r="H477" s="48"/>
      <c r="I477" s="50">
        <f t="shared" si="41"/>
        <v>0</v>
      </c>
      <c r="J477" s="84"/>
      <c r="K477" s="51"/>
      <c r="L477" s="82"/>
      <c r="M477" s="65"/>
    </row>
    <row r="478" spans="1:13" x14ac:dyDescent="0.25">
      <c r="A478" s="161">
        <v>8</v>
      </c>
      <c r="B478" s="207" t="s">
        <v>292</v>
      </c>
      <c r="C478" s="104"/>
      <c r="D478" s="137">
        <f t="shared" si="40"/>
        <v>2</v>
      </c>
      <c r="E478" s="82">
        <v>2</v>
      </c>
      <c r="F478" s="48"/>
      <c r="G478" s="82"/>
      <c r="H478" s="48"/>
      <c r="I478" s="50">
        <f t="shared" si="41"/>
        <v>0</v>
      </c>
      <c r="J478" s="84"/>
      <c r="K478" s="51"/>
      <c r="L478" s="82"/>
      <c r="M478" s="65"/>
    </row>
    <row r="479" spans="1:13" x14ac:dyDescent="0.25">
      <c r="A479" s="161">
        <v>9</v>
      </c>
      <c r="B479" s="207" t="s">
        <v>293</v>
      </c>
      <c r="C479" s="104"/>
      <c r="D479" s="137">
        <f t="shared" si="40"/>
        <v>74</v>
      </c>
      <c r="E479" s="82">
        <v>74</v>
      </c>
      <c r="F479" s="48"/>
      <c r="G479" s="82"/>
      <c r="H479" s="48"/>
      <c r="I479" s="50">
        <f t="shared" si="41"/>
        <v>34</v>
      </c>
      <c r="J479" s="84">
        <v>33</v>
      </c>
      <c r="K479" s="51"/>
      <c r="L479" s="82">
        <v>1</v>
      </c>
      <c r="M479" s="65"/>
    </row>
    <row r="480" spans="1:13" x14ac:dyDescent="0.25">
      <c r="A480" s="161">
        <v>10</v>
      </c>
      <c r="B480" s="207" t="s">
        <v>294</v>
      </c>
      <c r="C480" s="104"/>
      <c r="D480" s="137">
        <f t="shared" si="40"/>
        <v>292</v>
      </c>
      <c r="E480" s="82">
        <v>267</v>
      </c>
      <c r="F480" s="48"/>
      <c r="G480" s="82">
        <v>25</v>
      </c>
      <c r="H480" s="48"/>
      <c r="I480" s="50">
        <f t="shared" si="41"/>
        <v>54</v>
      </c>
      <c r="J480" s="84">
        <v>49</v>
      </c>
      <c r="K480" s="51"/>
      <c r="L480" s="82">
        <v>5</v>
      </c>
      <c r="M480" s="65"/>
    </row>
    <row r="481" spans="1:13" x14ac:dyDescent="0.25">
      <c r="A481" s="161">
        <v>11</v>
      </c>
      <c r="B481" s="207" t="s">
        <v>295</v>
      </c>
      <c r="C481" s="104"/>
      <c r="D481" s="137">
        <f t="shared" si="40"/>
        <v>0</v>
      </c>
      <c r="E481" s="82"/>
      <c r="F481" s="48"/>
      <c r="G481" s="82"/>
      <c r="H481" s="48"/>
      <c r="I481" s="50">
        <f t="shared" si="41"/>
        <v>0</v>
      </c>
      <c r="J481" s="84"/>
      <c r="K481" s="51"/>
      <c r="L481" s="82"/>
      <c r="M481" s="65"/>
    </row>
    <row r="482" spans="1:13" x14ac:dyDescent="0.25">
      <c r="A482" s="161">
        <v>12</v>
      </c>
      <c r="B482" s="207" t="s">
        <v>296</v>
      </c>
      <c r="C482" s="104"/>
      <c r="D482" s="137">
        <f t="shared" si="40"/>
        <v>43</v>
      </c>
      <c r="E482" s="82">
        <v>42</v>
      </c>
      <c r="F482" s="48"/>
      <c r="G482" s="82"/>
      <c r="H482" s="48">
        <v>1</v>
      </c>
      <c r="I482" s="50">
        <f t="shared" si="41"/>
        <v>7</v>
      </c>
      <c r="J482" s="84">
        <v>7</v>
      </c>
      <c r="K482" s="51"/>
      <c r="L482" s="82"/>
      <c r="M482" s="65"/>
    </row>
    <row r="483" spans="1:13" x14ac:dyDescent="0.25">
      <c r="A483" s="161">
        <v>13</v>
      </c>
      <c r="B483" s="207" t="s">
        <v>297</v>
      </c>
      <c r="C483" s="104"/>
      <c r="D483" s="137">
        <f t="shared" si="40"/>
        <v>3</v>
      </c>
      <c r="E483" s="82">
        <v>3</v>
      </c>
      <c r="F483" s="48"/>
      <c r="G483" s="82"/>
      <c r="H483" s="48"/>
      <c r="I483" s="50">
        <f t="shared" si="41"/>
        <v>0</v>
      </c>
      <c r="J483" s="84"/>
      <c r="K483" s="51"/>
      <c r="L483" s="82"/>
      <c r="M483" s="65"/>
    </row>
    <row r="484" spans="1:13" x14ac:dyDescent="0.25">
      <c r="A484" s="216" t="s">
        <v>298</v>
      </c>
      <c r="B484" s="207"/>
      <c r="C484" s="104"/>
      <c r="D484" s="137"/>
      <c r="E484" s="82"/>
      <c r="F484" s="48"/>
      <c r="G484" s="82"/>
      <c r="H484" s="48"/>
      <c r="I484" s="50"/>
      <c r="J484" s="84"/>
      <c r="K484" s="51"/>
      <c r="L484" s="82"/>
      <c r="M484" s="65"/>
    </row>
    <row r="485" spans="1:13" x14ac:dyDescent="0.25">
      <c r="A485" s="161">
        <v>1</v>
      </c>
      <c r="B485" s="207" t="s">
        <v>299</v>
      </c>
      <c r="C485" s="104"/>
      <c r="D485" s="137">
        <f>SUM(E485:H485)</f>
        <v>1057</v>
      </c>
      <c r="E485" s="82">
        <v>322</v>
      </c>
      <c r="F485" s="48"/>
      <c r="G485" s="82">
        <v>735</v>
      </c>
      <c r="H485" s="48"/>
      <c r="I485" s="50">
        <f>SUM(J485:M485)</f>
        <v>1468</v>
      </c>
      <c r="J485" s="84">
        <v>649</v>
      </c>
      <c r="K485" s="51"/>
      <c r="L485" s="82">
        <v>819</v>
      </c>
      <c r="M485" s="65"/>
    </row>
    <row r="486" spans="1:13" x14ac:dyDescent="0.25">
      <c r="A486" s="161">
        <v>2</v>
      </c>
      <c r="B486" s="207" t="s">
        <v>300</v>
      </c>
      <c r="C486" s="104"/>
      <c r="D486" s="137">
        <f>SUM(E486:H486)</f>
        <v>2202</v>
      </c>
      <c r="E486" s="82">
        <v>1856</v>
      </c>
      <c r="F486" s="48"/>
      <c r="G486" s="82">
        <v>346</v>
      </c>
      <c r="H486" s="48"/>
      <c r="I486" s="50">
        <f>SUM(J486:M486)</f>
        <v>1086</v>
      </c>
      <c r="J486" s="84">
        <v>810</v>
      </c>
      <c r="K486" s="51"/>
      <c r="L486" s="82">
        <v>276</v>
      </c>
      <c r="M486" s="65"/>
    </row>
    <row r="487" spans="1:13" x14ac:dyDescent="0.25">
      <c r="A487" s="161">
        <v>3</v>
      </c>
      <c r="B487" s="207" t="s">
        <v>301</v>
      </c>
      <c r="C487" s="104"/>
      <c r="D487" s="137">
        <f>SUM(E487:H487)</f>
        <v>52</v>
      </c>
      <c r="E487" s="82">
        <v>46</v>
      </c>
      <c r="F487" s="48"/>
      <c r="G487" s="82">
        <v>6</v>
      </c>
      <c r="H487" s="48"/>
      <c r="I487" s="50">
        <f>SUM(J487:M487)</f>
        <v>252</v>
      </c>
      <c r="J487" s="84">
        <v>183</v>
      </c>
      <c r="K487" s="51"/>
      <c r="L487" s="82">
        <v>69</v>
      </c>
      <c r="M487" s="65"/>
    </row>
    <row r="488" spans="1:13" x14ac:dyDescent="0.25">
      <c r="A488" s="161">
        <v>4</v>
      </c>
      <c r="B488" s="207" t="s">
        <v>302</v>
      </c>
      <c r="C488" s="104"/>
      <c r="D488" s="137">
        <f>SUM(E488:H488)</f>
        <v>43</v>
      </c>
      <c r="E488" s="82">
        <v>40</v>
      </c>
      <c r="F488" s="48">
        <v>1</v>
      </c>
      <c r="G488" s="82">
        <v>2</v>
      </c>
      <c r="H488" s="48"/>
      <c r="I488" s="50">
        <f>SUM(J488:M488)</f>
        <v>8</v>
      </c>
      <c r="J488" s="84">
        <v>4</v>
      </c>
      <c r="K488" s="51"/>
      <c r="L488" s="82">
        <v>4</v>
      </c>
      <c r="M488" s="65"/>
    </row>
    <row r="489" spans="1:13" x14ac:dyDescent="0.25">
      <c r="A489" s="216" t="s">
        <v>303</v>
      </c>
      <c r="B489" s="207"/>
      <c r="C489" s="104"/>
      <c r="D489" s="137"/>
      <c r="E489" s="82"/>
      <c r="F489" s="48"/>
      <c r="G489" s="82"/>
      <c r="H489" s="48"/>
      <c r="I489" s="50"/>
      <c r="J489" s="84"/>
      <c r="K489" s="51"/>
      <c r="L489" s="82"/>
      <c r="M489" s="65"/>
    </row>
    <row r="490" spans="1:13" x14ac:dyDescent="0.25">
      <c r="A490" s="161">
        <v>1</v>
      </c>
      <c r="B490" s="207" t="s">
        <v>304</v>
      </c>
      <c r="C490" s="104"/>
      <c r="D490" s="137">
        <f>SUM(E490:H490)</f>
        <v>333</v>
      </c>
      <c r="E490" s="82">
        <v>161</v>
      </c>
      <c r="F490" s="48">
        <v>166</v>
      </c>
      <c r="G490" s="82">
        <v>6</v>
      </c>
      <c r="H490" s="48"/>
      <c r="I490" s="50">
        <f>SUM(J490:M490)</f>
        <v>28</v>
      </c>
      <c r="J490" s="84">
        <v>20</v>
      </c>
      <c r="K490" s="51">
        <v>8</v>
      </c>
      <c r="L490" s="82"/>
      <c r="M490" s="65"/>
    </row>
    <row r="491" spans="1:13" x14ac:dyDescent="0.25">
      <c r="A491" s="161">
        <v>2</v>
      </c>
      <c r="B491" s="207" t="s">
        <v>305</v>
      </c>
      <c r="C491" s="104"/>
      <c r="D491" s="137">
        <f>SUM(E491:H491)</f>
        <v>839</v>
      </c>
      <c r="E491" s="82">
        <v>331</v>
      </c>
      <c r="F491" s="48">
        <v>454</v>
      </c>
      <c r="G491" s="82">
        <v>49</v>
      </c>
      <c r="H491" s="48">
        <v>5</v>
      </c>
      <c r="I491" s="50">
        <f>SUM(J491:M491)</f>
        <v>90</v>
      </c>
      <c r="J491" s="84">
        <v>27</v>
      </c>
      <c r="K491" s="51">
        <v>52</v>
      </c>
      <c r="L491" s="82">
        <v>9</v>
      </c>
      <c r="M491" s="65">
        <v>2</v>
      </c>
    </row>
    <row r="492" spans="1:13" x14ac:dyDescent="0.25">
      <c r="A492" s="161">
        <v>3</v>
      </c>
      <c r="B492" s="207" t="s">
        <v>306</v>
      </c>
      <c r="C492" s="104"/>
      <c r="D492" s="137">
        <f>SUM(E492:H492)</f>
        <v>4</v>
      </c>
      <c r="E492" s="82">
        <v>4</v>
      </c>
      <c r="F492" s="48"/>
      <c r="G492" s="82"/>
      <c r="H492" s="48"/>
      <c r="I492" s="50">
        <f>SUM(J492:M492)</f>
        <v>2</v>
      </c>
      <c r="J492" s="84">
        <v>1</v>
      </c>
      <c r="K492" s="51">
        <v>1</v>
      </c>
      <c r="L492" s="82"/>
      <c r="M492" s="65"/>
    </row>
    <row r="493" spans="1:13" x14ac:dyDescent="0.25">
      <c r="A493" s="216" t="s">
        <v>307</v>
      </c>
      <c r="B493" s="207"/>
      <c r="C493" s="192" t="s">
        <v>360</v>
      </c>
      <c r="D493" s="137"/>
      <c r="E493" s="82"/>
      <c r="F493" s="48"/>
      <c r="G493" s="82"/>
      <c r="H493" s="48"/>
      <c r="I493" s="50"/>
      <c r="J493" s="84"/>
      <c r="K493" s="51"/>
      <c r="L493" s="82"/>
      <c r="M493" s="65"/>
    </row>
    <row r="494" spans="1:13" x14ac:dyDescent="0.25">
      <c r="A494" s="161">
        <v>1</v>
      </c>
      <c r="B494" s="207" t="s">
        <v>309</v>
      </c>
      <c r="C494" s="104"/>
      <c r="D494" s="137">
        <f>SUM(E494:H494)</f>
        <v>310</v>
      </c>
      <c r="E494" s="82">
        <v>241</v>
      </c>
      <c r="F494" s="48">
        <v>8</v>
      </c>
      <c r="G494" s="82">
        <v>61</v>
      </c>
      <c r="H494" s="48"/>
      <c r="I494" s="50">
        <f>SUM(J494:M494)</f>
        <v>155</v>
      </c>
      <c r="J494" s="84">
        <v>26</v>
      </c>
      <c r="K494" s="51">
        <v>6</v>
      </c>
      <c r="L494" s="82">
        <v>120</v>
      </c>
      <c r="M494" s="65">
        <v>3</v>
      </c>
    </row>
    <row r="495" spans="1:13" x14ac:dyDescent="0.25">
      <c r="A495" s="161">
        <v>2</v>
      </c>
      <c r="B495" s="207" t="s">
        <v>310</v>
      </c>
      <c r="C495" s="104"/>
      <c r="D495" s="137">
        <f>SUM(E495:H495)</f>
        <v>340</v>
      </c>
      <c r="E495" s="82">
        <v>260</v>
      </c>
      <c r="F495" s="48">
        <v>10</v>
      </c>
      <c r="G495" s="82">
        <v>69</v>
      </c>
      <c r="H495" s="48">
        <v>1</v>
      </c>
      <c r="I495" s="50">
        <f>SUM(J495:M495)</f>
        <v>69</v>
      </c>
      <c r="J495" s="84">
        <v>42</v>
      </c>
      <c r="K495" s="51">
        <v>1</v>
      </c>
      <c r="L495" s="82">
        <v>26</v>
      </c>
      <c r="M495" s="65"/>
    </row>
    <row r="496" spans="1:13" x14ac:dyDescent="0.25">
      <c r="A496" s="161">
        <v>3</v>
      </c>
      <c r="B496" s="207" t="s">
        <v>311</v>
      </c>
      <c r="C496" s="104"/>
      <c r="D496" s="137">
        <f>SUM(E496:H496)</f>
        <v>169</v>
      </c>
      <c r="E496" s="82">
        <v>160</v>
      </c>
      <c r="F496" s="48">
        <v>3</v>
      </c>
      <c r="G496" s="82">
        <v>6</v>
      </c>
      <c r="H496" s="48"/>
      <c r="I496" s="50">
        <f>SUM(J496:M496)</f>
        <v>4</v>
      </c>
      <c r="J496" s="84">
        <v>4</v>
      </c>
      <c r="K496" s="51"/>
      <c r="L496" s="82"/>
      <c r="M496" s="65"/>
    </row>
    <row r="497" spans="1:13" x14ac:dyDescent="0.25">
      <c r="A497" s="216" t="s">
        <v>312</v>
      </c>
      <c r="B497" s="207"/>
      <c r="C497" s="104"/>
      <c r="D497" s="137"/>
      <c r="E497" s="82"/>
      <c r="F497" s="48"/>
      <c r="G497" s="82"/>
      <c r="H497" s="48"/>
      <c r="I497" s="50"/>
      <c r="J497" s="84"/>
      <c r="K497" s="51"/>
      <c r="L497" s="82"/>
      <c r="M497" s="65"/>
    </row>
    <row r="498" spans="1:13" x14ac:dyDescent="0.25">
      <c r="A498" s="161">
        <v>1</v>
      </c>
      <c r="B498" s="207" t="s">
        <v>313</v>
      </c>
      <c r="C498" s="104"/>
      <c r="D498" s="137">
        <f>SUM(E498:H498)</f>
        <v>13</v>
      </c>
      <c r="E498" s="82">
        <v>12</v>
      </c>
      <c r="F498" s="48"/>
      <c r="G498" s="82">
        <v>1</v>
      </c>
      <c r="H498" s="48"/>
      <c r="I498" s="50">
        <f>SUM(J498:M498)</f>
        <v>5</v>
      </c>
      <c r="J498" s="84">
        <v>2</v>
      </c>
      <c r="K498" s="51"/>
      <c r="L498" s="82">
        <v>3</v>
      </c>
      <c r="M498" s="65"/>
    </row>
    <row r="499" spans="1:13" x14ac:dyDescent="0.25">
      <c r="A499" s="161">
        <v>2</v>
      </c>
      <c r="B499" s="207" t="s">
        <v>314</v>
      </c>
      <c r="C499" s="104"/>
      <c r="D499" s="137">
        <f>SUM(E499:H499)</f>
        <v>28</v>
      </c>
      <c r="E499" s="82">
        <v>27</v>
      </c>
      <c r="F499" s="48">
        <v>1</v>
      </c>
      <c r="G499" s="82"/>
      <c r="H499" s="48"/>
      <c r="I499" s="50">
        <f>SUM(J499:M499)</f>
        <v>8</v>
      </c>
      <c r="J499" s="84">
        <v>3</v>
      </c>
      <c r="K499" s="51"/>
      <c r="L499" s="82">
        <v>5</v>
      </c>
      <c r="M499" s="65"/>
    </row>
    <row r="500" spans="1:13" x14ac:dyDescent="0.25">
      <c r="A500" s="216" t="s">
        <v>315</v>
      </c>
      <c r="B500" s="207"/>
      <c r="C500" s="104"/>
      <c r="D500" s="137"/>
      <c r="E500" s="82"/>
      <c r="F500" s="48"/>
      <c r="G500" s="82"/>
      <c r="H500" s="48"/>
      <c r="I500" s="50"/>
      <c r="J500" s="84"/>
      <c r="K500" s="51"/>
      <c r="L500" s="82"/>
      <c r="M500" s="65"/>
    </row>
    <row r="501" spans="1:13" x14ac:dyDescent="0.25">
      <c r="A501" s="161">
        <v>1</v>
      </c>
      <c r="B501" s="207" t="s">
        <v>316</v>
      </c>
      <c r="C501" s="104"/>
      <c r="D501" s="137">
        <f t="shared" ref="D501:D507" si="42">SUM(E501:H501)</f>
        <v>7585</v>
      </c>
      <c r="E501" s="82">
        <v>652</v>
      </c>
      <c r="F501" s="48">
        <v>2</v>
      </c>
      <c r="G501" s="82">
        <v>6931</v>
      </c>
      <c r="H501" s="48"/>
      <c r="I501" s="50">
        <f t="shared" ref="I501:I507" si="43">SUM(J501:M501)</f>
        <v>5322</v>
      </c>
      <c r="J501" s="84">
        <v>442</v>
      </c>
      <c r="K501" s="51"/>
      <c r="L501" s="82">
        <v>4880</v>
      </c>
      <c r="M501" s="65"/>
    </row>
    <row r="502" spans="1:13" x14ac:dyDescent="0.25">
      <c r="A502" s="161">
        <v>2</v>
      </c>
      <c r="B502" s="207" t="s">
        <v>317</v>
      </c>
      <c r="C502" s="104"/>
      <c r="D502" s="137">
        <f t="shared" si="42"/>
        <v>68</v>
      </c>
      <c r="E502" s="82">
        <v>68</v>
      </c>
      <c r="F502" s="48"/>
      <c r="G502" s="82"/>
      <c r="H502" s="48"/>
      <c r="I502" s="50">
        <f t="shared" si="43"/>
        <v>17</v>
      </c>
      <c r="J502" s="84">
        <v>17</v>
      </c>
      <c r="K502" s="51"/>
      <c r="L502" s="82"/>
      <c r="M502" s="65"/>
    </row>
    <row r="503" spans="1:13" x14ac:dyDescent="0.25">
      <c r="A503" s="161">
        <v>3</v>
      </c>
      <c r="B503" s="207" t="s">
        <v>318</v>
      </c>
      <c r="C503" s="104"/>
      <c r="D503" s="137">
        <f t="shared" si="42"/>
        <v>502</v>
      </c>
      <c r="E503" s="82">
        <v>279</v>
      </c>
      <c r="F503" s="48"/>
      <c r="G503" s="82">
        <v>223</v>
      </c>
      <c r="H503" s="48"/>
      <c r="I503" s="50">
        <f t="shared" si="43"/>
        <v>526</v>
      </c>
      <c r="J503" s="84">
        <v>79</v>
      </c>
      <c r="K503" s="51"/>
      <c r="L503" s="82">
        <v>447</v>
      </c>
      <c r="M503" s="65"/>
    </row>
    <row r="504" spans="1:13" x14ac:dyDescent="0.25">
      <c r="A504" s="161">
        <v>4</v>
      </c>
      <c r="B504" s="207" t="s">
        <v>319</v>
      </c>
      <c r="C504" s="104"/>
      <c r="D504" s="137">
        <f t="shared" si="42"/>
        <v>1</v>
      </c>
      <c r="E504" s="82">
        <v>1</v>
      </c>
      <c r="F504" s="48"/>
      <c r="G504" s="82"/>
      <c r="H504" s="48"/>
      <c r="I504" s="50">
        <f t="shared" si="43"/>
        <v>116</v>
      </c>
      <c r="J504" s="84">
        <v>86</v>
      </c>
      <c r="K504" s="51"/>
      <c r="L504" s="89">
        <v>30</v>
      </c>
      <c r="M504" s="65"/>
    </row>
    <row r="505" spans="1:13" x14ac:dyDescent="0.25">
      <c r="A505" s="161">
        <v>5</v>
      </c>
      <c r="B505" s="207" t="s">
        <v>320</v>
      </c>
      <c r="C505" s="104"/>
      <c r="D505" s="137">
        <f t="shared" si="42"/>
        <v>6</v>
      </c>
      <c r="E505" s="82">
        <v>6</v>
      </c>
      <c r="F505" s="48"/>
      <c r="G505" s="82"/>
      <c r="H505" s="48"/>
      <c r="I505" s="50">
        <f t="shared" si="43"/>
        <v>3</v>
      </c>
      <c r="J505" s="84">
        <v>3</v>
      </c>
      <c r="K505" s="51"/>
      <c r="L505" s="82"/>
      <c r="M505" s="65"/>
    </row>
    <row r="506" spans="1:13" x14ac:dyDescent="0.25">
      <c r="A506" s="161">
        <v>6</v>
      </c>
      <c r="B506" s="207" t="s">
        <v>321</v>
      </c>
      <c r="C506" s="104"/>
      <c r="D506" s="137">
        <f t="shared" si="42"/>
        <v>19</v>
      </c>
      <c r="E506" s="82">
        <v>18</v>
      </c>
      <c r="F506" s="48">
        <v>1</v>
      </c>
      <c r="G506" s="82"/>
      <c r="H506" s="48"/>
      <c r="I506" s="50">
        <f t="shared" si="43"/>
        <v>0</v>
      </c>
      <c r="J506" s="84"/>
      <c r="K506" s="51"/>
      <c r="L506" s="82"/>
      <c r="M506" s="65"/>
    </row>
    <row r="507" spans="1:13" x14ac:dyDescent="0.25">
      <c r="A507" s="161">
        <v>7</v>
      </c>
      <c r="B507" s="207" t="s">
        <v>322</v>
      </c>
      <c r="C507" s="104"/>
      <c r="D507" s="137">
        <f t="shared" si="42"/>
        <v>538</v>
      </c>
      <c r="E507" s="82">
        <v>487</v>
      </c>
      <c r="F507" s="48"/>
      <c r="G507" s="82">
        <v>51</v>
      </c>
      <c r="H507" s="48"/>
      <c r="I507" s="50">
        <f t="shared" si="43"/>
        <v>194</v>
      </c>
      <c r="J507" s="84">
        <v>165</v>
      </c>
      <c r="K507" s="51"/>
      <c r="L507" s="82">
        <v>29</v>
      </c>
      <c r="M507" s="65"/>
    </row>
    <row r="508" spans="1:13" x14ac:dyDescent="0.25">
      <c r="A508" s="161" t="s">
        <v>323</v>
      </c>
      <c r="B508" s="207"/>
      <c r="C508" s="104"/>
      <c r="D508" s="137"/>
      <c r="E508" s="82"/>
      <c r="F508" s="48"/>
      <c r="G508" s="82"/>
      <c r="H508" s="48"/>
      <c r="I508" s="50"/>
      <c r="J508" s="84"/>
      <c r="K508" s="51"/>
      <c r="L508" s="82"/>
      <c r="M508" s="65"/>
    </row>
    <row r="509" spans="1:13" x14ac:dyDescent="0.25">
      <c r="A509" s="191">
        <v>1</v>
      </c>
      <c r="B509" s="207" t="s">
        <v>324</v>
      </c>
      <c r="C509" s="104"/>
      <c r="D509" s="137">
        <f>SUM(E509:H509)</f>
        <v>4039</v>
      </c>
      <c r="E509" s="82">
        <v>835</v>
      </c>
      <c r="F509" s="48">
        <v>2</v>
      </c>
      <c r="G509" s="82">
        <v>3202</v>
      </c>
      <c r="H509" s="48"/>
      <c r="I509" s="50">
        <f>SUM(J509:M509)</f>
        <v>4123</v>
      </c>
      <c r="J509" s="84">
        <v>675</v>
      </c>
      <c r="K509" s="51"/>
      <c r="L509" s="82">
        <v>3448</v>
      </c>
      <c r="M509" s="65"/>
    </row>
    <row r="510" spans="1:13" x14ac:dyDescent="0.25">
      <c r="A510" s="134" t="s">
        <v>325</v>
      </c>
      <c r="B510" s="207"/>
      <c r="C510" s="104"/>
      <c r="D510" s="137"/>
      <c r="E510" s="82"/>
      <c r="F510" s="48"/>
      <c r="G510" s="82"/>
      <c r="H510" s="48"/>
      <c r="I510" s="50"/>
      <c r="J510" s="84"/>
      <c r="K510" s="51"/>
      <c r="L510" s="82"/>
      <c r="M510" s="65"/>
    </row>
    <row r="511" spans="1:13" x14ac:dyDescent="0.25">
      <c r="A511" s="161" t="s">
        <v>326</v>
      </c>
      <c r="B511" s="207"/>
      <c r="C511" s="104"/>
      <c r="D511" s="137"/>
      <c r="E511" s="82"/>
      <c r="F511" s="48"/>
      <c r="G511" s="82"/>
      <c r="H511" s="48"/>
      <c r="I511" s="50"/>
      <c r="J511" s="84"/>
      <c r="K511" s="51"/>
      <c r="L511" s="82"/>
      <c r="M511" s="65"/>
    </row>
    <row r="512" spans="1:13" x14ac:dyDescent="0.25">
      <c r="A512" s="161">
        <v>1</v>
      </c>
      <c r="B512" s="207" t="s">
        <v>327</v>
      </c>
      <c r="C512" s="104"/>
      <c r="D512" s="137">
        <f>SUM(E512:H512)</f>
        <v>123</v>
      </c>
      <c r="E512" s="82">
        <v>93</v>
      </c>
      <c r="F512" s="48">
        <v>29</v>
      </c>
      <c r="G512" s="82"/>
      <c r="H512" s="48">
        <v>1</v>
      </c>
      <c r="I512" s="50">
        <f>SUM(J512:M512)</f>
        <v>44</v>
      </c>
      <c r="J512" s="84">
        <v>27</v>
      </c>
      <c r="K512" s="51">
        <v>15</v>
      </c>
      <c r="L512" s="82">
        <v>2</v>
      </c>
      <c r="M512" s="65"/>
    </row>
    <row r="513" spans="1:13" x14ac:dyDescent="0.25">
      <c r="A513" s="161">
        <v>2</v>
      </c>
      <c r="B513" s="207" t="s">
        <v>328</v>
      </c>
      <c r="C513" s="104"/>
      <c r="D513" s="137">
        <f>SUM(E513:H513)</f>
        <v>460</v>
      </c>
      <c r="E513" s="82">
        <v>35</v>
      </c>
      <c r="F513" s="48">
        <v>332</v>
      </c>
      <c r="G513" s="82">
        <v>11</v>
      </c>
      <c r="H513" s="48">
        <v>82</v>
      </c>
      <c r="I513" s="50">
        <f>SUM(J513:M513)</f>
        <v>2569</v>
      </c>
      <c r="J513" s="84">
        <v>56</v>
      </c>
      <c r="K513" s="51">
        <v>942</v>
      </c>
      <c r="L513" s="82">
        <v>54</v>
      </c>
      <c r="M513" s="65">
        <v>1517</v>
      </c>
    </row>
    <row r="514" spans="1:13" x14ac:dyDescent="0.25">
      <c r="A514" s="161">
        <v>3</v>
      </c>
      <c r="B514" s="207" t="s">
        <v>329</v>
      </c>
      <c r="C514" s="104"/>
      <c r="D514" s="137">
        <f>SUM(E514:H514)</f>
        <v>156</v>
      </c>
      <c r="E514" s="82">
        <v>82</v>
      </c>
      <c r="F514" s="48">
        <v>41</v>
      </c>
      <c r="G514" s="82">
        <v>28</v>
      </c>
      <c r="H514" s="48">
        <v>5</v>
      </c>
      <c r="I514" s="50">
        <f>SUM(J514:M514)</f>
        <v>1039</v>
      </c>
      <c r="J514" s="84">
        <v>141</v>
      </c>
      <c r="K514" s="51">
        <v>128</v>
      </c>
      <c r="L514" s="82">
        <v>381</v>
      </c>
      <c r="M514" s="65">
        <v>389</v>
      </c>
    </row>
    <row r="515" spans="1:13" x14ac:dyDescent="0.25">
      <c r="A515" s="134" t="s">
        <v>330</v>
      </c>
      <c r="B515" s="207"/>
      <c r="C515" s="104"/>
      <c r="D515" s="137"/>
      <c r="E515" s="82"/>
      <c r="F515" s="48"/>
      <c r="G515" s="82"/>
      <c r="H515" s="48"/>
      <c r="I515" s="50"/>
      <c r="J515" s="84"/>
      <c r="K515" s="51"/>
      <c r="L515" s="82"/>
      <c r="M515" s="65"/>
    </row>
    <row r="516" spans="1:13" x14ac:dyDescent="0.25">
      <c r="A516" s="216" t="s">
        <v>331</v>
      </c>
      <c r="B516" s="207"/>
      <c r="C516" s="104"/>
      <c r="D516" s="137"/>
      <c r="E516" s="82"/>
      <c r="F516" s="48"/>
      <c r="G516" s="82"/>
      <c r="H516" s="48"/>
      <c r="I516" s="50"/>
      <c r="J516" s="84"/>
      <c r="K516" s="51"/>
      <c r="L516" s="82"/>
      <c r="M516" s="65"/>
    </row>
    <row r="517" spans="1:13" x14ac:dyDescent="0.25">
      <c r="A517" s="161">
        <v>1</v>
      </c>
      <c r="B517" s="207" t="s">
        <v>332</v>
      </c>
      <c r="C517" s="104"/>
      <c r="D517" s="137">
        <f>SUM(E517:H517)</f>
        <v>34151</v>
      </c>
      <c r="E517" s="82">
        <v>10425</v>
      </c>
      <c r="F517" s="48">
        <v>10613</v>
      </c>
      <c r="G517" s="82">
        <v>6088</v>
      </c>
      <c r="H517" s="48">
        <v>7025</v>
      </c>
      <c r="I517" s="50">
        <f>SUM(J517:M517)</f>
        <v>171744</v>
      </c>
      <c r="J517" s="84">
        <v>25499</v>
      </c>
      <c r="K517" s="51">
        <v>24501</v>
      </c>
      <c r="L517" s="82">
        <v>59813</v>
      </c>
      <c r="M517" s="65">
        <v>61931</v>
      </c>
    </row>
    <row r="518" spans="1:13" x14ac:dyDescent="0.25">
      <c r="A518" s="216" t="s">
        <v>333</v>
      </c>
      <c r="B518" s="207"/>
      <c r="C518" s="104"/>
      <c r="D518" s="137"/>
      <c r="E518" s="82"/>
      <c r="F518" s="48"/>
      <c r="G518" s="82"/>
      <c r="H518" s="48"/>
      <c r="I518" s="50"/>
      <c r="J518" s="84"/>
      <c r="K518" s="51"/>
      <c r="L518" s="82"/>
      <c r="M518" s="65"/>
    </row>
    <row r="519" spans="1:13" x14ac:dyDescent="0.25">
      <c r="A519" s="161">
        <v>1</v>
      </c>
      <c r="B519" s="207" t="s">
        <v>334</v>
      </c>
      <c r="C519" s="104"/>
      <c r="D519" s="137">
        <f>SUM(E519:H519)</f>
        <v>71</v>
      </c>
      <c r="E519" s="82">
        <v>34</v>
      </c>
      <c r="F519" s="48">
        <v>26</v>
      </c>
      <c r="G519" s="82">
        <v>9</v>
      </c>
      <c r="H519" s="48">
        <v>2</v>
      </c>
      <c r="I519" s="50">
        <f>SUM(J519:M519)</f>
        <v>239</v>
      </c>
      <c r="J519" s="84">
        <v>13</v>
      </c>
      <c r="K519" s="51"/>
      <c r="L519" s="82">
        <v>125</v>
      </c>
      <c r="M519" s="65">
        <v>101</v>
      </c>
    </row>
    <row r="520" spans="1:13" x14ac:dyDescent="0.25">
      <c r="A520" s="161">
        <v>2</v>
      </c>
      <c r="B520" s="207" t="s">
        <v>335</v>
      </c>
      <c r="C520" s="104"/>
      <c r="D520" s="137">
        <f>SUM(E520:H520)</f>
        <v>758</v>
      </c>
      <c r="E520" s="82">
        <v>90</v>
      </c>
      <c r="F520" s="48">
        <v>3</v>
      </c>
      <c r="G520" s="82">
        <v>634</v>
      </c>
      <c r="H520" s="48">
        <v>31</v>
      </c>
      <c r="I520" s="50">
        <f>SUM(J520:M520)</f>
        <v>49</v>
      </c>
      <c r="J520" s="84">
        <v>1</v>
      </c>
      <c r="K520" s="51"/>
      <c r="L520" s="82">
        <v>48</v>
      </c>
      <c r="M520" s="65"/>
    </row>
    <row r="521" spans="1:13" x14ac:dyDescent="0.25">
      <c r="A521" s="134" t="s">
        <v>345</v>
      </c>
      <c r="B521" s="207"/>
      <c r="C521" s="104"/>
      <c r="D521" s="137"/>
      <c r="E521" s="82"/>
      <c r="F521" s="48"/>
      <c r="G521" s="82"/>
      <c r="H521" s="48"/>
      <c r="I521" s="50"/>
      <c r="J521" s="84"/>
      <c r="K521" s="51"/>
      <c r="L521" s="82"/>
      <c r="M521" s="65"/>
    </row>
    <row r="522" spans="1:13" x14ac:dyDescent="0.25">
      <c r="A522" s="216" t="s">
        <v>337</v>
      </c>
      <c r="B522" s="207"/>
      <c r="C522" s="104"/>
      <c r="D522" s="137"/>
      <c r="E522" s="82"/>
      <c r="F522" s="48"/>
      <c r="G522" s="82"/>
      <c r="H522" s="48"/>
      <c r="I522" s="50"/>
      <c r="J522" s="84"/>
      <c r="K522" s="51"/>
      <c r="L522" s="82"/>
      <c r="M522" s="65"/>
    </row>
    <row r="523" spans="1:13" x14ac:dyDescent="0.25">
      <c r="A523" s="161">
        <v>1</v>
      </c>
      <c r="B523" s="207" t="s">
        <v>338</v>
      </c>
      <c r="C523" s="104"/>
      <c r="D523" s="137">
        <f>SUM(E523:H523)</f>
        <v>609</v>
      </c>
      <c r="E523" s="82">
        <v>215</v>
      </c>
      <c r="F523" s="48">
        <v>153</v>
      </c>
      <c r="G523" s="82">
        <v>124</v>
      </c>
      <c r="H523" s="48">
        <v>117</v>
      </c>
      <c r="I523" s="50">
        <f>SUM(J523:M523)</f>
        <v>2669</v>
      </c>
      <c r="J523" s="84">
        <v>563</v>
      </c>
      <c r="K523" s="51">
        <v>414</v>
      </c>
      <c r="L523" s="82">
        <v>821</v>
      </c>
      <c r="M523" s="65">
        <v>871</v>
      </c>
    </row>
    <row r="524" spans="1:13" ht="15.75" thickBot="1" x14ac:dyDescent="0.3">
      <c r="A524" s="161"/>
      <c r="B524" s="207"/>
      <c r="C524" s="104"/>
      <c r="D524" s="137"/>
      <c r="E524" s="82"/>
      <c r="F524" s="48"/>
      <c r="G524" s="82"/>
      <c r="H524" s="48"/>
      <c r="I524" s="101"/>
      <c r="J524" s="84"/>
      <c r="K524" s="51"/>
      <c r="L524" s="82"/>
      <c r="M524" s="65"/>
    </row>
    <row r="525" spans="1:13" ht="15.75" thickTop="1" x14ac:dyDescent="0.25">
      <c r="A525" s="163"/>
      <c r="B525" s="217"/>
      <c r="C525" s="164"/>
      <c r="D525" s="72"/>
      <c r="E525" s="165"/>
      <c r="F525" s="78"/>
      <c r="G525" s="165"/>
      <c r="H525" s="78"/>
      <c r="I525" s="90"/>
      <c r="J525" s="72"/>
      <c r="K525" s="91"/>
      <c r="L525" s="165"/>
      <c r="M525" s="92"/>
    </row>
    <row r="526" spans="1:13" x14ac:dyDescent="0.25">
      <c r="A526" s="161" t="s">
        <v>361</v>
      </c>
      <c r="B526" s="207"/>
      <c r="C526" s="135"/>
      <c r="D526" s="88">
        <f t="shared" ref="D526:M526" si="44">SUM(D432:D523)</f>
        <v>105794</v>
      </c>
      <c r="E526" s="89">
        <f t="shared" si="44"/>
        <v>30170</v>
      </c>
      <c r="F526" s="199">
        <f t="shared" si="44"/>
        <v>24809</v>
      </c>
      <c r="G526" s="88">
        <f t="shared" si="44"/>
        <v>30047</v>
      </c>
      <c r="H526" s="193">
        <f t="shared" si="44"/>
        <v>20768</v>
      </c>
      <c r="I526" s="88">
        <f t="shared" si="44"/>
        <v>421456</v>
      </c>
      <c r="J526" s="88">
        <f t="shared" si="44"/>
        <v>64015</v>
      </c>
      <c r="K526" s="193">
        <f t="shared" si="44"/>
        <v>55829</v>
      </c>
      <c r="L526" s="88">
        <f t="shared" si="44"/>
        <v>152456</v>
      </c>
      <c r="M526" s="196">
        <f t="shared" si="44"/>
        <v>149156</v>
      </c>
    </row>
    <row r="527" spans="1:13" ht="15.75" thickBot="1" x14ac:dyDescent="0.3">
      <c r="A527" s="166"/>
      <c r="B527" s="167"/>
      <c r="C527" s="168"/>
      <c r="D527" s="169"/>
      <c r="E527" s="170"/>
      <c r="F527" s="93"/>
      <c r="G527" s="172"/>
      <c r="H527" s="94"/>
      <c r="I527" s="95"/>
      <c r="J527" s="175"/>
      <c r="K527" s="96"/>
      <c r="L527" s="172"/>
      <c r="M527" s="97"/>
    </row>
    <row r="528" spans="1:13" ht="15.75" thickTop="1" x14ac:dyDescent="0.25"/>
  </sheetData>
  <mergeCells count="90">
    <mergeCell ref="M427:M428"/>
    <mergeCell ref="A1:B4"/>
    <mergeCell ref="A107:B110"/>
    <mergeCell ref="A213:B216"/>
    <mergeCell ref="A319:B322"/>
    <mergeCell ref="A425:B428"/>
    <mergeCell ref="C425:C428"/>
    <mergeCell ref="D425:D428"/>
    <mergeCell ref="E425:H425"/>
    <mergeCell ref="I425:I428"/>
    <mergeCell ref="J425:M425"/>
    <mergeCell ref="E426:F426"/>
    <mergeCell ref="G426:H426"/>
    <mergeCell ref="J426:K426"/>
    <mergeCell ref="L426:M426"/>
    <mergeCell ref="E427:E428"/>
    <mergeCell ref="F427:F428"/>
    <mergeCell ref="G427:G428"/>
    <mergeCell ref="H427:H428"/>
    <mergeCell ref="J427:J428"/>
    <mergeCell ref="K427:K428"/>
    <mergeCell ref="L427:L428"/>
    <mergeCell ref="J215:J216"/>
    <mergeCell ref="K215:K216"/>
    <mergeCell ref="L215:L216"/>
    <mergeCell ref="L321:L322"/>
    <mergeCell ref="M321:M322"/>
    <mergeCell ref="J321:J322"/>
    <mergeCell ref="K321:K322"/>
    <mergeCell ref="C319:C322"/>
    <mergeCell ref="D319:D322"/>
    <mergeCell ref="E319:H319"/>
    <mergeCell ref="I319:I322"/>
    <mergeCell ref="J319:M319"/>
    <mergeCell ref="E320:F320"/>
    <mergeCell ref="G320:H320"/>
    <mergeCell ref="J320:K320"/>
    <mergeCell ref="L320:M320"/>
    <mergeCell ref="E321:E322"/>
    <mergeCell ref="F321:F322"/>
    <mergeCell ref="G321:G322"/>
    <mergeCell ref="H321:H322"/>
    <mergeCell ref="L109:L110"/>
    <mergeCell ref="M109:M110"/>
    <mergeCell ref="C213:C216"/>
    <mergeCell ref="D213:D216"/>
    <mergeCell ref="E213:H213"/>
    <mergeCell ref="I213:I216"/>
    <mergeCell ref="J213:M213"/>
    <mergeCell ref="E214:F214"/>
    <mergeCell ref="G214:H214"/>
    <mergeCell ref="J214:K214"/>
    <mergeCell ref="L214:M214"/>
    <mergeCell ref="E215:E216"/>
    <mergeCell ref="M215:M216"/>
    <mergeCell ref="F215:F216"/>
    <mergeCell ref="G215:G216"/>
    <mergeCell ref="H215:H216"/>
    <mergeCell ref="J3:J4"/>
    <mergeCell ref="C107:C110"/>
    <mergeCell ref="D107:D110"/>
    <mergeCell ref="E107:H107"/>
    <mergeCell ref="I107:I110"/>
    <mergeCell ref="J107:M107"/>
    <mergeCell ref="E108:F108"/>
    <mergeCell ref="G108:H108"/>
    <mergeCell ref="J108:K108"/>
    <mergeCell ref="L108:M108"/>
    <mergeCell ref="E109:E110"/>
    <mergeCell ref="F109:F110"/>
    <mergeCell ref="G109:G110"/>
    <mergeCell ref="H109:H110"/>
    <mergeCell ref="J109:J110"/>
    <mergeCell ref="K109:K110"/>
    <mergeCell ref="K3:K4"/>
    <mergeCell ref="L3:L4"/>
    <mergeCell ref="M3:M4"/>
    <mergeCell ref="C1:C4"/>
    <mergeCell ref="D1:D4"/>
    <mergeCell ref="E1:H1"/>
    <mergeCell ref="I1:I4"/>
    <mergeCell ref="J1:M1"/>
    <mergeCell ref="E2:F2"/>
    <mergeCell ref="G2:H2"/>
    <mergeCell ref="J2:K2"/>
    <mergeCell ref="L2:M2"/>
    <mergeCell ref="E3:E4"/>
    <mergeCell ref="F3:F4"/>
    <mergeCell ref="G3:G4"/>
    <mergeCell ref="H3:H4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A22" sqref="A22:E28"/>
    </sheetView>
  </sheetViews>
  <sheetFormatPr defaultRowHeight="15" x14ac:dyDescent="0.25"/>
  <cols>
    <col min="1" max="1" width="20.7109375" style="104" bestFit="1" customWidth="1"/>
    <col min="2" max="5" width="11.7109375" style="131" bestFit="1" customWidth="1"/>
    <col min="6" max="9" width="10.42578125" style="131" customWidth="1"/>
  </cols>
  <sheetData>
    <row r="1" spans="1:9" x14ac:dyDescent="0.25">
      <c r="A1" s="337" t="s">
        <v>372</v>
      </c>
      <c r="B1" s="337"/>
      <c r="C1" s="337"/>
      <c r="D1" s="337"/>
    </row>
    <row r="2" spans="1:9" x14ac:dyDescent="0.25">
      <c r="B2" s="131">
        <v>1865</v>
      </c>
      <c r="C2" s="131">
        <v>1875</v>
      </c>
      <c r="D2" s="131">
        <v>1891</v>
      </c>
      <c r="E2" s="131">
        <v>1911</v>
      </c>
    </row>
    <row r="3" spans="1:9" x14ac:dyDescent="0.25">
      <c r="A3" s="104" t="s">
        <v>238</v>
      </c>
      <c r="B3" s="131">
        <f>'1865 v. 1875'!K8+'1865 v. 1875'!K9+'1865 v. 1875'!K10+'1865 v. 1875'!K12+'1865 v. 1875'!K13+'1865 v. 1875'!K14+'1865 v. 1875'!K15+'1865 v. 1875'!K16+'1865 v. 1875'!K17+'1865 v. 1875'!K18+'1865 v. 1875'!K24+'1865 v. 1875'!K27+'1865 v. 1875'!K30+'1865 v. 1875'!K32+'1865 v. 1875'!K34+'1865 v. 1875'!K41+'1865 v. 1875'!K46+'1865 v. 1875'!K47+'1865 v. 1875'!K49+'1865 v. 1875'!K50+'1865 v. 1875'!K51+'1865 v. 1875'!K53</f>
        <v>14423</v>
      </c>
      <c r="C3" s="131">
        <f>'1865 v. 1875'!M8+'1865 v. 1875'!M9+'1865 v. 1875'!M10+'1865 v. 1875'!M12+'1865 v. 1875'!M13+'1865 v. 1875'!M14+'1865 v. 1875'!M15+'1865 v. 1875'!M16+'1865 v. 1875'!M17+'1865 v. 1875'!M18+'1865 v. 1875'!M19+'1865 v. 1875'!M20+'1865 v. 1875'!M24+'1865 v. 1875'!M27+'1865 v. 1875'!M28+'1865 v. 1875'!M30+'1865 v. 1875'!M31+'1865 v. 1875'!M32+'1865 v. 1875'!M33+'1865 v. 1875'!M34+'1865 v. 1875'!M41+'1865 v. 1875'!M42+'1865 v. 1875'!M43+'1865 v. 1875'!M44+'1865 v. 1875'!M45+'1865 v. 1875'!M46+'1865 v. 1875'!M47+'1865 v. 1875'!M48+'1865 v. 1875'!M49+'1865 v. 1875'!M50+'1865 v. 1875'!M51+'1865 v. 1875'!M52+'1865 v. 1875'!M53</f>
        <v>21886</v>
      </c>
      <c r="D3" s="131">
        <v>31715</v>
      </c>
      <c r="E3" s="131">
        <v>144648</v>
      </c>
    </row>
    <row r="4" spans="1:9" x14ac:dyDescent="0.25">
      <c r="A4" s="104" t="s">
        <v>240</v>
      </c>
      <c r="B4" s="131">
        <f>'1865 v. 1875'!K36+'1865 v. 1875'!K37+'1865 v. 1875'!K39</f>
        <v>26829</v>
      </c>
      <c r="C4" s="131">
        <f>'1865 v. 1875'!M36+'1865 v. 1875'!M37+'1865 v. 1875'!M38+'1865 v. 1875'!M39</f>
        <v>34069</v>
      </c>
      <c r="D4" s="131">
        <v>59509</v>
      </c>
      <c r="E4" s="131">
        <v>236057</v>
      </c>
    </row>
    <row r="5" spans="1:9" x14ac:dyDescent="0.25">
      <c r="A5" s="104" t="s">
        <v>243</v>
      </c>
      <c r="B5" s="131">
        <f>'1865 v. 1875'!K55+'1865 v. 1875'!K56+'1865 v. 1875'!K59+'1865 v. 1875'!K60+'1865 v. 1875'!K61+'1865 v. 1875'!K63+'1865 v. 1875'!K64+'1865 v. 1875'!K66+'1865 v. 1875'!K67+'1865 v. 1875'!K68+'1865 v. 1875'!K72</f>
        <v>3620</v>
      </c>
      <c r="C5" s="131">
        <f>'1865 v. 1875'!M55+'1865 v. 1875'!M56+'1865 v. 1875'!M57+'1865 v. 1875'!M59+'1865 v. 1875'!M60+'1865 v. 1875'!M61+'1865 v. 1875'!M63+'1865 v. 1875'!M64+'1865 v. 1875'!M66+'1865 v. 1875'!M67+'1865 v. 1875'!M68+'1865 v. 1875'!M70+'1865 v. 1875'!M72</f>
        <v>5700</v>
      </c>
      <c r="D5" s="131">
        <v>20075</v>
      </c>
      <c r="E5" s="131">
        <v>93945</v>
      </c>
    </row>
    <row r="6" spans="1:9" x14ac:dyDescent="0.25">
      <c r="A6" s="104" t="s">
        <v>245</v>
      </c>
      <c r="B6" s="131">
        <f>'1865 v. 1875'!K25+'1865 v. 1875'!K74+'1865 v. 1875'!K75</f>
        <v>3613</v>
      </c>
      <c r="C6" s="131">
        <f>'1865 v. 1875'!M25+'1865 v. 1875'!M74+'1865 v. 1875'!M75</f>
        <v>3069</v>
      </c>
      <c r="D6" s="131">
        <v>2269</v>
      </c>
      <c r="E6" s="131">
        <v>18912</v>
      </c>
    </row>
    <row r="7" spans="1:9" x14ac:dyDescent="0.25">
      <c r="A7" s="104" t="s">
        <v>363</v>
      </c>
      <c r="B7" s="131">
        <f>SUM(B3:B6)</f>
        <v>48485</v>
      </c>
      <c r="C7" s="131">
        <f>SUM(C3:C6)</f>
        <v>64724</v>
      </c>
      <c r="D7" s="131">
        <v>113568</v>
      </c>
      <c r="E7" s="131">
        <v>493562</v>
      </c>
    </row>
    <row r="9" spans="1:9" x14ac:dyDescent="0.25">
      <c r="B9" s="260"/>
      <c r="C9" s="260"/>
      <c r="D9" s="260"/>
    </row>
    <row r="10" spans="1:9" ht="30" x14ac:dyDescent="0.25">
      <c r="A10" s="179"/>
      <c r="B10" s="256" t="s">
        <v>364</v>
      </c>
      <c r="C10" s="257" t="s">
        <v>366</v>
      </c>
      <c r="D10" s="258" t="s">
        <v>365</v>
      </c>
      <c r="E10" s="258" t="s">
        <v>367</v>
      </c>
      <c r="F10" s="258" t="s">
        <v>368</v>
      </c>
      <c r="G10" s="258" t="s">
        <v>369</v>
      </c>
      <c r="H10" s="258" t="s">
        <v>371</v>
      </c>
      <c r="I10" s="258" t="s">
        <v>370</v>
      </c>
    </row>
    <row r="11" spans="1:9" x14ac:dyDescent="0.25">
      <c r="A11" s="179" t="s">
        <v>238</v>
      </c>
      <c r="B11" s="259">
        <v>17.22</v>
      </c>
      <c r="C11" s="259">
        <v>20.59</v>
      </c>
      <c r="D11" s="259">
        <f>B3/$B$7*100</f>
        <v>29.747344539548315</v>
      </c>
      <c r="E11" s="259">
        <v>26.6</v>
      </c>
      <c r="F11" s="259">
        <f>C3/$C$7*100</f>
        <v>33.814350163772325</v>
      </c>
      <c r="G11" s="259">
        <v>27.926000281769515</v>
      </c>
      <c r="H11" s="259">
        <v>34.79</v>
      </c>
      <c r="I11" s="259">
        <v>29.306956370222991</v>
      </c>
    </row>
    <row r="12" spans="1:9" x14ac:dyDescent="0.25">
      <c r="A12" s="179" t="s">
        <v>240</v>
      </c>
      <c r="B12" s="259">
        <v>64.62</v>
      </c>
      <c r="C12" s="259">
        <v>61.74</v>
      </c>
      <c r="D12" s="259">
        <f>B4/$B$7*100</f>
        <v>55.334639579251309</v>
      </c>
      <c r="E12" s="259">
        <v>60.18</v>
      </c>
      <c r="F12" s="259">
        <f>C4/$C$7*100</f>
        <v>52.637352450404798</v>
      </c>
      <c r="G12" s="259">
        <v>52.399443505212737</v>
      </c>
      <c r="H12" s="259">
        <v>49.73</v>
      </c>
      <c r="I12" s="259">
        <v>47.82722332756574</v>
      </c>
    </row>
    <row r="13" spans="1:9" x14ac:dyDescent="0.25">
      <c r="A13" s="179" t="s">
        <v>243</v>
      </c>
      <c r="B13" s="259">
        <v>9.85</v>
      </c>
      <c r="C13" s="259">
        <v>8.11</v>
      </c>
      <c r="D13" s="259">
        <f>B5/$B$7*100</f>
        <v>7.4662266680416618</v>
      </c>
      <c r="E13" s="259">
        <v>9.0299999999999994</v>
      </c>
      <c r="F13" s="259">
        <f>C5/$C$7*100</f>
        <v>8.8066250540757665</v>
      </c>
      <c r="G13" s="259">
        <v>17.676634263172726</v>
      </c>
      <c r="H13" s="259">
        <v>12.45</v>
      </c>
      <c r="I13" s="259">
        <v>19.034082850786728</v>
      </c>
    </row>
    <row r="14" spans="1:9" x14ac:dyDescent="0.25">
      <c r="A14" s="179" t="s">
        <v>245</v>
      </c>
      <c r="B14" s="259">
        <v>8.3000000000000007</v>
      </c>
      <c r="C14" s="259">
        <v>9.56</v>
      </c>
      <c r="D14" s="259">
        <f>B6/$B$7*100</f>
        <v>7.4517892131587091</v>
      </c>
      <c r="E14" s="259">
        <v>4.1900000000000004</v>
      </c>
      <c r="F14" s="259">
        <f>C6/$C$7*100</f>
        <v>4.741672331747111</v>
      </c>
      <c r="G14" s="259">
        <v>1.9979219498450267</v>
      </c>
      <c r="H14" s="259">
        <v>3.04</v>
      </c>
      <c r="I14" s="259">
        <v>3.8317374514245426</v>
      </c>
    </row>
    <row r="15" spans="1:9" x14ac:dyDescent="0.25">
      <c r="A15" s="179" t="s">
        <v>363</v>
      </c>
      <c r="B15" s="259">
        <f>SUM(B11:B14)</f>
        <v>99.99</v>
      </c>
      <c r="C15" s="259">
        <f t="shared" ref="C15:H15" si="0">SUM(C11:C14)</f>
        <v>100</v>
      </c>
      <c r="D15" s="259">
        <f t="shared" si="0"/>
        <v>99.999999999999986</v>
      </c>
      <c r="E15" s="259">
        <f t="shared" si="0"/>
        <v>100</v>
      </c>
      <c r="F15" s="259">
        <f t="shared" si="0"/>
        <v>100</v>
      </c>
      <c r="G15" s="259">
        <f t="shared" si="0"/>
        <v>100</v>
      </c>
      <c r="H15" s="259">
        <f t="shared" si="0"/>
        <v>100.01</v>
      </c>
      <c r="I15" s="259">
        <f>SUM(I11:I14)</f>
        <v>100.00000000000001</v>
      </c>
    </row>
    <row r="18" spans="1:13" x14ac:dyDescent="0.25">
      <c r="H18"/>
    </row>
    <row r="19" spans="1:13" x14ac:dyDescent="0.25">
      <c r="H19"/>
    </row>
    <row r="21" spans="1:13" x14ac:dyDescent="0.25">
      <c r="J21" s="131"/>
      <c r="K21" s="131"/>
      <c r="L21" s="131"/>
      <c r="M21" s="131"/>
    </row>
    <row r="22" spans="1:13" x14ac:dyDescent="0.25">
      <c r="A22" s="260" t="s">
        <v>373</v>
      </c>
      <c r="J22" s="131"/>
      <c r="K22" s="131"/>
      <c r="L22" s="131"/>
      <c r="M22" s="131"/>
    </row>
    <row r="23" spans="1:13" x14ac:dyDescent="0.25">
      <c r="B23" s="131" t="s">
        <v>365</v>
      </c>
      <c r="C23" s="131" t="s">
        <v>368</v>
      </c>
      <c r="D23" s="131" t="s">
        <v>369</v>
      </c>
      <c r="E23" s="131" t="s">
        <v>370</v>
      </c>
      <c r="J23" s="131"/>
      <c r="K23" s="131"/>
      <c r="L23" s="131"/>
      <c r="M23" s="131"/>
    </row>
    <row r="24" spans="1:13" x14ac:dyDescent="0.25">
      <c r="A24" s="179" t="s">
        <v>238</v>
      </c>
      <c r="B24" s="261">
        <v>29.747344539548315</v>
      </c>
      <c r="C24" s="261">
        <v>33.814350163772325</v>
      </c>
      <c r="D24" s="261">
        <v>27.926000281769515</v>
      </c>
      <c r="E24" s="261">
        <v>29.306956370222991</v>
      </c>
      <c r="J24" s="131"/>
      <c r="K24" s="131"/>
      <c r="L24" s="131"/>
      <c r="M24" s="131"/>
    </row>
    <row r="25" spans="1:13" x14ac:dyDescent="0.25">
      <c r="A25" s="179" t="s">
        <v>240</v>
      </c>
      <c r="B25" s="261">
        <v>55.334639579251309</v>
      </c>
      <c r="C25" s="261">
        <v>52.637352450404798</v>
      </c>
      <c r="D25" s="261">
        <v>52.399443505212737</v>
      </c>
      <c r="E25" s="261">
        <v>47.82722332756574</v>
      </c>
      <c r="J25" s="131"/>
      <c r="K25" s="131"/>
      <c r="L25" s="131"/>
      <c r="M25" s="131"/>
    </row>
    <row r="26" spans="1:13" x14ac:dyDescent="0.25">
      <c r="A26" s="179" t="s">
        <v>243</v>
      </c>
      <c r="B26" s="261">
        <v>7.4662266680416618</v>
      </c>
      <c r="C26" s="261">
        <v>8.8066250540757665</v>
      </c>
      <c r="D26" s="261">
        <v>17.676634263172726</v>
      </c>
      <c r="E26" s="261">
        <v>19.034082850786728</v>
      </c>
      <c r="J26" s="131"/>
      <c r="K26" s="131"/>
      <c r="L26" s="131"/>
      <c r="M26" s="131"/>
    </row>
    <row r="27" spans="1:13" x14ac:dyDescent="0.25">
      <c r="A27" s="179" t="s">
        <v>245</v>
      </c>
      <c r="B27" s="261">
        <v>7.4517892131587091</v>
      </c>
      <c r="C27" s="261">
        <v>4.741672331747111</v>
      </c>
      <c r="D27" s="261">
        <v>1.9979219498450267</v>
      </c>
      <c r="E27" s="261">
        <v>3.8317374514245426</v>
      </c>
    </row>
    <row r="28" spans="1:13" x14ac:dyDescent="0.25">
      <c r="A28" s="179" t="s">
        <v>363</v>
      </c>
      <c r="B28" s="131">
        <v>99.999999999999986</v>
      </c>
      <c r="C28" s="131">
        <v>100</v>
      </c>
      <c r="D28" s="131">
        <v>100</v>
      </c>
      <c r="E28" s="131">
        <v>100.00000000000001</v>
      </c>
    </row>
  </sheetData>
  <mergeCells count="1">
    <mergeCell ref="A1:D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1865</vt:lpstr>
      <vt:lpstr>1865 v. 1875</vt:lpstr>
      <vt:lpstr>1891</vt:lpstr>
      <vt:lpstr>1904</vt:lpstr>
      <vt:lpstr>1911</vt:lpstr>
      <vt:lpstr>Summaries</vt:lpstr>
    </vt:vector>
  </TitlesOfParts>
  <Company>LDC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Cilliers</dc:creator>
  <cp:lastModifiedBy>Jeanne Cilliers</cp:lastModifiedBy>
  <dcterms:created xsi:type="dcterms:W3CDTF">2017-02-06T12:49:37Z</dcterms:created>
  <dcterms:modified xsi:type="dcterms:W3CDTF">2017-04-11T14:39:31Z</dcterms:modified>
</cp:coreProperties>
</file>