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7367ci\Dropbox\Papers (work in progess)\CF Mobility\"/>
    </mc:Choice>
  </mc:AlternateContent>
  <bookViews>
    <workbookView xWindow="0" yWindow="0" windowWidth="28800" windowHeight="13935"/>
  </bookViews>
  <sheets>
    <sheet name="Occupations Sub-Order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2" l="1"/>
  <c r="R15" i="2"/>
  <c r="R14" i="2"/>
  <c r="R13" i="2"/>
  <c r="Q17" i="2"/>
  <c r="Q16" i="2"/>
  <c r="Q15" i="2"/>
  <c r="Q14" i="2"/>
  <c r="Q13" i="2"/>
  <c r="Q7" i="2"/>
  <c r="Q4" i="2"/>
  <c r="S8" i="2"/>
  <c r="Q6" i="2"/>
  <c r="D8" i="2" l="1"/>
  <c r="I8" i="2"/>
  <c r="D9" i="2"/>
  <c r="I9" i="2"/>
  <c r="D10" i="2"/>
  <c r="I10" i="2"/>
  <c r="D11" i="2"/>
  <c r="I11" i="2"/>
  <c r="D13" i="2"/>
  <c r="I13" i="2"/>
  <c r="D14" i="2"/>
  <c r="I14" i="2"/>
  <c r="D15" i="2"/>
  <c r="I15" i="2"/>
  <c r="D16" i="2"/>
  <c r="I16" i="2"/>
  <c r="D17" i="2"/>
  <c r="I17" i="2"/>
  <c r="D18" i="2"/>
  <c r="I18" i="2"/>
  <c r="D19" i="2"/>
  <c r="I19" i="2"/>
  <c r="D20" i="2"/>
  <c r="I20" i="2"/>
  <c r="D21" i="2"/>
  <c r="I21" i="2"/>
  <c r="D22" i="2"/>
  <c r="I22" i="2"/>
  <c r="D25" i="2"/>
  <c r="I25" i="2"/>
  <c r="D27" i="2"/>
  <c r="I27" i="2"/>
  <c r="D28" i="2"/>
  <c r="I28" i="2"/>
  <c r="D31" i="2"/>
  <c r="I31" i="2"/>
  <c r="D33" i="2"/>
  <c r="I33" i="2"/>
  <c r="D34" i="2"/>
  <c r="I34" i="2"/>
  <c r="D35" i="2"/>
  <c r="I35" i="2"/>
  <c r="D36" i="2"/>
  <c r="I36" i="2"/>
  <c r="D37" i="2"/>
  <c r="I37" i="2"/>
  <c r="D38" i="2"/>
  <c r="I38" i="2"/>
  <c r="D41" i="2"/>
  <c r="I41" i="2"/>
  <c r="D42" i="2"/>
  <c r="I42" i="2"/>
  <c r="D43" i="2"/>
  <c r="I43" i="2"/>
  <c r="D44" i="2"/>
  <c r="I44" i="2"/>
  <c r="D47" i="2"/>
  <c r="I47" i="2"/>
  <c r="D48" i="2"/>
  <c r="I48" i="2"/>
  <c r="D49" i="2"/>
  <c r="I49" i="2"/>
  <c r="D50" i="2"/>
  <c r="I50" i="2"/>
  <c r="D51" i="2"/>
  <c r="I51" i="2"/>
  <c r="D52" i="2"/>
  <c r="I52" i="2"/>
  <c r="D53" i="2"/>
  <c r="I53" i="2"/>
  <c r="D54" i="2"/>
  <c r="I54" i="2"/>
  <c r="D55" i="2"/>
  <c r="I55" i="2"/>
  <c r="D56" i="2"/>
  <c r="I56" i="2"/>
  <c r="D57" i="2"/>
  <c r="I57" i="2"/>
  <c r="D58" i="2"/>
  <c r="I58" i="2"/>
  <c r="D59" i="2"/>
  <c r="I59" i="2"/>
  <c r="D61" i="2"/>
  <c r="I61" i="2"/>
  <c r="D62" i="2"/>
  <c r="I62" i="2"/>
  <c r="D63" i="2"/>
  <c r="I63" i="2"/>
  <c r="D64" i="2"/>
  <c r="I64" i="2"/>
  <c r="D66" i="2"/>
  <c r="I66" i="2"/>
  <c r="D67" i="2"/>
  <c r="I67" i="2"/>
  <c r="D68" i="2"/>
  <c r="I68" i="2"/>
  <c r="D70" i="2"/>
  <c r="I70" i="2"/>
  <c r="D71" i="2"/>
  <c r="I71" i="2"/>
  <c r="D72" i="2"/>
  <c r="I72" i="2"/>
  <c r="D74" i="2"/>
  <c r="I74" i="2"/>
  <c r="D75" i="2"/>
  <c r="I75" i="2"/>
  <c r="D77" i="2"/>
  <c r="I77" i="2"/>
  <c r="D78" i="2"/>
  <c r="I78" i="2"/>
  <c r="D79" i="2"/>
  <c r="I79" i="2"/>
  <c r="D80" i="2"/>
  <c r="I80" i="2"/>
  <c r="D81" i="2"/>
  <c r="I81" i="2"/>
  <c r="D82" i="2"/>
  <c r="I82" i="2"/>
  <c r="D83" i="2"/>
  <c r="I83" i="2"/>
  <c r="D85" i="2"/>
  <c r="I85" i="2"/>
  <c r="D88" i="2"/>
  <c r="I88" i="2"/>
  <c r="D89" i="2"/>
  <c r="I89" i="2"/>
  <c r="D90" i="2"/>
  <c r="I90" i="2"/>
  <c r="D93" i="2"/>
  <c r="I93" i="2"/>
  <c r="D95" i="2"/>
  <c r="I95" i="2"/>
  <c r="D96" i="2"/>
  <c r="I96" i="2"/>
  <c r="D99" i="2"/>
  <c r="I99" i="2"/>
  <c r="E102" i="2"/>
  <c r="F102" i="2"/>
  <c r="G102" i="2"/>
  <c r="H102" i="2"/>
  <c r="J102" i="2"/>
  <c r="K102" i="2"/>
  <c r="L102" i="2"/>
  <c r="M102" i="2"/>
  <c r="D114" i="2"/>
  <c r="I114" i="2"/>
  <c r="D115" i="2"/>
  <c r="I115" i="2"/>
  <c r="D116" i="2"/>
  <c r="I116" i="2"/>
  <c r="D117" i="2"/>
  <c r="I117" i="2"/>
  <c r="D119" i="2"/>
  <c r="I119" i="2"/>
  <c r="D120" i="2"/>
  <c r="I120" i="2"/>
  <c r="D121" i="2"/>
  <c r="I121" i="2"/>
  <c r="D122" i="2"/>
  <c r="I122" i="2"/>
  <c r="D123" i="2"/>
  <c r="I123" i="2"/>
  <c r="D124" i="2"/>
  <c r="I124" i="2"/>
  <c r="D125" i="2"/>
  <c r="I125" i="2"/>
  <c r="D126" i="2"/>
  <c r="I126" i="2"/>
  <c r="D127" i="2"/>
  <c r="I127" i="2"/>
  <c r="D128" i="2"/>
  <c r="I128" i="2"/>
  <c r="D131" i="2"/>
  <c r="I131" i="2"/>
  <c r="D133" i="2"/>
  <c r="I133" i="2"/>
  <c r="D134" i="2"/>
  <c r="I134" i="2"/>
  <c r="D137" i="2"/>
  <c r="I137" i="2"/>
  <c r="D139" i="2"/>
  <c r="I139" i="2"/>
  <c r="D140" i="2"/>
  <c r="I140" i="2"/>
  <c r="D141" i="2"/>
  <c r="I141" i="2"/>
  <c r="D142" i="2"/>
  <c r="I142" i="2"/>
  <c r="D143" i="2"/>
  <c r="I143" i="2"/>
  <c r="D144" i="2"/>
  <c r="I144" i="2"/>
  <c r="D147" i="2"/>
  <c r="I147" i="2"/>
  <c r="D148" i="2"/>
  <c r="I148" i="2"/>
  <c r="D149" i="2"/>
  <c r="I149" i="2"/>
  <c r="D150" i="2"/>
  <c r="I150" i="2"/>
  <c r="D153" i="2"/>
  <c r="I153" i="2"/>
  <c r="D154" i="2"/>
  <c r="I154" i="2"/>
  <c r="D155" i="2"/>
  <c r="I155" i="2"/>
  <c r="D156" i="2"/>
  <c r="I156" i="2"/>
  <c r="D157" i="2"/>
  <c r="I157" i="2"/>
  <c r="D158" i="2"/>
  <c r="I158" i="2"/>
  <c r="D159" i="2"/>
  <c r="I159" i="2"/>
  <c r="D160" i="2"/>
  <c r="I160" i="2"/>
  <c r="D161" i="2"/>
  <c r="I161" i="2"/>
  <c r="D162" i="2"/>
  <c r="I162" i="2"/>
  <c r="D163" i="2"/>
  <c r="I163" i="2"/>
  <c r="D164" i="2"/>
  <c r="I164" i="2"/>
  <c r="D165" i="2"/>
  <c r="I165" i="2"/>
  <c r="D167" i="2"/>
  <c r="I167" i="2"/>
  <c r="D168" i="2"/>
  <c r="I168" i="2"/>
  <c r="D169" i="2"/>
  <c r="I169" i="2"/>
  <c r="D170" i="2"/>
  <c r="I170" i="2"/>
  <c r="D172" i="2"/>
  <c r="I172" i="2"/>
  <c r="D173" i="2"/>
  <c r="I173" i="2"/>
  <c r="D174" i="2"/>
  <c r="I174" i="2"/>
  <c r="D176" i="2"/>
  <c r="I176" i="2"/>
  <c r="D177" i="2"/>
  <c r="I177" i="2"/>
  <c r="D178" i="2"/>
  <c r="I178" i="2"/>
  <c r="D180" i="2"/>
  <c r="I180" i="2"/>
  <c r="D181" i="2"/>
  <c r="I181" i="2"/>
  <c r="D183" i="2"/>
  <c r="I183" i="2"/>
  <c r="D184" i="2"/>
  <c r="I184" i="2"/>
  <c r="D185" i="2"/>
  <c r="I185" i="2"/>
  <c r="D186" i="2"/>
  <c r="I186" i="2"/>
  <c r="D187" i="2"/>
  <c r="I187" i="2"/>
  <c r="D188" i="2"/>
  <c r="I188" i="2"/>
  <c r="D189" i="2"/>
  <c r="I189" i="2"/>
  <c r="D191" i="2"/>
  <c r="I191" i="2"/>
  <c r="D194" i="2"/>
  <c r="I194" i="2"/>
  <c r="D195" i="2"/>
  <c r="I195" i="2"/>
  <c r="D196" i="2"/>
  <c r="I196" i="2"/>
  <c r="D199" i="2"/>
  <c r="I199" i="2"/>
  <c r="D201" i="2"/>
  <c r="I201" i="2"/>
  <c r="D202" i="2"/>
  <c r="I202" i="2"/>
  <c r="D205" i="2"/>
  <c r="I205" i="2"/>
  <c r="E208" i="2"/>
  <c r="F208" i="2"/>
  <c r="G208" i="2"/>
  <c r="H208" i="2"/>
  <c r="J208" i="2"/>
  <c r="K208" i="2"/>
  <c r="L208" i="2"/>
  <c r="M208" i="2"/>
  <c r="D220" i="2"/>
  <c r="I220" i="2"/>
  <c r="D221" i="2"/>
  <c r="I221" i="2"/>
  <c r="D222" i="2"/>
  <c r="I222" i="2"/>
  <c r="D223" i="2"/>
  <c r="I223" i="2"/>
  <c r="D225" i="2"/>
  <c r="I225" i="2"/>
  <c r="D226" i="2"/>
  <c r="I226" i="2"/>
  <c r="D227" i="2"/>
  <c r="I227" i="2"/>
  <c r="D228" i="2"/>
  <c r="I228" i="2"/>
  <c r="D229" i="2"/>
  <c r="I229" i="2"/>
  <c r="D230" i="2"/>
  <c r="I230" i="2"/>
  <c r="D231" i="2"/>
  <c r="I231" i="2"/>
  <c r="D232" i="2"/>
  <c r="I232" i="2"/>
  <c r="D233" i="2"/>
  <c r="I233" i="2"/>
  <c r="D234" i="2"/>
  <c r="I234" i="2"/>
  <c r="D237" i="2"/>
  <c r="I237" i="2"/>
  <c r="D239" i="2"/>
  <c r="I239" i="2"/>
  <c r="D240" i="2"/>
  <c r="I240" i="2"/>
  <c r="D243" i="2"/>
  <c r="I243" i="2"/>
  <c r="D245" i="2"/>
  <c r="I245" i="2"/>
  <c r="D246" i="2"/>
  <c r="I246" i="2"/>
  <c r="D247" i="2"/>
  <c r="I247" i="2"/>
  <c r="D248" i="2"/>
  <c r="I248" i="2"/>
  <c r="D249" i="2"/>
  <c r="I249" i="2"/>
  <c r="D250" i="2"/>
  <c r="I250" i="2"/>
  <c r="D253" i="2"/>
  <c r="I253" i="2"/>
  <c r="D254" i="2"/>
  <c r="I254" i="2"/>
  <c r="D255" i="2"/>
  <c r="I255" i="2"/>
  <c r="D256" i="2"/>
  <c r="I256" i="2"/>
  <c r="D259" i="2"/>
  <c r="I259" i="2"/>
  <c r="D260" i="2"/>
  <c r="I260" i="2"/>
  <c r="D261" i="2"/>
  <c r="I261" i="2"/>
  <c r="D262" i="2"/>
  <c r="I262" i="2"/>
  <c r="D263" i="2"/>
  <c r="I263" i="2"/>
  <c r="D264" i="2"/>
  <c r="I264" i="2"/>
  <c r="D265" i="2"/>
  <c r="I265" i="2"/>
  <c r="D266" i="2"/>
  <c r="I266" i="2"/>
  <c r="D267" i="2"/>
  <c r="I267" i="2"/>
  <c r="D268" i="2"/>
  <c r="I268" i="2"/>
  <c r="D269" i="2"/>
  <c r="I269" i="2"/>
  <c r="D270" i="2"/>
  <c r="I270" i="2"/>
  <c r="D271" i="2"/>
  <c r="I271" i="2"/>
  <c r="D273" i="2"/>
  <c r="I273" i="2"/>
  <c r="D274" i="2"/>
  <c r="I274" i="2"/>
  <c r="D275" i="2"/>
  <c r="I275" i="2"/>
  <c r="D276" i="2"/>
  <c r="I276" i="2"/>
  <c r="D278" i="2"/>
  <c r="I278" i="2"/>
  <c r="D279" i="2"/>
  <c r="I279" i="2"/>
  <c r="D280" i="2"/>
  <c r="I280" i="2"/>
  <c r="D282" i="2"/>
  <c r="I282" i="2"/>
  <c r="D283" i="2"/>
  <c r="I283" i="2"/>
  <c r="D284" i="2"/>
  <c r="I284" i="2"/>
  <c r="D286" i="2"/>
  <c r="I286" i="2"/>
  <c r="D287" i="2"/>
  <c r="I287" i="2"/>
  <c r="D289" i="2"/>
  <c r="I289" i="2"/>
  <c r="D290" i="2"/>
  <c r="I290" i="2"/>
  <c r="D291" i="2"/>
  <c r="I291" i="2"/>
  <c r="D292" i="2"/>
  <c r="I292" i="2"/>
  <c r="D293" i="2"/>
  <c r="I293" i="2"/>
  <c r="D294" i="2"/>
  <c r="I294" i="2"/>
  <c r="D295" i="2"/>
  <c r="I295" i="2"/>
  <c r="D297" i="2"/>
  <c r="I297" i="2"/>
  <c r="D300" i="2"/>
  <c r="I300" i="2"/>
  <c r="D301" i="2"/>
  <c r="I301" i="2"/>
  <c r="D302" i="2"/>
  <c r="I302" i="2"/>
  <c r="D305" i="2"/>
  <c r="I305" i="2"/>
  <c r="D307" i="2"/>
  <c r="I307" i="2"/>
  <c r="D308" i="2"/>
  <c r="I308" i="2"/>
  <c r="D311" i="2"/>
  <c r="I311" i="2"/>
  <c r="E314" i="2"/>
  <c r="F314" i="2"/>
  <c r="G314" i="2"/>
  <c r="H314" i="2"/>
  <c r="J314" i="2"/>
  <c r="K314" i="2"/>
  <c r="L314" i="2"/>
  <c r="M314" i="2"/>
  <c r="D326" i="2"/>
  <c r="I326" i="2"/>
  <c r="D327" i="2"/>
  <c r="I327" i="2"/>
  <c r="D328" i="2"/>
  <c r="I328" i="2"/>
  <c r="D329" i="2"/>
  <c r="I329" i="2"/>
  <c r="D331" i="2"/>
  <c r="I331" i="2"/>
  <c r="D332" i="2"/>
  <c r="I332" i="2"/>
  <c r="D333" i="2"/>
  <c r="I333" i="2"/>
  <c r="D334" i="2"/>
  <c r="I334" i="2"/>
  <c r="D335" i="2"/>
  <c r="I335" i="2"/>
  <c r="D336" i="2"/>
  <c r="I336" i="2"/>
  <c r="D337" i="2"/>
  <c r="I337" i="2"/>
  <c r="D338" i="2"/>
  <c r="I338" i="2"/>
  <c r="D339" i="2"/>
  <c r="I339" i="2"/>
  <c r="D340" i="2"/>
  <c r="I340" i="2"/>
  <c r="D343" i="2"/>
  <c r="I343" i="2"/>
  <c r="D345" i="2"/>
  <c r="I345" i="2"/>
  <c r="D346" i="2"/>
  <c r="I346" i="2"/>
  <c r="D349" i="2"/>
  <c r="I349" i="2"/>
  <c r="D351" i="2"/>
  <c r="I351" i="2"/>
  <c r="D352" i="2"/>
  <c r="I352" i="2"/>
  <c r="D353" i="2"/>
  <c r="I353" i="2"/>
  <c r="D354" i="2"/>
  <c r="I354" i="2"/>
  <c r="D355" i="2"/>
  <c r="I355" i="2"/>
  <c r="D356" i="2"/>
  <c r="I356" i="2"/>
  <c r="D359" i="2"/>
  <c r="I359" i="2"/>
  <c r="D360" i="2"/>
  <c r="I360" i="2"/>
  <c r="D361" i="2"/>
  <c r="I361" i="2"/>
  <c r="D362" i="2"/>
  <c r="I362" i="2"/>
  <c r="D365" i="2"/>
  <c r="I365" i="2"/>
  <c r="D366" i="2"/>
  <c r="I366" i="2"/>
  <c r="D367" i="2"/>
  <c r="I367" i="2"/>
  <c r="D368" i="2"/>
  <c r="I368" i="2"/>
  <c r="D369" i="2"/>
  <c r="I369" i="2"/>
  <c r="D370" i="2"/>
  <c r="I370" i="2"/>
  <c r="D371" i="2"/>
  <c r="I371" i="2"/>
  <c r="D372" i="2"/>
  <c r="I372" i="2"/>
  <c r="D373" i="2"/>
  <c r="I373" i="2"/>
  <c r="D374" i="2"/>
  <c r="I374" i="2"/>
  <c r="D375" i="2"/>
  <c r="I375" i="2"/>
  <c r="D376" i="2"/>
  <c r="I376" i="2"/>
  <c r="D377" i="2"/>
  <c r="I377" i="2"/>
  <c r="D379" i="2"/>
  <c r="I379" i="2"/>
  <c r="D380" i="2"/>
  <c r="I380" i="2"/>
  <c r="D381" i="2"/>
  <c r="I381" i="2"/>
  <c r="D382" i="2"/>
  <c r="I382" i="2"/>
  <c r="D384" i="2"/>
  <c r="I384" i="2"/>
  <c r="D385" i="2"/>
  <c r="I385" i="2"/>
  <c r="D386" i="2"/>
  <c r="I386" i="2"/>
  <c r="D388" i="2"/>
  <c r="I388" i="2"/>
  <c r="D389" i="2"/>
  <c r="I389" i="2"/>
  <c r="D390" i="2"/>
  <c r="I390" i="2"/>
  <c r="D392" i="2"/>
  <c r="I392" i="2"/>
  <c r="D393" i="2"/>
  <c r="I393" i="2"/>
  <c r="D395" i="2"/>
  <c r="I395" i="2"/>
  <c r="D396" i="2"/>
  <c r="I396" i="2"/>
  <c r="D397" i="2"/>
  <c r="I397" i="2"/>
  <c r="D398" i="2"/>
  <c r="I398" i="2"/>
  <c r="D399" i="2"/>
  <c r="I399" i="2"/>
  <c r="D400" i="2"/>
  <c r="I400" i="2"/>
  <c r="D401" i="2"/>
  <c r="I401" i="2"/>
  <c r="D403" i="2"/>
  <c r="I403" i="2"/>
  <c r="D406" i="2"/>
  <c r="I406" i="2"/>
  <c r="D407" i="2"/>
  <c r="I407" i="2"/>
  <c r="D408" i="2"/>
  <c r="I408" i="2"/>
  <c r="D411" i="2"/>
  <c r="I411" i="2"/>
  <c r="D413" i="2"/>
  <c r="I413" i="2"/>
  <c r="D414" i="2"/>
  <c r="I414" i="2"/>
  <c r="D417" i="2"/>
  <c r="I417" i="2"/>
  <c r="E420" i="2"/>
  <c r="F420" i="2"/>
  <c r="G420" i="2"/>
  <c r="H420" i="2"/>
  <c r="J420" i="2"/>
  <c r="K420" i="2"/>
  <c r="L420" i="2"/>
  <c r="M420" i="2"/>
  <c r="D432" i="2"/>
  <c r="I432" i="2"/>
  <c r="D433" i="2"/>
  <c r="I433" i="2"/>
  <c r="D434" i="2"/>
  <c r="I434" i="2"/>
  <c r="D435" i="2"/>
  <c r="I435" i="2"/>
  <c r="D437" i="2"/>
  <c r="I437" i="2"/>
  <c r="D438" i="2"/>
  <c r="I438" i="2"/>
  <c r="D439" i="2"/>
  <c r="I439" i="2"/>
  <c r="D440" i="2"/>
  <c r="I440" i="2"/>
  <c r="D441" i="2"/>
  <c r="I441" i="2"/>
  <c r="D442" i="2"/>
  <c r="I442" i="2"/>
  <c r="D443" i="2"/>
  <c r="I443" i="2"/>
  <c r="D444" i="2"/>
  <c r="I444" i="2"/>
  <c r="D445" i="2"/>
  <c r="I445" i="2"/>
  <c r="D446" i="2"/>
  <c r="I446" i="2"/>
  <c r="D449" i="2"/>
  <c r="I449" i="2"/>
  <c r="D451" i="2"/>
  <c r="I451" i="2"/>
  <c r="D452" i="2"/>
  <c r="I452" i="2"/>
  <c r="D455" i="2"/>
  <c r="I455" i="2"/>
  <c r="D457" i="2"/>
  <c r="I457" i="2"/>
  <c r="D458" i="2"/>
  <c r="I458" i="2"/>
  <c r="D459" i="2"/>
  <c r="I459" i="2"/>
  <c r="D460" i="2"/>
  <c r="I460" i="2"/>
  <c r="D461" i="2"/>
  <c r="I461" i="2"/>
  <c r="D462" i="2"/>
  <c r="I462" i="2"/>
  <c r="D465" i="2"/>
  <c r="I465" i="2"/>
  <c r="D466" i="2"/>
  <c r="I466" i="2"/>
  <c r="D467" i="2"/>
  <c r="I467" i="2"/>
  <c r="D468" i="2"/>
  <c r="I468" i="2"/>
  <c r="D471" i="2"/>
  <c r="I471" i="2"/>
  <c r="D472" i="2"/>
  <c r="I472" i="2"/>
  <c r="D473" i="2"/>
  <c r="I473" i="2"/>
  <c r="D474" i="2"/>
  <c r="I474" i="2"/>
  <c r="D475" i="2"/>
  <c r="I475" i="2"/>
  <c r="D476" i="2"/>
  <c r="I476" i="2"/>
  <c r="D477" i="2"/>
  <c r="I477" i="2"/>
  <c r="D478" i="2"/>
  <c r="I478" i="2"/>
  <c r="D479" i="2"/>
  <c r="I479" i="2"/>
  <c r="D480" i="2"/>
  <c r="I480" i="2"/>
  <c r="D481" i="2"/>
  <c r="I481" i="2"/>
  <c r="D482" i="2"/>
  <c r="I482" i="2"/>
  <c r="D483" i="2"/>
  <c r="I483" i="2"/>
  <c r="D485" i="2"/>
  <c r="I485" i="2"/>
  <c r="D486" i="2"/>
  <c r="I486" i="2"/>
  <c r="D487" i="2"/>
  <c r="I487" i="2"/>
  <c r="D488" i="2"/>
  <c r="I488" i="2"/>
  <c r="D490" i="2"/>
  <c r="I490" i="2"/>
  <c r="D491" i="2"/>
  <c r="I491" i="2"/>
  <c r="D492" i="2"/>
  <c r="I492" i="2"/>
  <c r="D494" i="2"/>
  <c r="I494" i="2"/>
  <c r="D495" i="2"/>
  <c r="I495" i="2"/>
  <c r="D496" i="2"/>
  <c r="I496" i="2"/>
  <c r="D498" i="2"/>
  <c r="I498" i="2"/>
  <c r="D499" i="2"/>
  <c r="I499" i="2"/>
  <c r="D501" i="2"/>
  <c r="I501" i="2"/>
  <c r="D502" i="2"/>
  <c r="I502" i="2"/>
  <c r="D503" i="2"/>
  <c r="I503" i="2"/>
  <c r="D504" i="2"/>
  <c r="I504" i="2"/>
  <c r="D505" i="2"/>
  <c r="I505" i="2"/>
  <c r="D506" i="2"/>
  <c r="I506" i="2"/>
  <c r="D507" i="2"/>
  <c r="I507" i="2"/>
  <c r="D509" i="2"/>
  <c r="I509" i="2"/>
  <c r="D512" i="2"/>
  <c r="I512" i="2"/>
  <c r="D513" i="2"/>
  <c r="I513" i="2"/>
  <c r="D514" i="2"/>
  <c r="I514" i="2"/>
  <c r="D517" i="2"/>
  <c r="I517" i="2"/>
  <c r="D519" i="2"/>
  <c r="I519" i="2"/>
  <c r="D520" i="2"/>
  <c r="I520" i="2"/>
  <c r="D523" i="2"/>
  <c r="I523" i="2"/>
  <c r="E526" i="2"/>
  <c r="F526" i="2"/>
  <c r="G526" i="2"/>
  <c r="H526" i="2"/>
  <c r="J526" i="2"/>
  <c r="K526" i="2"/>
  <c r="L526" i="2"/>
  <c r="M526" i="2"/>
  <c r="Q5" i="2" l="1"/>
  <c r="I526" i="2"/>
  <c r="D102" i="2"/>
  <c r="D526" i="2"/>
  <c r="I102" i="2"/>
  <c r="I314" i="2"/>
  <c r="D314" i="2"/>
  <c r="I208" i="2"/>
  <c r="D208" i="2"/>
  <c r="I420" i="2"/>
  <c r="D420" i="2"/>
  <c r="Q8" i="2" l="1"/>
  <c r="R6" i="2" l="1"/>
  <c r="R4" i="2"/>
  <c r="R7" i="2"/>
  <c r="R5" i="2"/>
  <c r="R8" i="2" l="1"/>
</calcChain>
</file>

<file path=xl/comments1.xml><?xml version="1.0" encoding="utf-8"?>
<comments xmlns="http://schemas.openxmlformats.org/spreadsheetml/2006/main">
  <authors>
    <author>Matthys Saayman</author>
  </authors>
  <commentList>
    <comment ref="H420" authorId="0" shapeId="0">
      <text>
        <r>
          <rPr>
            <b/>
            <sz val="9"/>
            <color indexed="81"/>
            <rFont val="Tahoma"/>
            <family val="2"/>
          </rPr>
          <t>Elsje Saayman:
Die groot totaal moet 35875 wees. Ek kry nie die fout nie.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<sst xmlns="http://schemas.openxmlformats.org/spreadsheetml/2006/main" count="606" uniqueCount="141">
  <si>
    <t>Page</t>
  </si>
  <si>
    <t>Total</t>
  </si>
  <si>
    <t>Urban</t>
  </si>
  <si>
    <t>Rural</t>
  </si>
  <si>
    <t>The Union Of South Africa</t>
  </si>
  <si>
    <t>European or White</t>
  </si>
  <si>
    <t>Other than Eropean or White</t>
  </si>
  <si>
    <t>Male</t>
  </si>
  <si>
    <t>Female</t>
  </si>
  <si>
    <t>Occupations</t>
  </si>
  <si>
    <t>I Proffesional</t>
  </si>
  <si>
    <t>674- 675</t>
  </si>
  <si>
    <t>A)  General or Local Government</t>
  </si>
  <si>
    <t>Union and Provincial Government</t>
  </si>
  <si>
    <t>Local Government</t>
  </si>
  <si>
    <t>Defence of the Country</t>
  </si>
  <si>
    <t>Officers of Foreign Government</t>
  </si>
  <si>
    <t>B) Religion, Charity, Law, Health, Educ etc.</t>
  </si>
  <si>
    <t>Religion and Charity</t>
  </si>
  <si>
    <t>Law</t>
  </si>
  <si>
    <t>Public Healt</t>
  </si>
  <si>
    <t>Literature</t>
  </si>
  <si>
    <t>Science</t>
  </si>
  <si>
    <t>Engineering, Surveying, Architecture</t>
  </si>
  <si>
    <t>Education</t>
  </si>
  <si>
    <t>Fine Arts</t>
  </si>
  <si>
    <t>Music</t>
  </si>
  <si>
    <t>Amusement</t>
  </si>
  <si>
    <t>II  Domestic</t>
  </si>
  <si>
    <t>C)  Domestic Offices or Household Duties</t>
  </si>
  <si>
    <t>Wives, Widows, Daughters, other Relatives</t>
  </si>
  <si>
    <t>D) Supply of Board and Lodging, Attendance</t>
  </si>
  <si>
    <t>Supply of Board and Lodging</t>
  </si>
  <si>
    <t>Engaged in Attendance</t>
  </si>
  <si>
    <t>III  Commercial</t>
  </si>
  <si>
    <t>E) Buying, Selling, Exchanging, Insuring etc.</t>
  </si>
  <si>
    <t>Mercantile Persons</t>
  </si>
  <si>
    <t>F) Conveyance of Men, Animals, Goods etc.</t>
  </si>
  <si>
    <t>Rail</t>
  </si>
  <si>
    <t>Tramways and Roads</t>
  </si>
  <si>
    <t>Sea and River</t>
  </si>
  <si>
    <t>Storage</t>
  </si>
  <si>
    <t>Post and Telegraph Service</t>
  </si>
  <si>
    <t>Others engaged in Conveyance</t>
  </si>
  <si>
    <t>IV Agricultural</t>
  </si>
  <si>
    <t>676- 677</t>
  </si>
  <si>
    <t>G) Working, Cultivating Land and Animals</t>
  </si>
  <si>
    <t>Agricultural or Pastoral Pursuits</t>
  </si>
  <si>
    <t>Woods and Forests</t>
  </si>
  <si>
    <t>Lands (not cultivating or grazing)</t>
  </si>
  <si>
    <t>Animals</t>
  </si>
  <si>
    <t>V  Idustrial</t>
  </si>
  <si>
    <t>H) Working, Dealing in Art, Mechanic Prod.</t>
  </si>
  <si>
    <t>Books, Publications, Advertising</t>
  </si>
  <si>
    <t>Musical Instruments</t>
  </si>
  <si>
    <t>Prints, Pictures</t>
  </si>
  <si>
    <t>Figures, Ornaments, Small Wares</t>
  </si>
  <si>
    <t>Design, Medals, Dies</t>
  </si>
  <si>
    <t>Watches, Philosophical Instruments</t>
  </si>
  <si>
    <t>Surgical Instruments</t>
  </si>
  <si>
    <t>Arms, Explosives</t>
  </si>
  <si>
    <t>Machines, Tools, Implements</t>
  </si>
  <si>
    <t>Carriages, Saddlery, Harness</t>
  </si>
  <si>
    <t>Ships, Boats</t>
  </si>
  <si>
    <t>Furniture</t>
  </si>
  <si>
    <t>Chemicals</t>
  </si>
  <si>
    <t>I) Construction or Repair</t>
  </si>
  <si>
    <t>Railways</t>
  </si>
  <si>
    <t>Roads, Harbours, Bridges, Earthworks, Houses</t>
  </si>
  <si>
    <t>Water, Irrigation works</t>
  </si>
  <si>
    <t>Disposal of the Dead, Dead Matter, Refuse</t>
  </si>
  <si>
    <t>J) Working or Dealing in Textile Fabrics etc.</t>
  </si>
  <si>
    <t>Textile Fabrics</t>
  </si>
  <si>
    <t>Dress</t>
  </si>
  <si>
    <t>Fibrous Materials</t>
  </si>
  <si>
    <t>K) Working or Dealing with Food, Drink etc.</t>
  </si>
  <si>
    <t>678- 679</t>
  </si>
  <si>
    <t>Animal Food</t>
  </si>
  <si>
    <t>Vegetable Food</t>
  </si>
  <si>
    <t>Drinks, Narcotics, Stimulants</t>
  </si>
  <si>
    <t>L) Working or Dealing in Animals, Vegt Subst.</t>
  </si>
  <si>
    <t>Animal Matters</t>
  </si>
  <si>
    <t>Vegetable Matters</t>
  </si>
  <si>
    <t>M) Working or Dealing with Minerals</t>
  </si>
  <si>
    <t>Mining</t>
  </si>
  <si>
    <t>Coal</t>
  </si>
  <si>
    <t>Stone, Clay, Earthenware, Glass</t>
  </si>
  <si>
    <t>Salt</t>
  </si>
  <si>
    <t>Water</t>
  </si>
  <si>
    <t>Gold, Silver, Precious Stones</t>
  </si>
  <si>
    <t>Metals Other than Gold and Silver</t>
  </si>
  <si>
    <t>N) Mechanical Operations or Labour</t>
  </si>
  <si>
    <t>Mechanical operations or Labour</t>
  </si>
  <si>
    <t>VI Indefinite</t>
  </si>
  <si>
    <t>O) Independent, Imperfectly Described</t>
  </si>
  <si>
    <t>Independent Means</t>
  </si>
  <si>
    <t>Occupations imperfectly defined</t>
  </si>
  <si>
    <t>No Occupation</t>
  </si>
  <si>
    <t>VII  Dependents</t>
  </si>
  <si>
    <t>P) Supported by Natural Guardians</t>
  </si>
  <si>
    <t>Students, Scholars, Children</t>
  </si>
  <si>
    <t>Q) Supported by the Community</t>
  </si>
  <si>
    <t>Supported from Voluntary Sources, Public Rev</t>
  </si>
  <si>
    <t>Criminal Class</t>
  </si>
  <si>
    <t>VIII  Uncpecified</t>
  </si>
  <si>
    <t>R) Occupations Unkown and Unspecified</t>
  </si>
  <si>
    <t>Unkown and Unspecified</t>
  </si>
  <si>
    <t>Total- The Union of South Africa</t>
  </si>
  <si>
    <t>Cape of Good Hope</t>
  </si>
  <si>
    <t>680- 681</t>
  </si>
  <si>
    <t>682- 683</t>
  </si>
  <si>
    <t>684- 685</t>
  </si>
  <si>
    <t>Total- Cape of Good Hope</t>
  </si>
  <si>
    <t>Natal</t>
  </si>
  <si>
    <t>686- 687</t>
  </si>
  <si>
    <t>688- 689</t>
  </si>
  <si>
    <t>690- 691</t>
  </si>
  <si>
    <t>Total- Natal</t>
  </si>
  <si>
    <t>Transvaal</t>
  </si>
  <si>
    <t>692-693</t>
  </si>
  <si>
    <t>694- 695</t>
  </si>
  <si>
    <t>696- 697</t>
  </si>
  <si>
    <t>Total- Transvaal</t>
  </si>
  <si>
    <t>Orange Free State</t>
  </si>
  <si>
    <t>698- 699</t>
  </si>
  <si>
    <t>700- 701</t>
  </si>
  <si>
    <t>702- 703</t>
  </si>
  <si>
    <t>Total- Orange Free State</t>
  </si>
  <si>
    <t>White collar</t>
  </si>
  <si>
    <t>Unskilled</t>
  </si>
  <si>
    <t>Other than European or White</t>
  </si>
  <si>
    <t>Farmer</t>
  </si>
  <si>
    <t>Skilled/semi-skilled</t>
  </si>
  <si>
    <t>VIII  Unspecified</t>
  </si>
  <si>
    <t>1911 Census of the Union of South Africa</t>
  </si>
  <si>
    <t>SAF sample 1887-1909</t>
  </si>
  <si>
    <t>%</t>
  </si>
  <si>
    <t>n</t>
  </si>
  <si>
    <t>European/White working age male population</t>
  </si>
  <si>
    <t>Non-European working age male population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</si>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</sst>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9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2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4" fillId="0" borderId="23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4" fillId="0" borderId="11" xfId="0" applyFont="1" applyFill="1" applyBorder="1"/>
    <xf numFmtId="0" fontId="2" fillId="0" borderId="7" xfId="0" applyFont="1" applyFill="1" applyBorder="1"/>
    <xf numFmtId="3" fontId="3" fillId="0" borderId="11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0" fontId="2" fillId="0" borderId="16" xfId="0" applyFont="1" applyFill="1" applyBorder="1"/>
    <xf numFmtId="0" fontId="2" fillId="0" borderId="19" xfId="0" applyFont="1" applyFill="1" applyBorder="1"/>
    <xf numFmtId="3" fontId="0" fillId="0" borderId="17" xfId="0" applyNumberFormat="1" applyFill="1" applyBorder="1" applyAlignment="1">
      <alignment horizontal="right"/>
    </xf>
    <xf numFmtId="3" fontId="2" fillId="0" borderId="11" xfId="0" applyNumberFormat="1" applyFont="1" applyFill="1" applyBorder="1"/>
    <xf numFmtId="3" fontId="2" fillId="0" borderId="0" xfId="0" applyNumberFormat="1" applyFont="1" applyFill="1" applyBorder="1"/>
    <xf numFmtId="3" fontId="0" fillId="0" borderId="10" xfId="0" applyNumberFormat="1" applyFill="1" applyBorder="1"/>
    <xf numFmtId="3" fontId="1" fillId="0" borderId="10" xfId="0" applyNumberFormat="1" applyFont="1" applyFill="1" applyBorder="1" applyAlignment="1">
      <alignment horizontal="right"/>
    </xf>
    <xf numFmtId="3" fontId="2" fillId="0" borderId="18" xfId="0" applyNumberFormat="1" applyFont="1" applyFill="1" applyBorder="1"/>
    <xf numFmtId="3" fontId="0" fillId="0" borderId="17" xfId="0" applyNumberFormat="1" applyFont="1" applyFill="1" applyBorder="1" applyAlignment="1">
      <alignment horizontal="right"/>
    </xf>
    <xf numFmtId="3" fontId="0" fillId="0" borderId="22" xfId="0" applyNumberFormat="1" applyFont="1" applyFill="1" applyBorder="1" applyAlignment="1">
      <alignment horizontal="right"/>
    </xf>
    <xf numFmtId="3" fontId="0" fillId="0" borderId="10" xfId="0" applyNumberFormat="1" applyFont="1" applyFill="1" applyBorder="1" applyAlignment="1">
      <alignment vertical="center"/>
    </xf>
    <xf numFmtId="3" fontId="0" fillId="0" borderId="0" xfId="0" applyNumberFormat="1" applyFill="1" applyBorder="1" applyAlignment="1">
      <alignment horizontal="right"/>
    </xf>
    <xf numFmtId="0" fontId="0" fillId="0" borderId="0" xfId="0" applyFill="1"/>
    <xf numFmtId="0" fontId="0" fillId="0" borderId="0" xfId="0" applyFill="1" applyBorder="1"/>
    <xf numFmtId="0" fontId="0" fillId="0" borderId="45" xfId="0" applyFill="1" applyBorder="1"/>
    <xf numFmtId="0" fontId="6" fillId="0" borderId="19" xfId="0" applyFont="1" applyFill="1" applyBorder="1" applyAlignment="1"/>
    <xf numFmtId="0" fontId="6" fillId="0" borderId="41" xfId="0" applyFont="1" applyFill="1" applyBorder="1" applyAlignment="1"/>
    <xf numFmtId="0" fontId="6" fillId="0" borderId="0" xfId="0" applyFont="1" applyFill="1" applyBorder="1" applyAlignment="1"/>
    <xf numFmtId="0" fontId="0" fillId="0" borderId="41" xfId="0" applyFill="1" applyBorder="1"/>
    <xf numFmtId="0" fontId="0" fillId="0" borderId="40" xfId="0" applyFill="1" applyBorder="1"/>
    <xf numFmtId="0" fontId="6" fillId="0" borderId="34" xfId="0" applyFont="1" applyFill="1" applyBorder="1" applyAlignment="1">
      <alignment horizontal="left" vertical="center"/>
    </xf>
    <xf numFmtId="0" fontId="6" fillId="0" borderId="29" xfId="0" applyFont="1" applyFill="1" applyBorder="1" applyAlignment="1"/>
    <xf numFmtId="0" fontId="1" fillId="0" borderId="22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0" fillId="0" borderId="3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5" fillId="0" borderId="26" xfId="0" applyFont="1" applyFill="1" applyBorder="1" applyAlignment="1"/>
    <xf numFmtId="0" fontId="0" fillId="0" borderId="11" xfId="0" applyFill="1" applyBorder="1" applyAlignment="1"/>
    <xf numFmtId="0" fontId="0" fillId="0" borderId="1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3" xfId="0" applyFill="1" applyBorder="1"/>
    <xf numFmtId="3" fontId="0" fillId="0" borderId="12" xfId="0" applyNumberFormat="1" applyFill="1" applyBorder="1" applyAlignment="1">
      <alignment horizontal="right"/>
    </xf>
    <xf numFmtId="3" fontId="0" fillId="0" borderId="13" xfId="0" applyNumberFormat="1" applyFill="1" applyBorder="1"/>
    <xf numFmtId="3" fontId="0" fillId="0" borderId="10" xfId="0" applyNumberFormat="1" applyFill="1" applyBorder="1" applyAlignment="1">
      <alignment horizontal="right"/>
    </xf>
    <xf numFmtId="3" fontId="0" fillId="0" borderId="25" xfId="0" applyNumberFormat="1" applyFill="1" applyBorder="1"/>
    <xf numFmtId="3" fontId="0" fillId="0" borderId="22" xfId="0" applyNumberFormat="1" applyFill="1" applyBorder="1"/>
    <xf numFmtId="3" fontId="0" fillId="0" borderId="11" xfId="0" applyNumberFormat="1" applyFill="1" applyBorder="1"/>
    <xf numFmtId="3" fontId="0" fillId="0" borderId="9" xfId="0" applyNumberFormat="1" applyFill="1" applyBorder="1"/>
    <xf numFmtId="0" fontId="4" fillId="0" borderId="11" xfId="0" applyFont="1" applyFill="1" applyBorder="1" applyAlignment="1"/>
    <xf numFmtId="0" fontId="0" fillId="0" borderId="13" xfId="0" applyFill="1" applyBorder="1" applyAlignment="1"/>
    <xf numFmtId="3" fontId="0" fillId="0" borderId="12" xfId="0" applyNumberFormat="1" applyFont="1" applyFill="1" applyBorder="1" applyAlignment="1">
      <alignment horizontal="right"/>
    </xf>
    <xf numFmtId="3" fontId="0" fillId="0" borderId="13" xfId="0" applyNumberFormat="1" applyFont="1" applyFill="1" applyBorder="1" applyAlignment="1">
      <alignment horizontal="right"/>
    </xf>
    <xf numFmtId="3" fontId="0" fillId="0" borderId="10" xfId="0" applyNumberFormat="1" applyFont="1" applyFill="1" applyBorder="1" applyAlignment="1">
      <alignment horizontal="right"/>
    </xf>
    <xf numFmtId="3" fontId="0" fillId="0" borderId="25" xfId="0" applyNumberFormat="1" applyFont="1" applyFill="1" applyBorder="1" applyAlignment="1">
      <alignment horizontal="right"/>
    </xf>
    <xf numFmtId="3" fontId="0" fillId="0" borderId="11" xfId="0" applyNumberFormat="1" applyFont="1" applyFill="1" applyBorder="1" applyAlignment="1">
      <alignment horizontal="right"/>
    </xf>
    <xf numFmtId="3" fontId="0" fillId="0" borderId="9" xfId="0" applyNumberFormat="1" applyFont="1" applyFill="1" applyBorder="1" applyAlignment="1">
      <alignment horizontal="right"/>
    </xf>
    <xf numFmtId="3" fontId="0" fillId="0" borderId="12" xfId="0" applyNumberFormat="1" applyFill="1" applyBorder="1"/>
    <xf numFmtId="3" fontId="2" fillId="0" borderId="25" xfId="0" applyNumberFormat="1" applyFont="1" applyFill="1" applyBorder="1"/>
    <xf numFmtId="3" fontId="2" fillId="0" borderId="9" xfId="0" applyNumberFormat="1" applyFont="1" applyFill="1" applyBorder="1"/>
    <xf numFmtId="0" fontId="4" fillId="0" borderId="11" xfId="0" applyFont="1" applyFill="1" applyBorder="1" applyAlignment="1">
      <alignment horizontal="left"/>
    </xf>
    <xf numFmtId="0" fontId="4" fillId="0" borderId="0" xfId="0" applyFont="1" applyFill="1" applyBorder="1"/>
    <xf numFmtId="3" fontId="2" fillId="0" borderId="21" xfId="0" applyNumberFormat="1" applyFont="1" applyFill="1" applyBorder="1"/>
    <xf numFmtId="0" fontId="5" fillId="0" borderId="0" xfId="0" applyFont="1" applyFill="1" applyBorder="1"/>
    <xf numFmtId="0" fontId="0" fillId="0" borderId="0" xfId="0" applyFill="1" applyBorder="1" applyAlignment="1">
      <alignment horizontal="center"/>
    </xf>
    <xf numFmtId="0" fontId="4" fillId="0" borderId="23" xfId="0" applyFont="1" applyFill="1" applyBorder="1"/>
    <xf numFmtId="0" fontId="0" fillId="0" borderId="19" xfId="0" applyFill="1" applyBorder="1" applyAlignment="1">
      <alignment horizontal="left"/>
    </xf>
    <xf numFmtId="0" fontId="4" fillId="0" borderId="16" xfId="0" applyFont="1" applyFill="1" applyBorder="1"/>
    <xf numFmtId="0" fontId="0" fillId="0" borderId="20" xfId="0" applyFill="1" applyBorder="1"/>
    <xf numFmtId="3" fontId="0" fillId="0" borderId="15" xfId="0" applyNumberFormat="1" applyFill="1" applyBorder="1" applyAlignment="1">
      <alignment horizontal="right"/>
    </xf>
    <xf numFmtId="3" fontId="2" fillId="0" borderId="19" xfId="0" applyNumberFormat="1" applyFont="1" applyFill="1" applyBorder="1"/>
    <xf numFmtId="3" fontId="2" fillId="0" borderId="16" xfId="0" applyNumberFormat="1" applyFont="1" applyFill="1" applyBorder="1"/>
    <xf numFmtId="3" fontId="2" fillId="0" borderId="14" xfId="0" applyNumberFormat="1" applyFont="1" applyFill="1" applyBorder="1"/>
    <xf numFmtId="0" fontId="1" fillId="0" borderId="0" xfId="0" applyFont="1" applyFill="1" applyBorder="1" applyAlignment="1">
      <alignment horizontal="left"/>
    </xf>
    <xf numFmtId="3" fontId="1" fillId="0" borderId="11" xfId="0" applyNumberFormat="1" applyFont="1" applyFill="1" applyBorder="1" applyAlignment="1">
      <alignment horizontal="right"/>
    </xf>
    <xf numFmtId="3" fontId="1" fillId="0" borderId="9" xfId="0" applyNumberFormat="1" applyFont="1" applyFill="1" applyBorder="1" applyAlignment="1">
      <alignment horizontal="right"/>
    </xf>
    <xf numFmtId="0" fontId="0" fillId="0" borderId="6" xfId="0" applyFill="1" applyBorder="1"/>
    <xf numFmtId="0" fontId="0" fillId="0" borderId="3" xfId="0" applyFill="1" applyBorder="1"/>
    <xf numFmtId="0" fontId="0" fillId="0" borderId="8" xfId="0" applyFill="1" applyBorder="1"/>
    <xf numFmtId="3" fontId="1" fillId="0" borderId="5" xfId="0" applyNumberFormat="1" applyFont="1" applyFill="1" applyBorder="1" applyAlignment="1">
      <alignment horizontal="right"/>
    </xf>
    <xf numFmtId="3" fontId="1" fillId="0" borderId="6" xfId="0" applyNumberFormat="1" applyFont="1" applyFill="1" applyBorder="1" applyAlignment="1">
      <alignment horizontal="right"/>
    </xf>
    <xf numFmtId="3" fontId="3" fillId="0" borderId="7" xfId="0" applyNumberFormat="1" applyFont="1" applyFill="1" applyBorder="1"/>
    <xf numFmtId="3" fontId="1" fillId="0" borderId="2" xfId="0" applyNumberFormat="1" applyFont="1" applyFill="1" applyBorder="1" applyAlignment="1">
      <alignment horizontal="right"/>
    </xf>
    <xf numFmtId="3" fontId="3" fillId="0" borderId="6" xfId="0" applyNumberFormat="1" applyFont="1" applyFill="1" applyBorder="1"/>
    <xf numFmtId="3" fontId="3" fillId="0" borderId="5" xfId="0" applyNumberFormat="1" applyFont="1" applyFill="1" applyBorder="1"/>
    <xf numFmtId="3" fontId="1" fillId="0" borderId="4" xfId="0" applyNumberFormat="1" applyFont="1" applyFill="1" applyBorder="1" applyAlignment="1">
      <alignment horizontal="right"/>
    </xf>
    <xf numFmtId="3" fontId="3" fillId="0" borderId="3" xfId="0" applyNumberFormat="1" applyFont="1" applyFill="1" applyBorder="1"/>
    <xf numFmtId="3" fontId="3" fillId="0" borderId="1" xfId="0" applyNumberFormat="1" applyFont="1" applyFill="1" applyBorder="1"/>
    <xf numFmtId="0" fontId="2" fillId="0" borderId="0" xfId="0" applyFont="1" applyFill="1" applyBorder="1"/>
    <xf numFmtId="3" fontId="0" fillId="0" borderId="19" xfId="0" applyNumberForma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right"/>
    </xf>
    <xf numFmtId="3" fontId="2" fillId="0" borderId="12" xfId="0" applyNumberFormat="1" applyFont="1" applyFill="1" applyBorder="1" applyAlignment="1">
      <alignment horizontal="right"/>
    </xf>
    <xf numFmtId="0" fontId="2" fillId="0" borderId="18" xfId="0" applyFont="1" applyFill="1" applyBorder="1"/>
    <xf numFmtId="0" fontId="2" fillId="0" borderId="14" xfId="0" applyFont="1" applyFill="1" applyBorder="1"/>
    <xf numFmtId="3" fontId="3" fillId="0" borderId="25" xfId="0" applyNumberFormat="1" applyFont="1" applyFill="1" applyBorder="1" applyAlignment="1">
      <alignment horizontal="right"/>
    </xf>
    <xf numFmtId="3" fontId="3" fillId="0" borderId="22" xfId="0" applyNumberFormat="1" applyFont="1" applyFill="1" applyBorder="1" applyAlignment="1">
      <alignment horizontal="right"/>
    </xf>
    <xf numFmtId="3" fontId="3" fillId="0" borderId="9" xfId="0" applyNumberFormat="1" applyFont="1" applyFill="1" applyBorder="1" applyAlignment="1">
      <alignment horizontal="right"/>
    </xf>
    <xf numFmtId="3" fontId="0" fillId="0" borderId="5" xfId="0" applyNumberFormat="1" applyFill="1" applyBorder="1" applyAlignment="1">
      <alignment horizontal="right"/>
    </xf>
    <xf numFmtId="3" fontId="0" fillId="0" borderId="6" xfId="0" applyNumberFormat="1" applyFill="1" applyBorder="1" applyAlignment="1">
      <alignment horizontal="right"/>
    </xf>
    <xf numFmtId="3" fontId="0" fillId="0" borderId="2" xfId="0" applyNumberFormat="1" applyFill="1" applyBorder="1" applyAlignment="1">
      <alignment horizontal="right"/>
    </xf>
    <xf numFmtId="0" fontId="2" fillId="0" borderId="6" xfId="0" applyFont="1" applyFill="1" applyBorder="1"/>
    <xf numFmtId="0" fontId="2" fillId="0" borderId="5" xfId="0" applyFont="1" applyFill="1" applyBorder="1"/>
    <xf numFmtId="3" fontId="0" fillId="0" borderId="4" xfId="0" applyNumberFormat="1" applyFill="1" applyBorder="1" applyAlignment="1">
      <alignment horizontal="right"/>
    </xf>
    <xf numFmtId="0" fontId="2" fillId="0" borderId="3" xfId="0" applyFont="1" applyFill="1" applyBorder="1"/>
    <xf numFmtId="0" fontId="2" fillId="0" borderId="1" xfId="0" applyFont="1" applyFill="1" applyBorder="1"/>
    <xf numFmtId="3" fontId="0" fillId="0" borderId="0" xfId="0" applyNumberFormat="1" applyFill="1" applyBorder="1"/>
    <xf numFmtId="0" fontId="0" fillId="0" borderId="30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13" xfId="0" applyFill="1" applyBorder="1" applyAlignment="1">
      <alignment horizontal="center"/>
    </xf>
    <xf numFmtId="3" fontId="0" fillId="0" borderId="22" xfId="0" applyNumberFormat="1" applyFont="1" applyFill="1" applyBorder="1"/>
    <xf numFmtId="3" fontId="2" fillId="0" borderId="22" xfId="0" applyNumberFormat="1" applyFont="1" applyFill="1" applyBorder="1"/>
    <xf numFmtId="3" fontId="3" fillId="0" borderId="12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0" fontId="2" fillId="0" borderId="46" xfId="0" applyFont="1" applyFill="1" applyBorder="1"/>
    <xf numFmtId="3" fontId="7" fillId="0" borderId="10" xfId="0" applyNumberFormat="1" applyFont="1" applyFill="1" applyBorder="1" applyAlignment="1">
      <alignment horizontal="right"/>
    </xf>
    <xf numFmtId="3" fontId="7" fillId="0" borderId="11" xfId="0" applyNumberFormat="1" applyFont="1" applyFill="1" applyBorder="1" applyAlignment="1">
      <alignment horizontal="right"/>
    </xf>
    <xf numFmtId="0" fontId="5" fillId="2" borderId="26" xfId="0" applyFont="1" applyFill="1" applyBorder="1" applyAlignment="1"/>
    <xf numFmtId="0" fontId="0" fillId="2" borderId="11" xfId="0" applyFill="1" applyBorder="1" applyAlignment="1"/>
    <xf numFmtId="0" fontId="0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4" fillId="2" borderId="23" xfId="0" applyFont="1" applyFill="1" applyBorder="1" applyAlignment="1">
      <alignment horizontal="left"/>
    </xf>
    <xf numFmtId="0" fontId="4" fillId="2" borderId="11" xfId="0" applyFont="1" applyFill="1" applyBorder="1"/>
    <xf numFmtId="0" fontId="0" fillId="2" borderId="13" xfId="0" applyFill="1" applyBorder="1"/>
    <xf numFmtId="3" fontId="0" fillId="2" borderId="12" xfId="0" applyNumberFormat="1" applyFill="1" applyBorder="1" applyAlignment="1">
      <alignment horizontal="right"/>
    </xf>
    <xf numFmtId="3" fontId="0" fillId="2" borderId="13" xfId="0" applyNumberFormat="1" applyFill="1" applyBorder="1"/>
    <xf numFmtId="3" fontId="0" fillId="2" borderId="10" xfId="0" applyNumberFormat="1" applyFill="1" applyBorder="1" applyAlignment="1">
      <alignment horizontal="right"/>
    </xf>
    <xf numFmtId="3" fontId="0" fillId="2" borderId="25" xfId="0" applyNumberFormat="1" applyFill="1" applyBorder="1"/>
    <xf numFmtId="3" fontId="0" fillId="2" borderId="22" xfId="0" applyNumberFormat="1" applyFill="1" applyBorder="1"/>
    <xf numFmtId="3" fontId="0" fillId="2" borderId="11" xfId="0" applyNumberFormat="1" applyFill="1" applyBorder="1"/>
    <xf numFmtId="3" fontId="0" fillId="2" borderId="9" xfId="0" applyNumberFormat="1" applyFill="1" applyBorder="1"/>
    <xf numFmtId="0" fontId="0" fillId="2" borderId="0" xfId="0" applyFill="1" applyBorder="1" applyAlignment="1">
      <alignment horizontal="left"/>
    </xf>
    <xf numFmtId="0" fontId="4" fillId="2" borderId="11" xfId="0" applyFont="1" applyFill="1" applyBorder="1" applyAlignment="1"/>
    <xf numFmtId="0" fontId="0" fillId="2" borderId="13" xfId="0" applyFill="1" applyBorder="1" applyAlignment="1"/>
    <xf numFmtId="3" fontId="0" fillId="2" borderId="10" xfId="0" applyNumberFormat="1" applyFont="1" applyFill="1" applyBorder="1" applyAlignment="1">
      <alignment vertical="center"/>
    </xf>
    <xf numFmtId="3" fontId="0" fillId="2" borderId="12" xfId="0" applyNumberFormat="1" applyFont="1" applyFill="1" applyBorder="1" applyAlignment="1">
      <alignment horizontal="right"/>
    </xf>
    <xf numFmtId="3" fontId="0" fillId="2" borderId="13" xfId="0" applyNumberFormat="1" applyFont="1" applyFill="1" applyBorder="1" applyAlignment="1">
      <alignment horizontal="right"/>
    </xf>
    <xf numFmtId="3" fontId="0" fillId="2" borderId="10" xfId="0" applyNumberFormat="1" applyFont="1" applyFill="1" applyBorder="1" applyAlignment="1">
      <alignment horizontal="right"/>
    </xf>
    <xf numFmtId="3" fontId="0" fillId="2" borderId="25" xfId="0" applyNumberFormat="1" applyFont="1" applyFill="1" applyBorder="1" applyAlignment="1">
      <alignment horizontal="right"/>
    </xf>
    <xf numFmtId="3" fontId="0" fillId="2" borderId="22" xfId="0" applyNumberFormat="1" applyFont="1" applyFill="1" applyBorder="1" applyAlignment="1">
      <alignment horizontal="right"/>
    </xf>
    <xf numFmtId="3" fontId="0" fillId="2" borderId="11" xfId="0" applyNumberFormat="1" applyFont="1" applyFill="1" applyBorder="1" applyAlignment="1">
      <alignment horizontal="right"/>
    </xf>
    <xf numFmtId="3" fontId="0" fillId="2" borderId="9" xfId="0" applyNumberFormat="1" applyFont="1" applyFill="1" applyBorder="1" applyAlignment="1">
      <alignment horizontal="right"/>
    </xf>
    <xf numFmtId="3" fontId="0" fillId="2" borderId="12" xfId="0" applyNumberFormat="1" applyFill="1" applyBorder="1"/>
    <xf numFmtId="3" fontId="0" fillId="2" borderId="10" xfId="0" applyNumberFormat="1" applyFill="1" applyBorder="1"/>
    <xf numFmtId="3" fontId="2" fillId="2" borderId="0" xfId="0" applyNumberFormat="1" applyFont="1" applyFill="1" applyBorder="1"/>
    <xf numFmtId="3" fontId="2" fillId="2" borderId="25" xfId="0" applyNumberFormat="1" applyFont="1" applyFill="1" applyBorder="1"/>
    <xf numFmtId="3" fontId="2" fillId="2" borderId="11" xfId="0" applyNumberFormat="1" applyFont="1" applyFill="1" applyBorder="1"/>
    <xf numFmtId="3" fontId="2" fillId="2" borderId="9" xfId="0" applyNumberFormat="1" applyFont="1" applyFill="1" applyBorder="1"/>
    <xf numFmtId="0" fontId="4" fillId="2" borderId="0" xfId="0" applyFont="1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5" fillId="3" borderId="0" xfId="0" applyFont="1" applyFill="1" applyBorder="1"/>
    <xf numFmtId="0" fontId="4" fillId="3" borderId="11" xfId="0" applyFont="1" applyFill="1" applyBorder="1"/>
    <xf numFmtId="0" fontId="0" fillId="3" borderId="0" xfId="0" applyFill="1" applyBorder="1" applyAlignment="1">
      <alignment horizontal="center"/>
    </xf>
    <xf numFmtId="3" fontId="0" fillId="3" borderId="10" xfId="0" applyNumberFormat="1" applyFont="1" applyFill="1" applyBorder="1" applyAlignment="1">
      <alignment vertical="center"/>
    </xf>
    <xf numFmtId="3" fontId="0" fillId="3" borderId="12" xfId="0" applyNumberFormat="1" applyFill="1" applyBorder="1" applyAlignment="1">
      <alignment horizontal="right"/>
    </xf>
    <xf numFmtId="3" fontId="2" fillId="3" borderId="0" xfId="0" applyNumberFormat="1" applyFont="1" applyFill="1" applyBorder="1"/>
    <xf numFmtId="3" fontId="0" fillId="3" borderId="22" xfId="0" applyNumberFormat="1" applyFont="1" applyFill="1" applyBorder="1" applyAlignment="1">
      <alignment horizontal="right"/>
    </xf>
    <xf numFmtId="3" fontId="0" fillId="3" borderId="10" xfId="0" applyNumberFormat="1" applyFill="1" applyBorder="1" applyAlignment="1">
      <alignment horizontal="right"/>
    </xf>
    <xf numFmtId="3" fontId="2" fillId="3" borderId="11" xfId="0" applyNumberFormat="1" applyFont="1" applyFill="1" applyBorder="1"/>
    <xf numFmtId="3" fontId="2" fillId="3" borderId="21" xfId="0" applyNumberFormat="1" applyFont="1" applyFill="1" applyBorder="1"/>
    <xf numFmtId="0" fontId="4" fillId="3" borderId="23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horizontal="left"/>
    </xf>
    <xf numFmtId="0" fontId="4" fillId="4" borderId="23" xfId="0" applyFont="1" applyFill="1" applyBorder="1" applyAlignment="1">
      <alignment horizontal="left"/>
    </xf>
    <xf numFmtId="0" fontId="4" fillId="4" borderId="11" xfId="0" applyFont="1" applyFill="1" applyBorder="1"/>
    <xf numFmtId="0" fontId="0" fillId="4" borderId="13" xfId="0" applyFill="1" applyBorder="1"/>
    <xf numFmtId="3" fontId="0" fillId="4" borderId="10" xfId="0" applyNumberFormat="1" applyFont="1" applyFill="1" applyBorder="1" applyAlignment="1">
      <alignment vertical="center"/>
    </xf>
    <xf numFmtId="3" fontId="0" fillId="4" borderId="12" xfId="0" applyNumberFormat="1" applyFill="1" applyBorder="1"/>
    <xf numFmtId="3" fontId="2" fillId="4" borderId="0" xfId="0" applyNumberFormat="1" applyFont="1" applyFill="1" applyBorder="1"/>
    <xf numFmtId="3" fontId="0" fillId="4" borderId="10" xfId="0" applyNumberFormat="1" applyFill="1" applyBorder="1"/>
    <xf numFmtId="3" fontId="2" fillId="4" borderId="25" xfId="0" applyNumberFormat="1" applyFont="1" applyFill="1" applyBorder="1"/>
    <xf numFmtId="3" fontId="0" fillId="4" borderId="22" xfId="0" applyNumberFormat="1" applyFont="1" applyFill="1" applyBorder="1" applyAlignment="1">
      <alignment horizontal="right"/>
    </xf>
    <xf numFmtId="3" fontId="2" fillId="4" borderId="11" xfId="0" applyNumberFormat="1" applyFont="1" applyFill="1" applyBorder="1"/>
    <xf numFmtId="3" fontId="2" fillId="4" borderId="9" xfId="0" applyNumberFormat="1" applyFont="1" applyFill="1" applyBorder="1"/>
    <xf numFmtId="0" fontId="0" fillId="4" borderId="0" xfId="0" applyFill="1" applyBorder="1" applyAlignment="1">
      <alignment horizontal="left"/>
    </xf>
    <xf numFmtId="3" fontId="0" fillId="4" borderId="12" xfId="0" applyNumberFormat="1" applyFill="1" applyBorder="1" applyAlignment="1">
      <alignment horizontal="right"/>
    </xf>
    <xf numFmtId="3" fontId="0" fillId="4" borderId="10" xfId="0" applyNumberFormat="1" applyFill="1" applyBorder="1" applyAlignment="1">
      <alignment horizontal="right"/>
    </xf>
    <xf numFmtId="0" fontId="4" fillId="5" borderId="23" xfId="0" applyFont="1" applyFill="1" applyBorder="1" applyAlignment="1">
      <alignment horizontal="left"/>
    </xf>
    <xf numFmtId="0" fontId="4" fillId="5" borderId="11" xfId="0" applyFont="1" applyFill="1" applyBorder="1"/>
    <xf numFmtId="3" fontId="0" fillId="5" borderId="10" xfId="0" applyNumberFormat="1" applyFont="1" applyFill="1" applyBorder="1" applyAlignment="1">
      <alignment vertical="center"/>
    </xf>
    <xf numFmtId="3" fontId="2" fillId="5" borderId="0" xfId="0" applyNumberFormat="1" applyFont="1" applyFill="1" applyBorder="1"/>
    <xf numFmtId="3" fontId="0" fillId="5" borderId="22" xfId="0" applyNumberFormat="1" applyFont="1" applyFill="1" applyBorder="1" applyAlignment="1">
      <alignment horizontal="right"/>
    </xf>
    <xf numFmtId="3" fontId="2" fillId="5" borderId="11" xfId="0" applyNumberFormat="1" applyFont="1" applyFill="1" applyBorder="1"/>
    <xf numFmtId="0" fontId="0" fillId="5" borderId="0" xfId="0" applyFill="1" applyBorder="1" applyAlignment="1">
      <alignment horizontal="left"/>
    </xf>
    <xf numFmtId="3" fontId="0" fillId="5" borderId="12" xfId="0" applyNumberFormat="1" applyFill="1" applyBorder="1" applyAlignment="1">
      <alignment horizontal="right"/>
    </xf>
    <xf numFmtId="3" fontId="0" fillId="5" borderId="10" xfId="0" applyNumberFormat="1" applyFill="1" applyBorder="1" applyAlignment="1">
      <alignment horizontal="right"/>
    </xf>
    <xf numFmtId="0" fontId="4" fillId="2" borderId="0" xfId="0" applyFont="1" applyFill="1" applyBorder="1"/>
    <xf numFmtId="0" fontId="0" fillId="2" borderId="0" xfId="0" applyFill="1" applyBorder="1"/>
    <xf numFmtId="3" fontId="2" fillId="2" borderId="21" xfId="0" applyNumberFormat="1" applyFont="1" applyFill="1" applyBorder="1"/>
    <xf numFmtId="0" fontId="4" fillId="4" borderId="11" xfId="0" applyFont="1" applyFill="1" applyBorder="1" applyAlignment="1">
      <alignment horizontal="left"/>
    </xf>
    <xf numFmtId="0" fontId="0" fillId="5" borderId="0" xfId="0" applyFill="1" applyBorder="1"/>
    <xf numFmtId="3" fontId="2" fillId="5" borderId="21" xfId="0" applyNumberFormat="1" applyFont="1" applyFill="1" applyBorder="1"/>
    <xf numFmtId="0" fontId="0" fillId="4" borderId="0" xfId="0" applyFill="1" applyBorder="1"/>
    <xf numFmtId="3" fontId="2" fillId="4" borderId="21" xfId="0" applyNumberFormat="1" applyFont="1" applyFill="1" applyBorder="1"/>
    <xf numFmtId="0" fontId="4" fillId="4" borderId="0" xfId="0" applyFont="1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5" borderId="0" xfId="0" applyFill="1" applyBorder="1" applyAlignment="1">
      <alignment horizontal="center"/>
    </xf>
    <xf numFmtId="0" fontId="0" fillId="2" borderId="12" xfId="0" applyFill="1" applyBorder="1"/>
    <xf numFmtId="0" fontId="4" fillId="2" borderId="23" xfId="0" applyFont="1" applyFill="1" applyBorder="1"/>
    <xf numFmtId="0" fontId="0" fillId="0" borderId="47" xfId="0" applyBorder="1"/>
    <xf numFmtId="0" fontId="0" fillId="2" borderId="47" xfId="0" applyFill="1" applyBorder="1"/>
    <xf numFmtId="164" fontId="10" fillId="0" borderId="47" xfId="0" applyNumberFormat="1" applyFont="1" applyBorder="1" applyAlignment="1">
      <alignment horizontal="center"/>
    </xf>
    <xf numFmtId="0" fontId="0" fillId="3" borderId="47" xfId="0" applyFill="1" applyBorder="1"/>
    <xf numFmtId="0" fontId="0" fillId="5" borderId="47" xfId="0" applyFill="1" applyBorder="1"/>
    <xf numFmtId="0" fontId="0" fillId="4" borderId="47" xfId="0" applyFill="1" applyBorder="1"/>
    <xf numFmtId="3" fontId="0" fillId="0" borderId="47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/>
    <xf numFmtId="0" fontId="0" fillId="0" borderId="47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8" xfId="0" applyBorder="1" applyAlignment="1">
      <alignment horizontal="center"/>
    </xf>
    <xf numFmtId="0" fontId="3" fillId="0" borderId="33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U528"/>
  <sheetViews>
    <sheetView tabSelected="1" topLeftCell="F1" zoomScaleNormal="100" workbookViewId="0">
      <selection activeCell="Q4" sqref="Q4:R8"/>
    </sheetView>
  </sheetViews>
  <sheetFormatPr defaultRowHeight="15" x14ac:dyDescent="0.25"/>
  <cols>
    <col min="1" max="1" width="35.7109375" style="25" customWidth="1"/>
    <col min="2" max="2" width="36.85546875" style="25" customWidth="1"/>
    <col min="3" max="3" width="10.140625" style="25" hidden="1" customWidth="1"/>
    <col min="4" max="4" width="10.5703125" style="25" hidden="1" customWidth="1"/>
    <col min="5" max="5" width="12.28515625" style="25" customWidth="1"/>
    <col min="6" max="6" width="12.5703125" style="25" customWidth="1"/>
    <col min="7" max="7" width="13.28515625" style="25" customWidth="1"/>
    <col min="8" max="8" width="13.42578125" style="25" customWidth="1"/>
    <col min="9" max="9" width="13" style="25" hidden="1" customWidth="1"/>
    <col min="10" max="10" width="11" style="25" customWidth="1"/>
    <col min="11" max="11" width="12.85546875" style="25" customWidth="1"/>
    <col min="12" max="12" width="12.42578125" style="25" customWidth="1"/>
    <col min="13" max="13" width="14.85546875" style="25" customWidth="1"/>
    <col min="16" max="16" width="19.28515625" bestFit="1" customWidth="1"/>
    <col min="17" max="19" width="16" customWidth="1"/>
  </cols>
  <sheetData>
    <row r="1" spans="1:21" ht="19.5" customHeight="1" thickTop="1" x14ac:dyDescent="0.25">
      <c r="A1" s="27"/>
      <c r="B1" s="28"/>
      <c r="C1" s="245" t="s">
        <v>0</v>
      </c>
      <c r="D1" s="245" t="s">
        <v>1</v>
      </c>
      <c r="E1" s="248" t="s">
        <v>2</v>
      </c>
      <c r="F1" s="249"/>
      <c r="G1" s="249"/>
      <c r="H1" s="249"/>
      <c r="I1" s="245" t="s">
        <v>1</v>
      </c>
      <c r="J1" s="248" t="s">
        <v>3</v>
      </c>
      <c r="K1" s="249"/>
      <c r="L1" s="249"/>
      <c r="M1" s="250"/>
      <c r="P1" s="233" t="s">
        <v>138</v>
      </c>
      <c r="Q1" s="233"/>
      <c r="R1" s="233"/>
      <c r="S1" s="233"/>
    </row>
    <row r="2" spans="1:21" ht="45" customHeight="1" x14ac:dyDescent="0.25">
      <c r="A2" s="29" t="s">
        <v>4</v>
      </c>
      <c r="B2" s="30"/>
      <c r="C2" s="246"/>
      <c r="D2" s="246"/>
      <c r="E2" s="251" t="s">
        <v>5</v>
      </c>
      <c r="F2" s="252"/>
      <c r="G2" s="259" t="s">
        <v>130</v>
      </c>
      <c r="H2" s="260"/>
      <c r="I2" s="246"/>
      <c r="J2" s="251" t="s">
        <v>5</v>
      </c>
      <c r="K2" s="252"/>
      <c r="L2" s="259" t="s">
        <v>130</v>
      </c>
      <c r="M2" s="261"/>
      <c r="P2" s="221"/>
      <c r="Q2" s="232" t="s">
        <v>134</v>
      </c>
      <c r="R2" s="232"/>
      <c r="S2" s="231" t="s">
        <v>135</v>
      </c>
    </row>
    <row r="3" spans="1:21" ht="15.75" customHeight="1" x14ac:dyDescent="0.25">
      <c r="A3" s="31"/>
      <c r="B3" s="30"/>
      <c r="C3" s="246"/>
      <c r="D3" s="246"/>
      <c r="E3" s="241" t="s">
        <v>7</v>
      </c>
      <c r="F3" s="239" t="s">
        <v>8</v>
      </c>
      <c r="G3" s="241" t="s">
        <v>7</v>
      </c>
      <c r="H3" s="255" t="s">
        <v>8</v>
      </c>
      <c r="I3" s="246"/>
      <c r="J3" s="241" t="s">
        <v>7</v>
      </c>
      <c r="K3" s="239" t="s">
        <v>8</v>
      </c>
      <c r="L3" s="241" t="s">
        <v>7</v>
      </c>
      <c r="M3" s="243" t="s">
        <v>8</v>
      </c>
      <c r="P3" s="221"/>
      <c r="Q3" s="229" t="s">
        <v>137</v>
      </c>
      <c r="R3" s="229" t="s">
        <v>136</v>
      </c>
      <c r="S3" s="229" t="s">
        <v>136</v>
      </c>
    </row>
    <row r="4" spans="1:21" ht="21.75" customHeight="1" x14ac:dyDescent="0.25">
      <c r="A4" s="32"/>
      <c r="B4" s="26"/>
      <c r="C4" s="247"/>
      <c r="D4" s="247"/>
      <c r="E4" s="242"/>
      <c r="F4" s="240"/>
      <c r="G4" s="242"/>
      <c r="H4" s="256"/>
      <c r="I4" s="247"/>
      <c r="J4" s="242"/>
      <c r="K4" s="240"/>
      <c r="L4" s="242"/>
      <c r="M4" s="244"/>
      <c r="P4" s="222" t="s">
        <v>128</v>
      </c>
      <c r="Q4" s="227">
        <f>E8+E9+E10+E11+E13+E14+E15+E16+E17+E18+E19+E20+E21+E22+E27+E31+E33+E34+E35+E36+E37+E38+E47+E48+E49+E50+E51+E52+E53+E54+E55+E56+E57+E58+E59+J8+J9+J10+J11+J13+J14+J15+J16+J17+J18+J19+J20+J21+J22+J27+J31+J33+J34+J35+J36+J37+J38+J47+J48+J50+J51+J52+J54+J55+J56+J57+J58+J59+E82+E83+J82+J83</f>
        <v>144648</v>
      </c>
      <c r="R4" s="228">
        <f>Q4/Q8*100</f>
        <v>29.306956370222991</v>
      </c>
      <c r="S4" s="223">
        <v>34.79</v>
      </c>
    </row>
    <row r="5" spans="1:21" ht="16.5" thickBot="1" x14ac:dyDescent="0.3">
      <c r="A5" s="33" t="s">
        <v>9</v>
      </c>
      <c r="B5" s="34"/>
      <c r="C5" s="35"/>
      <c r="D5" s="36"/>
      <c r="E5" s="37"/>
      <c r="F5" s="38"/>
      <c r="G5" s="39"/>
      <c r="H5" s="40"/>
      <c r="I5" s="41"/>
      <c r="J5" s="39"/>
      <c r="K5" s="42"/>
      <c r="L5" s="39"/>
      <c r="M5" s="43"/>
      <c r="P5" s="224" t="s">
        <v>131</v>
      </c>
      <c r="Q5" s="227">
        <f>D41+D42+D43+D44+J41+J42++J43+J44</f>
        <v>236057</v>
      </c>
      <c r="R5" s="228">
        <f>Q5/Q8*100</f>
        <v>47.82722332756574</v>
      </c>
      <c r="S5" s="223">
        <v>49.73</v>
      </c>
    </row>
    <row r="6" spans="1:21" x14ac:dyDescent="0.25">
      <c r="A6" s="132" t="s">
        <v>10</v>
      </c>
      <c r="B6" s="133"/>
      <c r="C6" s="134" t="s">
        <v>11</v>
      </c>
      <c r="D6" s="135"/>
      <c r="E6" s="136"/>
      <c r="F6" s="137"/>
      <c r="G6" s="138"/>
      <c r="H6" s="139"/>
      <c r="I6" s="140"/>
      <c r="J6" s="138"/>
      <c r="K6" s="141"/>
      <c r="L6" s="138"/>
      <c r="M6" s="142"/>
      <c r="P6" s="225" t="s">
        <v>132</v>
      </c>
      <c r="Q6" s="227">
        <f>E61+E62+E63+E64+E66+E67+E68+E70+E71+E72+E74+E75+E77+E78+E79+E80+E81+J61+J62+J63+J64+J66+J67+J68+J70+J71+J72+J74+J75+J77+J78+J79+J80+J81</f>
        <v>93945</v>
      </c>
      <c r="R6" s="228">
        <f>Q6/Q8*100</f>
        <v>19.034082850786728</v>
      </c>
      <c r="S6" s="223">
        <v>12.45</v>
      </c>
    </row>
    <row r="7" spans="1:21" ht="15.75" customHeight="1" x14ac:dyDescent="0.25">
      <c r="A7" s="143" t="s">
        <v>12</v>
      </c>
      <c r="B7" s="144"/>
      <c r="C7" s="145"/>
      <c r="D7" s="135"/>
      <c r="E7" s="146"/>
      <c r="F7" s="147"/>
      <c r="G7" s="148"/>
      <c r="H7" s="149"/>
      <c r="I7" s="150"/>
      <c r="J7" s="148"/>
      <c r="K7" s="151"/>
      <c r="L7" s="148"/>
      <c r="M7" s="152"/>
      <c r="P7" s="226" t="s">
        <v>129</v>
      </c>
      <c r="Q7" s="227">
        <f>E25+E85+J25+J85+E28+J28</f>
        <v>18912</v>
      </c>
      <c r="R7" s="228">
        <f>Q7/Q8*100</f>
        <v>3.8317374514245426</v>
      </c>
      <c r="S7" s="223">
        <v>3.04</v>
      </c>
    </row>
    <row r="8" spans="1:21" x14ac:dyDescent="0.25">
      <c r="A8" s="153">
        <v>1</v>
      </c>
      <c r="B8" s="154" t="s">
        <v>13</v>
      </c>
      <c r="C8" s="155"/>
      <c r="D8" s="156">
        <f>SUM(E8:H8)</f>
        <v>11769</v>
      </c>
      <c r="E8" s="157">
        <v>8291</v>
      </c>
      <c r="F8" s="158">
        <v>258</v>
      </c>
      <c r="G8" s="159">
        <v>3211</v>
      </c>
      <c r="H8" s="160">
        <v>9</v>
      </c>
      <c r="I8" s="161">
        <f>SUM(J8:M8)</f>
        <v>5055</v>
      </c>
      <c r="J8" s="159">
        <v>2176</v>
      </c>
      <c r="K8" s="162">
        <v>20</v>
      </c>
      <c r="L8" s="159">
        <v>2855</v>
      </c>
      <c r="M8" s="163">
        <v>4</v>
      </c>
      <c r="P8" s="221" t="s">
        <v>1</v>
      </c>
      <c r="Q8" s="227">
        <f>Q4+Q5+Q6+Q7</f>
        <v>493562</v>
      </c>
      <c r="R8" s="228">
        <f>R4+R5+R6+R7</f>
        <v>100.00000000000001</v>
      </c>
      <c r="S8" s="228">
        <f>S4+S5+S6+S7</f>
        <v>100.01</v>
      </c>
    </row>
    <row r="9" spans="1:21" x14ac:dyDescent="0.25">
      <c r="A9" s="153">
        <v>2</v>
      </c>
      <c r="B9" s="144" t="s">
        <v>14</v>
      </c>
      <c r="C9" s="145"/>
      <c r="D9" s="156">
        <f>SUM(E9:H9)</f>
        <v>1778</v>
      </c>
      <c r="E9" s="164">
        <v>1685</v>
      </c>
      <c r="F9" s="147">
        <v>13</v>
      </c>
      <c r="G9" s="165">
        <v>80</v>
      </c>
      <c r="H9" s="149"/>
      <c r="I9" s="161">
        <f>SUM(J9:M9)</f>
        <v>65</v>
      </c>
      <c r="J9" s="165">
        <v>56</v>
      </c>
      <c r="K9" s="151"/>
      <c r="L9" s="165">
        <v>9</v>
      </c>
      <c r="M9" s="152"/>
    </row>
    <row r="10" spans="1:21" x14ac:dyDescent="0.25">
      <c r="A10" s="153">
        <v>3</v>
      </c>
      <c r="B10" s="144" t="s">
        <v>15</v>
      </c>
      <c r="C10" s="145"/>
      <c r="D10" s="156">
        <f>SUM(E10:H10)</f>
        <v>13112</v>
      </c>
      <c r="E10" s="164">
        <v>12924</v>
      </c>
      <c r="F10" s="166"/>
      <c r="G10" s="165">
        <v>188</v>
      </c>
      <c r="H10" s="167"/>
      <c r="I10" s="161">
        <f>SUM(J10:M10)</f>
        <v>560</v>
      </c>
      <c r="J10" s="165">
        <v>519</v>
      </c>
      <c r="K10" s="168"/>
      <c r="L10" s="165">
        <v>41</v>
      </c>
      <c r="M10" s="169"/>
      <c r="P10" s="234" t="s">
        <v>139</v>
      </c>
      <c r="Q10" s="234"/>
      <c r="R10" s="234"/>
      <c r="S10" s="230"/>
    </row>
    <row r="11" spans="1:21" s="3" customFormat="1" x14ac:dyDescent="0.25">
      <c r="A11" s="153">
        <v>4</v>
      </c>
      <c r="B11" s="144" t="s">
        <v>16</v>
      </c>
      <c r="C11" s="145"/>
      <c r="D11" s="156">
        <f>SUM(E11:H11)</f>
        <v>247</v>
      </c>
      <c r="E11" s="164">
        <v>233</v>
      </c>
      <c r="F11" s="166">
        <v>1</v>
      </c>
      <c r="G11" s="165">
        <v>13</v>
      </c>
      <c r="H11" s="167"/>
      <c r="I11" s="161">
        <f>SUM(J11:M11)</f>
        <v>1</v>
      </c>
      <c r="J11" s="165">
        <v>1</v>
      </c>
      <c r="K11" s="168"/>
      <c r="L11" s="165"/>
      <c r="M11" s="169"/>
      <c r="P11" s="221"/>
      <c r="Q11" s="232" t="s">
        <v>134</v>
      </c>
      <c r="R11" s="232"/>
      <c r="S11"/>
      <c r="U11"/>
    </row>
    <row r="12" spans="1:21" s="3" customFormat="1" x14ac:dyDescent="0.25">
      <c r="A12" s="170" t="s">
        <v>17</v>
      </c>
      <c r="B12" s="144"/>
      <c r="C12" s="145"/>
      <c r="D12" s="156"/>
      <c r="E12" s="164"/>
      <c r="F12" s="166"/>
      <c r="G12" s="165"/>
      <c r="H12" s="167"/>
      <c r="I12" s="161"/>
      <c r="J12" s="165"/>
      <c r="K12" s="168"/>
      <c r="L12" s="165"/>
      <c r="M12" s="169"/>
      <c r="P12" s="221"/>
      <c r="Q12" s="229" t="s">
        <v>137</v>
      </c>
      <c r="R12" s="229" t="s">
        <v>136</v>
      </c>
      <c r="S12"/>
    </row>
    <row r="13" spans="1:21" x14ac:dyDescent="0.25">
      <c r="A13" s="171">
        <v>1</v>
      </c>
      <c r="B13" s="144" t="s">
        <v>18</v>
      </c>
      <c r="C13" s="145"/>
      <c r="D13" s="156">
        <f t="shared" ref="D13:D22" si="0">SUM(E13:H13)</f>
        <v>3251</v>
      </c>
      <c r="E13" s="164">
        <v>1810</v>
      </c>
      <c r="F13" s="166">
        <v>757</v>
      </c>
      <c r="G13" s="165">
        <v>671</v>
      </c>
      <c r="H13" s="167">
        <v>13</v>
      </c>
      <c r="I13" s="161">
        <f t="shared" ref="I13:I22" si="1">SUM(J13:M13)</f>
        <v>2235</v>
      </c>
      <c r="J13" s="165">
        <v>745</v>
      </c>
      <c r="K13" s="168">
        <v>508</v>
      </c>
      <c r="L13" s="165">
        <v>961</v>
      </c>
      <c r="M13" s="169">
        <v>21</v>
      </c>
      <c r="P13" s="222" t="s">
        <v>128</v>
      </c>
      <c r="Q13" s="227">
        <f>G8+G9+G10+G11+G13+G14+G15+G16+G17++G18+G19+G20+G21+G22+G26+G31+G33+G34+G35+G36+G37+G38+G47+G48+G49+G50+G51+G52+G54+G55+G56+G57+G58+G59+G82+G83+L8+L9+L10+L14+L15+L16+L18+L19+L20+L21+L22+L27+L31+L33+L34+L35+L37+L38+L47+L48+L50+L52+L54+L55+L56+L57+L58+L59</f>
        <v>59975</v>
      </c>
      <c r="R13" s="228">
        <f>Q13/Q14*100</f>
        <v>6.5751102886361048</v>
      </c>
      <c r="U13" s="3"/>
    </row>
    <row r="14" spans="1:21" x14ac:dyDescent="0.25">
      <c r="A14" s="153">
        <v>2</v>
      </c>
      <c r="B14" s="144" t="s">
        <v>19</v>
      </c>
      <c r="C14" s="145"/>
      <c r="D14" s="156">
        <f t="shared" si="0"/>
        <v>3621</v>
      </c>
      <c r="E14" s="164">
        <v>3382</v>
      </c>
      <c r="F14" s="166">
        <v>55</v>
      </c>
      <c r="G14" s="165">
        <v>184</v>
      </c>
      <c r="H14" s="167"/>
      <c r="I14" s="161">
        <f t="shared" si="1"/>
        <v>438</v>
      </c>
      <c r="J14" s="165">
        <v>364</v>
      </c>
      <c r="K14" s="168">
        <v>2</v>
      </c>
      <c r="L14" s="165">
        <v>71</v>
      </c>
      <c r="M14" s="169">
        <v>1</v>
      </c>
      <c r="P14" s="224" t="s">
        <v>131</v>
      </c>
      <c r="Q14" s="227">
        <f>G41+G42+G43+G44+L41+L42+L43+L44</f>
        <v>912152</v>
      </c>
      <c r="R14" s="228">
        <f>Q14/Q17*100</f>
        <v>76.698156439847807</v>
      </c>
    </row>
    <row r="15" spans="1:21" x14ac:dyDescent="0.25">
      <c r="A15" s="153">
        <v>3</v>
      </c>
      <c r="B15" s="144" t="s">
        <v>20</v>
      </c>
      <c r="C15" s="145"/>
      <c r="D15" s="156">
        <f t="shared" si="0"/>
        <v>6293</v>
      </c>
      <c r="E15" s="164">
        <v>2892</v>
      </c>
      <c r="F15" s="166">
        <v>2484</v>
      </c>
      <c r="G15" s="165">
        <v>602</v>
      </c>
      <c r="H15" s="167">
        <v>315</v>
      </c>
      <c r="I15" s="161">
        <f t="shared" si="1"/>
        <v>945</v>
      </c>
      <c r="J15" s="165">
        <v>267</v>
      </c>
      <c r="K15" s="168">
        <v>314</v>
      </c>
      <c r="L15" s="165">
        <v>257</v>
      </c>
      <c r="M15" s="169">
        <v>107</v>
      </c>
      <c r="P15" s="225" t="s">
        <v>132</v>
      </c>
      <c r="Q15" s="227">
        <f>F61+F62+F64+F66+F67+F68+F70+F71+F72++F74+F75+F77+F78+F79+F81+L61+L62+L63+L64+L66+L67+L68+L70+L71+L72+L75+L74+L77+L78+L79+L80+L81</f>
        <v>84346</v>
      </c>
      <c r="R15" s="228">
        <f>Q15/Q17*100</f>
        <v>7.0922200500304804</v>
      </c>
    </row>
    <row r="16" spans="1:21" x14ac:dyDescent="0.25">
      <c r="A16" s="153">
        <v>4</v>
      </c>
      <c r="B16" s="144" t="s">
        <v>21</v>
      </c>
      <c r="C16" s="145"/>
      <c r="D16" s="156">
        <f t="shared" si="0"/>
        <v>636</v>
      </c>
      <c r="E16" s="164">
        <v>459</v>
      </c>
      <c r="F16" s="166">
        <v>172</v>
      </c>
      <c r="G16" s="165">
        <v>5</v>
      </c>
      <c r="H16" s="167"/>
      <c r="I16" s="161">
        <f t="shared" si="1"/>
        <v>22</v>
      </c>
      <c r="J16" s="165">
        <v>12</v>
      </c>
      <c r="K16" s="168">
        <v>8</v>
      </c>
      <c r="L16" s="165">
        <v>2</v>
      </c>
      <c r="M16" s="169"/>
      <c r="P16" s="226" t="s">
        <v>129</v>
      </c>
      <c r="Q16" s="227">
        <f>G25+G28+G85+L25+L85</f>
        <v>132802</v>
      </c>
      <c r="R16" s="228">
        <f>Q16/Q17*100</f>
        <v>11.166635134851065</v>
      </c>
    </row>
    <row r="17" spans="1:18" x14ac:dyDescent="0.25">
      <c r="A17" s="153">
        <v>5</v>
      </c>
      <c r="B17" s="144" t="s">
        <v>22</v>
      </c>
      <c r="C17" s="145"/>
      <c r="D17" s="156">
        <f t="shared" si="0"/>
        <v>289</v>
      </c>
      <c r="E17" s="164">
        <v>265</v>
      </c>
      <c r="F17" s="166">
        <v>20</v>
      </c>
      <c r="G17" s="165">
        <v>4</v>
      </c>
      <c r="H17" s="167"/>
      <c r="I17" s="161">
        <f t="shared" si="1"/>
        <v>41</v>
      </c>
      <c r="J17" s="165">
        <v>40</v>
      </c>
      <c r="K17" s="168">
        <v>1</v>
      </c>
      <c r="L17" s="165"/>
      <c r="M17" s="169"/>
      <c r="P17" s="221" t="s">
        <v>1</v>
      </c>
      <c r="Q17" s="227">
        <f>Q13+Q14+Q15+Q16</f>
        <v>1189275</v>
      </c>
      <c r="R17" s="228"/>
    </row>
    <row r="18" spans="1:18" x14ac:dyDescent="0.25">
      <c r="A18" s="153">
        <v>6</v>
      </c>
      <c r="B18" s="144" t="s">
        <v>23</v>
      </c>
      <c r="C18" s="145"/>
      <c r="D18" s="156">
        <f t="shared" si="0"/>
        <v>1247</v>
      </c>
      <c r="E18" s="164">
        <v>1238</v>
      </c>
      <c r="F18" s="166">
        <v>2</v>
      </c>
      <c r="G18" s="165">
        <v>7</v>
      </c>
      <c r="H18" s="167"/>
      <c r="I18" s="161">
        <f t="shared" si="1"/>
        <v>199</v>
      </c>
      <c r="J18" s="165">
        <v>189</v>
      </c>
      <c r="K18" s="168">
        <v>1</v>
      </c>
      <c r="L18" s="165">
        <v>9</v>
      </c>
      <c r="M18" s="169"/>
    </row>
    <row r="19" spans="1:18" x14ac:dyDescent="0.25">
      <c r="A19" s="153">
        <v>7</v>
      </c>
      <c r="B19" s="144" t="s">
        <v>24</v>
      </c>
      <c r="C19" s="145"/>
      <c r="D19" s="156">
        <f t="shared" si="0"/>
        <v>8559</v>
      </c>
      <c r="E19" s="164">
        <v>2148</v>
      </c>
      <c r="F19" s="166">
        <v>5395</v>
      </c>
      <c r="G19" s="165">
        <v>575</v>
      </c>
      <c r="H19" s="167">
        <v>441</v>
      </c>
      <c r="I19" s="161">
        <f t="shared" si="1"/>
        <v>9341</v>
      </c>
      <c r="J19" s="165">
        <v>2048</v>
      </c>
      <c r="K19" s="168">
        <v>4162</v>
      </c>
      <c r="L19" s="165">
        <v>1964</v>
      </c>
      <c r="M19" s="169">
        <v>1167</v>
      </c>
      <c r="Q19" s="1"/>
    </row>
    <row r="20" spans="1:18" x14ac:dyDescent="0.25">
      <c r="A20" s="153">
        <v>8</v>
      </c>
      <c r="B20" s="144" t="s">
        <v>25</v>
      </c>
      <c r="C20" s="145"/>
      <c r="D20" s="156">
        <f t="shared" si="0"/>
        <v>947</v>
      </c>
      <c r="E20" s="164">
        <v>682</v>
      </c>
      <c r="F20" s="166">
        <v>199</v>
      </c>
      <c r="G20" s="165">
        <v>60</v>
      </c>
      <c r="H20" s="167">
        <v>6</v>
      </c>
      <c r="I20" s="161">
        <f t="shared" si="1"/>
        <v>91</v>
      </c>
      <c r="J20" s="165">
        <v>77</v>
      </c>
      <c r="K20" s="168">
        <v>11</v>
      </c>
      <c r="L20" s="165">
        <v>3</v>
      </c>
      <c r="M20" s="169"/>
    </row>
    <row r="21" spans="1:18" x14ac:dyDescent="0.25">
      <c r="A21" s="153">
        <v>9</v>
      </c>
      <c r="B21" s="144" t="s">
        <v>26</v>
      </c>
      <c r="C21" s="145"/>
      <c r="D21" s="156">
        <f t="shared" si="0"/>
        <v>1546</v>
      </c>
      <c r="E21" s="164">
        <v>443</v>
      </c>
      <c r="F21" s="166">
        <v>1067</v>
      </c>
      <c r="G21" s="165">
        <v>29</v>
      </c>
      <c r="H21" s="167">
        <v>7</v>
      </c>
      <c r="I21" s="161">
        <f t="shared" si="1"/>
        <v>85</v>
      </c>
      <c r="J21" s="165">
        <v>12</v>
      </c>
      <c r="K21" s="168">
        <v>72</v>
      </c>
      <c r="L21" s="165">
        <v>1</v>
      </c>
      <c r="M21" s="169"/>
    </row>
    <row r="22" spans="1:18" x14ac:dyDescent="0.25">
      <c r="A22" s="153">
        <v>10</v>
      </c>
      <c r="B22" s="144" t="s">
        <v>27</v>
      </c>
      <c r="C22" s="145"/>
      <c r="D22" s="156">
        <f t="shared" si="0"/>
        <v>1119</v>
      </c>
      <c r="E22" s="164">
        <v>798</v>
      </c>
      <c r="F22" s="166">
        <v>193</v>
      </c>
      <c r="G22" s="165">
        <v>123</v>
      </c>
      <c r="H22" s="167">
        <v>5</v>
      </c>
      <c r="I22" s="161">
        <f t="shared" si="1"/>
        <v>40</v>
      </c>
      <c r="J22" s="165">
        <v>22</v>
      </c>
      <c r="K22" s="168">
        <v>3</v>
      </c>
      <c r="L22" s="165">
        <v>14</v>
      </c>
      <c r="M22" s="169">
        <v>1</v>
      </c>
    </row>
    <row r="23" spans="1:18" x14ac:dyDescent="0.25">
      <c r="A23" s="6" t="s">
        <v>28</v>
      </c>
      <c r="B23" s="9"/>
      <c r="C23" s="54"/>
      <c r="D23" s="23"/>
      <c r="E23" s="70"/>
      <c r="F23" s="17"/>
      <c r="G23" s="18"/>
      <c r="H23" s="71"/>
      <c r="I23" s="22"/>
      <c r="J23" s="18"/>
      <c r="K23" s="16"/>
      <c r="L23" s="18"/>
      <c r="M23" s="72"/>
    </row>
    <row r="24" spans="1:18" x14ac:dyDescent="0.25">
      <c r="A24" s="185" t="s">
        <v>29</v>
      </c>
      <c r="B24" s="186"/>
      <c r="C24" s="187"/>
      <c r="D24" s="188"/>
      <c r="E24" s="189"/>
      <c r="F24" s="190"/>
      <c r="G24" s="191"/>
      <c r="H24" s="192"/>
      <c r="I24" s="193"/>
      <c r="J24" s="191"/>
      <c r="K24" s="194"/>
      <c r="L24" s="191"/>
      <c r="M24" s="195"/>
    </row>
    <row r="25" spans="1:18" x14ac:dyDescent="0.25">
      <c r="A25" s="196">
        <v>1</v>
      </c>
      <c r="B25" s="211" t="s">
        <v>30</v>
      </c>
      <c r="C25" s="187"/>
      <c r="D25" s="188">
        <f>SUM(E25:H25)</f>
        <v>210129</v>
      </c>
      <c r="E25" s="189">
        <v>12</v>
      </c>
      <c r="F25" s="190">
        <v>142042</v>
      </c>
      <c r="G25" s="191">
        <v>12</v>
      </c>
      <c r="H25" s="192">
        <v>68063</v>
      </c>
      <c r="I25" s="193">
        <f>SUM(J25:M25)</f>
        <v>241297</v>
      </c>
      <c r="J25" s="191">
        <v>32</v>
      </c>
      <c r="K25" s="194">
        <v>124225</v>
      </c>
      <c r="L25" s="191">
        <v>28</v>
      </c>
      <c r="M25" s="195">
        <v>117012</v>
      </c>
    </row>
    <row r="26" spans="1:18" x14ac:dyDescent="0.25">
      <c r="A26" s="143" t="s">
        <v>31</v>
      </c>
      <c r="B26" s="144"/>
      <c r="C26" s="145"/>
      <c r="D26" s="156"/>
      <c r="E26" s="164"/>
      <c r="F26" s="166"/>
      <c r="G26" s="165"/>
      <c r="H26" s="167"/>
      <c r="I26" s="161"/>
      <c r="J26" s="165"/>
      <c r="K26" s="168"/>
      <c r="L26" s="165"/>
      <c r="M26" s="169"/>
    </row>
    <row r="27" spans="1:18" x14ac:dyDescent="0.25">
      <c r="A27" s="153">
        <v>1</v>
      </c>
      <c r="B27" s="144" t="s">
        <v>32</v>
      </c>
      <c r="C27" s="145"/>
      <c r="D27" s="156">
        <f>SUM(E27:H27)</f>
        <v>4367</v>
      </c>
      <c r="E27" s="164">
        <v>2420</v>
      </c>
      <c r="F27" s="166">
        <v>1659</v>
      </c>
      <c r="G27" s="165">
        <v>214</v>
      </c>
      <c r="H27" s="167">
        <v>74</v>
      </c>
      <c r="I27" s="161">
        <f>SUM(J27:M27)</f>
        <v>610</v>
      </c>
      <c r="J27" s="165">
        <v>392</v>
      </c>
      <c r="K27" s="168">
        <v>174</v>
      </c>
      <c r="L27" s="165">
        <v>31</v>
      </c>
      <c r="M27" s="169">
        <v>13</v>
      </c>
    </row>
    <row r="28" spans="1:18" x14ac:dyDescent="0.25">
      <c r="A28" s="196">
        <v>2</v>
      </c>
      <c r="B28" s="186" t="s">
        <v>33</v>
      </c>
      <c r="C28" s="187"/>
      <c r="D28" s="188">
        <f>SUM(E28:H28)</f>
        <v>144247</v>
      </c>
      <c r="E28" s="197">
        <v>4911</v>
      </c>
      <c r="F28" s="190">
        <v>9913</v>
      </c>
      <c r="G28" s="198">
        <v>66204</v>
      </c>
      <c r="H28" s="192">
        <v>63219</v>
      </c>
      <c r="I28" s="193">
        <f>SUM(J28:M28)</f>
        <v>135579</v>
      </c>
      <c r="J28" s="198">
        <v>1205</v>
      </c>
      <c r="K28" s="194">
        <v>3172</v>
      </c>
      <c r="L28" s="198">
        <v>50459</v>
      </c>
      <c r="M28" s="195">
        <v>80743</v>
      </c>
      <c r="N28" t="s">
        <v>140</v>
      </c>
    </row>
    <row r="29" spans="1:18" x14ac:dyDescent="0.25">
      <c r="A29" s="6" t="s">
        <v>34</v>
      </c>
      <c r="B29" s="9"/>
      <c r="C29" s="54"/>
      <c r="D29" s="23"/>
      <c r="E29" s="55"/>
      <c r="F29" s="17"/>
      <c r="G29" s="57"/>
      <c r="H29" s="71"/>
      <c r="I29" s="22"/>
      <c r="J29" s="57"/>
      <c r="K29" s="16"/>
      <c r="L29" s="57"/>
      <c r="M29" s="72"/>
    </row>
    <row r="30" spans="1:18" x14ac:dyDescent="0.25">
      <c r="A30" s="208" t="s">
        <v>35</v>
      </c>
      <c r="B30" s="144"/>
      <c r="C30" s="209"/>
      <c r="D30" s="156"/>
      <c r="E30" s="146"/>
      <c r="F30" s="166"/>
      <c r="G30" s="146"/>
      <c r="H30" s="166"/>
      <c r="I30" s="161"/>
      <c r="J30" s="148"/>
      <c r="K30" s="168"/>
      <c r="L30" s="146"/>
      <c r="M30" s="210"/>
    </row>
    <row r="31" spans="1:18" x14ac:dyDescent="0.25">
      <c r="A31" s="171">
        <v>1</v>
      </c>
      <c r="B31" s="144" t="s">
        <v>36</v>
      </c>
      <c r="C31" s="209"/>
      <c r="D31" s="156">
        <f>SUM(E31:H31)</f>
        <v>56505</v>
      </c>
      <c r="E31" s="146">
        <v>35408</v>
      </c>
      <c r="F31" s="166">
        <v>5531</v>
      </c>
      <c r="G31" s="146">
        <v>15232</v>
      </c>
      <c r="H31" s="166">
        <v>334</v>
      </c>
      <c r="I31" s="161">
        <f>SUM(J31:M31)</f>
        <v>12096</v>
      </c>
      <c r="J31" s="148">
        <v>7623</v>
      </c>
      <c r="K31" s="168">
        <v>392</v>
      </c>
      <c r="L31" s="146">
        <v>4021</v>
      </c>
      <c r="M31" s="210">
        <v>60</v>
      </c>
    </row>
    <row r="32" spans="1:18" x14ac:dyDescent="0.25">
      <c r="A32" s="170" t="s">
        <v>37</v>
      </c>
      <c r="B32" s="144"/>
      <c r="C32" s="209"/>
      <c r="D32" s="156"/>
      <c r="E32" s="146"/>
      <c r="F32" s="166"/>
      <c r="G32" s="146"/>
      <c r="H32" s="166"/>
      <c r="I32" s="161"/>
      <c r="J32" s="219"/>
      <c r="K32" s="2"/>
      <c r="L32" s="146"/>
      <c r="M32" s="210"/>
    </row>
    <row r="33" spans="1:13" x14ac:dyDescent="0.25">
      <c r="A33" s="171">
        <v>1</v>
      </c>
      <c r="B33" s="144" t="s">
        <v>38</v>
      </c>
      <c r="C33" s="209"/>
      <c r="D33" s="156">
        <f t="shared" ref="D33:D38" si="2">SUM(E33:H33)</f>
        <v>12747</v>
      </c>
      <c r="E33" s="146">
        <v>11280</v>
      </c>
      <c r="F33" s="166">
        <v>72</v>
      </c>
      <c r="G33" s="146">
        <v>1390</v>
      </c>
      <c r="H33" s="166">
        <v>5</v>
      </c>
      <c r="I33" s="161">
        <f t="shared" ref="I33:I38" si="3">SUM(J33:M33)</f>
        <v>2903</v>
      </c>
      <c r="J33" s="148">
        <v>2305</v>
      </c>
      <c r="K33" s="168">
        <v>12</v>
      </c>
      <c r="L33" s="146">
        <v>578</v>
      </c>
      <c r="M33" s="210">
        <v>8</v>
      </c>
    </row>
    <row r="34" spans="1:13" x14ac:dyDescent="0.25">
      <c r="A34" s="153">
        <v>2</v>
      </c>
      <c r="B34" s="144" t="s">
        <v>39</v>
      </c>
      <c r="C34" s="209"/>
      <c r="D34" s="156">
        <f t="shared" si="2"/>
        <v>16391</v>
      </c>
      <c r="E34" s="146">
        <v>5577</v>
      </c>
      <c r="F34" s="166">
        <v>23</v>
      </c>
      <c r="G34" s="146">
        <v>10785</v>
      </c>
      <c r="H34" s="166">
        <v>6</v>
      </c>
      <c r="I34" s="161">
        <f t="shared" si="3"/>
        <v>5929</v>
      </c>
      <c r="J34" s="148">
        <v>1486</v>
      </c>
      <c r="K34" s="168">
        <v>6</v>
      </c>
      <c r="L34" s="146">
        <v>4424</v>
      </c>
      <c r="M34" s="210">
        <v>13</v>
      </c>
    </row>
    <row r="35" spans="1:13" x14ac:dyDescent="0.25">
      <c r="A35" s="153">
        <v>3</v>
      </c>
      <c r="B35" s="144" t="s">
        <v>40</v>
      </c>
      <c r="C35" s="209"/>
      <c r="D35" s="156">
        <f t="shared" si="2"/>
        <v>4984</v>
      </c>
      <c r="E35" s="146">
        <v>3963</v>
      </c>
      <c r="F35" s="166">
        <v>29</v>
      </c>
      <c r="G35" s="146">
        <v>992</v>
      </c>
      <c r="H35" s="166"/>
      <c r="I35" s="161">
        <f t="shared" si="3"/>
        <v>262</v>
      </c>
      <c r="J35" s="148">
        <v>188</v>
      </c>
      <c r="K35" s="168"/>
      <c r="L35" s="146">
        <v>74</v>
      </c>
      <c r="M35" s="210"/>
    </row>
    <row r="36" spans="1:13" x14ac:dyDescent="0.25">
      <c r="A36" s="153">
        <v>4</v>
      </c>
      <c r="B36" s="144" t="s">
        <v>41</v>
      </c>
      <c r="C36" s="209"/>
      <c r="D36" s="156">
        <f t="shared" si="2"/>
        <v>1783</v>
      </c>
      <c r="E36" s="146">
        <v>430</v>
      </c>
      <c r="F36" s="166">
        <v>6</v>
      </c>
      <c r="G36" s="146">
        <v>1344</v>
      </c>
      <c r="H36" s="166">
        <v>3</v>
      </c>
      <c r="I36" s="161">
        <f t="shared" si="3"/>
        <v>2</v>
      </c>
      <c r="J36" s="148">
        <v>2</v>
      </c>
      <c r="K36" s="168"/>
      <c r="L36" s="146"/>
      <c r="M36" s="210"/>
    </row>
    <row r="37" spans="1:13" x14ac:dyDescent="0.25">
      <c r="A37" s="153">
        <v>5</v>
      </c>
      <c r="B37" s="144" t="s">
        <v>42</v>
      </c>
      <c r="C37" s="209"/>
      <c r="D37" s="156">
        <f t="shared" si="2"/>
        <v>5364</v>
      </c>
      <c r="E37" s="146">
        <v>4243</v>
      </c>
      <c r="F37" s="166">
        <v>372</v>
      </c>
      <c r="G37" s="146">
        <v>746</v>
      </c>
      <c r="H37" s="166">
        <v>3</v>
      </c>
      <c r="I37" s="161">
        <f t="shared" si="3"/>
        <v>771</v>
      </c>
      <c r="J37" s="148">
        <v>385</v>
      </c>
      <c r="K37" s="168">
        <v>71</v>
      </c>
      <c r="L37" s="146">
        <v>308</v>
      </c>
      <c r="M37" s="210">
        <v>7</v>
      </c>
    </row>
    <row r="38" spans="1:13" x14ac:dyDescent="0.25">
      <c r="A38" s="153">
        <v>6</v>
      </c>
      <c r="B38" s="144" t="s">
        <v>43</v>
      </c>
      <c r="C38" s="209"/>
      <c r="D38" s="156">
        <f t="shared" si="2"/>
        <v>2832</v>
      </c>
      <c r="E38" s="146">
        <v>1057</v>
      </c>
      <c r="F38" s="166">
        <v>6</v>
      </c>
      <c r="G38" s="146">
        <v>1765</v>
      </c>
      <c r="H38" s="166">
        <v>4</v>
      </c>
      <c r="I38" s="161">
        <f t="shared" si="3"/>
        <v>238</v>
      </c>
      <c r="J38" s="148">
        <v>35</v>
      </c>
      <c r="K38" s="168"/>
      <c r="L38" s="146">
        <v>202</v>
      </c>
      <c r="M38" s="210">
        <v>1</v>
      </c>
    </row>
    <row r="39" spans="1:13" x14ac:dyDescent="0.25">
      <c r="A39" s="172" t="s">
        <v>44</v>
      </c>
      <c r="B39" s="173"/>
      <c r="C39" s="174" t="s">
        <v>45</v>
      </c>
      <c r="D39" s="175"/>
      <c r="E39" s="176"/>
      <c r="F39" s="177"/>
      <c r="G39" s="176"/>
      <c r="H39" s="177"/>
      <c r="I39" s="178"/>
      <c r="J39" s="179"/>
      <c r="K39" s="180"/>
      <c r="L39" s="176"/>
      <c r="M39" s="181"/>
    </row>
    <row r="40" spans="1:13" x14ac:dyDescent="0.25">
      <c r="A40" s="182" t="s">
        <v>46</v>
      </c>
      <c r="B40" s="173"/>
      <c r="C40" s="183"/>
      <c r="D40" s="175"/>
      <c r="E40" s="176"/>
      <c r="F40" s="177"/>
      <c r="G40" s="176"/>
      <c r="H40" s="177"/>
      <c r="I40" s="178"/>
      <c r="J40" s="179"/>
      <c r="K40" s="180"/>
      <c r="L40" s="176"/>
      <c r="M40" s="181"/>
    </row>
    <row r="41" spans="1:13" x14ac:dyDescent="0.25">
      <c r="A41" s="184">
        <v>1</v>
      </c>
      <c r="B41" s="173" t="s">
        <v>47</v>
      </c>
      <c r="C41" s="183"/>
      <c r="D41" s="175">
        <f>SUM(E41:H41)</f>
        <v>79630</v>
      </c>
      <c r="E41" s="176">
        <v>14113</v>
      </c>
      <c r="F41" s="177">
        <v>1136</v>
      </c>
      <c r="G41" s="176">
        <v>39610</v>
      </c>
      <c r="H41" s="177">
        <v>24771</v>
      </c>
      <c r="I41" s="178">
        <f>SUM(J41:M41)</f>
        <v>2096676</v>
      </c>
      <c r="J41" s="179">
        <v>150519</v>
      </c>
      <c r="K41" s="180">
        <v>23015</v>
      </c>
      <c r="L41" s="176">
        <v>866576</v>
      </c>
      <c r="M41" s="181">
        <v>1056566</v>
      </c>
    </row>
    <row r="42" spans="1:13" x14ac:dyDescent="0.25">
      <c r="A42" s="184">
        <v>2</v>
      </c>
      <c r="B42" s="173" t="s">
        <v>48</v>
      </c>
      <c r="C42" s="183"/>
      <c r="D42" s="175">
        <f>SUM(E42:H42)</f>
        <v>359</v>
      </c>
      <c r="E42" s="176">
        <v>206</v>
      </c>
      <c r="F42" s="177">
        <v>5</v>
      </c>
      <c r="G42" s="176">
        <v>145</v>
      </c>
      <c r="H42" s="177">
        <v>3</v>
      </c>
      <c r="I42" s="178">
        <f>SUM(J42:M42)</f>
        <v>3082</v>
      </c>
      <c r="J42" s="179">
        <v>906</v>
      </c>
      <c r="K42" s="180">
        <v>7</v>
      </c>
      <c r="L42" s="176">
        <v>2001</v>
      </c>
      <c r="M42" s="181">
        <v>168</v>
      </c>
    </row>
    <row r="43" spans="1:13" x14ac:dyDescent="0.25">
      <c r="A43" s="184">
        <v>3</v>
      </c>
      <c r="B43" s="173" t="s">
        <v>49</v>
      </c>
      <c r="C43" s="183"/>
      <c r="D43" s="175">
        <f>SUM(E43:H43)</f>
        <v>8</v>
      </c>
      <c r="E43" s="176">
        <v>3</v>
      </c>
      <c r="F43" s="177"/>
      <c r="G43" s="176">
        <v>5</v>
      </c>
      <c r="H43" s="177"/>
      <c r="I43" s="178">
        <f>SUM(J43:M43)</f>
        <v>227</v>
      </c>
      <c r="J43" s="179">
        <v>46</v>
      </c>
      <c r="K43" s="180">
        <v>6</v>
      </c>
      <c r="L43" s="176">
        <v>154</v>
      </c>
      <c r="M43" s="181">
        <v>21</v>
      </c>
    </row>
    <row r="44" spans="1:13" x14ac:dyDescent="0.25">
      <c r="A44" s="184">
        <v>4</v>
      </c>
      <c r="B44" s="173" t="s">
        <v>50</v>
      </c>
      <c r="C44" s="183"/>
      <c r="D44" s="175">
        <f>SUM(E44:H44)</f>
        <v>3999</v>
      </c>
      <c r="E44" s="176">
        <v>1690</v>
      </c>
      <c r="F44" s="177">
        <v>2</v>
      </c>
      <c r="G44" s="176">
        <v>2305</v>
      </c>
      <c r="H44" s="177">
        <v>2</v>
      </c>
      <c r="I44" s="178">
        <f>SUM(J44:M44)</f>
        <v>1947</v>
      </c>
      <c r="J44" s="179">
        <v>590</v>
      </c>
      <c r="K44" s="180">
        <v>1</v>
      </c>
      <c r="L44" s="176">
        <v>1356</v>
      </c>
      <c r="M44" s="181"/>
    </row>
    <row r="45" spans="1:13" x14ac:dyDescent="0.25">
      <c r="A45" s="76" t="s">
        <v>51</v>
      </c>
      <c r="B45" s="9"/>
      <c r="C45" s="26"/>
      <c r="D45" s="23"/>
      <c r="E45" s="55"/>
      <c r="F45" s="17"/>
      <c r="G45" s="55"/>
      <c r="H45" s="17"/>
      <c r="I45" s="22"/>
      <c r="J45" s="57"/>
      <c r="K45" s="16"/>
      <c r="L45" s="55"/>
      <c r="M45" s="75"/>
    </row>
    <row r="46" spans="1:13" x14ac:dyDescent="0.25">
      <c r="A46" s="220" t="s">
        <v>52</v>
      </c>
      <c r="B46" s="144"/>
      <c r="C46" s="209"/>
      <c r="D46" s="156"/>
      <c r="E46" s="146"/>
      <c r="F46" s="166"/>
      <c r="G46" s="146"/>
      <c r="H46" s="166"/>
      <c r="I46" s="161"/>
      <c r="J46" s="148"/>
      <c r="K46" s="168"/>
      <c r="L46" s="146"/>
      <c r="M46" s="210"/>
    </row>
    <row r="47" spans="1:13" x14ac:dyDescent="0.25">
      <c r="A47" s="153">
        <v>1</v>
      </c>
      <c r="B47" s="144" t="s">
        <v>53</v>
      </c>
      <c r="C47" s="209"/>
      <c r="D47" s="156">
        <f t="shared" ref="D47:D59" si="4">SUM(E47:H47)</f>
        <v>5075</v>
      </c>
      <c r="E47" s="146">
        <v>3466</v>
      </c>
      <c r="F47" s="166">
        <v>626</v>
      </c>
      <c r="G47" s="146">
        <v>892</v>
      </c>
      <c r="H47" s="166">
        <v>91</v>
      </c>
      <c r="I47" s="161">
        <f t="shared" ref="I47:I59" si="5">SUM(J47:M47)</f>
        <v>130</v>
      </c>
      <c r="J47" s="148">
        <v>74</v>
      </c>
      <c r="K47" s="168">
        <v>14</v>
      </c>
      <c r="L47" s="146">
        <v>38</v>
      </c>
      <c r="M47" s="210">
        <v>4</v>
      </c>
    </row>
    <row r="48" spans="1:13" x14ac:dyDescent="0.25">
      <c r="A48" s="153">
        <v>2</v>
      </c>
      <c r="B48" s="144" t="s">
        <v>54</v>
      </c>
      <c r="C48" s="209"/>
      <c r="D48" s="156">
        <f t="shared" si="4"/>
        <v>223</v>
      </c>
      <c r="E48" s="146">
        <v>207</v>
      </c>
      <c r="F48" s="166">
        <v>13</v>
      </c>
      <c r="G48" s="146">
        <v>3</v>
      </c>
      <c r="H48" s="166"/>
      <c r="I48" s="161">
        <f t="shared" si="5"/>
        <v>16</v>
      </c>
      <c r="J48" s="148">
        <v>15</v>
      </c>
      <c r="K48" s="168"/>
      <c r="L48" s="146">
        <v>1</v>
      </c>
      <c r="M48" s="210"/>
    </row>
    <row r="49" spans="1:13" x14ac:dyDescent="0.25">
      <c r="A49" s="153">
        <v>3</v>
      </c>
      <c r="B49" s="144" t="s">
        <v>55</v>
      </c>
      <c r="C49" s="209"/>
      <c r="D49" s="156">
        <f t="shared" si="4"/>
        <v>96</v>
      </c>
      <c r="E49" s="146">
        <v>89</v>
      </c>
      <c r="F49" s="166"/>
      <c r="G49" s="146">
        <v>7</v>
      </c>
      <c r="H49" s="166"/>
      <c r="I49" s="161">
        <f t="shared" si="5"/>
        <v>1</v>
      </c>
      <c r="J49" s="148"/>
      <c r="K49" s="168">
        <v>1</v>
      </c>
      <c r="L49" s="146"/>
      <c r="M49" s="210"/>
    </row>
    <row r="50" spans="1:13" x14ac:dyDescent="0.25">
      <c r="A50" s="153">
        <v>4</v>
      </c>
      <c r="B50" s="144" t="s">
        <v>56</v>
      </c>
      <c r="C50" s="209"/>
      <c r="D50" s="156">
        <f t="shared" si="4"/>
        <v>141</v>
      </c>
      <c r="E50" s="146">
        <v>60</v>
      </c>
      <c r="F50" s="166">
        <v>1</v>
      </c>
      <c r="G50" s="146">
        <v>72</v>
      </c>
      <c r="H50" s="166">
        <v>8</v>
      </c>
      <c r="I50" s="161">
        <f t="shared" si="5"/>
        <v>10</v>
      </c>
      <c r="J50" s="148">
        <v>1</v>
      </c>
      <c r="K50" s="168"/>
      <c r="L50" s="146">
        <v>9</v>
      </c>
      <c r="M50" s="210"/>
    </row>
    <row r="51" spans="1:13" x14ac:dyDescent="0.25">
      <c r="A51" s="153">
        <v>5</v>
      </c>
      <c r="B51" s="144" t="s">
        <v>57</v>
      </c>
      <c r="C51" s="209"/>
      <c r="D51" s="156">
        <f t="shared" si="4"/>
        <v>130</v>
      </c>
      <c r="E51" s="146">
        <v>124</v>
      </c>
      <c r="F51" s="166">
        <v>2</v>
      </c>
      <c r="G51" s="146">
        <v>3</v>
      </c>
      <c r="H51" s="166">
        <v>1</v>
      </c>
      <c r="I51" s="161">
        <f t="shared" si="5"/>
        <v>8</v>
      </c>
      <c r="J51" s="148">
        <v>8</v>
      </c>
      <c r="K51" s="168"/>
      <c r="L51" s="146"/>
      <c r="M51" s="210"/>
    </row>
    <row r="52" spans="1:13" x14ac:dyDescent="0.25">
      <c r="A52" s="153">
        <v>6</v>
      </c>
      <c r="B52" s="144" t="s">
        <v>58</v>
      </c>
      <c r="C52" s="209"/>
      <c r="D52" s="156">
        <f t="shared" si="4"/>
        <v>588</v>
      </c>
      <c r="E52" s="146">
        <v>556</v>
      </c>
      <c r="F52" s="166">
        <v>4</v>
      </c>
      <c r="G52" s="146">
        <v>28</v>
      </c>
      <c r="H52" s="166"/>
      <c r="I52" s="161">
        <f t="shared" si="5"/>
        <v>32</v>
      </c>
      <c r="J52" s="148">
        <v>25</v>
      </c>
      <c r="K52" s="168"/>
      <c r="L52" s="146">
        <v>7</v>
      </c>
      <c r="M52" s="210"/>
    </row>
    <row r="53" spans="1:13" x14ac:dyDescent="0.25">
      <c r="A53" s="153">
        <v>7</v>
      </c>
      <c r="B53" s="144" t="s">
        <v>59</v>
      </c>
      <c r="C53" s="209"/>
      <c r="D53" s="156">
        <f t="shared" si="4"/>
        <v>18</v>
      </c>
      <c r="E53" s="146">
        <v>18</v>
      </c>
      <c r="F53" s="166"/>
      <c r="G53" s="146"/>
      <c r="H53" s="166"/>
      <c r="I53" s="161">
        <f t="shared" si="5"/>
        <v>0</v>
      </c>
      <c r="J53" s="148"/>
      <c r="K53" s="168"/>
      <c r="L53" s="146"/>
      <c r="M53" s="210"/>
    </row>
    <row r="54" spans="1:13" x14ac:dyDescent="0.25">
      <c r="A54" s="153">
        <v>8</v>
      </c>
      <c r="B54" s="144" t="s">
        <v>60</v>
      </c>
      <c r="C54" s="209"/>
      <c r="D54" s="156">
        <f t="shared" si="4"/>
        <v>328</v>
      </c>
      <c r="E54" s="146">
        <v>263</v>
      </c>
      <c r="F54" s="166">
        <v>8</v>
      </c>
      <c r="G54" s="146">
        <v>12</v>
      </c>
      <c r="H54" s="166">
        <v>45</v>
      </c>
      <c r="I54" s="161">
        <f t="shared" si="5"/>
        <v>1069</v>
      </c>
      <c r="J54" s="148">
        <v>209</v>
      </c>
      <c r="K54" s="168">
        <v>7</v>
      </c>
      <c r="L54" s="146">
        <v>848</v>
      </c>
      <c r="M54" s="210">
        <v>5</v>
      </c>
    </row>
    <row r="55" spans="1:13" x14ac:dyDescent="0.25">
      <c r="A55" s="153">
        <v>9</v>
      </c>
      <c r="B55" s="144" t="s">
        <v>61</v>
      </c>
      <c r="C55" s="209"/>
      <c r="D55" s="156">
        <f t="shared" si="4"/>
        <v>2225</v>
      </c>
      <c r="E55" s="146">
        <v>2145</v>
      </c>
      <c r="F55" s="166">
        <v>4</v>
      </c>
      <c r="G55" s="146">
        <v>76</v>
      </c>
      <c r="H55" s="166"/>
      <c r="I55" s="161">
        <f t="shared" si="5"/>
        <v>325</v>
      </c>
      <c r="J55" s="148">
        <v>309</v>
      </c>
      <c r="K55" s="168"/>
      <c r="L55" s="146">
        <v>16</v>
      </c>
      <c r="M55" s="210"/>
    </row>
    <row r="56" spans="1:13" x14ac:dyDescent="0.25">
      <c r="A56" s="153">
        <v>10</v>
      </c>
      <c r="B56" s="144" t="s">
        <v>62</v>
      </c>
      <c r="C56" s="209"/>
      <c r="D56" s="156">
        <f t="shared" si="4"/>
        <v>5464</v>
      </c>
      <c r="E56" s="146">
        <v>3985</v>
      </c>
      <c r="F56" s="166">
        <v>9</v>
      </c>
      <c r="G56" s="146">
        <v>1468</v>
      </c>
      <c r="H56" s="166">
        <v>2</v>
      </c>
      <c r="I56" s="161">
        <f t="shared" si="5"/>
        <v>693</v>
      </c>
      <c r="J56" s="148">
        <v>501</v>
      </c>
      <c r="K56" s="168"/>
      <c r="L56" s="146">
        <v>192</v>
      </c>
      <c r="M56" s="210"/>
    </row>
    <row r="57" spans="1:13" x14ac:dyDescent="0.25">
      <c r="A57" s="153">
        <v>11</v>
      </c>
      <c r="B57" s="144" t="s">
        <v>63</v>
      </c>
      <c r="C57" s="209"/>
      <c r="D57" s="156">
        <f t="shared" si="4"/>
        <v>476</v>
      </c>
      <c r="E57" s="146">
        <v>356</v>
      </c>
      <c r="F57" s="166">
        <v>4</v>
      </c>
      <c r="G57" s="146">
        <v>116</v>
      </c>
      <c r="H57" s="166"/>
      <c r="I57" s="161">
        <f t="shared" si="5"/>
        <v>48</v>
      </c>
      <c r="J57" s="148">
        <v>35</v>
      </c>
      <c r="K57" s="168"/>
      <c r="L57" s="146">
        <v>13</v>
      </c>
      <c r="M57" s="210"/>
    </row>
    <row r="58" spans="1:13" x14ac:dyDescent="0.25">
      <c r="A58" s="153">
        <v>12</v>
      </c>
      <c r="B58" s="144" t="s">
        <v>64</v>
      </c>
      <c r="C58" s="209"/>
      <c r="D58" s="156">
        <f t="shared" si="4"/>
        <v>2071</v>
      </c>
      <c r="E58" s="146">
        <v>1516</v>
      </c>
      <c r="F58" s="166">
        <v>46</v>
      </c>
      <c r="G58" s="146">
        <v>496</v>
      </c>
      <c r="H58" s="166">
        <v>13</v>
      </c>
      <c r="I58" s="161">
        <f t="shared" si="5"/>
        <v>90</v>
      </c>
      <c r="J58" s="148">
        <v>68</v>
      </c>
      <c r="K58" s="168"/>
      <c r="L58" s="146">
        <v>22</v>
      </c>
      <c r="M58" s="210"/>
    </row>
    <row r="59" spans="1:13" x14ac:dyDescent="0.25">
      <c r="A59" s="153">
        <v>13</v>
      </c>
      <c r="B59" s="144" t="s">
        <v>65</v>
      </c>
      <c r="C59" s="209"/>
      <c r="D59" s="156">
        <f t="shared" si="4"/>
        <v>278</v>
      </c>
      <c r="E59" s="146">
        <v>48</v>
      </c>
      <c r="F59" s="166">
        <v>4</v>
      </c>
      <c r="G59" s="146">
        <v>226</v>
      </c>
      <c r="H59" s="166"/>
      <c r="I59" s="161">
        <f t="shared" si="5"/>
        <v>44</v>
      </c>
      <c r="J59" s="148">
        <v>5</v>
      </c>
      <c r="K59" s="168"/>
      <c r="L59" s="146">
        <v>38</v>
      </c>
      <c r="M59" s="210">
        <v>1</v>
      </c>
    </row>
    <row r="60" spans="1:13" x14ac:dyDescent="0.25">
      <c r="A60" s="199" t="s">
        <v>66</v>
      </c>
      <c r="B60" s="200"/>
      <c r="C60" s="212"/>
      <c r="D60" s="201"/>
      <c r="E60" s="206"/>
      <c r="F60" s="202"/>
      <c r="G60" s="206"/>
      <c r="H60" s="202"/>
      <c r="I60" s="203"/>
      <c r="J60" s="207"/>
      <c r="K60" s="204"/>
      <c r="L60" s="206"/>
      <c r="M60" s="213"/>
    </row>
    <row r="61" spans="1:13" x14ac:dyDescent="0.25">
      <c r="A61" s="205">
        <v>1</v>
      </c>
      <c r="B61" s="200" t="s">
        <v>67</v>
      </c>
      <c r="C61" s="212"/>
      <c r="D61" s="201">
        <f>SUM(E61:H61)</f>
        <v>12366</v>
      </c>
      <c r="E61" s="206">
        <v>2817</v>
      </c>
      <c r="F61" s="202">
        <v>4</v>
      </c>
      <c r="G61" s="206">
        <v>9545</v>
      </c>
      <c r="H61" s="202"/>
      <c r="I61" s="203">
        <f>SUM(J61:M61)</f>
        <v>14153</v>
      </c>
      <c r="J61" s="207">
        <v>3217</v>
      </c>
      <c r="K61" s="204"/>
      <c r="L61" s="206">
        <v>10936</v>
      </c>
      <c r="M61" s="213"/>
    </row>
    <row r="62" spans="1:13" x14ac:dyDescent="0.25">
      <c r="A62" s="205">
        <v>2</v>
      </c>
      <c r="B62" s="200" t="s">
        <v>68</v>
      </c>
      <c r="C62" s="212"/>
      <c r="D62" s="201">
        <f>SUM(E62:H62)</f>
        <v>37365</v>
      </c>
      <c r="E62" s="206">
        <v>20107</v>
      </c>
      <c r="F62" s="202">
        <v>15</v>
      </c>
      <c r="G62" s="206">
        <v>17241</v>
      </c>
      <c r="H62" s="202">
        <v>2</v>
      </c>
      <c r="I62" s="203">
        <f>SUM(J62:M62)</f>
        <v>10739</v>
      </c>
      <c r="J62" s="207">
        <v>4550</v>
      </c>
      <c r="K62" s="204"/>
      <c r="L62" s="206">
        <v>6189</v>
      </c>
      <c r="M62" s="213"/>
    </row>
    <row r="63" spans="1:13" x14ac:dyDescent="0.25">
      <c r="A63" s="205">
        <v>3</v>
      </c>
      <c r="B63" s="200" t="s">
        <v>69</v>
      </c>
      <c r="C63" s="212"/>
      <c r="D63" s="201">
        <f>SUM(E63:H63)</f>
        <v>364</v>
      </c>
      <c r="E63" s="206">
        <v>275</v>
      </c>
      <c r="F63" s="202"/>
      <c r="G63" s="206">
        <v>89</v>
      </c>
      <c r="H63" s="202"/>
      <c r="I63" s="203">
        <f>SUM(J63:M63)</f>
        <v>1728</v>
      </c>
      <c r="J63" s="207">
        <v>694</v>
      </c>
      <c r="K63" s="204">
        <v>1</v>
      </c>
      <c r="L63" s="206">
        <v>1031</v>
      </c>
      <c r="M63" s="213">
        <v>2</v>
      </c>
    </row>
    <row r="64" spans="1:13" x14ac:dyDescent="0.25">
      <c r="A64" s="205">
        <v>4</v>
      </c>
      <c r="B64" s="200" t="s">
        <v>70</v>
      </c>
      <c r="C64" s="212"/>
      <c r="D64" s="201">
        <f>SUM(E64:H64)</f>
        <v>2011</v>
      </c>
      <c r="E64" s="206">
        <v>580</v>
      </c>
      <c r="F64" s="202">
        <v>4</v>
      </c>
      <c r="G64" s="206">
        <v>1425</v>
      </c>
      <c r="H64" s="202">
        <v>2</v>
      </c>
      <c r="I64" s="203">
        <f>SUM(J64:M64)</f>
        <v>84</v>
      </c>
      <c r="J64" s="207">
        <v>24</v>
      </c>
      <c r="K64" s="204"/>
      <c r="L64" s="206">
        <v>60</v>
      </c>
      <c r="M64" s="213"/>
    </row>
    <row r="65" spans="1:13" x14ac:dyDescent="0.25">
      <c r="A65" s="199" t="s">
        <v>71</v>
      </c>
      <c r="B65" s="200"/>
      <c r="C65" s="212"/>
      <c r="D65" s="201"/>
      <c r="E65" s="206"/>
      <c r="F65" s="202"/>
      <c r="G65" s="206"/>
      <c r="H65" s="202"/>
      <c r="I65" s="203"/>
      <c r="J65" s="207"/>
      <c r="K65" s="204"/>
      <c r="L65" s="206"/>
      <c r="M65" s="213"/>
    </row>
    <row r="66" spans="1:13" x14ac:dyDescent="0.25">
      <c r="A66" s="205">
        <v>1</v>
      </c>
      <c r="B66" s="200" t="s">
        <v>72</v>
      </c>
      <c r="C66" s="212"/>
      <c r="D66" s="201">
        <f>SUM(E66:H66)</f>
        <v>5345</v>
      </c>
      <c r="E66" s="206">
        <v>2560</v>
      </c>
      <c r="F66" s="202">
        <v>2524</v>
      </c>
      <c r="G66" s="206">
        <v>210</v>
      </c>
      <c r="H66" s="202">
        <v>51</v>
      </c>
      <c r="I66" s="203">
        <f>SUM(J66:M66)</f>
        <v>228</v>
      </c>
      <c r="J66" s="207">
        <v>137</v>
      </c>
      <c r="K66" s="204">
        <v>65</v>
      </c>
      <c r="L66" s="206">
        <v>20</v>
      </c>
      <c r="M66" s="213">
        <v>6</v>
      </c>
    </row>
    <row r="67" spans="1:13" x14ac:dyDescent="0.25">
      <c r="A67" s="205">
        <v>2</v>
      </c>
      <c r="B67" s="200" t="s">
        <v>73</v>
      </c>
      <c r="C67" s="212"/>
      <c r="D67" s="201">
        <f>SUM(E67:H67)</f>
        <v>16575</v>
      </c>
      <c r="E67" s="206">
        <v>5678</v>
      </c>
      <c r="F67" s="202">
        <v>6659</v>
      </c>
      <c r="G67" s="206">
        <v>3078</v>
      </c>
      <c r="H67" s="202">
        <v>1160</v>
      </c>
      <c r="I67" s="203">
        <f>SUM(J67:M67)</f>
        <v>1110</v>
      </c>
      <c r="J67" s="207">
        <v>307</v>
      </c>
      <c r="K67" s="204">
        <v>393</v>
      </c>
      <c r="L67" s="206">
        <v>291</v>
      </c>
      <c r="M67" s="213">
        <v>119</v>
      </c>
    </row>
    <row r="68" spans="1:13" x14ac:dyDescent="0.25">
      <c r="A68" s="205">
        <v>3</v>
      </c>
      <c r="B68" s="200" t="s">
        <v>74</v>
      </c>
      <c r="C68" s="212"/>
      <c r="D68" s="201">
        <f>SUM(E68:H68)</f>
        <v>83</v>
      </c>
      <c r="E68" s="206">
        <v>61</v>
      </c>
      <c r="F68" s="202">
        <v>3</v>
      </c>
      <c r="G68" s="206">
        <v>16</v>
      </c>
      <c r="H68" s="202">
        <v>3</v>
      </c>
      <c r="I68" s="203">
        <f>SUM(J68:M68)</f>
        <v>18</v>
      </c>
      <c r="J68" s="207">
        <v>13</v>
      </c>
      <c r="K68" s="204">
        <v>1</v>
      </c>
      <c r="L68" s="206">
        <v>4</v>
      </c>
      <c r="M68" s="213"/>
    </row>
    <row r="69" spans="1:13" x14ac:dyDescent="0.25">
      <c r="A69" s="199" t="s">
        <v>75</v>
      </c>
      <c r="B69" s="200"/>
      <c r="C69" s="218" t="s">
        <v>76</v>
      </c>
      <c r="D69" s="201"/>
      <c r="E69" s="206"/>
      <c r="F69" s="202"/>
      <c r="G69" s="206"/>
      <c r="H69" s="202"/>
      <c r="I69" s="203"/>
      <c r="J69" s="207"/>
      <c r="K69" s="204"/>
      <c r="L69" s="206"/>
      <c r="M69" s="213"/>
    </row>
    <row r="70" spans="1:13" x14ac:dyDescent="0.25">
      <c r="A70" s="205">
        <v>1</v>
      </c>
      <c r="B70" s="200" t="s">
        <v>77</v>
      </c>
      <c r="C70" s="212"/>
      <c r="D70" s="201">
        <f>SUM(E70:H70)</f>
        <v>6838</v>
      </c>
      <c r="E70" s="206">
        <v>3960</v>
      </c>
      <c r="F70" s="202">
        <v>131</v>
      </c>
      <c r="G70" s="206">
        <v>2597</v>
      </c>
      <c r="H70" s="202">
        <v>150</v>
      </c>
      <c r="I70" s="203">
        <f>SUM(J70:M70)</f>
        <v>1135</v>
      </c>
      <c r="J70" s="207">
        <v>451</v>
      </c>
      <c r="K70" s="204">
        <v>19</v>
      </c>
      <c r="L70" s="206">
        <v>567</v>
      </c>
      <c r="M70" s="213">
        <v>98</v>
      </c>
    </row>
    <row r="71" spans="1:13" x14ac:dyDescent="0.25">
      <c r="A71" s="205">
        <v>2</v>
      </c>
      <c r="B71" s="200" t="s">
        <v>78</v>
      </c>
      <c r="C71" s="212"/>
      <c r="D71" s="201">
        <f>SUM(E71:H71)</f>
        <v>10254</v>
      </c>
      <c r="E71" s="206">
        <v>5020</v>
      </c>
      <c r="F71" s="202">
        <v>570</v>
      </c>
      <c r="G71" s="206">
        <v>4234</v>
      </c>
      <c r="H71" s="202">
        <v>430</v>
      </c>
      <c r="I71" s="203">
        <f>SUM(J71:M71)</f>
        <v>1105</v>
      </c>
      <c r="J71" s="207">
        <v>509</v>
      </c>
      <c r="K71" s="204">
        <v>27</v>
      </c>
      <c r="L71" s="206">
        <v>527</v>
      </c>
      <c r="M71" s="213">
        <v>42</v>
      </c>
    </row>
    <row r="72" spans="1:13" x14ac:dyDescent="0.25">
      <c r="A72" s="205">
        <v>3</v>
      </c>
      <c r="B72" s="200" t="s">
        <v>79</v>
      </c>
      <c r="C72" s="212"/>
      <c r="D72" s="201">
        <f>SUM(E72:H72)</f>
        <v>5198</v>
      </c>
      <c r="E72" s="206">
        <v>3011</v>
      </c>
      <c r="F72" s="202">
        <v>391</v>
      </c>
      <c r="G72" s="206">
        <v>1577</v>
      </c>
      <c r="H72" s="202">
        <v>219</v>
      </c>
      <c r="I72" s="203">
        <f>SUM(J72:M72)</f>
        <v>376</v>
      </c>
      <c r="J72" s="207">
        <v>153</v>
      </c>
      <c r="K72" s="204">
        <v>11</v>
      </c>
      <c r="L72" s="206">
        <v>137</v>
      </c>
      <c r="M72" s="213">
        <v>75</v>
      </c>
    </row>
    <row r="73" spans="1:13" x14ac:dyDescent="0.25">
      <c r="A73" s="199" t="s">
        <v>80</v>
      </c>
      <c r="B73" s="200"/>
      <c r="C73" s="212"/>
      <c r="D73" s="201"/>
      <c r="E73" s="206"/>
      <c r="F73" s="202"/>
      <c r="G73" s="206"/>
      <c r="H73" s="202"/>
      <c r="I73" s="203"/>
      <c r="J73" s="207"/>
      <c r="K73" s="204"/>
      <c r="L73" s="206"/>
      <c r="M73" s="213"/>
    </row>
    <row r="74" spans="1:13" x14ac:dyDescent="0.25">
      <c r="A74" s="205">
        <v>1</v>
      </c>
      <c r="B74" s="200" t="s">
        <v>81</v>
      </c>
      <c r="C74" s="212"/>
      <c r="D74" s="201">
        <f>SUM(E74:H74)</f>
        <v>1791</v>
      </c>
      <c r="E74" s="206">
        <v>990</v>
      </c>
      <c r="F74" s="202">
        <v>172</v>
      </c>
      <c r="G74" s="206">
        <v>545</v>
      </c>
      <c r="H74" s="202">
        <v>84</v>
      </c>
      <c r="I74" s="203">
        <f>SUM(J74:M74)</f>
        <v>421</v>
      </c>
      <c r="J74" s="207">
        <v>154</v>
      </c>
      <c r="K74" s="204">
        <v>1</v>
      </c>
      <c r="L74" s="206">
        <v>258</v>
      </c>
      <c r="M74" s="213">
        <v>8</v>
      </c>
    </row>
    <row r="75" spans="1:13" x14ac:dyDescent="0.25">
      <c r="A75" s="205">
        <v>2</v>
      </c>
      <c r="B75" s="200" t="s">
        <v>82</v>
      </c>
      <c r="C75" s="212"/>
      <c r="D75" s="201">
        <f>SUM(E75:H75)</f>
        <v>2430</v>
      </c>
      <c r="E75" s="206">
        <v>1018</v>
      </c>
      <c r="F75" s="202">
        <v>31</v>
      </c>
      <c r="G75" s="206">
        <v>1293</v>
      </c>
      <c r="H75" s="202">
        <v>88</v>
      </c>
      <c r="I75" s="203">
        <f>SUM(J75:M75)</f>
        <v>1867</v>
      </c>
      <c r="J75" s="207">
        <v>450</v>
      </c>
      <c r="K75" s="204">
        <v>1</v>
      </c>
      <c r="L75" s="206">
        <v>1363</v>
      </c>
      <c r="M75" s="213">
        <v>53</v>
      </c>
    </row>
    <row r="76" spans="1:13" x14ac:dyDescent="0.25">
      <c r="A76" s="199" t="s">
        <v>83</v>
      </c>
      <c r="B76" s="200"/>
      <c r="C76" s="212"/>
      <c r="D76" s="201"/>
      <c r="E76" s="206"/>
      <c r="F76" s="202"/>
      <c r="G76" s="206"/>
      <c r="H76" s="202"/>
      <c r="I76" s="203"/>
      <c r="J76" s="207"/>
      <c r="K76" s="204"/>
      <c r="L76" s="206"/>
      <c r="M76" s="213"/>
    </row>
    <row r="77" spans="1:13" x14ac:dyDescent="0.25">
      <c r="A77" s="205">
        <v>1</v>
      </c>
      <c r="B77" s="200" t="s">
        <v>84</v>
      </c>
      <c r="C77" s="212"/>
      <c r="D77" s="201">
        <f t="shared" ref="D77:D83" si="6">SUM(E77:H77)</f>
        <v>260577</v>
      </c>
      <c r="E77" s="206">
        <v>27255</v>
      </c>
      <c r="F77" s="202">
        <v>16</v>
      </c>
      <c r="G77" s="206">
        <v>233279</v>
      </c>
      <c r="H77" s="202">
        <v>27</v>
      </c>
      <c r="I77" s="203">
        <f t="shared" ref="I77:I83" si="7">SUM(J77:M77)</f>
        <v>55835</v>
      </c>
      <c r="J77" s="207">
        <v>5566</v>
      </c>
      <c r="K77" s="204">
        <v>9</v>
      </c>
      <c r="L77" s="206">
        <v>49556</v>
      </c>
      <c r="M77" s="213">
        <v>704</v>
      </c>
    </row>
    <row r="78" spans="1:13" x14ac:dyDescent="0.25">
      <c r="A78" s="205">
        <v>2</v>
      </c>
      <c r="B78" s="200" t="s">
        <v>85</v>
      </c>
      <c r="C78" s="212"/>
      <c r="D78" s="201">
        <f t="shared" si="6"/>
        <v>2770</v>
      </c>
      <c r="E78" s="206">
        <v>2260</v>
      </c>
      <c r="F78" s="202">
        <v>53</v>
      </c>
      <c r="G78" s="206">
        <v>429</v>
      </c>
      <c r="H78" s="202">
        <v>28</v>
      </c>
      <c r="I78" s="203">
        <f t="shared" si="7"/>
        <v>412</v>
      </c>
      <c r="J78" s="207">
        <v>180</v>
      </c>
      <c r="K78" s="204"/>
      <c r="L78" s="206">
        <v>231</v>
      </c>
      <c r="M78" s="213">
        <v>1</v>
      </c>
    </row>
    <row r="79" spans="1:13" x14ac:dyDescent="0.25">
      <c r="A79" s="205">
        <v>3</v>
      </c>
      <c r="B79" s="200" t="s">
        <v>86</v>
      </c>
      <c r="C79" s="212"/>
      <c r="D79" s="201">
        <f t="shared" si="6"/>
        <v>5044</v>
      </c>
      <c r="E79" s="206">
        <v>1208</v>
      </c>
      <c r="F79" s="202">
        <v>3</v>
      </c>
      <c r="G79" s="206">
        <v>3832</v>
      </c>
      <c r="H79" s="202">
        <v>1</v>
      </c>
      <c r="I79" s="203">
        <f t="shared" si="7"/>
        <v>2834</v>
      </c>
      <c r="J79" s="207">
        <v>445</v>
      </c>
      <c r="K79" s="204">
        <v>3</v>
      </c>
      <c r="L79" s="206">
        <v>2382</v>
      </c>
      <c r="M79" s="213">
        <v>4</v>
      </c>
    </row>
    <row r="80" spans="1:13" x14ac:dyDescent="0.25">
      <c r="A80" s="205">
        <v>4</v>
      </c>
      <c r="B80" s="200" t="s">
        <v>87</v>
      </c>
      <c r="C80" s="212"/>
      <c r="D80" s="201">
        <f t="shared" si="6"/>
        <v>13</v>
      </c>
      <c r="E80" s="206">
        <v>7</v>
      </c>
      <c r="F80" s="202"/>
      <c r="G80" s="206">
        <v>6</v>
      </c>
      <c r="H80" s="202"/>
      <c r="I80" s="203">
        <f t="shared" si="7"/>
        <v>282</v>
      </c>
      <c r="J80" s="207">
        <v>149</v>
      </c>
      <c r="K80" s="204">
        <v>1</v>
      </c>
      <c r="L80" s="206">
        <v>125</v>
      </c>
      <c r="M80" s="213">
        <v>7</v>
      </c>
    </row>
    <row r="81" spans="1:14" x14ac:dyDescent="0.25">
      <c r="A81" s="205">
        <v>5</v>
      </c>
      <c r="B81" s="200" t="s">
        <v>88</v>
      </c>
      <c r="C81" s="212"/>
      <c r="D81" s="201">
        <f t="shared" si="6"/>
        <v>146</v>
      </c>
      <c r="E81" s="206">
        <v>94</v>
      </c>
      <c r="F81" s="202">
        <v>2</v>
      </c>
      <c r="G81" s="206">
        <v>50</v>
      </c>
      <c r="H81" s="202"/>
      <c r="I81" s="203">
        <f t="shared" si="7"/>
        <v>137</v>
      </c>
      <c r="J81" s="207">
        <v>45</v>
      </c>
      <c r="K81" s="204"/>
      <c r="L81" s="206">
        <v>91</v>
      </c>
      <c r="M81" s="213">
        <v>1</v>
      </c>
    </row>
    <row r="82" spans="1:14" x14ac:dyDescent="0.25">
      <c r="A82" s="153">
        <v>6</v>
      </c>
      <c r="B82" s="144" t="s">
        <v>89</v>
      </c>
      <c r="C82" s="209"/>
      <c r="D82" s="156">
        <f t="shared" si="6"/>
        <v>787</v>
      </c>
      <c r="E82" s="146">
        <v>518</v>
      </c>
      <c r="F82" s="166">
        <v>17</v>
      </c>
      <c r="G82" s="146">
        <v>251</v>
      </c>
      <c r="H82" s="166">
        <v>1</v>
      </c>
      <c r="I82" s="161">
        <f t="shared" si="7"/>
        <v>62</v>
      </c>
      <c r="J82" s="148">
        <v>9</v>
      </c>
      <c r="K82" s="168"/>
      <c r="L82" s="146">
        <v>53</v>
      </c>
      <c r="M82" s="210"/>
    </row>
    <row r="83" spans="1:14" x14ac:dyDescent="0.25">
      <c r="A83" s="153">
        <v>7</v>
      </c>
      <c r="B83" s="144" t="s">
        <v>90</v>
      </c>
      <c r="C83" s="209"/>
      <c r="D83" s="156">
        <f t="shared" si="6"/>
        <v>10191</v>
      </c>
      <c r="E83" s="146">
        <v>7876</v>
      </c>
      <c r="F83" s="166">
        <v>34</v>
      </c>
      <c r="G83" s="146">
        <v>2271</v>
      </c>
      <c r="H83" s="166">
        <v>10</v>
      </c>
      <c r="I83" s="161">
        <f t="shared" si="7"/>
        <v>2261</v>
      </c>
      <c r="J83" s="148">
        <v>1590</v>
      </c>
      <c r="K83" s="168">
        <v>2</v>
      </c>
      <c r="L83" s="146">
        <v>668</v>
      </c>
      <c r="M83" s="210">
        <v>1</v>
      </c>
    </row>
    <row r="84" spans="1:14" x14ac:dyDescent="0.25">
      <c r="A84" s="216" t="s">
        <v>91</v>
      </c>
      <c r="B84" s="186"/>
      <c r="C84" s="214"/>
      <c r="D84" s="188"/>
      <c r="E84" s="197"/>
      <c r="F84" s="190"/>
      <c r="G84" s="197"/>
      <c r="H84" s="190"/>
      <c r="I84" s="193"/>
      <c r="J84" s="198"/>
      <c r="K84" s="194"/>
      <c r="L84" s="197"/>
      <c r="M84" s="215"/>
    </row>
    <row r="85" spans="1:14" x14ac:dyDescent="0.25">
      <c r="A85" s="217">
        <v>1</v>
      </c>
      <c r="B85" s="186" t="s">
        <v>92</v>
      </c>
      <c r="C85" s="214"/>
      <c r="D85" s="188">
        <f>SUM(E85:H85)</f>
        <v>51539</v>
      </c>
      <c r="E85" s="197">
        <v>9582</v>
      </c>
      <c r="F85" s="190">
        <v>37</v>
      </c>
      <c r="G85" s="197">
        <v>41659</v>
      </c>
      <c r="H85" s="190">
        <v>261</v>
      </c>
      <c r="I85" s="193">
        <f>SUM(J85:M85)</f>
        <v>28517</v>
      </c>
      <c r="J85" s="198">
        <v>3170</v>
      </c>
      <c r="K85" s="194">
        <v>5</v>
      </c>
      <c r="L85" s="197">
        <v>24899</v>
      </c>
      <c r="M85" s="215">
        <v>443</v>
      </c>
    </row>
    <row r="86" spans="1:14" x14ac:dyDescent="0.25">
      <c r="A86" s="6" t="s">
        <v>93</v>
      </c>
      <c r="B86" s="9"/>
      <c r="C86" s="26"/>
      <c r="D86" s="23"/>
      <c r="E86" s="55"/>
      <c r="F86" s="17"/>
      <c r="G86" s="55"/>
      <c r="H86" s="17"/>
      <c r="I86" s="22"/>
      <c r="J86" s="57"/>
      <c r="K86" s="16"/>
      <c r="L86" s="55"/>
      <c r="M86" s="75"/>
    </row>
    <row r="87" spans="1:14" x14ac:dyDescent="0.25">
      <c r="A87" s="7" t="s">
        <v>94</v>
      </c>
      <c r="B87" s="9"/>
      <c r="C87" s="26"/>
      <c r="D87" s="23"/>
      <c r="E87" s="55"/>
      <c r="F87" s="17"/>
      <c r="G87" s="55"/>
      <c r="H87" s="17"/>
      <c r="I87" s="22"/>
      <c r="J87" s="57"/>
      <c r="K87" s="16"/>
      <c r="L87" s="55"/>
      <c r="M87" s="75"/>
    </row>
    <row r="88" spans="1:14" x14ac:dyDescent="0.25">
      <c r="A88" s="4">
        <v>1</v>
      </c>
      <c r="B88" s="9" t="s">
        <v>95</v>
      </c>
      <c r="C88" s="26"/>
      <c r="D88" s="23">
        <f>SUM(E88:H88)</f>
        <v>3034</v>
      </c>
      <c r="E88" s="55">
        <v>1967</v>
      </c>
      <c r="F88" s="17">
        <v>920</v>
      </c>
      <c r="G88" s="55">
        <v>120</v>
      </c>
      <c r="H88" s="17">
        <v>27</v>
      </c>
      <c r="I88" s="22">
        <f>SUM(J88:M88)</f>
        <v>648</v>
      </c>
      <c r="J88" s="57">
        <v>364</v>
      </c>
      <c r="K88" s="16">
        <v>212</v>
      </c>
      <c r="L88" s="55">
        <v>57</v>
      </c>
      <c r="M88" s="75">
        <v>15</v>
      </c>
    </row>
    <row r="89" spans="1:14" x14ac:dyDescent="0.25">
      <c r="A89" s="4">
        <v>2</v>
      </c>
      <c r="B89" s="9" t="s">
        <v>96</v>
      </c>
      <c r="C89" s="26"/>
      <c r="D89" s="23">
        <f>SUM(E89:H89)</f>
        <v>3802</v>
      </c>
      <c r="E89" s="55">
        <v>502</v>
      </c>
      <c r="F89" s="17">
        <v>1972</v>
      </c>
      <c r="G89" s="55">
        <v>257</v>
      </c>
      <c r="H89" s="17">
        <v>1071</v>
      </c>
      <c r="I89" s="22">
        <f>SUM(J89:M89)</f>
        <v>6036</v>
      </c>
      <c r="J89" s="57">
        <v>270</v>
      </c>
      <c r="K89" s="16">
        <v>2245</v>
      </c>
      <c r="L89" s="55">
        <v>310</v>
      </c>
      <c r="M89" s="75">
        <v>3211</v>
      </c>
      <c r="N89" s="24"/>
    </row>
    <row r="90" spans="1:14" x14ac:dyDescent="0.25">
      <c r="A90" s="4">
        <v>3</v>
      </c>
      <c r="B90" s="9" t="s">
        <v>97</v>
      </c>
      <c r="C90" s="26"/>
      <c r="D90" s="23">
        <f>SUM(E90:H90)</f>
        <v>2096</v>
      </c>
      <c r="E90" s="55">
        <v>876</v>
      </c>
      <c r="F90" s="17">
        <v>365</v>
      </c>
      <c r="G90" s="55">
        <v>627</v>
      </c>
      <c r="H90" s="17">
        <v>228</v>
      </c>
      <c r="I90" s="22">
        <f>SUM(J90:M90)</f>
        <v>3401</v>
      </c>
      <c r="J90" s="57">
        <v>657</v>
      </c>
      <c r="K90" s="16">
        <v>377</v>
      </c>
      <c r="L90" s="55">
        <v>1419</v>
      </c>
      <c r="M90" s="75">
        <v>948</v>
      </c>
    </row>
    <row r="91" spans="1:14" x14ac:dyDescent="0.25">
      <c r="A91" s="6" t="s">
        <v>98</v>
      </c>
      <c r="B91" s="9"/>
      <c r="C91" s="26"/>
      <c r="D91" s="23"/>
      <c r="E91" s="55"/>
      <c r="F91" s="17"/>
      <c r="G91" s="55"/>
      <c r="H91" s="17"/>
      <c r="I91" s="22"/>
      <c r="J91" s="57"/>
      <c r="K91" s="16"/>
      <c r="L91" s="55"/>
      <c r="M91" s="75"/>
    </row>
    <row r="92" spans="1:14" x14ac:dyDescent="0.25">
      <c r="A92" s="5" t="s">
        <v>99</v>
      </c>
      <c r="B92" s="9"/>
      <c r="C92" s="26"/>
      <c r="D92" s="23"/>
      <c r="E92" s="55"/>
      <c r="F92" s="17"/>
      <c r="G92" s="55"/>
      <c r="H92" s="17"/>
      <c r="I92" s="22"/>
      <c r="J92" s="57"/>
      <c r="K92" s="16"/>
      <c r="L92" s="55"/>
      <c r="M92" s="75"/>
    </row>
    <row r="93" spans="1:14" x14ac:dyDescent="0.25">
      <c r="A93" s="4">
        <v>1</v>
      </c>
      <c r="B93" s="9" t="s">
        <v>100</v>
      </c>
      <c r="C93" s="26"/>
      <c r="D93" s="23">
        <f>SUM(E93:H93)</f>
        <v>401600</v>
      </c>
      <c r="E93" s="55">
        <v>115919</v>
      </c>
      <c r="F93" s="17">
        <v>117242</v>
      </c>
      <c r="G93" s="55">
        <v>82867</v>
      </c>
      <c r="H93" s="17">
        <v>85572</v>
      </c>
      <c r="I93" s="22">
        <f>SUM(J93:M93)</f>
        <v>1820089</v>
      </c>
      <c r="J93" s="57">
        <v>131024</v>
      </c>
      <c r="K93" s="16">
        <v>124959</v>
      </c>
      <c r="L93" s="55">
        <v>766052</v>
      </c>
      <c r="M93" s="75">
        <v>798054</v>
      </c>
    </row>
    <row r="94" spans="1:14" x14ac:dyDescent="0.25">
      <c r="A94" s="5" t="s">
        <v>101</v>
      </c>
      <c r="B94" s="9"/>
      <c r="C94" s="26"/>
      <c r="D94" s="23"/>
      <c r="E94" s="55"/>
      <c r="F94" s="17"/>
      <c r="G94" s="55"/>
      <c r="H94" s="17"/>
      <c r="I94" s="22"/>
      <c r="J94" s="57"/>
      <c r="K94" s="16"/>
      <c r="L94" s="55"/>
      <c r="M94" s="75"/>
    </row>
    <row r="95" spans="1:14" x14ac:dyDescent="0.25">
      <c r="A95" s="4">
        <v>1</v>
      </c>
      <c r="B95" s="9" t="s">
        <v>102</v>
      </c>
      <c r="C95" s="26"/>
      <c r="D95" s="23">
        <f>SUM(E95:H95)</f>
        <v>5953</v>
      </c>
      <c r="E95" s="55">
        <v>1134</v>
      </c>
      <c r="F95" s="17">
        <v>827</v>
      </c>
      <c r="G95" s="55">
        <v>2868</v>
      </c>
      <c r="H95" s="17">
        <v>1124</v>
      </c>
      <c r="I95" s="22">
        <f>SUM(J95:M95)</f>
        <v>1892</v>
      </c>
      <c r="J95" s="57">
        <v>80</v>
      </c>
      <c r="K95" s="16">
        <v>32</v>
      </c>
      <c r="L95" s="55">
        <v>1019</v>
      </c>
      <c r="M95" s="75">
        <v>761</v>
      </c>
    </row>
    <row r="96" spans="1:14" x14ac:dyDescent="0.25">
      <c r="A96" s="4">
        <v>2</v>
      </c>
      <c r="B96" s="9" t="s">
        <v>103</v>
      </c>
      <c r="C96" s="26"/>
      <c r="D96" s="23">
        <f>SUM(E96:H96)</f>
        <v>10496</v>
      </c>
      <c r="E96" s="55">
        <v>1144</v>
      </c>
      <c r="F96" s="17">
        <v>52</v>
      </c>
      <c r="G96" s="55">
        <v>8429</v>
      </c>
      <c r="H96" s="17">
        <v>871</v>
      </c>
      <c r="I96" s="22">
        <f>SUM(J96:M96)</f>
        <v>3029</v>
      </c>
      <c r="J96" s="57">
        <v>106</v>
      </c>
      <c r="K96" s="16"/>
      <c r="L96" s="55">
        <v>2883</v>
      </c>
      <c r="M96" s="75">
        <v>40</v>
      </c>
    </row>
    <row r="97" spans="1:13" x14ac:dyDescent="0.25">
      <c r="A97" s="6" t="s">
        <v>133</v>
      </c>
      <c r="B97" s="9"/>
      <c r="C97" s="26"/>
      <c r="D97" s="23"/>
      <c r="E97" s="55"/>
      <c r="F97" s="17"/>
      <c r="G97" s="55"/>
      <c r="H97" s="17"/>
      <c r="I97" s="22"/>
      <c r="J97" s="57"/>
      <c r="K97" s="16"/>
      <c r="L97" s="55"/>
      <c r="M97" s="75"/>
    </row>
    <row r="98" spans="1:13" x14ac:dyDescent="0.25">
      <c r="A98" s="5" t="s">
        <v>105</v>
      </c>
      <c r="B98" s="9"/>
      <c r="C98" s="26"/>
      <c r="D98" s="23"/>
      <c r="E98" s="55"/>
      <c r="F98" s="17"/>
      <c r="G98" s="55"/>
      <c r="H98" s="17"/>
      <c r="I98" s="22"/>
      <c r="J98" s="57"/>
      <c r="K98" s="16"/>
      <c r="L98" s="55"/>
      <c r="M98" s="75"/>
    </row>
    <row r="99" spans="1:13" x14ac:dyDescent="0.25">
      <c r="A99" s="4">
        <v>1</v>
      </c>
      <c r="B99" s="9" t="s">
        <v>106</v>
      </c>
      <c r="C99" s="26"/>
      <c r="D99" s="23">
        <f>SUM(E99:H99)</f>
        <v>4328</v>
      </c>
      <c r="E99" s="55">
        <v>1565</v>
      </c>
      <c r="F99" s="17">
        <v>729</v>
      </c>
      <c r="G99" s="55">
        <v>1416</v>
      </c>
      <c r="H99" s="17">
        <v>618</v>
      </c>
      <c r="I99" s="22">
        <f>SUM(J99:M99)</f>
        <v>8631</v>
      </c>
      <c r="J99" s="57">
        <v>1674</v>
      </c>
      <c r="K99" s="16">
        <v>979</v>
      </c>
      <c r="L99" s="55">
        <v>3309</v>
      </c>
      <c r="M99" s="75">
        <v>2669</v>
      </c>
    </row>
    <row r="100" spans="1:13" ht="15.75" thickBot="1" x14ac:dyDescent="0.3">
      <c r="A100" s="4"/>
      <c r="B100" s="9"/>
      <c r="C100" s="26"/>
      <c r="D100" s="23"/>
      <c r="E100" s="55"/>
      <c r="F100" s="17"/>
      <c r="G100" s="55"/>
      <c r="H100" s="17"/>
      <c r="I100" s="22"/>
      <c r="J100" s="57"/>
      <c r="K100" s="16"/>
      <c r="L100" s="55"/>
      <c r="M100" s="75"/>
    </row>
    <row r="101" spans="1:13" ht="15.75" thickTop="1" x14ac:dyDescent="0.25">
      <c r="A101" s="79"/>
      <c r="B101" s="80"/>
      <c r="C101" s="81"/>
      <c r="D101" s="21"/>
      <c r="E101" s="82"/>
      <c r="F101" s="83"/>
      <c r="G101" s="82"/>
      <c r="H101" s="83"/>
      <c r="I101" s="20"/>
      <c r="J101" s="15"/>
      <c r="K101" s="84"/>
      <c r="L101" s="82"/>
      <c r="M101" s="85"/>
    </row>
    <row r="102" spans="1:13" x14ac:dyDescent="0.25">
      <c r="A102" s="86" t="s">
        <v>107</v>
      </c>
      <c r="B102" s="9"/>
      <c r="C102" s="54"/>
      <c r="D102" s="19">
        <f t="shared" ref="D102:M102" si="8">SUM(D8:D100)</f>
        <v>1477868</v>
      </c>
      <c r="E102" s="19">
        <f t="shared" si="8"/>
        <v>353380</v>
      </c>
      <c r="F102" s="87">
        <f t="shared" si="8"/>
        <v>304906</v>
      </c>
      <c r="G102" s="19">
        <f t="shared" si="8"/>
        <v>570111</v>
      </c>
      <c r="H102" s="87">
        <f t="shared" si="8"/>
        <v>249471</v>
      </c>
      <c r="I102" s="19">
        <f t="shared" si="8"/>
        <v>4490233</v>
      </c>
      <c r="J102" s="19">
        <f t="shared" si="8"/>
        <v>329480</v>
      </c>
      <c r="K102" s="87">
        <f t="shared" si="8"/>
        <v>285548</v>
      </c>
      <c r="L102" s="19">
        <f t="shared" si="8"/>
        <v>1812020</v>
      </c>
      <c r="M102" s="88">
        <f t="shared" si="8"/>
        <v>2063185</v>
      </c>
    </row>
    <row r="103" spans="1:13" ht="15.75" thickBot="1" x14ac:dyDescent="0.3">
      <c r="A103" s="89"/>
      <c r="B103" s="90"/>
      <c r="C103" s="91"/>
      <c r="D103" s="92"/>
      <c r="E103" s="93"/>
      <c r="F103" s="94"/>
      <c r="G103" s="95"/>
      <c r="H103" s="96"/>
      <c r="I103" s="97"/>
      <c r="J103" s="98"/>
      <c r="K103" s="99"/>
      <c r="L103" s="95"/>
      <c r="M103" s="100"/>
    </row>
    <row r="104" spans="1:13" ht="15.75" thickTop="1" x14ac:dyDescent="0.25">
      <c r="A104" s="4"/>
      <c r="B104" s="26"/>
      <c r="C104" s="26"/>
      <c r="D104" s="24"/>
      <c r="E104" s="24"/>
      <c r="F104" s="101"/>
      <c r="G104" s="102"/>
      <c r="H104" s="14"/>
      <c r="I104" s="14"/>
      <c r="J104" s="102"/>
      <c r="K104" s="14"/>
      <c r="L104" s="24"/>
      <c r="M104" s="101"/>
    </row>
    <row r="105" spans="1:13" x14ac:dyDescent="0.25">
      <c r="A105" s="4"/>
      <c r="B105" s="26"/>
      <c r="C105" s="26"/>
      <c r="D105" s="24"/>
      <c r="E105" s="24"/>
      <c r="F105" s="101"/>
      <c r="G105" s="24"/>
      <c r="H105" s="101"/>
      <c r="I105" s="101"/>
      <c r="J105" s="24"/>
      <c r="K105" s="101"/>
      <c r="L105" s="24"/>
      <c r="M105" s="101"/>
    </row>
    <row r="106" spans="1:13" ht="16.5" thickBot="1" x14ac:dyDescent="0.3">
      <c r="A106" s="26"/>
      <c r="B106" s="30"/>
      <c r="C106" s="103"/>
      <c r="D106" s="103"/>
      <c r="E106" s="104"/>
      <c r="F106" s="104"/>
      <c r="G106" s="104"/>
      <c r="H106" s="104"/>
      <c r="I106" s="104"/>
      <c r="J106" s="104"/>
      <c r="K106" s="104"/>
      <c r="L106" s="104"/>
      <c r="M106" s="104"/>
    </row>
    <row r="107" spans="1:13" ht="16.5" thickTop="1" x14ac:dyDescent="0.25">
      <c r="A107" s="27"/>
      <c r="B107" s="28"/>
      <c r="C107" s="245" t="s">
        <v>0</v>
      </c>
      <c r="D107" s="245" t="s">
        <v>1</v>
      </c>
      <c r="E107" s="248" t="s">
        <v>2</v>
      </c>
      <c r="F107" s="249"/>
      <c r="G107" s="249"/>
      <c r="H107" s="249"/>
      <c r="I107" s="245" t="s">
        <v>1</v>
      </c>
      <c r="J107" s="248" t="s">
        <v>3</v>
      </c>
      <c r="K107" s="249"/>
      <c r="L107" s="249"/>
      <c r="M107" s="250"/>
    </row>
    <row r="108" spans="1:13" ht="15.75" x14ac:dyDescent="0.25">
      <c r="A108" s="29" t="s">
        <v>108</v>
      </c>
      <c r="B108" s="30"/>
      <c r="C108" s="246"/>
      <c r="D108" s="246"/>
      <c r="E108" s="251" t="s">
        <v>5</v>
      </c>
      <c r="F108" s="252"/>
      <c r="G108" s="251" t="s">
        <v>6</v>
      </c>
      <c r="H108" s="253"/>
      <c r="I108" s="246"/>
      <c r="J108" s="251" t="s">
        <v>5</v>
      </c>
      <c r="K108" s="252"/>
      <c r="L108" s="251" t="s">
        <v>6</v>
      </c>
      <c r="M108" s="254"/>
    </row>
    <row r="109" spans="1:13" ht="15.75" x14ac:dyDescent="0.25">
      <c r="A109" s="31"/>
      <c r="B109" s="30"/>
      <c r="C109" s="246"/>
      <c r="D109" s="246"/>
      <c r="E109" s="241" t="s">
        <v>7</v>
      </c>
      <c r="F109" s="239" t="s">
        <v>8</v>
      </c>
      <c r="G109" s="241" t="s">
        <v>7</v>
      </c>
      <c r="H109" s="255" t="s">
        <v>8</v>
      </c>
      <c r="I109" s="246"/>
      <c r="J109" s="235" t="s">
        <v>7</v>
      </c>
      <c r="K109" s="257" t="s">
        <v>8</v>
      </c>
      <c r="L109" s="235" t="s">
        <v>7</v>
      </c>
      <c r="M109" s="243" t="s">
        <v>8</v>
      </c>
    </row>
    <row r="110" spans="1:13" x14ac:dyDescent="0.25">
      <c r="A110" s="32"/>
      <c r="B110" s="26"/>
      <c r="C110" s="247"/>
      <c r="D110" s="247"/>
      <c r="E110" s="242"/>
      <c r="F110" s="240"/>
      <c r="G110" s="242"/>
      <c r="H110" s="256"/>
      <c r="I110" s="247"/>
      <c r="J110" s="236"/>
      <c r="K110" s="258"/>
      <c r="L110" s="236"/>
      <c r="M110" s="244"/>
    </row>
    <row r="111" spans="1:13" ht="16.5" thickBot="1" x14ac:dyDescent="0.3">
      <c r="A111" s="33" t="s">
        <v>9</v>
      </c>
      <c r="B111" s="34"/>
      <c r="C111" s="35"/>
      <c r="D111" s="36"/>
      <c r="E111" s="37"/>
      <c r="F111" s="38"/>
      <c r="G111" s="39"/>
      <c r="H111" s="40"/>
      <c r="I111" s="105"/>
      <c r="J111" s="39"/>
      <c r="K111" s="42"/>
      <c r="L111" s="39"/>
      <c r="M111" s="43"/>
    </row>
    <row r="112" spans="1:13" x14ac:dyDescent="0.25">
      <c r="A112" s="44" t="s">
        <v>10</v>
      </c>
      <c r="B112" s="45"/>
      <c r="C112" s="46" t="s">
        <v>109</v>
      </c>
      <c r="D112" s="47"/>
      <c r="E112" s="48"/>
      <c r="F112" s="49"/>
      <c r="G112" s="50"/>
      <c r="H112" s="51"/>
      <c r="I112" s="41"/>
      <c r="J112" s="50"/>
      <c r="K112" s="52"/>
      <c r="L112" s="50"/>
      <c r="M112" s="53"/>
    </row>
    <row r="113" spans="1:13" x14ac:dyDescent="0.25">
      <c r="A113" s="5" t="s">
        <v>12</v>
      </c>
      <c r="B113" s="9"/>
      <c r="C113" s="54"/>
      <c r="D113" s="18"/>
      <c r="E113" s="55"/>
      <c r="F113" s="56"/>
      <c r="G113" s="57"/>
      <c r="H113" s="58"/>
      <c r="I113" s="59"/>
      <c r="J113" s="57"/>
      <c r="K113" s="60"/>
      <c r="L113" s="57"/>
      <c r="M113" s="61"/>
    </row>
    <row r="114" spans="1:13" x14ac:dyDescent="0.25">
      <c r="A114" s="4">
        <v>1</v>
      </c>
      <c r="B114" s="62" t="s">
        <v>13</v>
      </c>
      <c r="C114" s="63"/>
      <c r="D114" s="18">
        <f>SUM(E114:H114)</f>
        <v>3914</v>
      </c>
      <c r="E114" s="64">
        <v>3187</v>
      </c>
      <c r="F114" s="65">
        <v>138</v>
      </c>
      <c r="G114" s="66">
        <v>583</v>
      </c>
      <c r="H114" s="67">
        <v>6</v>
      </c>
      <c r="I114" s="22">
        <f>SUM(J114:M114)</f>
        <v>2105</v>
      </c>
      <c r="J114" s="66">
        <v>831</v>
      </c>
      <c r="K114" s="68">
        <v>9</v>
      </c>
      <c r="L114" s="66">
        <v>1262</v>
      </c>
      <c r="M114" s="69">
        <v>3</v>
      </c>
    </row>
    <row r="115" spans="1:13" x14ac:dyDescent="0.25">
      <c r="A115" s="4">
        <v>2</v>
      </c>
      <c r="B115" s="9" t="s">
        <v>14</v>
      </c>
      <c r="C115" s="54"/>
      <c r="D115" s="18">
        <f>SUM(E115:H115)</f>
        <v>691</v>
      </c>
      <c r="E115" s="70">
        <v>659</v>
      </c>
      <c r="F115" s="56">
        <v>3</v>
      </c>
      <c r="G115" s="18">
        <v>29</v>
      </c>
      <c r="H115" s="58"/>
      <c r="I115" s="22">
        <f>SUM(J115:M115)</f>
        <v>38</v>
      </c>
      <c r="J115" s="18">
        <v>30</v>
      </c>
      <c r="K115" s="60"/>
      <c r="L115" s="18">
        <v>8</v>
      </c>
      <c r="M115" s="61"/>
    </row>
    <row r="116" spans="1:13" x14ac:dyDescent="0.25">
      <c r="A116" s="4">
        <v>3</v>
      </c>
      <c r="B116" s="9" t="s">
        <v>15</v>
      </c>
      <c r="C116" s="54"/>
      <c r="D116" s="18">
        <f>SUM(E116:H116)</f>
        <v>2804</v>
      </c>
      <c r="E116" s="70">
        <v>2643</v>
      </c>
      <c r="F116" s="17"/>
      <c r="G116" s="18">
        <v>161</v>
      </c>
      <c r="H116" s="71"/>
      <c r="I116" s="22">
        <f>SUM(J116:M116)</f>
        <v>519</v>
      </c>
      <c r="J116" s="18">
        <v>478</v>
      </c>
      <c r="K116" s="16"/>
      <c r="L116" s="18">
        <v>41</v>
      </c>
      <c r="M116" s="72"/>
    </row>
    <row r="117" spans="1:13" x14ac:dyDescent="0.25">
      <c r="A117" s="4">
        <v>4</v>
      </c>
      <c r="B117" s="9" t="s">
        <v>16</v>
      </c>
      <c r="C117" s="54"/>
      <c r="D117" s="18">
        <f>SUM(E117:H117)</f>
        <v>22</v>
      </c>
      <c r="E117" s="70">
        <v>22</v>
      </c>
      <c r="F117" s="17"/>
      <c r="G117" s="18"/>
      <c r="H117" s="71"/>
      <c r="I117" s="22">
        <f>SUM(J117:M117)</f>
        <v>0</v>
      </c>
      <c r="J117" s="18"/>
      <c r="K117" s="16"/>
      <c r="L117" s="18"/>
      <c r="M117" s="72"/>
    </row>
    <row r="118" spans="1:13" x14ac:dyDescent="0.25">
      <c r="A118" s="7" t="s">
        <v>17</v>
      </c>
      <c r="B118" s="9"/>
      <c r="C118" s="54"/>
      <c r="D118" s="18"/>
      <c r="E118" s="70"/>
      <c r="F118" s="17"/>
      <c r="G118" s="18"/>
      <c r="H118" s="71"/>
      <c r="I118" s="22"/>
      <c r="J118" s="18"/>
      <c r="K118" s="16"/>
      <c r="L118" s="18"/>
      <c r="M118" s="72"/>
    </row>
    <row r="119" spans="1:13" x14ac:dyDescent="0.25">
      <c r="A119" s="8">
        <v>1</v>
      </c>
      <c r="B119" s="9" t="s">
        <v>18</v>
      </c>
      <c r="C119" s="54"/>
      <c r="D119" s="18">
        <f t="shared" ref="D119:D128" si="9">SUM(E119:H119)</f>
        <v>1776</v>
      </c>
      <c r="E119" s="70">
        <v>1058</v>
      </c>
      <c r="F119" s="17">
        <v>454</v>
      </c>
      <c r="G119" s="18">
        <v>253</v>
      </c>
      <c r="H119" s="71">
        <v>11</v>
      </c>
      <c r="I119" s="22">
        <f t="shared" ref="I119:I128" si="10">SUM(J119:M119)</f>
        <v>893</v>
      </c>
      <c r="J119" s="18">
        <v>240</v>
      </c>
      <c r="K119" s="16">
        <v>123</v>
      </c>
      <c r="L119" s="18">
        <v>516</v>
      </c>
      <c r="M119" s="72">
        <v>14</v>
      </c>
    </row>
    <row r="120" spans="1:13" x14ac:dyDescent="0.25">
      <c r="A120" s="4">
        <v>2</v>
      </c>
      <c r="B120" s="9" t="s">
        <v>19</v>
      </c>
      <c r="C120" s="54"/>
      <c r="D120" s="18">
        <f t="shared" si="9"/>
        <v>1649</v>
      </c>
      <c r="E120" s="70">
        <v>1553</v>
      </c>
      <c r="F120" s="17">
        <v>27</v>
      </c>
      <c r="G120" s="18">
        <v>69</v>
      </c>
      <c r="H120" s="71"/>
      <c r="I120" s="22">
        <f t="shared" si="10"/>
        <v>216</v>
      </c>
      <c r="J120" s="18">
        <v>184</v>
      </c>
      <c r="K120" s="16">
        <v>1</v>
      </c>
      <c r="L120" s="18">
        <v>31</v>
      </c>
      <c r="M120" s="72"/>
    </row>
    <row r="121" spans="1:13" x14ac:dyDescent="0.25">
      <c r="A121" s="4">
        <v>3</v>
      </c>
      <c r="B121" s="9" t="s">
        <v>20</v>
      </c>
      <c r="C121" s="54"/>
      <c r="D121" s="18">
        <f t="shared" si="9"/>
        <v>2741</v>
      </c>
      <c r="E121" s="70">
        <v>1401</v>
      </c>
      <c r="F121" s="17">
        <v>1010</v>
      </c>
      <c r="G121" s="18">
        <v>92</v>
      </c>
      <c r="H121" s="71">
        <v>238</v>
      </c>
      <c r="I121" s="22">
        <f t="shared" si="10"/>
        <v>377</v>
      </c>
      <c r="J121" s="18">
        <v>89</v>
      </c>
      <c r="K121" s="16">
        <v>137</v>
      </c>
      <c r="L121" s="18">
        <v>68</v>
      </c>
      <c r="M121" s="72">
        <v>83</v>
      </c>
    </row>
    <row r="122" spans="1:13" x14ac:dyDescent="0.25">
      <c r="A122" s="4">
        <v>4</v>
      </c>
      <c r="B122" s="9" t="s">
        <v>21</v>
      </c>
      <c r="C122" s="54"/>
      <c r="D122" s="18">
        <f t="shared" si="9"/>
        <v>215</v>
      </c>
      <c r="E122" s="70">
        <v>181</v>
      </c>
      <c r="F122" s="17">
        <v>29</v>
      </c>
      <c r="G122" s="18">
        <v>5</v>
      </c>
      <c r="H122" s="71"/>
      <c r="I122" s="22">
        <f t="shared" si="10"/>
        <v>9</v>
      </c>
      <c r="J122" s="18">
        <v>7</v>
      </c>
      <c r="K122" s="16">
        <v>2</v>
      </c>
      <c r="L122" s="18"/>
      <c r="M122" s="72"/>
    </row>
    <row r="123" spans="1:13" x14ac:dyDescent="0.25">
      <c r="A123" s="4">
        <v>5</v>
      </c>
      <c r="B123" s="9" t="s">
        <v>22</v>
      </c>
      <c r="C123" s="54"/>
      <c r="D123" s="18">
        <f t="shared" si="9"/>
        <v>85</v>
      </c>
      <c r="E123" s="70">
        <v>70</v>
      </c>
      <c r="F123" s="17">
        <v>12</v>
      </c>
      <c r="G123" s="18">
        <v>3</v>
      </c>
      <c r="H123" s="71"/>
      <c r="I123" s="22">
        <f t="shared" si="10"/>
        <v>9</v>
      </c>
      <c r="J123" s="18">
        <v>8</v>
      </c>
      <c r="K123" s="16">
        <v>1</v>
      </c>
      <c r="L123" s="18"/>
      <c r="M123" s="72"/>
    </row>
    <row r="124" spans="1:13" x14ac:dyDescent="0.25">
      <c r="A124" s="4">
        <v>6</v>
      </c>
      <c r="B124" s="9" t="s">
        <v>23</v>
      </c>
      <c r="C124" s="54"/>
      <c r="D124" s="18">
        <f t="shared" si="9"/>
        <v>409</v>
      </c>
      <c r="E124" s="70">
        <v>403</v>
      </c>
      <c r="F124" s="17">
        <v>1</v>
      </c>
      <c r="G124" s="18">
        <v>5</v>
      </c>
      <c r="H124" s="71"/>
      <c r="I124" s="22">
        <f t="shared" si="10"/>
        <v>71</v>
      </c>
      <c r="J124" s="18">
        <v>71</v>
      </c>
      <c r="K124" s="16"/>
      <c r="L124" s="18"/>
      <c r="M124" s="72"/>
    </row>
    <row r="125" spans="1:13" x14ac:dyDescent="0.25">
      <c r="A125" s="4">
        <v>7</v>
      </c>
      <c r="B125" s="9" t="s">
        <v>24</v>
      </c>
      <c r="C125" s="54"/>
      <c r="D125" s="18">
        <f t="shared" si="9"/>
        <v>4824</v>
      </c>
      <c r="E125" s="70">
        <v>1087</v>
      </c>
      <c r="F125" s="17">
        <v>3090</v>
      </c>
      <c r="G125" s="18">
        <v>314</v>
      </c>
      <c r="H125" s="71">
        <v>333</v>
      </c>
      <c r="I125" s="22">
        <f t="shared" si="10"/>
        <v>5443</v>
      </c>
      <c r="J125" s="18">
        <v>774</v>
      </c>
      <c r="K125" s="16">
        <v>2648</v>
      </c>
      <c r="L125" s="18">
        <v>1200</v>
      </c>
      <c r="M125" s="72">
        <v>821</v>
      </c>
    </row>
    <row r="126" spans="1:13" x14ac:dyDescent="0.25">
      <c r="A126" s="4">
        <v>8</v>
      </c>
      <c r="B126" s="9" t="s">
        <v>25</v>
      </c>
      <c r="C126" s="54"/>
      <c r="D126" s="18">
        <f t="shared" si="9"/>
        <v>399</v>
      </c>
      <c r="E126" s="70">
        <v>286</v>
      </c>
      <c r="F126" s="17">
        <v>87</v>
      </c>
      <c r="G126" s="18">
        <v>22</v>
      </c>
      <c r="H126" s="71">
        <v>4</v>
      </c>
      <c r="I126" s="22">
        <f t="shared" si="10"/>
        <v>36</v>
      </c>
      <c r="J126" s="18">
        <v>32</v>
      </c>
      <c r="K126" s="16">
        <v>3</v>
      </c>
      <c r="L126" s="18">
        <v>1</v>
      </c>
      <c r="M126" s="72"/>
    </row>
    <row r="127" spans="1:13" x14ac:dyDescent="0.25">
      <c r="A127" s="4">
        <v>9</v>
      </c>
      <c r="B127" s="9" t="s">
        <v>26</v>
      </c>
      <c r="C127" s="54"/>
      <c r="D127" s="18">
        <f t="shared" si="9"/>
        <v>736</v>
      </c>
      <c r="E127" s="70">
        <v>158</v>
      </c>
      <c r="F127" s="17">
        <v>561</v>
      </c>
      <c r="G127" s="18">
        <v>12</v>
      </c>
      <c r="H127" s="71">
        <v>5</v>
      </c>
      <c r="I127" s="22">
        <f t="shared" si="10"/>
        <v>31</v>
      </c>
      <c r="J127" s="18">
        <v>4</v>
      </c>
      <c r="K127" s="16">
        <v>27</v>
      </c>
      <c r="L127" s="18"/>
      <c r="M127" s="72"/>
    </row>
    <row r="128" spans="1:13" x14ac:dyDescent="0.25">
      <c r="A128" s="4">
        <v>10</v>
      </c>
      <c r="B128" s="9" t="s">
        <v>27</v>
      </c>
      <c r="C128" s="54"/>
      <c r="D128" s="18">
        <f t="shared" si="9"/>
        <v>377</v>
      </c>
      <c r="E128" s="70">
        <v>259</v>
      </c>
      <c r="F128" s="17">
        <v>66</v>
      </c>
      <c r="G128" s="18">
        <v>50</v>
      </c>
      <c r="H128" s="71">
        <v>2</v>
      </c>
      <c r="I128" s="22">
        <f t="shared" si="10"/>
        <v>12</v>
      </c>
      <c r="J128" s="18">
        <v>5</v>
      </c>
      <c r="K128" s="16"/>
      <c r="L128" s="18">
        <v>6</v>
      </c>
      <c r="M128" s="72">
        <v>1</v>
      </c>
    </row>
    <row r="129" spans="1:13" x14ac:dyDescent="0.25">
      <c r="A129" s="6" t="s">
        <v>28</v>
      </c>
      <c r="B129" s="9"/>
      <c r="C129" s="54"/>
      <c r="D129" s="18"/>
      <c r="E129" s="70"/>
      <c r="F129" s="17"/>
      <c r="G129" s="18"/>
      <c r="H129" s="71"/>
      <c r="I129" s="22"/>
      <c r="J129" s="18"/>
      <c r="K129" s="16"/>
      <c r="L129" s="18"/>
      <c r="M129" s="72"/>
    </row>
    <row r="130" spans="1:13" x14ac:dyDescent="0.25">
      <c r="A130" s="5" t="s">
        <v>29</v>
      </c>
      <c r="B130" s="9"/>
      <c r="C130" s="54"/>
      <c r="D130" s="18"/>
      <c r="E130" s="70"/>
      <c r="F130" s="17"/>
      <c r="G130" s="18"/>
      <c r="H130" s="71"/>
      <c r="I130" s="22"/>
      <c r="J130" s="18"/>
      <c r="K130" s="16"/>
      <c r="L130" s="18"/>
      <c r="M130" s="72"/>
    </row>
    <row r="131" spans="1:13" x14ac:dyDescent="0.25">
      <c r="A131" s="4">
        <v>1</v>
      </c>
      <c r="B131" s="73" t="s">
        <v>30</v>
      </c>
      <c r="C131" s="54"/>
      <c r="D131" s="18">
        <f>SUM(E131:H131)</f>
        <v>110650</v>
      </c>
      <c r="E131" s="70">
        <v>4</v>
      </c>
      <c r="F131" s="17">
        <v>65957</v>
      </c>
      <c r="G131" s="18">
        <v>8</v>
      </c>
      <c r="H131" s="71">
        <v>44681</v>
      </c>
      <c r="I131" s="22">
        <f>SUM(J131:M131)</f>
        <v>144057</v>
      </c>
      <c r="J131" s="18">
        <v>14</v>
      </c>
      <c r="K131" s="16">
        <v>66546</v>
      </c>
      <c r="L131" s="18">
        <v>10</v>
      </c>
      <c r="M131" s="72">
        <v>77487</v>
      </c>
    </row>
    <row r="132" spans="1:13" x14ac:dyDescent="0.25">
      <c r="A132" s="5" t="s">
        <v>31</v>
      </c>
      <c r="B132" s="9"/>
      <c r="C132" s="54"/>
      <c r="D132" s="18"/>
      <c r="E132" s="70"/>
      <c r="F132" s="17"/>
      <c r="G132" s="18"/>
      <c r="H132" s="71"/>
      <c r="I132" s="22"/>
      <c r="J132" s="18"/>
      <c r="K132" s="16"/>
      <c r="L132" s="18"/>
      <c r="M132" s="72"/>
    </row>
    <row r="133" spans="1:13" x14ac:dyDescent="0.25">
      <c r="A133" s="4">
        <v>1</v>
      </c>
      <c r="B133" s="9" t="s">
        <v>32</v>
      </c>
      <c r="C133" s="54"/>
      <c r="D133" s="18">
        <f>SUM(E133:H133)</f>
        <v>2042</v>
      </c>
      <c r="E133" s="70">
        <v>1120</v>
      </c>
      <c r="F133" s="17">
        <v>743</v>
      </c>
      <c r="G133" s="18">
        <v>117</v>
      </c>
      <c r="H133" s="71">
        <v>62</v>
      </c>
      <c r="I133" s="22">
        <f>SUM(J133:M133)</f>
        <v>286</v>
      </c>
      <c r="J133" s="18">
        <v>184</v>
      </c>
      <c r="K133" s="16">
        <v>74</v>
      </c>
      <c r="L133" s="18">
        <v>18</v>
      </c>
      <c r="M133" s="72">
        <v>10</v>
      </c>
    </row>
    <row r="134" spans="1:13" x14ac:dyDescent="0.25">
      <c r="A134" s="4">
        <v>2</v>
      </c>
      <c r="B134" s="9" t="s">
        <v>33</v>
      </c>
      <c r="C134" s="54"/>
      <c r="D134" s="18">
        <f>SUM(E134:H134)</f>
        <v>62910</v>
      </c>
      <c r="E134" s="55">
        <v>1816</v>
      </c>
      <c r="F134" s="17">
        <v>4631</v>
      </c>
      <c r="G134" s="57">
        <v>11756</v>
      </c>
      <c r="H134" s="71">
        <v>44707</v>
      </c>
      <c r="I134" s="22">
        <f>SUM(J134:M134)</f>
        <v>55524</v>
      </c>
      <c r="J134" s="57">
        <v>585</v>
      </c>
      <c r="K134" s="16">
        <v>2006</v>
      </c>
      <c r="L134" s="57">
        <v>11404</v>
      </c>
      <c r="M134" s="72">
        <v>41529</v>
      </c>
    </row>
    <row r="135" spans="1:13" x14ac:dyDescent="0.25">
      <c r="A135" s="6" t="s">
        <v>34</v>
      </c>
      <c r="B135" s="9"/>
      <c r="C135" s="54"/>
      <c r="D135" s="18"/>
      <c r="E135" s="55"/>
      <c r="F135" s="17"/>
      <c r="G135" s="57"/>
      <c r="H135" s="71"/>
      <c r="I135" s="22"/>
      <c r="J135" s="57"/>
      <c r="K135" s="16"/>
      <c r="L135" s="57"/>
      <c r="M135" s="72"/>
    </row>
    <row r="136" spans="1:13" x14ac:dyDescent="0.25">
      <c r="A136" s="74" t="s">
        <v>35</v>
      </c>
      <c r="B136" s="9"/>
      <c r="C136" s="26"/>
      <c r="D136" s="18"/>
      <c r="E136" s="55"/>
      <c r="F136" s="17"/>
      <c r="G136" s="55"/>
      <c r="H136" s="17"/>
      <c r="I136" s="22"/>
      <c r="J136" s="57"/>
      <c r="K136" s="16"/>
      <c r="L136" s="55"/>
      <c r="M136" s="75"/>
    </row>
    <row r="137" spans="1:13" x14ac:dyDescent="0.25">
      <c r="A137" s="8">
        <v>1</v>
      </c>
      <c r="B137" s="9" t="s">
        <v>36</v>
      </c>
      <c r="C137" s="26"/>
      <c r="D137" s="18">
        <f>SUM(E137:H137)</f>
        <v>21976</v>
      </c>
      <c r="E137" s="55">
        <v>14964</v>
      </c>
      <c r="F137" s="17">
        <v>2607</v>
      </c>
      <c r="G137" s="55">
        <v>4225</v>
      </c>
      <c r="H137" s="17">
        <v>180</v>
      </c>
      <c r="I137" s="22">
        <f>SUM(J137:M137)</f>
        <v>6041</v>
      </c>
      <c r="J137" s="57">
        <v>3850</v>
      </c>
      <c r="K137" s="16">
        <v>244</v>
      </c>
      <c r="L137" s="55">
        <v>1916</v>
      </c>
      <c r="M137" s="75">
        <v>31</v>
      </c>
    </row>
    <row r="138" spans="1:13" x14ac:dyDescent="0.25">
      <c r="A138" s="7" t="s">
        <v>37</v>
      </c>
      <c r="B138" s="9"/>
      <c r="C138" s="26"/>
      <c r="D138" s="18"/>
      <c r="E138" s="55"/>
      <c r="F138" s="17"/>
      <c r="G138" s="55"/>
      <c r="H138" s="17"/>
      <c r="I138" s="22"/>
      <c r="J138" s="57"/>
      <c r="K138" s="16"/>
      <c r="L138" s="55"/>
      <c r="M138" s="75"/>
    </row>
    <row r="139" spans="1:13" x14ac:dyDescent="0.25">
      <c r="A139" s="8">
        <v>1</v>
      </c>
      <c r="B139" s="9" t="s">
        <v>38</v>
      </c>
      <c r="C139" s="26"/>
      <c r="D139" s="18">
        <f t="shared" ref="D139:D144" si="11">SUM(E139:H139)</f>
        <v>5911</v>
      </c>
      <c r="E139" s="55">
        <v>4820</v>
      </c>
      <c r="F139" s="17">
        <v>35</v>
      </c>
      <c r="G139" s="55">
        <v>1052</v>
      </c>
      <c r="H139" s="17">
        <v>4</v>
      </c>
      <c r="I139" s="22">
        <f t="shared" ref="I139:I144" si="12">SUM(J139:M139)</f>
        <v>1327</v>
      </c>
      <c r="J139" s="57">
        <v>974</v>
      </c>
      <c r="K139" s="16">
        <v>8</v>
      </c>
      <c r="L139" s="55">
        <v>337</v>
      </c>
      <c r="M139" s="75">
        <v>8</v>
      </c>
    </row>
    <row r="140" spans="1:13" x14ac:dyDescent="0.25">
      <c r="A140" s="4">
        <v>2</v>
      </c>
      <c r="B140" s="9" t="s">
        <v>39</v>
      </c>
      <c r="C140" s="26"/>
      <c r="D140" s="18">
        <f t="shared" si="11"/>
        <v>6062</v>
      </c>
      <c r="E140" s="55">
        <v>2356</v>
      </c>
      <c r="F140" s="17">
        <v>11</v>
      </c>
      <c r="G140" s="55">
        <v>3691</v>
      </c>
      <c r="H140" s="17">
        <v>4</v>
      </c>
      <c r="I140" s="22">
        <f t="shared" si="12"/>
        <v>3489</v>
      </c>
      <c r="J140" s="57">
        <v>844</v>
      </c>
      <c r="K140" s="16">
        <v>5</v>
      </c>
      <c r="L140" s="55">
        <v>2628</v>
      </c>
      <c r="M140" s="75">
        <v>12</v>
      </c>
    </row>
    <row r="141" spans="1:13" x14ac:dyDescent="0.25">
      <c r="A141" s="4">
        <v>3</v>
      </c>
      <c r="B141" s="9" t="s">
        <v>40</v>
      </c>
      <c r="C141" s="26"/>
      <c r="D141" s="18">
        <f t="shared" si="11"/>
        <v>3328</v>
      </c>
      <c r="E141" s="55">
        <v>2736</v>
      </c>
      <c r="F141" s="17">
        <v>18</v>
      </c>
      <c r="G141" s="55">
        <v>574</v>
      </c>
      <c r="H141" s="17"/>
      <c r="I141" s="22">
        <f t="shared" si="12"/>
        <v>194</v>
      </c>
      <c r="J141" s="57">
        <v>147</v>
      </c>
      <c r="K141" s="16"/>
      <c r="L141" s="55">
        <v>47</v>
      </c>
      <c r="M141" s="75"/>
    </row>
    <row r="142" spans="1:13" x14ac:dyDescent="0.25">
      <c r="A142" s="4">
        <v>4</v>
      </c>
      <c r="B142" s="9" t="s">
        <v>41</v>
      </c>
      <c r="C142" s="26"/>
      <c r="D142" s="18">
        <f t="shared" si="11"/>
        <v>1575</v>
      </c>
      <c r="E142" s="55">
        <v>372</v>
      </c>
      <c r="F142" s="17">
        <v>5</v>
      </c>
      <c r="G142" s="55">
        <v>1195</v>
      </c>
      <c r="H142" s="17">
        <v>3</v>
      </c>
      <c r="I142" s="22">
        <f t="shared" si="12"/>
        <v>0</v>
      </c>
      <c r="J142" s="57"/>
      <c r="K142" s="16"/>
      <c r="L142" s="55"/>
      <c r="M142" s="75"/>
    </row>
    <row r="143" spans="1:13" x14ac:dyDescent="0.25">
      <c r="A143" s="4">
        <v>5</v>
      </c>
      <c r="B143" s="9" t="s">
        <v>42</v>
      </c>
      <c r="C143" s="26"/>
      <c r="D143" s="18">
        <f t="shared" si="11"/>
        <v>2803</v>
      </c>
      <c r="E143" s="55">
        <v>2293</v>
      </c>
      <c r="F143" s="17">
        <v>135</v>
      </c>
      <c r="G143" s="55">
        <v>373</v>
      </c>
      <c r="H143" s="17">
        <v>2</v>
      </c>
      <c r="I143" s="22">
        <f t="shared" si="12"/>
        <v>383</v>
      </c>
      <c r="J143" s="57">
        <v>205</v>
      </c>
      <c r="K143" s="16">
        <v>38</v>
      </c>
      <c r="L143" s="55">
        <v>133</v>
      </c>
      <c r="M143" s="75">
        <v>7</v>
      </c>
    </row>
    <row r="144" spans="1:13" x14ac:dyDescent="0.25">
      <c r="A144" s="4">
        <v>6</v>
      </c>
      <c r="B144" s="9" t="s">
        <v>43</v>
      </c>
      <c r="C144" s="26"/>
      <c r="D144" s="18">
        <f t="shared" si="11"/>
        <v>1540</v>
      </c>
      <c r="E144" s="55">
        <v>482</v>
      </c>
      <c r="F144" s="17"/>
      <c r="G144" s="55">
        <v>1054</v>
      </c>
      <c r="H144" s="17">
        <v>4</v>
      </c>
      <c r="I144" s="22">
        <f t="shared" si="12"/>
        <v>107</v>
      </c>
      <c r="J144" s="57">
        <v>19</v>
      </c>
      <c r="K144" s="16"/>
      <c r="L144" s="55">
        <v>88</v>
      </c>
      <c r="M144" s="75"/>
    </row>
    <row r="145" spans="1:13" x14ac:dyDescent="0.25">
      <c r="A145" s="76" t="s">
        <v>44</v>
      </c>
      <c r="B145" s="9"/>
      <c r="C145" s="77" t="s">
        <v>110</v>
      </c>
      <c r="D145" s="18"/>
      <c r="E145" s="55"/>
      <c r="F145" s="17"/>
      <c r="G145" s="55"/>
      <c r="H145" s="17"/>
      <c r="I145" s="22"/>
      <c r="J145" s="57"/>
      <c r="K145" s="16"/>
      <c r="L145" s="55"/>
      <c r="M145" s="75"/>
    </row>
    <row r="146" spans="1:13" x14ac:dyDescent="0.25">
      <c r="A146" s="78" t="s">
        <v>46</v>
      </c>
      <c r="B146" s="9"/>
      <c r="C146" s="26"/>
      <c r="D146" s="18"/>
      <c r="E146" s="55"/>
      <c r="F146" s="17"/>
      <c r="G146" s="55"/>
      <c r="H146" s="17"/>
      <c r="I146" s="22"/>
      <c r="J146" s="57"/>
      <c r="K146" s="16"/>
      <c r="L146" s="55"/>
      <c r="M146" s="75"/>
    </row>
    <row r="147" spans="1:13" x14ac:dyDescent="0.25">
      <c r="A147" s="4">
        <v>1</v>
      </c>
      <c r="B147" s="9" t="s">
        <v>47</v>
      </c>
      <c r="C147" s="26"/>
      <c r="D147" s="18">
        <f>SUM(E147:H147)</f>
        <v>45662</v>
      </c>
      <c r="E147" s="55">
        <v>8015</v>
      </c>
      <c r="F147" s="17">
        <v>423</v>
      </c>
      <c r="G147" s="55">
        <v>22635</v>
      </c>
      <c r="H147" s="17">
        <v>14589</v>
      </c>
      <c r="I147" s="22">
        <f>SUM(J147:M147)</f>
        <v>923929</v>
      </c>
      <c r="J147" s="57">
        <v>72280</v>
      </c>
      <c r="K147" s="16">
        <v>4678</v>
      </c>
      <c r="L147" s="55">
        <v>423615</v>
      </c>
      <c r="M147" s="75">
        <v>423356</v>
      </c>
    </row>
    <row r="148" spans="1:13" x14ac:dyDescent="0.25">
      <c r="A148" s="4">
        <v>2</v>
      </c>
      <c r="B148" s="9" t="s">
        <v>48</v>
      </c>
      <c r="C148" s="26"/>
      <c r="D148" s="18">
        <f>SUM(E148:H148)</f>
        <v>244</v>
      </c>
      <c r="E148" s="55">
        <v>152</v>
      </c>
      <c r="F148" s="17">
        <v>4</v>
      </c>
      <c r="G148" s="55">
        <v>85</v>
      </c>
      <c r="H148" s="17">
        <v>3</v>
      </c>
      <c r="I148" s="22">
        <f>SUM(J148:M148)</f>
        <v>1617</v>
      </c>
      <c r="J148" s="57">
        <v>772</v>
      </c>
      <c r="K148" s="16">
        <v>5</v>
      </c>
      <c r="L148" s="55">
        <v>813</v>
      </c>
      <c r="M148" s="75">
        <v>27</v>
      </c>
    </row>
    <row r="149" spans="1:13" x14ac:dyDescent="0.25">
      <c r="A149" s="4">
        <v>3</v>
      </c>
      <c r="B149" s="9" t="s">
        <v>49</v>
      </c>
      <c r="C149" s="26"/>
      <c r="D149" s="18">
        <f>SUM(E149:H149)</f>
        <v>1</v>
      </c>
      <c r="E149" s="55"/>
      <c r="F149" s="17"/>
      <c r="G149" s="55">
        <v>1</v>
      </c>
      <c r="H149" s="17"/>
      <c r="I149" s="22">
        <f>SUM(J149:M149)</f>
        <v>219</v>
      </c>
      <c r="J149" s="57">
        <v>40</v>
      </c>
      <c r="K149" s="16">
        <v>6</v>
      </c>
      <c r="L149" s="55">
        <v>152</v>
      </c>
      <c r="M149" s="75">
        <v>21</v>
      </c>
    </row>
    <row r="150" spans="1:13" x14ac:dyDescent="0.25">
      <c r="A150" s="4">
        <v>4</v>
      </c>
      <c r="B150" s="9" t="s">
        <v>50</v>
      </c>
      <c r="C150" s="26"/>
      <c r="D150" s="18">
        <f>SUM(E150:H150)</f>
        <v>2558</v>
      </c>
      <c r="E150" s="55">
        <v>902</v>
      </c>
      <c r="F150" s="17"/>
      <c r="G150" s="55">
        <v>1654</v>
      </c>
      <c r="H150" s="17">
        <v>2</v>
      </c>
      <c r="I150" s="22">
        <f>SUM(J150:M150)</f>
        <v>1392</v>
      </c>
      <c r="J150" s="57">
        <v>460</v>
      </c>
      <c r="K150" s="16"/>
      <c r="L150" s="55">
        <v>932</v>
      </c>
      <c r="M150" s="75"/>
    </row>
    <row r="151" spans="1:13" x14ac:dyDescent="0.25">
      <c r="A151" s="76" t="s">
        <v>51</v>
      </c>
      <c r="B151" s="9"/>
      <c r="C151" s="26"/>
      <c r="D151" s="18"/>
      <c r="E151" s="55"/>
      <c r="F151" s="17"/>
      <c r="G151" s="55"/>
      <c r="H151" s="17"/>
      <c r="I151" s="22"/>
      <c r="J151" s="57"/>
      <c r="K151" s="16"/>
      <c r="L151" s="55"/>
      <c r="M151" s="75"/>
    </row>
    <row r="152" spans="1:13" x14ac:dyDescent="0.25">
      <c r="A152" s="78" t="s">
        <v>52</v>
      </c>
      <c r="B152" s="9"/>
      <c r="C152" s="26"/>
      <c r="D152" s="18"/>
      <c r="E152" s="55"/>
      <c r="F152" s="17"/>
      <c r="G152" s="55"/>
      <c r="H152" s="17"/>
      <c r="I152" s="22"/>
      <c r="J152" s="57"/>
      <c r="K152" s="16"/>
      <c r="L152" s="55"/>
      <c r="M152" s="75"/>
    </row>
    <row r="153" spans="1:13" x14ac:dyDescent="0.25">
      <c r="A153" s="4">
        <v>1</v>
      </c>
      <c r="B153" s="9" t="s">
        <v>53</v>
      </c>
      <c r="C153" s="26"/>
      <c r="D153" s="18">
        <f t="shared" ref="D153:D165" si="13">SUM(E153:H153)</f>
        <v>2401</v>
      </c>
      <c r="E153" s="55">
        <v>1592</v>
      </c>
      <c r="F153" s="17">
        <v>316</v>
      </c>
      <c r="G153" s="55">
        <v>407</v>
      </c>
      <c r="H153" s="17">
        <v>86</v>
      </c>
      <c r="I153" s="22">
        <f t="shared" ref="I153:I165" si="14">SUM(J153:M153)</f>
        <v>63</v>
      </c>
      <c r="J153" s="57">
        <v>36</v>
      </c>
      <c r="K153" s="16">
        <v>6</v>
      </c>
      <c r="L153" s="55">
        <v>17</v>
      </c>
      <c r="M153" s="75">
        <v>4</v>
      </c>
    </row>
    <row r="154" spans="1:13" x14ac:dyDescent="0.25">
      <c r="A154" s="4">
        <v>2</v>
      </c>
      <c r="B154" s="9" t="s">
        <v>54</v>
      </c>
      <c r="C154" s="26"/>
      <c r="D154" s="18">
        <f t="shared" si="13"/>
        <v>117</v>
      </c>
      <c r="E154" s="55">
        <v>103</v>
      </c>
      <c r="F154" s="17">
        <v>11</v>
      </c>
      <c r="G154" s="55">
        <v>3</v>
      </c>
      <c r="H154" s="17"/>
      <c r="I154" s="22">
        <f t="shared" si="14"/>
        <v>9</v>
      </c>
      <c r="J154" s="57">
        <v>9</v>
      </c>
      <c r="K154" s="16"/>
      <c r="L154" s="55"/>
      <c r="M154" s="75"/>
    </row>
    <row r="155" spans="1:13" x14ac:dyDescent="0.25">
      <c r="A155" s="4">
        <v>3</v>
      </c>
      <c r="B155" s="9" t="s">
        <v>55</v>
      </c>
      <c r="C155" s="26"/>
      <c r="D155" s="18">
        <f t="shared" si="13"/>
        <v>51</v>
      </c>
      <c r="E155" s="55">
        <v>46</v>
      </c>
      <c r="F155" s="17"/>
      <c r="G155" s="55">
        <v>5</v>
      </c>
      <c r="H155" s="17"/>
      <c r="I155" s="22">
        <f t="shared" si="14"/>
        <v>0</v>
      </c>
      <c r="J155" s="57"/>
      <c r="K155" s="16"/>
      <c r="L155" s="55"/>
      <c r="M155" s="75"/>
    </row>
    <row r="156" spans="1:13" x14ac:dyDescent="0.25">
      <c r="A156" s="4">
        <v>4</v>
      </c>
      <c r="B156" s="9" t="s">
        <v>56</v>
      </c>
      <c r="C156" s="26"/>
      <c r="D156" s="18">
        <f t="shared" si="13"/>
        <v>118</v>
      </c>
      <c r="E156" s="55">
        <v>41</v>
      </c>
      <c r="F156" s="17">
        <v>1</v>
      </c>
      <c r="G156" s="55">
        <v>69</v>
      </c>
      <c r="H156" s="17">
        <v>7</v>
      </c>
      <c r="I156" s="22">
        <f t="shared" si="14"/>
        <v>5</v>
      </c>
      <c r="J156" s="57">
        <v>1</v>
      </c>
      <c r="K156" s="16"/>
      <c r="L156" s="55">
        <v>4</v>
      </c>
      <c r="M156" s="75"/>
    </row>
    <row r="157" spans="1:13" x14ac:dyDescent="0.25">
      <c r="A157" s="4">
        <v>5</v>
      </c>
      <c r="B157" s="9" t="s">
        <v>57</v>
      </c>
      <c r="C157" s="26"/>
      <c r="D157" s="18">
        <f t="shared" si="13"/>
        <v>44</v>
      </c>
      <c r="E157" s="55">
        <v>39</v>
      </c>
      <c r="F157" s="17">
        <v>1</v>
      </c>
      <c r="G157" s="55">
        <v>3</v>
      </c>
      <c r="H157" s="17">
        <v>1</v>
      </c>
      <c r="I157" s="22">
        <f t="shared" si="14"/>
        <v>3</v>
      </c>
      <c r="J157" s="57">
        <v>3</v>
      </c>
      <c r="K157" s="16"/>
      <c r="L157" s="55"/>
      <c r="M157" s="75"/>
    </row>
    <row r="158" spans="1:13" x14ac:dyDescent="0.25">
      <c r="A158" s="4">
        <v>6</v>
      </c>
      <c r="B158" s="9" t="s">
        <v>58</v>
      </c>
      <c r="C158" s="26"/>
      <c r="D158" s="18">
        <f t="shared" si="13"/>
        <v>251</v>
      </c>
      <c r="E158" s="55">
        <v>232</v>
      </c>
      <c r="F158" s="17">
        <v>3</v>
      </c>
      <c r="G158" s="55">
        <v>16</v>
      </c>
      <c r="H158" s="17"/>
      <c r="I158" s="22">
        <f t="shared" si="14"/>
        <v>17</v>
      </c>
      <c r="J158" s="57">
        <v>15</v>
      </c>
      <c r="K158" s="16"/>
      <c r="L158" s="55">
        <v>2</v>
      </c>
      <c r="M158" s="75"/>
    </row>
    <row r="159" spans="1:13" x14ac:dyDescent="0.25">
      <c r="A159" s="4">
        <v>7</v>
      </c>
      <c r="B159" s="9" t="s">
        <v>59</v>
      </c>
      <c r="C159" s="26"/>
      <c r="D159" s="18">
        <f t="shared" si="13"/>
        <v>10</v>
      </c>
      <c r="E159" s="55">
        <v>10</v>
      </c>
      <c r="F159" s="17"/>
      <c r="G159" s="55"/>
      <c r="H159" s="17"/>
      <c r="I159" s="22">
        <f t="shared" si="14"/>
        <v>0</v>
      </c>
      <c r="J159" s="57"/>
      <c r="K159" s="16"/>
      <c r="L159" s="55"/>
      <c r="M159" s="75"/>
    </row>
    <row r="160" spans="1:13" x14ac:dyDescent="0.25">
      <c r="A160" s="4">
        <v>8</v>
      </c>
      <c r="B160" s="9" t="s">
        <v>60</v>
      </c>
      <c r="C160" s="26"/>
      <c r="D160" s="18">
        <f t="shared" si="13"/>
        <v>270</v>
      </c>
      <c r="E160" s="55">
        <v>208</v>
      </c>
      <c r="F160" s="17">
        <v>7</v>
      </c>
      <c r="G160" s="55">
        <v>10</v>
      </c>
      <c r="H160" s="17">
        <v>45</v>
      </c>
      <c r="I160" s="22">
        <f t="shared" si="14"/>
        <v>78</v>
      </c>
      <c r="J160" s="57">
        <v>31</v>
      </c>
      <c r="K160" s="16">
        <v>1</v>
      </c>
      <c r="L160" s="55">
        <v>41</v>
      </c>
      <c r="M160" s="75">
        <v>5</v>
      </c>
    </row>
    <row r="161" spans="1:13" x14ac:dyDescent="0.25">
      <c r="A161" s="4">
        <v>9</v>
      </c>
      <c r="B161" s="9" t="s">
        <v>61</v>
      </c>
      <c r="C161" s="26"/>
      <c r="D161" s="18">
        <f t="shared" si="13"/>
        <v>750</v>
      </c>
      <c r="E161" s="55">
        <v>693</v>
      </c>
      <c r="F161" s="17">
        <v>3</v>
      </c>
      <c r="G161" s="55">
        <v>54</v>
      </c>
      <c r="H161" s="17"/>
      <c r="I161" s="22">
        <f t="shared" si="14"/>
        <v>75</v>
      </c>
      <c r="J161" s="57">
        <v>71</v>
      </c>
      <c r="K161" s="16"/>
      <c r="L161" s="55">
        <v>4</v>
      </c>
      <c r="M161" s="75"/>
    </row>
    <row r="162" spans="1:13" x14ac:dyDescent="0.25">
      <c r="A162" s="4">
        <v>10</v>
      </c>
      <c r="B162" s="9" t="s">
        <v>62</v>
      </c>
      <c r="C162" s="26"/>
      <c r="D162" s="18">
        <f t="shared" si="13"/>
        <v>3185</v>
      </c>
      <c r="E162" s="55">
        <v>2017</v>
      </c>
      <c r="F162" s="17">
        <v>6</v>
      </c>
      <c r="G162" s="55">
        <v>1160</v>
      </c>
      <c r="H162" s="17">
        <v>2</v>
      </c>
      <c r="I162" s="22">
        <f t="shared" si="14"/>
        <v>402</v>
      </c>
      <c r="J162" s="57">
        <v>264</v>
      </c>
      <c r="K162" s="16"/>
      <c r="L162" s="55">
        <v>138</v>
      </c>
      <c r="M162" s="75"/>
    </row>
    <row r="163" spans="1:13" x14ac:dyDescent="0.25">
      <c r="A163" s="4">
        <v>11</v>
      </c>
      <c r="B163" s="9" t="s">
        <v>63</v>
      </c>
      <c r="C163" s="26"/>
      <c r="D163" s="18">
        <f t="shared" si="13"/>
        <v>270</v>
      </c>
      <c r="E163" s="55">
        <v>219</v>
      </c>
      <c r="F163" s="17"/>
      <c r="G163" s="55">
        <v>51</v>
      </c>
      <c r="H163" s="17"/>
      <c r="I163" s="22">
        <f t="shared" si="14"/>
        <v>24</v>
      </c>
      <c r="J163" s="57">
        <v>18</v>
      </c>
      <c r="K163" s="16"/>
      <c r="L163" s="55">
        <v>6</v>
      </c>
      <c r="M163" s="75"/>
    </row>
    <row r="164" spans="1:13" x14ac:dyDescent="0.25">
      <c r="A164" s="4">
        <v>12</v>
      </c>
      <c r="B164" s="9" t="s">
        <v>64</v>
      </c>
      <c r="C164" s="26"/>
      <c r="D164" s="18">
        <f t="shared" si="13"/>
        <v>1119</v>
      </c>
      <c r="E164" s="55">
        <v>683</v>
      </c>
      <c r="F164" s="17">
        <v>21</v>
      </c>
      <c r="G164" s="55">
        <v>404</v>
      </c>
      <c r="H164" s="17">
        <v>11</v>
      </c>
      <c r="I164" s="22">
        <f t="shared" si="14"/>
        <v>49</v>
      </c>
      <c r="J164" s="57">
        <v>36</v>
      </c>
      <c r="K164" s="16"/>
      <c r="L164" s="55">
        <v>13</v>
      </c>
      <c r="M164" s="75"/>
    </row>
    <row r="165" spans="1:13" x14ac:dyDescent="0.25">
      <c r="A165" s="4">
        <v>13</v>
      </c>
      <c r="B165" s="9" t="s">
        <v>65</v>
      </c>
      <c r="C165" s="26"/>
      <c r="D165" s="18">
        <f t="shared" si="13"/>
        <v>16</v>
      </c>
      <c r="E165" s="55">
        <v>14</v>
      </c>
      <c r="F165" s="17">
        <v>1</v>
      </c>
      <c r="G165" s="55">
        <v>1</v>
      </c>
      <c r="H165" s="17"/>
      <c r="I165" s="22">
        <f t="shared" si="14"/>
        <v>0</v>
      </c>
      <c r="J165" s="57"/>
      <c r="K165" s="16"/>
      <c r="L165" s="55"/>
      <c r="M165" s="75"/>
    </row>
    <row r="166" spans="1:13" x14ac:dyDescent="0.25">
      <c r="A166" s="5" t="s">
        <v>66</v>
      </c>
      <c r="B166" s="9"/>
      <c r="C166" s="26"/>
      <c r="D166" s="18"/>
      <c r="E166" s="55"/>
      <c r="F166" s="17"/>
      <c r="G166" s="55"/>
      <c r="H166" s="17"/>
      <c r="I166" s="22"/>
      <c r="J166" s="57"/>
      <c r="K166" s="16"/>
      <c r="L166" s="55"/>
      <c r="M166" s="75"/>
    </row>
    <row r="167" spans="1:13" x14ac:dyDescent="0.25">
      <c r="A167" s="4">
        <v>1</v>
      </c>
      <c r="B167" s="9" t="s">
        <v>67</v>
      </c>
      <c r="C167" s="26"/>
      <c r="D167" s="18">
        <f>SUM(E167:H167)</f>
        <v>3086</v>
      </c>
      <c r="E167" s="55">
        <v>955</v>
      </c>
      <c r="F167" s="17"/>
      <c r="G167" s="55">
        <v>2131</v>
      </c>
      <c r="H167" s="17"/>
      <c r="I167" s="22">
        <f>SUM(J167:M167)</f>
        <v>5586</v>
      </c>
      <c r="J167" s="57">
        <v>950</v>
      </c>
      <c r="K167" s="16"/>
      <c r="L167" s="55">
        <v>4636</v>
      </c>
      <c r="M167" s="75"/>
    </row>
    <row r="168" spans="1:13" x14ac:dyDescent="0.25">
      <c r="A168" s="4">
        <v>2</v>
      </c>
      <c r="B168" s="9" t="s">
        <v>68</v>
      </c>
      <c r="C168" s="26"/>
      <c r="D168" s="18">
        <f>SUM(E168:H168)</f>
        <v>14811</v>
      </c>
      <c r="E168" s="55">
        <v>6148</v>
      </c>
      <c r="F168" s="17">
        <v>3</v>
      </c>
      <c r="G168" s="55">
        <v>8659</v>
      </c>
      <c r="H168" s="17">
        <v>1</v>
      </c>
      <c r="I168" s="22">
        <f>SUM(J168:M168)</f>
        <v>5391</v>
      </c>
      <c r="J168" s="57">
        <v>1789</v>
      </c>
      <c r="K168" s="16"/>
      <c r="L168" s="55">
        <v>3602</v>
      </c>
      <c r="M168" s="75"/>
    </row>
    <row r="169" spans="1:13" x14ac:dyDescent="0.25">
      <c r="A169" s="4">
        <v>3</v>
      </c>
      <c r="B169" s="9" t="s">
        <v>69</v>
      </c>
      <c r="C169" s="26"/>
      <c r="D169" s="18">
        <f>SUM(E169:H169)</f>
        <v>207</v>
      </c>
      <c r="E169" s="55">
        <v>156</v>
      </c>
      <c r="F169" s="17"/>
      <c r="G169" s="55">
        <v>51</v>
      </c>
      <c r="H169" s="17"/>
      <c r="I169" s="22">
        <f>SUM(J169:M169)</f>
        <v>1373</v>
      </c>
      <c r="J169" s="57">
        <v>466</v>
      </c>
      <c r="K169" s="16">
        <v>1</v>
      </c>
      <c r="L169" s="55">
        <v>904</v>
      </c>
      <c r="M169" s="75">
        <v>2</v>
      </c>
    </row>
    <row r="170" spans="1:13" x14ac:dyDescent="0.25">
      <c r="A170" s="4">
        <v>4</v>
      </c>
      <c r="B170" s="9" t="s">
        <v>70</v>
      </c>
      <c r="C170" s="26"/>
      <c r="D170" s="18">
        <f>SUM(E170:H170)</f>
        <v>472</v>
      </c>
      <c r="E170" s="55">
        <v>255</v>
      </c>
      <c r="F170" s="17">
        <v>1</v>
      </c>
      <c r="G170" s="55">
        <v>215</v>
      </c>
      <c r="H170" s="17">
        <v>1</v>
      </c>
      <c r="I170" s="22">
        <f>SUM(J170:M170)</f>
        <v>58</v>
      </c>
      <c r="J170" s="57">
        <v>15</v>
      </c>
      <c r="K170" s="16"/>
      <c r="L170" s="55">
        <v>43</v>
      </c>
      <c r="M170" s="75"/>
    </row>
    <row r="171" spans="1:13" x14ac:dyDescent="0.25">
      <c r="A171" s="5" t="s">
        <v>71</v>
      </c>
      <c r="B171" s="9"/>
      <c r="C171" s="26"/>
      <c r="D171" s="18"/>
      <c r="E171" s="55"/>
      <c r="F171" s="17"/>
      <c r="G171" s="55"/>
      <c r="H171" s="17"/>
      <c r="I171" s="22"/>
      <c r="J171" s="57"/>
      <c r="K171" s="16"/>
      <c r="L171" s="55"/>
      <c r="M171" s="75"/>
    </row>
    <row r="172" spans="1:13" x14ac:dyDescent="0.25">
      <c r="A172" s="4">
        <v>1</v>
      </c>
      <c r="B172" s="9" t="s">
        <v>72</v>
      </c>
      <c r="C172" s="26"/>
      <c r="D172" s="18">
        <f>SUM(E172:H172)</f>
        <v>2955</v>
      </c>
      <c r="E172" s="55">
        <v>1344</v>
      </c>
      <c r="F172" s="17">
        <v>1496</v>
      </c>
      <c r="G172" s="55">
        <v>66</v>
      </c>
      <c r="H172" s="17">
        <v>49</v>
      </c>
      <c r="I172" s="22">
        <f>SUM(J172:M172)</f>
        <v>116</v>
      </c>
      <c r="J172" s="106">
        <v>72</v>
      </c>
      <c r="K172" s="16">
        <v>32</v>
      </c>
      <c r="L172" s="55">
        <v>6</v>
      </c>
      <c r="M172" s="75">
        <v>6</v>
      </c>
    </row>
    <row r="173" spans="1:13" x14ac:dyDescent="0.25">
      <c r="A173" s="4">
        <v>2</v>
      </c>
      <c r="B173" s="9" t="s">
        <v>73</v>
      </c>
      <c r="C173" s="26"/>
      <c r="D173" s="18">
        <f>SUM(E173:H173)</f>
        <v>9466</v>
      </c>
      <c r="E173" s="55">
        <v>2650</v>
      </c>
      <c r="F173" s="17">
        <v>3569</v>
      </c>
      <c r="G173" s="55">
        <v>2279</v>
      </c>
      <c r="H173" s="17">
        <v>968</v>
      </c>
      <c r="I173" s="22">
        <f>SUM(J173:M173)</f>
        <v>645</v>
      </c>
      <c r="J173" s="57">
        <v>172</v>
      </c>
      <c r="K173" s="16">
        <v>213</v>
      </c>
      <c r="L173" s="55">
        <v>197</v>
      </c>
      <c r="M173" s="75">
        <v>63</v>
      </c>
    </row>
    <row r="174" spans="1:13" x14ac:dyDescent="0.25">
      <c r="A174" s="4">
        <v>3</v>
      </c>
      <c r="B174" s="9" t="s">
        <v>74</v>
      </c>
      <c r="C174" s="26"/>
      <c r="D174" s="18">
        <f>SUM(E174:H174)</f>
        <v>28</v>
      </c>
      <c r="E174" s="55">
        <v>20</v>
      </c>
      <c r="F174" s="17"/>
      <c r="G174" s="55">
        <v>7</v>
      </c>
      <c r="H174" s="17">
        <v>1</v>
      </c>
      <c r="I174" s="22">
        <f>SUM(J174:M174)</f>
        <v>10</v>
      </c>
      <c r="J174" s="57">
        <v>8</v>
      </c>
      <c r="K174" s="16"/>
      <c r="L174" s="55">
        <v>2</v>
      </c>
      <c r="M174" s="75"/>
    </row>
    <row r="175" spans="1:13" x14ac:dyDescent="0.25">
      <c r="A175" s="5" t="s">
        <v>75</v>
      </c>
      <c r="B175" s="9"/>
      <c r="C175" s="77" t="s">
        <v>111</v>
      </c>
      <c r="D175" s="18"/>
      <c r="E175" s="55"/>
      <c r="F175" s="17"/>
      <c r="G175" s="55"/>
      <c r="H175" s="17"/>
      <c r="I175" s="22"/>
      <c r="J175" s="57"/>
      <c r="K175" s="16"/>
      <c r="L175" s="55"/>
      <c r="M175" s="75"/>
    </row>
    <row r="176" spans="1:13" x14ac:dyDescent="0.25">
      <c r="A176" s="4">
        <v>1</v>
      </c>
      <c r="B176" s="9" t="s">
        <v>77</v>
      </c>
      <c r="C176" s="26"/>
      <c r="D176" s="18">
        <f>SUM(E176:H176)</f>
        <v>3393</v>
      </c>
      <c r="E176" s="55">
        <v>1693</v>
      </c>
      <c r="F176" s="17">
        <v>74</v>
      </c>
      <c r="G176" s="55">
        <v>1484</v>
      </c>
      <c r="H176" s="17">
        <v>142</v>
      </c>
      <c r="I176" s="22">
        <f>SUM(J176:M176)</f>
        <v>551</v>
      </c>
      <c r="J176" s="57">
        <v>209</v>
      </c>
      <c r="K176" s="16">
        <v>8</v>
      </c>
      <c r="L176" s="55">
        <v>243</v>
      </c>
      <c r="M176" s="75">
        <v>91</v>
      </c>
    </row>
    <row r="177" spans="1:13" x14ac:dyDescent="0.25">
      <c r="A177" s="4">
        <v>2</v>
      </c>
      <c r="B177" s="9" t="s">
        <v>78</v>
      </c>
      <c r="C177" s="26"/>
      <c r="D177" s="18">
        <f>SUM(E177:H177)</f>
        <v>5700</v>
      </c>
      <c r="E177" s="55">
        <v>2204</v>
      </c>
      <c r="F177" s="17">
        <v>386</v>
      </c>
      <c r="G177" s="55">
        <v>2748</v>
      </c>
      <c r="H177" s="17">
        <v>362</v>
      </c>
      <c r="I177" s="22">
        <f>SUM(J177:M177)</f>
        <v>547</v>
      </c>
      <c r="J177" s="57">
        <v>249</v>
      </c>
      <c r="K177" s="16">
        <v>21</v>
      </c>
      <c r="L177" s="55">
        <v>245</v>
      </c>
      <c r="M177" s="75">
        <v>32</v>
      </c>
    </row>
    <row r="178" spans="1:13" x14ac:dyDescent="0.25">
      <c r="A178" s="4">
        <v>3</v>
      </c>
      <c r="B178" s="9" t="s">
        <v>79</v>
      </c>
      <c r="C178" s="26"/>
      <c r="D178" s="18">
        <f>SUM(E178:H178)</f>
        <v>2260</v>
      </c>
      <c r="E178" s="55">
        <v>1275</v>
      </c>
      <c r="F178" s="17">
        <v>286</v>
      </c>
      <c r="G178" s="55">
        <v>508</v>
      </c>
      <c r="H178" s="17">
        <v>191</v>
      </c>
      <c r="I178" s="22">
        <f>SUM(J178:M178)</f>
        <v>240</v>
      </c>
      <c r="J178" s="57">
        <v>85</v>
      </c>
      <c r="K178" s="16">
        <v>10</v>
      </c>
      <c r="L178" s="55">
        <v>79</v>
      </c>
      <c r="M178" s="75">
        <v>66</v>
      </c>
    </row>
    <row r="179" spans="1:13" x14ac:dyDescent="0.25">
      <c r="A179" s="5" t="s">
        <v>80</v>
      </c>
      <c r="B179" s="9"/>
      <c r="C179" s="26"/>
      <c r="D179" s="18"/>
      <c r="E179" s="55"/>
      <c r="F179" s="17"/>
      <c r="G179" s="55"/>
      <c r="H179" s="17"/>
      <c r="I179" s="22"/>
      <c r="J179" s="57"/>
      <c r="K179" s="16"/>
      <c r="L179" s="55"/>
      <c r="M179" s="75"/>
    </row>
    <row r="180" spans="1:13" x14ac:dyDescent="0.25">
      <c r="A180" s="4">
        <v>1</v>
      </c>
      <c r="B180" s="9" t="s">
        <v>81</v>
      </c>
      <c r="C180" s="26"/>
      <c r="D180" s="18">
        <f>SUM(E180:H180)</f>
        <v>1458</v>
      </c>
      <c r="E180" s="55">
        <v>821</v>
      </c>
      <c r="F180" s="17">
        <v>118</v>
      </c>
      <c r="G180" s="55">
        <v>440</v>
      </c>
      <c r="H180" s="17">
        <v>79</v>
      </c>
      <c r="I180" s="22">
        <f>SUM(J180:M180)</f>
        <v>395</v>
      </c>
      <c r="J180" s="57">
        <v>142</v>
      </c>
      <c r="K180" s="16">
        <v>1</v>
      </c>
      <c r="L180" s="107">
        <v>244</v>
      </c>
      <c r="M180" s="75">
        <v>8</v>
      </c>
    </row>
    <row r="181" spans="1:13" x14ac:dyDescent="0.25">
      <c r="A181" s="4">
        <v>2</v>
      </c>
      <c r="B181" s="9" t="s">
        <v>82</v>
      </c>
      <c r="C181" s="26"/>
      <c r="D181" s="18">
        <f>SUM(E181:H181)</f>
        <v>1264</v>
      </c>
      <c r="E181" s="55">
        <v>503</v>
      </c>
      <c r="F181" s="17">
        <v>17</v>
      </c>
      <c r="G181" s="55">
        <v>689</v>
      </c>
      <c r="H181" s="17">
        <v>55</v>
      </c>
      <c r="I181" s="22">
        <f>SUM(J181:M181)</f>
        <v>1463</v>
      </c>
      <c r="J181" s="57">
        <v>367</v>
      </c>
      <c r="K181" s="16">
        <v>1</v>
      </c>
      <c r="L181" s="55">
        <v>1045</v>
      </c>
      <c r="M181" s="75">
        <v>50</v>
      </c>
    </row>
    <row r="182" spans="1:13" x14ac:dyDescent="0.25">
      <c r="A182" s="5" t="s">
        <v>83</v>
      </c>
      <c r="B182" s="9"/>
      <c r="C182" s="26"/>
      <c r="D182" s="18"/>
      <c r="E182" s="55"/>
      <c r="F182" s="17"/>
      <c r="G182" s="55"/>
      <c r="H182" s="17"/>
      <c r="I182" s="22"/>
      <c r="J182" s="57"/>
      <c r="K182" s="16"/>
      <c r="L182" s="55"/>
      <c r="M182" s="75"/>
    </row>
    <row r="183" spans="1:13" x14ac:dyDescent="0.25">
      <c r="A183" s="4">
        <v>1</v>
      </c>
      <c r="B183" s="9" t="s">
        <v>84</v>
      </c>
      <c r="C183" s="26"/>
      <c r="D183" s="18">
        <f t="shared" ref="D183:D189" si="15">SUM(E183:H183)</f>
        <v>15312</v>
      </c>
      <c r="E183" s="55">
        <v>2487</v>
      </c>
      <c r="F183" s="17">
        <v>3</v>
      </c>
      <c r="G183" s="55">
        <v>12795</v>
      </c>
      <c r="H183" s="17">
        <v>27</v>
      </c>
      <c r="I183" s="22">
        <f t="shared" ref="I183:I189" si="16">SUM(J183:M183)</f>
        <v>15486</v>
      </c>
      <c r="J183" s="57">
        <v>1469</v>
      </c>
      <c r="K183" s="16">
        <v>8</v>
      </c>
      <c r="L183" s="55">
        <v>13352</v>
      </c>
      <c r="M183" s="75">
        <v>657</v>
      </c>
    </row>
    <row r="184" spans="1:13" x14ac:dyDescent="0.25">
      <c r="A184" s="4">
        <v>2</v>
      </c>
      <c r="B184" s="9" t="s">
        <v>85</v>
      </c>
      <c r="C184" s="26"/>
      <c r="D184" s="18">
        <f t="shared" si="15"/>
        <v>703</v>
      </c>
      <c r="E184" s="55">
        <v>543</v>
      </c>
      <c r="F184" s="17">
        <v>23</v>
      </c>
      <c r="G184" s="55">
        <v>132</v>
      </c>
      <c r="H184" s="17">
        <v>5</v>
      </c>
      <c r="I184" s="22">
        <f t="shared" si="16"/>
        <v>38</v>
      </c>
      <c r="J184" s="57">
        <v>27</v>
      </c>
      <c r="K184" s="16"/>
      <c r="L184" s="55">
        <v>10</v>
      </c>
      <c r="M184" s="75">
        <v>1</v>
      </c>
    </row>
    <row r="185" spans="1:13" x14ac:dyDescent="0.25">
      <c r="A185" s="4">
        <v>3</v>
      </c>
      <c r="B185" s="9" t="s">
        <v>86</v>
      </c>
      <c r="C185" s="26"/>
      <c r="D185" s="18">
        <f t="shared" si="15"/>
        <v>1044</v>
      </c>
      <c r="E185" s="55">
        <v>309</v>
      </c>
      <c r="F185" s="17">
        <v>1</v>
      </c>
      <c r="G185" s="55">
        <v>733</v>
      </c>
      <c r="H185" s="17">
        <v>1</v>
      </c>
      <c r="I185" s="22">
        <f t="shared" si="16"/>
        <v>533</v>
      </c>
      <c r="J185" s="57">
        <v>152</v>
      </c>
      <c r="K185" s="16">
        <v>1</v>
      </c>
      <c r="L185" s="55">
        <v>376</v>
      </c>
      <c r="M185" s="75">
        <v>4</v>
      </c>
    </row>
    <row r="186" spans="1:13" x14ac:dyDescent="0.25">
      <c r="A186" s="4">
        <v>4</v>
      </c>
      <c r="B186" s="9" t="s">
        <v>87</v>
      </c>
      <c r="C186" s="26"/>
      <c r="D186" s="18">
        <f t="shared" si="15"/>
        <v>11</v>
      </c>
      <c r="E186" s="55">
        <v>5</v>
      </c>
      <c r="F186" s="17"/>
      <c r="G186" s="55">
        <v>6</v>
      </c>
      <c r="H186" s="17"/>
      <c r="I186" s="22">
        <f t="shared" si="16"/>
        <v>147</v>
      </c>
      <c r="J186" s="57">
        <v>50</v>
      </c>
      <c r="K186" s="16">
        <v>1</v>
      </c>
      <c r="L186" s="55">
        <v>90</v>
      </c>
      <c r="M186" s="75">
        <v>6</v>
      </c>
    </row>
    <row r="187" spans="1:13" x14ac:dyDescent="0.25">
      <c r="A187" s="4">
        <v>5</v>
      </c>
      <c r="B187" s="9" t="s">
        <v>88</v>
      </c>
      <c r="C187" s="26"/>
      <c r="D187" s="18">
        <f t="shared" si="15"/>
        <v>83</v>
      </c>
      <c r="E187" s="55">
        <v>54</v>
      </c>
      <c r="F187" s="17"/>
      <c r="G187" s="55">
        <v>29</v>
      </c>
      <c r="H187" s="17"/>
      <c r="I187" s="22">
        <f t="shared" si="16"/>
        <v>105</v>
      </c>
      <c r="J187" s="57">
        <v>20</v>
      </c>
      <c r="K187" s="16"/>
      <c r="L187" s="55">
        <v>84</v>
      </c>
      <c r="M187" s="75">
        <v>1</v>
      </c>
    </row>
    <row r="188" spans="1:13" x14ac:dyDescent="0.25">
      <c r="A188" s="4">
        <v>6</v>
      </c>
      <c r="B188" s="9" t="s">
        <v>89</v>
      </c>
      <c r="C188" s="26"/>
      <c r="D188" s="18">
        <f t="shared" si="15"/>
        <v>227</v>
      </c>
      <c r="E188" s="55">
        <v>198</v>
      </c>
      <c r="F188" s="17">
        <v>13</v>
      </c>
      <c r="G188" s="55">
        <v>16</v>
      </c>
      <c r="H188" s="17"/>
      <c r="I188" s="22">
        <f t="shared" si="16"/>
        <v>8</v>
      </c>
      <c r="J188" s="57">
        <v>7</v>
      </c>
      <c r="K188" s="16"/>
      <c r="L188" s="55">
        <v>1</v>
      </c>
      <c r="M188" s="75"/>
    </row>
    <row r="189" spans="1:13" x14ac:dyDescent="0.25">
      <c r="A189" s="4">
        <v>7</v>
      </c>
      <c r="B189" s="9" t="s">
        <v>90</v>
      </c>
      <c r="C189" s="26"/>
      <c r="D189" s="18">
        <f t="shared" si="15"/>
        <v>4253</v>
      </c>
      <c r="E189" s="55">
        <v>3043</v>
      </c>
      <c r="F189" s="17">
        <v>22</v>
      </c>
      <c r="G189" s="55">
        <v>1178</v>
      </c>
      <c r="H189" s="17">
        <v>10</v>
      </c>
      <c r="I189" s="22">
        <f t="shared" si="16"/>
        <v>1248</v>
      </c>
      <c r="J189" s="57">
        <v>755</v>
      </c>
      <c r="K189" s="16">
        <v>2</v>
      </c>
      <c r="L189" s="55">
        <v>490</v>
      </c>
      <c r="M189" s="75">
        <v>1</v>
      </c>
    </row>
    <row r="190" spans="1:13" x14ac:dyDescent="0.25">
      <c r="A190" s="7" t="s">
        <v>91</v>
      </c>
      <c r="B190" s="9"/>
      <c r="C190" s="26"/>
      <c r="D190" s="18"/>
      <c r="E190" s="55"/>
      <c r="F190" s="17"/>
      <c r="G190" s="55"/>
      <c r="H190" s="17"/>
      <c r="I190" s="22"/>
      <c r="J190" s="57"/>
      <c r="K190" s="16"/>
      <c r="L190" s="55"/>
      <c r="M190" s="75"/>
    </row>
    <row r="191" spans="1:13" x14ac:dyDescent="0.25">
      <c r="A191" s="8">
        <v>1</v>
      </c>
      <c r="B191" s="9" t="s">
        <v>92</v>
      </c>
      <c r="C191" s="26"/>
      <c r="D191" s="18">
        <f>SUM(E191:H191)</f>
        <v>20981</v>
      </c>
      <c r="E191" s="55">
        <v>3638</v>
      </c>
      <c r="F191" s="17">
        <v>14</v>
      </c>
      <c r="G191" s="55">
        <v>17254</v>
      </c>
      <c r="H191" s="17">
        <v>75</v>
      </c>
      <c r="I191" s="22">
        <f>SUM(J191:M191)</f>
        <v>11530</v>
      </c>
      <c r="J191" s="57">
        <v>1359</v>
      </c>
      <c r="K191" s="16">
        <v>3</v>
      </c>
      <c r="L191" s="55">
        <v>10114</v>
      </c>
      <c r="M191" s="75">
        <v>54</v>
      </c>
    </row>
    <row r="192" spans="1:13" x14ac:dyDescent="0.25">
      <c r="A192" s="6" t="s">
        <v>93</v>
      </c>
      <c r="B192" s="9"/>
      <c r="C192" s="26"/>
      <c r="D192" s="18"/>
      <c r="E192" s="55"/>
      <c r="F192" s="17"/>
      <c r="G192" s="55"/>
      <c r="H192" s="17"/>
      <c r="I192" s="22"/>
      <c r="J192" s="57"/>
      <c r="K192" s="16"/>
      <c r="L192" s="55"/>
      <c r="M192" s="75"/>
    </row>
    <row r="193" spans="1:13" x14ac:dyDescent="0.25">
      <c r="A193" s="7" t="s">
        <v>94</v>
      </c>
      <c r="B193" s="9"/>
      <c r="C193" s="26"/>
      <c r="D193" s="18"/>
      <c r="E193" s="55"/>
      <c r="F193" s="17"/>
      <c r="G193" s="55"/>
      <c r="H193" s="17"/>
      <c r="I193" s="22"/>
      <c r="J193" s="57"/>
      <c r="K193" s="16"/>
      <c r="L193" s="55"/>
      <c r="M193" s="75"/>
    </row>
    <row r="194" spans="1:13" x14ac:dyDescent="0.25">
      <c r="A194" s="4">
        <v>1</v>
      </c>
      <c r="B194" s="9" t="s">
        <v>95</v>
      </c>
      <c r="C194" s="26"/>
      <c r="D194" s="18">
        <f>SUM(E194:H194)</f>
        <v>1929</v>
      </c>
      <c r="E194" s="55">
        <v>1262</v>
      </c>
      <c r="F194" s="17">
        <v>565</v>
      </c>
      <c r="G194" s="55">
        <v>79</v>
      </c>
      <c r="H194" s="17">
        <v>23</v>
      </c>
      <c r="I194" s="22">
        <f>SUM(J194:M194)</f>
        <v>387</v>
      </c>
      <c r="J194" s="57">
        <v>214</v>
      </c>
      <c r="K194" s="16">
        <v>116</v>
      </c>
      <c r="L194" s="55">
        <v>45</v>
      </c>
      <c r="M194" s="75">
        <v>12</v>
      </c>
    </row>
    <row r="195" spans="1:13" x14ac:dyDescent="0.25">
      <c r="A195" s="4">
        <v>2</v>
      </c>
      <c r="B195" s="9" t="s">
        <v>96</v>
      </c>
      <c r="C195" s="26"/>
      <c r="D195" s="18">
        <f>SUM(E195:H195)</f>
        <v>832</v>
      </c>
      <c r="E195" s="55">
        <v>144</v>
      </c>
      <c r="F195" s="17">
        <v>458</v>
      </c>
      <c r="G195" s="55">
        <v>75</v>
      </c>
      <c r="H195" s="17">
        <v>155</v>
      </c>
      <c r="I195" s="22">
        <f>SUM(J195:M195)</f>
        <v>1422</v>
      </c>
      <c r="J195" s="57">
        <v>115</v>
      </c>
      <c r="K195" s="16">
        <v>463</v>
      </c>
      <c r="L195" s="55">
        <v>149</v>
      </c>
      <c r="M195" s="75">
        <v>695</v>
      </c>
    </row>
    <row r="196" spans="1:13" x14ac:dyDescent="0.25">
      <c r="A196" s="4">
        <v>3</v>
      </c>
      <c r="B196" s="9" t="s">
        <v>97</v>
      </c>
      <c r="C196" s="26"/>
      <c r="D196" s="18">
        <f>SUM(E196:H196)</f>
        <v>1368</v>
      </c>
      <c r="E196" s="55">
        <v>526</v>
      </c>
      <c r="F196" s="17">
        <v>155</v>
      </c>
      <c r="G196" s="55">
        <v>488</v>
      </c>
      <c r="H196" s="17">
        <v>199</v>
      </c>
      <c r="I196" s="22">
        <f>SUM(J196:M196)</f>
        <v>1447</v>
      </c>
      <c r="J196" s="57">
        <v>355</v>
      </c>
      <c r="K196" s="16">
        <v>117</v>
      </c>
      <c r="L196" s="55">
        <v>677</v>
      </c>
      <c r="M196" s="75">
        <v>298</v>
      </c>
    </row>
    <row r="197" spans="1:13" x14ac:dyDescent="0.25">
      <c r="A197" s="6" t="s">
        <v>98</v>
      </c>
      <c r="B197" s="9"/>
      <c r="C197" s="26"/>
      <c r="D197" s="18"/>
      <c r="E197" s="55"/>
      <c r="F197" s="17"/>
      <c r="G197" s="55"/>
      <c r="H197" s="17"/>
      <c r="I197" s="22"/>
      <c r="J197" s="57"/>
      <c r="K197" s="16"/>
      <c r="L197" s="55"/>
      <c r="M197" s="75"/>
    </row>
    <row r="198" spans="1:13" x14ac:dyDescent="0.25">
      <c r="A198" s="5" t="s">
        <v>99</v>
      </c>
      <c r="B198" s="9"/>
      <c r="C198" s="26"/>
      <c r="D198" s="18"/>
      <c r="E198" s="55"/>
      <c r="F198" s="17"/>
      <c r="G198" s="55"/>
      <c r="H198" s="17"/>
      <c r="I198" s="22"/>
      <c r="J198" s="57"/>
      <c r="K198" s="16"/>
      <c r="L198" s="55"/>
      <c r="M198" s="75"/>
    </row>
    <row r="199" spans="1:13" x14ac:dyDescent="0.25">
      <c r="A199" s="4">
        <v>1</v>
      </c>
      <c r="B199" s="9" t="s">
        <v>100</v>
      </c>
      <c r="C199" s="26"/>
      <c r="D199" s="18">
        <f>SUM(E199:H199)</f>
        <v>223270</v>
      </c>
      <c r="E199" s="55">
        <v>54833</v>
      </c>
      <c r="F199" s="17">
        <v>55295</v>
      </c>
      <c r="G199" s="55">
        <v>55612</v>
      </c>
      <c r="H199" s="17">
        <v>57530</v>
      </c>
      <c r="I199" s="22">
        <f>SUM(J199:M199)</f>
        <v>739463</v>
      </c>
      <c r="J199" s="57">
        <v>61403</v>
      </c>
      <c r="K199" s="16">
        <v>59362</v>
      </c>
      <c r="L199" s="55">
        <v>303754</v>
      </c>
      <c r="M199" s="75">
        <v>314944</v>
      </c>
    </row>
    <row r="200" spans="1:13" x14ac:dyDescent="0.25">
      <c r="A200" s="5" t="s">
        <v>101</v>
      </c>
      <c r="B200" s="9"/>
      <c r="C200" s="26"/>
      <c r="D200" s="18"/>
      <c r="E200" s="55"/>
      <c r="F200" s="17"/>
      <c r="G200" s="55"/>
      <c r="H200" s="17"/>
      <c r="I200" s="22"/>
      <c r="J200" s="57"/>
      <c r="K200" s="16"/>
      <c r="L200" s="55"/>
      <c r="M200" s="75"/>
    </row>
    <row r="201" spans="1:13" x14ac:dyDescent="0.25">
      <c r="A201" s="4">
        <v>1</v>
      </c>
      <c r="B201" s="9" t="s">
        <v>102</v>
      </c>
      <c r="C201" s="26"/>
      <c r="D201" s="18">
        <f>SUM(E201:H201)</f>
        <v>3585</v>
      </c>
      <c r="E201" s="55">
        <v>776</v>
      </c>
      <c r="F201" s="17">
        <v>544</v>
      </c>
      <c r="G201" s="55">
        <v>1456</v>
      </c>
      <c r="H201" s="17">
        <v>809</v>
      </c>
      <c r="I201" s="22">
        <f>SUM(J201:M201)</f>
        <v>1292</v>
      </c>
      <c r="J201" s="57">
        <v>37</v>
      </c>
      <c r="K201" s="16">
        <v>10</v>
      </c>
      <c r="L201" s="55">
        <v>673</v>
      </c>
      <c r="M201" s="75">
        <v>572</v>
      </c>
    </row>
    <row r="202" spans="1:13" x14ac:dyDescent="0.25">
      <c r="A202" s="4">
        <v>2</v>
      </c>
      <c r="B202" s="9" t="s">
        <v>103</v>
      </c>
      <c r="C202" s="26"/>
      <c r="D202" s="18">
        <f>SUM(E202:H202)</f>
        <v>2888</v>
      </c>
      <c r="E202" s="55">
        <v>174</v>
      </c>
      <c r="F202" s="17">
        <v>13</v>
      </c>
      <c r="G202" s="55">
        <v>2280</v>
      </c>
      <c r="H202" s="17">
        <v>421</v>
      </c>
      <c r="I202" s="22">
        <f>SUM(J202:M202)</f>
        <v>1961</v>
      </c>
      <c r="J202" s="57">
        <v>41</v>
      </c>
      <c r="K202" s="16"/>
      <c r="L202" s="55">
        <v>1910</v>
      </c>
      <c r="M202" s="75">
        <v>10</v>
      </c>
    </row>
    <row r="203" spans="1:13" x14ac:dyDescent="0.25">
      <c r="A203" s="6" t="s">
        <v>104</v>
      </c>
      <c r="B203" s="9"/>
      <c r="C203" s="26"/>
      <c r="D203" s="18"/>
      <c r="E203" s="55"/>
      <c r="F203" s="17"/>
      <c r="G203" s="55"/>
      <c r="H203" s="17"/>
      <c r="I203" s="22"/>
      <c r="J203" s="57"/>
      <c r="K203" s="16"/>
      <c r="L203" s="55"/>
      <c r="M203" s="75"/>
    </row>
    <row r="204" spans="1:13" x14ac:dyDescent="0.25">
      <c r="A204" s="5" t="s">
        <v>105</v>
      </c>
      <c r="B204" s="9"/>
      <c r="C204" s="26"/>
      <c r="D204" s="18"/>
      <c r="E204" s="55"/>
      <c r="F204" s="17"/>
      <c r="G204" s="55"/>
      <c r="H204" s="17"/>
      <c r="I204" s="22"/>
      <c r="J204" s="57"/>
      <c r="K204" s="16"/>
      <c r="L204" s="55"/>
      <c r="M204" s="75"/>
    </row>
    <row r="205" spans="1:13" x14ac:dyDescent="0.25">
      <c r="A205" s="4">
        <v>1</v>
      </c>
      <c r="B205" s="9" t="s">
        <v>106</v>
      </c>
      <c r="C205" s="26"/>
      <c r="D205" s="18">
        <f>SUM(E205:H205)</f>
        <v>1485</v>
      </c>
      <c r="E205" s="55">
        <v>563</v>
      </c>
      <c r="F205" s="17">
        <v>159</v>
      </c>
      <c r="G205" s="55">
        <v>566</v>
      </c>
      <c r="H205" s="17">
        <v>197</v>
      </c>
      <c r="I205" s="22">
        <f>SUM(J205:M205)</f>
        <v>2507</v>
      </c>
      <c r="J205" s="57">
        <v>489</v>
      </c>
      <c r="K205" s="16">
        <v>147</v>
      </c>
      <c r="L205" s="55">
        <v>1126</v>
      </c>
      <c r="M205" s="75">
        <v>745</v>
      </c>
    </row>
    <row r="206" spans="1:13" ht="15.75" thickBot="1" x14ac:dyDescent="0.3">
      <c r="A206" s="4"/>
      <c r="B206" s="9"/>
      <c r="C206" s="26"/>
      <c r="D206" s="18"/>
      <c r="E206" s="55"/>
      <c r="F206" s="17"/>
      <c r="G206" s="55"/>
      <c r="H206" s="17"/>
      <c r="I206" s="22"/>
      <c r="J206" s="57"/>
      <c r="K206" s="16"/>
      <c r="L206" s="55"/>
      <c r="M206" s="75"/>
    </row>
    <row r="207" spans="1:13" ht="15.75" thickTop="1" x14ac:dyDescent="0.25">
      <c r="A207" s="79"/>
      <c r="B207" s="80"/>
      <c r="C207" s="81"/>
      <c r="D207" s="15"/>
      <c r="E207" s="82"/>
      <c r="F207" s="14"/>
      <c r="G207" s="82"/>
      <c r="H207" s="14"/>
      <c r="I207" s="108"/>
      <c r="J207" s="15"/>
      <c r="K207" s="13"/>
      <c r="L207" s="82"/>
      <c r="M207" s="109"/>
    </row>
    <row r="208" spans="1:13" x14ac:dyDescent="0.25">
      <c r="A208" s="86" t="s">
        <v>112</v>
      </c>
      <c r="B208" s="9"/>
      <c r="C208" s="54"/>
      <c r="D208" s="12">
        <f t="shared" ref="D208:M208" si="17">SUM(D114:D206)</f>
        <v>619577</v>
      </c>
      <c r="E208" s="12">
        <f t="shared" si="17"/>
        <v>145475</v>
      </c>
      <c r="F208" s="11">
        <f t="shared" si="17"/>
        <v>143632</v>
      </c>
      <c r="G208" s="12">
        <f t="shared" si="17"/>
        <v>164177</v>
      </c>
      <c r="H208" s="110">
        <f t="shared" si="17"/>
        <v>166293</v>
      </c>
      <c r="I208" s="111">
        <f t="shared" si="17"/>
        <v>1942998</v>
      </c>
      <c r="J208" s="12">
        <f t="shared" si="17"/>
        <v>154628</v>
      </c>
      <c r="K208" s="11">
        <f t="shared" si="17"/>
        <v>137085</v>
      </c>
      <c r="L208" s="12">
        <f t="shared" si="17"/>
        <v>789548</v>
      </c>
      <c r="M208" s="112">
        <f t="shared" si="17"/>
        <v>861737</v>
      </c>
    </row>
    <row r="209" spans="1:13" ht="15.75" thickBot="1" x14ac:dyDescent="0.3">
      <c r="A209" s="89"/>
      <c r="B209" s="90"/>
      <c r="C209" s="91"/>
      <c r="D209" s="113"/>
      <c r="E209" s="114"/>
      <c r="F209" s="10"/>
      <c r="G209" s="115"/>
      <c r="H209" s="116"/>
      <c r="I209" s="117"/>
      <c r="J209" s="118"/>
      <c r="K209" s="119"/>
      <c r="L209" s="115"/>
      <c r="M209" s="120"/>
    </row>
    <row r="210" spans="1:13" ht="15.75" thickTop="1" x14ac:dyDescent="0.25">
      <c r="A210" s="26"/>
      <c r="B210" s="74"/>
      <c r="C210" s="26"/>
      <c r="D210" s="121"/>
      <c r="E210" s="24"/>
      <c r="F210" s="17"/>
      <c r="G210" s="24"/>
      <c r="H210" s="17"/>
      <c r="I210" s="17"/>
      <c r="J210" s="24"/>
      <c r="K210" s="17"/>
      <c r="L210" s="24"/>
      <c r="M210" s="17"/>
    </row>
    <row r="211" spans="1:13" x14ac:dyDescent="0.25">
      <c r="A211" s="26"/>
      <c r="B211" s="74"/>
      <c r="C211" s="26"/>
      <c r="D211" s="121"/>
      <c r="E211" s="24"/>
      <c r="F211" s="17"/>
      <c r="G211" s="24"/>
      <c r="H211" s="17"/>
      <c r="I211" s="17"/>
      <c r="J211" s="24"/>
      <c r="K211" s="17"/>
      <c r="L211" s="24"/>
      <c r="M211" s="17"/>
    </row>
    <row r="212" spans="1:13" ht="15.75" thickBot="1" x14ac:dyDescent="0.3">
      <c r="A212" s="4"/>
      <c r="B212" s="74"/>
      <c r="C212" s="26"/>
      <c r="D212" s="121"/>
      <c r="E212" s="24"/>
      <c r="F212" s="17"/>
      <c r="G212" s="24"/>
      <c r="H212" s="17"/>
      <c r="I212" s="17"/>
      <c r="J212" s="24"/>
      <c r="K212" s="17"/>
      <c r="L212" s="24"/>
      <c r="M212" s="17"/>
    </row>
    <row r="213" spans="1:13" ht="16.5" thickTop="1" x14ac:dyDescent="0.25">
      <c r="A213" s="27"/>
      <c r="B213" s="28"/>
      <c r="C213" s="245" t="s">
        <v>0</v>
      </c>
      <c r="D213" s="245" t="s">
        <v>1</v>
      </c>
      <c r="E213" s="248" t="s">
        <v>2</v>
      </c>
      <c r="F213" s="249"/>
      <c r="G213" s="249"/>
      <c r="H213" s="249"/>
      <c r="I213" s="245" t="s">
        <v>1</v>
      </c>
      <c r="J213" s="248" t="s">
        <v>3</v>
      </c>
      <c r="K213" s="249"/>
      <c r="L213" s="249"/>
      <c r="M213" s="250"/>
    </row>
    <row r="214" spans="1:13" ht="15.75" x14ac:dyDescent="0.25">
      <c r="A214" s="29" t="s">
        <v>113</v>
      </c>
      <c r="B214" s="30"/>
      <c r="C214" s="246"/>
      <c r="D214" s="246"/>
      <c r="E214" s="251" t="s">
        <v>5</v>
      </c>
      <c r="F214" s="252"/>
      <c r="G214" s="251" t="s">
        <v>6</v>
      </c>
      <c r="H214" s="253"/>
      <c r="I214" s="246"/>
      <c r="J214" s="251" t="s">
        <v>5</v>
      </c>
      <c r="K214" s="252"/>
      <c r="L214" s="251" t="s">
        <v>6</v>
      </c>
      <c r="M214" s="254"/>
    </row>
    <row r="215" spans="1:13" ht="15.75" x14ac:dyDescent="0.25">
      <c r="A215" s="31"/>
      <c r="B215" s="30"/>
      <c r="C215" s="246"/>
      <c r="D215" s="246"/>
      <c r="E215" s="241" t="s">
        <v>7</v>
      </c>
      <c r="F215" s="239" t="s">
        <v>8</v>
      </c>
      <c r="G215" s="241" t="s">
        <v>7</v>
      </c>
      <c r="H215" s="255" t="s">
        <v>8</v>
      </c>
      <c r="I215" s="246"/>
      <c r="J215" s="241" t="s">
        <v>7</v>
      </c>
      <c r="K215" s="239" t="s">
        <v>8</v>
      </c>
      <c r="L215" s="241" t="s">
        <v>7</v>
      </c>
      <c r="M215" s="243" t="s">
        <v>8</v>
      </c>
    </row>
    <row r="216" spans="1:13" x14ac:dyDescent="0.25">
      <c r="A216" s="32"/>
      <c r="B216" s="26"/>
      <c r="C216" s="247"/>
      <c r="D216" s="247"/>
      <c r="E216" s="242"/>
      <c r="F216" s="240"/>
      <c r="G216" s="242"/>
      <c r="H216" s="256"/>
      <c r="I216" s="247"/>
      <c r="J216" s="242"/>
      <c r="K216" s="240"/>
      <c r="L216" s="242"/>
      <c r="M216" s="244"/>
    </row>
    <row r="217" spans="1:13" ht="16.5" thickBot="1" x14ac:dyDescent="0.3">
      <c r="A217" s="33" t="s">
        <v>9</v>
      </c>
      <c r="B217" s="34"/>
      <c r="C217" s="35"/>
      <c r="D217" s="36"/>
      <c r="E217" s="37"/>
      <c r="F217" s="38"/>
      <c r="G217" s="39"/>
      <c r="H217" s="40"/>
      <c r="I217" s="122"/>
      <c r="J217" s="39"/>
      <c r="K217" s="42"/>
      <c r="L217" s="39"/>
      <c r="M217" s="43"/>
    </row>
    <row r="218" spans="1:13" x14ac:dyDescent="0.25">
      <c r="A218" s="44" t="s">
        <v>10</v>
      </c>
      <c r="B218" s="45"/>
      <c r="C218" s="46"/>
      <c r="D218" s="47"/>
      <c r="E218" s="48"/>
      <c r="F218" s="49"/>
      <c r="G218" s="50"/>
      <c r="H218" s="51"/>
      <c r="I218" s="123"/>
      <c r="J218" s="50"/>
      <c r="K218" s="52"/>
      <c r="L218" s="50"/>
      <c r="M218" s="53"/>
    </row>
    <row r="219" spans="1:13" x14ac:dyDescent="0.25">
      <c r="A219" s="5" t="s">
        <v>12</v>
      </c>
      <c r="B219" s="9"/>
      <c r="C219" s="124" t="s">
        <v>114</v>
      </c>
      <c r="D219" s="18"/>
      <c r="E219" s="55"/>
      <c r="F219" s="56"/>
      <c r="G219" s="57"/>
      <c r="H219" s="58"/>
      <c r="I219" s="125"/>
      <c r="J219" s="57"/>
      <c r="K219" s="60"/>
      <c r="L219" s="57"/>
      <c r="M219" s="61"/>
    </row>
    <row r="220" spans="1:13" x14ac:dyDescent="0.25">
      <c r="A220" s="4">
        <v>1</v>
      </c>
      <c r="B220" s="62" t="s">
        <v>13</v>
      </c>
      <c r="C220" s="63"/>
      <c r="D220" s="18">
        <f>SUM(E220:H220)</f>
        <v>2288</v>
      </c>
      <c r="E220" s="64">
        <v>1099</v>
      </c>
      <c r="F220" s="65">
        <v>10</v>
      </c>
      <c r="G220" s="66">
        <v>1176</v>
      </c>
      <c r="H220" s="67">
        <v>3</v>
      </c>
      <c r="I220" s="22">
        <f>SUM(J220:M220)</f>
        <v>1376</v>
      </c>
      <c r="J220" s="66">
        <v>480</v>
      </c>
      <c r="K220" s="68">
        <v>9</v>
      </c>
      <c r="L220" s="66">
        <v>886</v>
      </c>
      <c r="M220" s="69">
        <v>1</v>
      </c>
    </row>
    <row r="221" spans="1:13" x14ac:dyDescent="0.25">
      <c r="A221" s="4">
        <v>2</v>
      </c>
      <c r="B221" s="9" t="s">
        <v>14</v>
      </c>
      <c r="C221" s="54"/>
      <c r="D221" s="18">
        <f>SUM(E221:H221)</f>
        <v>177</v>
      </c>
      <c r="E221" s="70">
        <v>155</v>
      </c>
      <c r="F221" s="56">
        <v>5</v>
      </c>
      <c r="G221" s="18">
        <v>17</v>
      </c>
      <c r="H221" s="58"/>
      <c r="I221" s="22">
        <f>SUM(J221:M221)</f>
        <v>11</v>
      </c>
      <c r="J221" s="18">
        <v>11</v>
      </c>
      <c r="K221" s="60"/>
      <c r="L221" s="18"/>
      <c r="M221" s="61"/>
    </row>
    <row r="222" spans="1:13" x14ac:dyDescent="0.25">
      <c r="A222" s="4">
        <v>3</v>
      </c>
      <c r="B222" s="9" t="s">
        <v>15</v>
      </c>
      <c r="C222" s="54"/>
      <c r="D222" s="18">
        <f>SUM(E222:H222)</f>
        <v>1116</v>
      </c>
      <c r="E222" s="70">
        <v>1095</v>
      </c>
      <c r="F222" s="17"/>
      <c r="G222" s="18">
        <v>21</v>
      </c>
      <c r="H222" s="71"/>
      <c r="I222" s="22">
        <f>SUM(J222:M222)</f>
        <v>28</v>
      </c>
      <c r="J222" s="18">
        <v>28</v>
      </c>
      <c r="K222" s="16"/>
      <c r="L222" s="18"/>
      <c r="M222" s="72"/>
    </row>
    <row r="223" spans="1:13" x14ac:dyDescent="0.25">
      <c r="A223" s="4">
        <v>4</v>
      </c>
      <c r="B223" s="9" t="s">
        <v>16</v>
      </c>
      <c r="C223" s="54"/>
      <c r="D223" s="18">
        <f>SUM(E223:H223)</f>
        <v>198</v>
      </c>
      <c r="E223" s="70">
        <v>185</v>
      </c>
      <c r="F223" s="17"/>
      <c r="G223" s="18">
        <v>13</v>
      </c>
      <c r="H223" s="71"/>
      <c r="I223" s="22">
        <f>SUM(J223:M223)</f>
        <v>1</v>
      </c>
      <c r="J223" s="18">
        <v>1</v>
      </c>
      <c r="K223" s="16"/>
      <c r="L223" s="18"/>
      <c r="M223" s="72"/>
    </row>
    <row r="224" spans="1:13" x14ac:dyDescent="0.25">
      <c r="A224" s="7" t="s">
        <v>17</v>
      </c>
      <c r="B224" s="9"/>
      <c r="C224" s="54"/>
      <c r="D224" s="18"/>
      <c r="E224" s="70"/>
      <c r="F224" s="17"/>
      <c r="G224" s="18"/>
      <c r="H224" s="71"/>
      <c r="I224" s="22"/>
      <c r="J224" s="18"/>
      <c r="K224" s="16"/>
      <c r="L224" s="18"/>
      <c r="M224" s="72"/>
    </row>
    <row r="225" spans="1:13" x14ac:dyDescent="0.25">
      <c r="A225" s="8">
        <v>1</v>
      </c>
      <c r="B225" s="9" t="s">
        <v>18</v>
      </c>
      <c r="C225" s="54"/>
      <c r="D225" s="18">
        <f t="shared" ref="D225:D234" si="18">SUM(E225:H225)</f>
        <v>438</v>
      </c>
      <c r="E225" s="70">
        <v>169</v>
      </c>
      <c r="F225" s="17">
        <v>145</v>
      </c>
      <c r="G225" s="18">
        <v>123</v>
      </c>
      <c r="H225" s="71">
        <v>1</v>
      </c>
      <c r="I225" s="22">
        <f t="shared" ref="I225:I234" si="19">SUM(J225:M225)</f>
        <v>930</v>
      </c>
      <c r="J225" s="18">
        <v>368</v>
      </c>
      <c r="K225" s="16">
        <v>361</v>
      </c>
      <c r="L225" s="18">
        <v>196</v>
      </c>
      <c r="M225" s="72">
        <v>5</v>
      </c>
    </row>
    <row r="226" spans="1:13" x14ac:dyDescent="0.25">
      <c r="A226" s="4">
        <v>2</v>
      </c>
      <c r="B226" s="9" t="s">
        <v>19</v>
      </c>
      <c r="C226" s="54"/>
      <c r="D226" s="18">
        <f t="shared" si="18"/>
        <v>455</v>
      </c>
      <c r="E226" s="70">
        <v>383</v>
      </c>
      <c r="F226" s="17">
        <v>6</v>
      </c>
      <c r="G226" s="18">
        <v>66</v>
      </c>
      <c r="H226" s="71"/>
      <c r="I226" s="22">
        <f t="shared" si="19"/>
        <v>134</v>
      </c>
      <c r="J226" s="18">
        <v>98</v>
      </c>
      <c r="K226" s="16">
        <v>1</v>
      </c>
      <c r="L226" s="18">
        <v>34</v>
      </c>
      <c r="M226" s="72">
        <v>1</v>
      </c>
    </row>
    <row r="227" spans="1:13" x14ac:dyDescent="0.25">
      <c r="A227" s="4">
        <v>3</v>
      </c>
      <c r="B227" s="9" t="s">
        <v>20</v>
      </c>
      <c r="C227" s="54"/>
      <c r="D227" s="18">
        <f t="shared" si="18"/>
        <v>836</v>
      </c>
      <c r="E227" s="70">
        <v>359</v>
      </c>
      <c r="F227" s="17">
        <v>325</v>
      </c>
      <c r="G227" s="18">
        <v>114</v>
      </c>
      <c r="H227" s="71">
        <v>38</v>
      </c>
      <c r="I227" s="22">
        <f t="shared" si="19"/>
        <v>223</v>
      </c>
      <c r="J227" s="18">
        <v>84</v>
      </c>
      <c r="K227" s="16">
        <v>53</v>
      </c>
      <c r="L227" s="18">
        <v>80</v>
      </c>
      <c r="M227" s="72">
        <v>6</v>
      </c>
    </row>
    <row r="228" spans="1:13" x14ac:dyDescent="0.25">
      <c r="A228" s="4">
        <v>4</v>
      </c>
      <c r="B228" s="9" t="s">
        <v>21</v>
      </c>
      <c r="C228" s="54"/>
      <c r="D228" s="18">
        <f t="shared" si="18"/>
        <v>107</v>
      </c>
      <c r="E228" s="70">
        <v>65</v>
      </c>
      <c r="F228" s="17">
        <v>42</v>
      </c>
      <c r="G228" s="18"/>
      <c r="H228" s="71"/>
      <c r="I228" s="22">
        <f t="shared" si="19"/>
        <v>6</v>
      </c>
      <c r="J228" s="18">
        <v>1</v>
      </c>
      <c r="K228" s="16">
        <v>4</v>
      </c>
      <c r="L228" s="18">
        <v>1</v>
      </c>
      <c r="M228" s="72"/>
    </row>
    <row r="229" spans="1:13" x14ac:dyDescent="0.25">
      <c r="A229" s="4">
        <v>5</v>
      </c>
      <c r="B229" s="9" t="s">
        <v>22</v>
      </c>
      <c r="C229" s="54"/>
      <c r="D229" s="18">
        <f t="shared" si="18"/>
        <v>37</v>
      </c>
      <c r="E229" s="70">
        <v>33</v>
      </c>
      <c r="F229" s="17">
        <v>3</v>
      </c>
      <c r="G229" s="18">
        <v>1</v>
      </c>
      <c r="H229" s="71"/>
      <c r="I229" s="22">
        <f t="shared" si="19"/>
        <v>7</v>
      </c>
      <c r="J229" s="18">
        <v>7</v>
      </c>
      <c r="K229" s="16"/>
      <c r="L229" s="18"/>
      <c r="M229" s="72"/>
    </row>
    <row r="230" spans="1:13" x14ac:dyDescent="0.25">
      <c r="A230" s="4">
        <v>6</v>
      </c>
      <c r="B230" s="9" t="s">
        <v>23</v>
      </c>
      <c r="C230" s="54"/>
      <c r="D230" s="18">
        <f t="shared" si="18"/>
        <v>136</v>
      </c>
      <c r="E230" s="70">
        <v>134</v>
      </c>
      <c r="F230" s="17">
        <v>1</v>
      </c>
      <c r="G230" s="18">
        <v>1</v>
      </c>
      <c r="H230" s="71"/>
      <c r="I230" s="22">
        <f t="shared" si="19"/>
        <v>45</v>
      </c>
      <c r="J230" s="18">
        <v>36</v>
      </c>
      <c r="K230" s="16">
        <v>1</v>
      </c>
      <c r="L230" s="18">
        <v>8</v>
      </c>
      <c r="M230" s="72"/>
    </row>
    <row r="231" spans="1:13" x14ac:dyDescent="0.25">
      <c r="A231" s="4">
        <v>7</v>
      </c>
      <c r="B231" s="9" t="s">
        <v>24</v>
      </c>
      <c r="C231" s="54"/>
      <c r="D231" s="18">
        <f t="shared" si="18"/>
        <v>956</v>
      </c>
      <c r="E231" s="70">
        <v>187</v>
      </c>
      <c r="F231" s="17">
        <v>652</v>
      </c>
      <c r="G231" s="18">
        <v>78</v>
      </c>
      <c r="H231" s="71">
        <v>39</v>
      </c>
      <c r="I231" s="22">
        <f t="shared" si="19"/>
        <v>1158</v>
      </c>
      <c r="J231" s="18">
        <v>173</v>
      </c>
      <c r="K231" s="16">
        <v>476</v>
      </c>
      <c r="L231" s="18">
        <v>265</v>
      </c>
      <c r="M231" s="72">
        <v>244</v>
      </c>
    </row>
    <row r="232" spans="1:13" x14ac:dyDescent="0.25">
      <c r="A232" s="4">
        <v>8</v>
      </c>
      <c r="B232" s="9" t="s">
        <v>25</v>
      </c>
      <c r="C232" s="54"/>
      <c r="D232" s="18">
        <f t="shared" si="18"/>
        <v>122</v>
      </c>
      <c r="E232" s="70">
        <v>68</v>
      </c>
      <c r="F232" s="17">
        <v>27</v>
      </c>
      <c r="G232" s="18">
        <v>26</v>
      </c>
      <c r="H232" s="71">
        <v>1</v>
      </c>
      <c r="I232" s="22">
        <f t="shared" si="19"/>
        <v>9</v>
      </c>
      <c r="J232" s="18">
        <v>5</v>
      </c>
      <c r="K232" s="16">
        <v>3</v>
      </c>
      <c r="L232" s="18">
        <v>1</v>
      </c>
      <c r="M232" s="72"/>
    </row>
    <row r="233" spans="1:13" x14ac:dyDescent="0.25">
      <c r="A233" s="4">
        <v>9</v>
      </c>
      <c r="B233" s="9" t="s">
        <v>26</v>
      </c>
      <c r="C233" s="54"/>
      <c r="D233" s="18">
        <f t="shared" si="18"/>
        <v>193</v>
      </c>
      <c r="E233" s="70">
        <v>42</v>
      </c>
      <c r="F233" s="17">
        <v>147</v>
      </c>
      <c r="G233" s="18">
        <v>3</v>
      </c>
      <c r="H233" s="71">
        <v>1</v>
      </c>
      <c r="I233" s="22">
        <f t="shared" si="19"/>
        <v>24</v>
      </c>
      <c r="J233" s="18">
        <v>1</v>
      </c>
      <c r="K233" s="16">
        <v>22</v>
      </c>
      <c r="L233" s="18">
        <v>1</v>
      </c>
      <c r="M233" s="72"/>
    </row>
    <row r="234" spans="1:13" x14ac:dyDescent="0.25">
      <c r="A234" s="4">
        <v>10</v>
      </c>
      <c r="B234" s="9" t="s">
        <v>27</v>
      </c>
      <c r="C234" s="54"/>
      <c r="D234" s="18">
        <f t="shared" si="18"/>
        <v>152</v>
      </c>
      <c r="E234" s="70">
        <v>91</v>
      </c>
      <c r="F234" s="17">
        <v>23</v>
      </c>
      <c r="G234" s="18">
        <v>36</v>
      </c>
      <c r="H234" s="71">
        <v>2</v>
      </c>
      <c r="I234" s="22">
        <f t="shared" si="19"/>
        <v>7</v>
      </c>
      <c r="J234" s="18">
        <v>1</v>
      </c>
      <c r="K234" s="16">
        <v>1</v>
      </c>
      <c r="L234" s="18">
        <v>5</v>
      </c>
      <c r="M234" s="72"/>
    </row>
    <row r="235" spans="1:13" x14ac:dyDescent="0.25">
      <c r="A235" s="6" t="s">
        <v>28</v>
      </c>
      <c r="B235" s="9"/>
      <c r="C235" s="54"/>
      <c r="D235" s="18"/>
      <c r="E235" s="70"/>
      <c r="F235" s="17"/>
      <c r="G235" s="18"/>
      <c r="H235" s="71"/>
      <c r="I235" s="22"/>
      <c r="J235" s="18"/>
      <c r="K235" s="16"/>
      <c r="L235" s="18"/>
      <c r="M235" s="72"/>
    </row>
    <row r="236" spans="1:13" x14ac:dyDescent="0.25">
      <c r="A236" s="5" t="s">
        <v>29</v>
      </c>
      <c r="B236" s="9"/>
      <c r="C236" s="54"/>
      <c r="D236" s="18"/>
      <c r="E236" s="70"/>
      <c r="F236" s="17"/>
      <c r="G236" s="18"/>
      <c r="H236" s="71"/>
      <c r="I236" s="22"/>
      <c r="J236" s="18"/>
      <c r="K236" s="16"/>
      <c r="L236" s="18"/>
      <c r="M236" s="72"/>
    </row>
    <row r="237" spans="1:13" x14ac:dyDescent="0.25">
      <c r="A237" s="4">
        <v>1</v>
      </c>
      <c r="B237" s="73" t="s">
        <v>30</v>
      </c>
      <c r="C237" s="54"/>
      <c r="D237" s="18">
        <f>SUM(E237:H237)</f>
        <v>24693</v>
      </c>
      <c r="E237" s="70"/>
      <c r="F237" s="17">
        <v>13534</v>
      </c>
      <c r="G237" s="18"/>
      <c r="H237" s="71">
        <v>11159</v>
      </c>
      <c r="I237" s="22">
        <f>SUM(J237:M237)</f>
        <v>17875</v>
      </c>
      <c r="J237" s="18"/>
      <c r="K237" s="16">
        <v>5290</v>
      </c>
      <c r="L237" s="18">
        <v>9</v>
      </c>
      <c r="M237" s="72">
        <v>12576</v>
      </c>
    </row>
    <row r="238" spans="1:13" x14ac:dyDescent="0.25">
      <c r="A238" s="5" t="s">
        <v>31</v>
      </c>
      <c r="B238" s="9"/>
      <c r="C238" s="54"/>
      <c r="D238" s="18"/>
      <c r="E238" s="70"/>
      <c r="F238" s="17"/>
      <c r="G238" s="18"/>
      <c r="H238" s="71"/>
      <c r="I238" s="22"/>
      <c r="J238" s="18"/>
      <c r="K238" s="16"/>
      <c r="L238" s="18"/>
      <c r="M238" s="72"/>
    </row>
    <row r="239" spans="1:13" x14ac:dyDescent="0.25">
      <c r="A239" s="4">
        <v>1</v>
      </c>
      <c r="B239" s="9" t="s">
        <v>32</v>
      </c>
      <c r="C239" s="54"/>
      <c r="D239" s="18">
        <f>SUM(E239:H239)</f>
        <v>398</v>
      </c>
      <c r="E239" s="70">
        <v>192</v>
      </c>
      <c r="F239" s="17">
        <v>149</v>
      </c>
      <c r="G239" s="18">
        <v>56</v>
      </c>
      <c r="H239" s="71">
        <v>1</v>
      </c>
      <c r="I239" s="22">
        <f>SUM(J239:M239)</f>
        <v>153</v>
      </c>
      <c r="J239" s="18">
        <v>92</v>
      </c>
      <c r="K239" s="16">
        <v>48</v>
      </c>
      <c r="L239" s="18">
        <v>10</v>
      </c>
      <c r="M239" s="72">
        <v>3</v>
      </c>
    </row>
    <row r="240" spans="1:13" x14ac:dyDescent="0.25">
      <c r="A240" s="4">
        <v>2</v>
      </c>
      <c r="B240" s="9" t="s">
        <v>33</v>
      </c>
      <c r="C240" s="54"/>
      <c r="D240" s="18">
        <f>SUM(E240:H240)</f>
        <v>20974</v>
      </c>
      <c r="E240" s="55">
        <v>283</v>
      </c>
      <c r="F240" s="17">
        <v>818</v>
      </c>
      <c r="G240" s="57">
        <v>16871</v>
      </c>
      <c r="H240" s="71">
        <v>3002</v>
      </c>
      <c r="I240" s="22">
        <f>SUM(J240:M240)</f>
        <v>15378</v>
      </c>
      <c r="J240" s="57">
        <v>78</v>
      </c>
      <c r="K240" s="16">
        <v>285</v>
      </c>
      <c r="L240" s="57">
        <v>9269</v>
      </c>
      <c r="M240" s="72">
        <v>5746</v>
      </c>
    </row>
    <row r="241" spans="1:13" x14ac:dyDescent="0.25">
      <c r="A241" s="6" t="s">
        <v>34</v>
      </c>
      <c r="B241" s="9"/>
      <c r="C241" s="54"/>
      <c r="D241" s="18"/>
      <c r="E241" s="55"/>
      <c r="F241" s="17"/>
      <c r="G241" s="57"/>
      <c r="H241" s="71"/>
      <c r="I241" s="22"/>
      <c r="J241" s="57"/>
      <c r="K241" s="16"/>
      <c r="L241" s="57"/>
      <c r="M241" s="72"/>
    </row>
    <row r="242" spans="1:13" x14ac:dyDescent="0.25">
      <c r="A242" s="74" t="s">
        <v>35</v>
      </c>
      <c r="B242" s="9"/>
      <c r="C242" s="26"/>
      <c r="D242" s="18"/>
      <c r="E242" s="55"/>
      <c r="F242" s="17"/>
      <c r="G242" s="55"/>
      <c r="H242" s="17"/>
      <c r="I242" s="22"/>
      <c r="J242" s="57"/>
      <c r="K242" s="16"/>
      <c r="L242" s="55"/>
      <c r="M242" s="75"/>
    </row>
    <row r="243" spans="1:13" x14ac:dyDescent="0.25">
      <c r="A243" s="8">
        <v>1</v>
      </c>
      <c r="B243" s="9" t="s">
        <v>36</v>
      </c>
      <c r="C243" s="26"/>
      <c r="D243" s="18">
        <f>SUM(E243:H243)</f>
        <v>8409</v>
      </c>
      <c r="E243" s="55">
        <v>3766</v>
      </c>
      <c r="F243" s="17">
        <v>725</v>
      </c>
      <c r="G243" s="55">
        <v>3808</v>
      </c>
      <c r="H243" s="17">
        <v>110</v>
      </c>
      <c r="I243" s="22">
        <f>SUM(J243:M243)</f>
        <v>2181</v>
      </c>
      <c r="J243" s="57">
        <v>919</v>
      </c>
      <c r="K243" s="16">
        <v>59</v>
      </c>
      <c r="L243" s="55">
        <v>1178</v>
      </c>
      <c r="M243" s="75">
        <v>25</v>
      </c>
    </row>
    <row r="244" spans="1:13" x14ac:dyDescent="0.25">
      <c r="A244" s="7" t="s">
        <v>37</v>
      </c>
      <c r="B244" s="9"/>
      <c r="C244" s="26"/>
      <c r="D244" s="18"/>
      <c r="E244" s="55"/>
      <c r="F244" s="17"/>
      <c r="G244" s="55"/>
      <c r="H244" s="17"/>
      <c r="I244" s="22"/>
      <c r="J244" s="57"/>
      <c r="K244" s="16"/>
      <c r="L244" s="55"/>
      <c r="M244" s="75"/>
    </row>
    <row r="245" spans="1:13" x14ac:dyDescent="0.25">
      <c r="A245" s="8">
        <v>1</v>
      </c>
      <c r="B245" s="9" t="s">
        <v>38</v>
      </c>
      <c r="C245" s="26"/>
      <c r="D245" s="18">
        <f t="shared" ref="D245:D250" si="20">SUM(E245:H245)</f>
        <v>2478</v>
      </c>
      <c r="E245" s="55">
        <v>2287</v>
      </c>
      <c r="F245" s="17">
        <v>5</v>
      </c>
      <c r="G245" s="55">
        <v>186</v>
      </c>
      <c r="H245" s="17"/>
      <c r="I245" s="22">
        <f t="shared" ref="I245:I250" si="21">SUM(J245:M245)</f>
        <v>743</v>
      </c>
      <c r="J245" s="57">
        <v>586</v>
      </c>
      <c r="K245" s="16">
        <v>3</v>
      </c>
      <c r="L245" s="55">
        <v>154</v>
      </c>
      <c r="M245" s="75"/>
    </row>
    <row r="246" spans="1:13" x14ac:dyDescent="0.25">
      <c r="A246" s="4">
        <v>2</v>
      </c>
      <c r="B246" s="9" t="s">
        <v>39</v>
      </c>
      <c r="C246" s="26"/>
      <c r="D246" s="18">
        <f t="shared" si="20"/>
        <v>2545</v>
      </c>
      <c r="E246" s="55">
        <v>341</v>
      </c>
      <c r="F246" s="17">
        <v>2</v>
      </c>
      <c r="G246" s="55">
        <v>2202</v>
      </c>
      <c r="H246" s="17"/>
      <c r="I246" s="22">
        <f t="shared" si="21"/>
        <v>771</v>
      </c>
      <c r="J246" s="57">
        <v>66</v>
      </c>
      <c r="K246" s="16"/>
      <c r="L246" s="55">
        <v>705</v>
      </c>
      <c r="M246" s="75"/>
    </row>
    <row r="247" spans="1:13" x14ac:dyDescent="0.25">
      <c r="A247" s="4">
        <v>3</v>
      </c>
      <c r="B247" s="9" t="s">
        <v>40</v>
      </c>
      <c r="C247" s="26"/>
      <c r="D247" s="18">
        <f t="shared" si="20"/>
        <v>1607</v>
      </c>
      <c r="E247" s="55">
        <v>1178</v>
      </c>
      <c r="F247" s="17">
        <v>11</v>
      </c>
      <c r="G247" s="55">
        <v>418</v>
      </c>
      <c r="H247" s="17"/>
      <c r="I247" s="22">
        <f t="shared" si="21"/>
        <v>58</v>
      </c>
      <c r="J247" s="57">
        <v>32</v>
      </c>
      <c r="K247" s="16"/>
      <c r="L247" s="55">
        <v>26</v>
      </c>
      <c r="M247" s="75"/>
    </row>
    <row r="248" spans="1:13" x14ac:dyDescent="0.25">
      <c r="A248" s="4">
        <v>4</v>
      </c>
      <c r="B248" s="9" t="s">
        <v>41</v>
      </c>
      <c r="C248" s="26"/>
      <c r="D248" s="18">
        <f t="shared" si="20"/>
        <v>189</v>
      </c>
      <c r="E248" s="55">
        <v>47</v>
      </c>
      <c r="F248" s="17">
        <v>1</v>
      </c>
      <c r="G248" s="55">
        <v>141</v>
      </c>
      <c r="H248" s="17"/>
      <c r="I248" s="22">
        <f t="shared" si="21"/>
        <v>0</v>
      </c>
      <c r="J248" s="57"/>
      <c r="K248" s="16"/>
      <c r="L248" s="55"/>
      <c r="M248" s="75"/>
    </row>
    <row r="249" spans="1:13" x14ac:dyDescent="0.25">
      <c r="A249" s="4">
        <v>5</v>
      </c>
      <c r="B249" s="9" t="s">
        <v>42</v>
      </c>
      <c r="C249" s="26"/>
      <c r="D249" s="18">
        <f t="shared" si="20"/>
        <v>634</v>
      </c>
      <c r="E249" s="55">
        <v>482</v>
      </c>
      <c r="F249" s="17">
        <v>55</v>
      </c>
      <c r="G249" s="55">
        <v>97</v>
      </c>
      <c r="H249" s="17"/>
      <c r="I249" s="22">
        <f t="shared" si="21"/>
        <v>129</v>
      </c>
      <c r="J249" s="57">
        <v>53</v>
      </c>
      <c r="K249" s="16">
        <v>14</v>
      </c>
      <c r="L249" s="55">
        <v>62</v>
      </c>
      <c r="M249" s="75"/>
    </row>
    <row r="250" spans="1:13" x14ac:dyDescent="0.25">
      <c r="A250" s="4">
        <v>6</v>
      </c>
      <c r="B250" s="9" t="s">
        <v>43</v>
      </c>
      <c r="C250" s="26"/>
      <c r="D250" s="18">
        <f t="shared" si="20"/>
        <v>464</v>
      </c>
      <c r="E250" s="55">
        <v>98</v>
      </c>
      <c r="F250" s="17">
        <v>3</v>
      </c>
      <c r="G250" s="55">
        <v>363</v>
      </c>
      <c r="H250" s="17"/>
      <c r="I250" s="22">
        <f t="shared" si="21"/>
        <v>69</v>
      </c>
      <c r="J250" s="57">
        <v>3</v>
      </c>
      <c r="K250" s="16"/>
      <c r="L250" s="55">
        <v>65</v>
      </c>
      <c r="M250" s="75">
        <v>1</v>
      </c>
    </row>
    <row r="251" spans="1:13" x14ac:dyDescent="0.25">
      <c r="A251" s="76" t="s">
        <v>44</v>
      </c>
      <c r="B251" s="9"/>
      <c r="C251" s="26"/>
      <c r="D251" s="18"/>
      <c r="E251" s="55"/>
      <c r="F251" s="17"/>
      <c r="G251" s="55"/>
      <c r="H251" s="17"/>
      <c r="I251" s="22"/>
      <c r="J251" s="57"/>
      <c r="K251" s="16"/>
      <c r="L251" s="55"/>
      <c r="M251" s="75"/>
    </row>
    <row r="252" spans="1:13" x14ac:dyDescent="0.25">
      <c r="A252" s="78" t="s">
        <v>46</v>
      </c>
      <c r="B252" s="9"/>
      <c r="C252" s="77" t="s">
        <v>115</v>
      </c>
      <c r="D252" s="18"/>
      <c r="E252" s="55"/>
      <c r="F252" s="17"/>
      <c r="G252" s="55"/>
      <c r="H252" s="17"/>
      <c r="I252" s="22"/>
      <c r="J252" s="57"/>
      <c r="K252" s="16"/>
      <c r="L252" s="55"/>
      <c r="M252" s="75"/>
    </row>
    <row r="253" spans="1:13" x14ac:dyDescent="0.25">
      <c r="A253" s="4">
        <v>1</v>
      </c>
      <c r="B253" s="9" t="s">
        <v>47</v>
      </c>
      <c r="C253" s="26"/>
      <c r="D253" s="18">
        <f>SUM(E253:H253)</f>
        <v>8407</v>
      </c>
      <c r="E253" s="55">
        <v>716</v>
      </c>
      <c r="F253" s="17">
        <v>164</v>
      </c>
      <c r="G253" s="55">
        <v>6607</v>
      </c>
      <c r="H253" s="17">
        <v>920</v>
      </c>
      <c r="I253" s="22">
        <f>SUM(J253:M253)</f>
        <v>539506</v>
      </c>
      <c r="J253" s="57">
        <v>6602</v>
      </c>
      <c r="K253" s="16">
        <v>2697</v>
      </c>
      <c r="L253" s="55">
        <v>208794</v>
      </c>
      <c r="M253" s="75">
        <v>321413</v>
      </c>
    </row>
    <row r="254" spans="1:13" x14ac:dyDescent="0.25">
      <c r="A254" s="4">
        <v>2</v>
      </c>
      <c r="B254" s="9" t="s">
        <v>48</v>
      </c>
      <c r="C254" s="26"/>
      <c r="D254" s="18">
        <f>SUM(E254:H254)</f>
        <v>54</v>
      </c>
      <c r="E254" s="55">
        <v>12</v>
      </c>
      <c r="F254" s="17"/>
      <c r="G254" s="55">
        <v>42</v>
      </c>
      <c r="H254" s="17"/>
      <c r="I254" s="22">
        <f>SUM(J254:M254)</f>
        <v>1389</v>
      </c>
      <c r="J254" s="57">
        <v>129</v>
      </c>
      <c r="K254" s="16">
        <v>2</v>
      </c>
      <c r="L254" s="55">
        <v>1118</v>
      </c>
      <c r="M254" s="75">
        <v>140</v>
      </c>
    </row>
    <row r="255" spans="1:13" x14ac:dyDescent="0.25">
      <c r="A255" s="4">
        <v>3</v>
      </c>
      <c r="B255" s="9" t="s">
        <v>49</v>
      </c>
      <c r="C255" s="26"/>
      <c r="D255" s="18">
        <f>SUM(E255:H255)</f>
        <v>4</v>
      </c>
      <c r="E255" s="55">
        <v>3</v>
      </c>
      <c r="F255" s="17"/>
      <c r="G255" s="55">
        <v>1</v>
      </c>
      <c r="H255" s="17"/>
      <c r="I255" s="22">
        <f>SUM(J255:M255)</f>
        <v>5</v>
      </c>
      <c r="J255" s="57">
        <v>5</v>
      </c>
      <c r="K255" s="16"/>
      <c r="L255" s="55"/>
      <c r="M255" s="75"/>
    </row>
    <row r="256" spans="1:13" x14ac:dyDescent="0.25">
      <c r="A256" s="4">
        <v>4</v>
      </c>
      <c r="B256" s="9" t="s">
        <v>50</v>
      </c>
      <c r="C256" s="26"/>
      <c r="D256" s="18">
        <f>SUM(E256:H256)</f>
        <v>370</v>
      </c>
      <c r="E256" s="55">
        <v>139</v>
      </c>
      <c r="F256" s="17"/>
      <c r="G256" s="55">
        <v>231</v>
      </c>
      <c r="H256" s="17"/>
      <c r="I256" s="22">
        <f>SUM(J256:M256)</f>
        <v>352</v>
      </c>
      <c r="J256" s="57">
        <v>42</v>
      </c>
      <c r="K256" s="16">
        <v>1</v>
      </c>
      <c r="L256" s="55">
        <v>309</v>
      </c>
      <c r="M256" s="75"/>
    </row>
    <row r="257" spans="1:13" x14ac:dyDescent="0.25">
      <c r="A257" s="76" t="s">
        <v>51</v>
      </c>
      <c r="B257" s="9"/>
      <c r="C257" s="26"/>
      <c r="D257" s="18"/>
      <c r="E257" s="55"/>
      <c r="F257" s="17"/>
      <c r="G257" s="55"/>
      <c r="H257" s="17"/>
      <c r="I257" s="22"/>
      <c r="J257" s="57"/>
      <c r="K257" s="16"/>
      <c r="L257" s="55"/>
      <c r="M257" s="75"/>
    </row>
    <row r="258" spans="1:13" x14ac:dyDescent="0.25">
      <c r="A258" s="78" t="s">
        <v>52</v>
      </c>
      <c r="B258" s="9"/>
      <c r="C258" s="26"/>
      <c r="D258" s="18"/>
      <c r="E258" s="55"/>
      <c r="F258" s="17"/>
      <c r="G258" s="55"/>
      <c r="H258" s="17"/>
      <c r="I258" s="22"/>
      <c r="J258" s="57"/>
      <c r="K258" s="16"/>
      <c r="L258" s="55"/>
      <c r="M258" s="75"/>
    </row>
    <row r="259" spans="1:13" x14ac:dyDescent="0.25">
      <c r="A259" s="4">
        <v>1</v>
      </c>
      <c r="B259" s="9" t="s">
        <v>53</v>
      </c>
      <c r="C259" s="26"/>
      <c r="D259" s="18">
        <f t="shared" ref="D259:D271" si="22">SUM(E259:H259)</f>
        <v>671</v>
      </c>
      <c r="E259" s="55">
        <v>412</v>
      </c>
      <c r="F259" s="17">
        <v>62</v>
      </c>
      <c r="G259" s="55">
        <v>195</v>
      </c>
      <c r="H259" s="17">
        <v>2</v>
      </c>
      <c r="I259" s="22">
        <f t="shared" ref="I259:I271" si="23">SUM(J259:M259)</f>
        <v>38</v>
      </c>
      <c r="J259" s="57">
        <v>18</v>
      </c>
      <c r="K259" s="16">
        <v>7</v>
      </c>
      <c r="L259" s="55">
        <v>13</v>
      </c>
      <c r="M259" s="75"/>
    </row>
    <row r="260" spans="1:13" x14ac:dyDescent="0.25">
      <c r="A260" s="4">
        <v>2</v>
      </c>
      <c r="B260" s="9" t="s">
        <v>54</v>
      </c>
      <c r="C260" s="26"/>
      <c r="D260" s="18">
        <f t="shared" si="22"/>
        <v>31</v>
      </c>
      <c r="E260" s="55">
        <v>31</v>
      </c>
      <c r="F260" s="17"/>
      <c r="G260" s="55"/>
      <c r="H260" s="17"/>
      <c r="I260" s="22">
        <f t="shared" si="23"/>
        <v>3</v>
      </c>
      <c r="J260" s="57">
        <v>3</v>
      </c>
      <c r="K260" s="16"/>
      <c r="L260" s="55"/>
      <c r="M260" s="75"/>
    </row>
    <row r="261" spans="1:13" x14ac:dyDescent="0.25">
      <c r="A261" s="4">
        <v>3</v>
      </c>
      <c r="B261" s="9" t="s">
        <v>55</v>
      </c>
      <c r="C261" s="26"/>
      <c r="D261" s="18">
        <f t="shared" si="22"/>
        <v>13</v>
      </c>
      <c r="E261" s="55">
        <v>12</v>
      </c>
      <c r="F261" s="17"/>
      <c r="G261" s="55">
        <v>1</v>
      </c>
      <c r="H261" s="17"/>
      <c r="I261" s="22">
        <f t="shared" si="23"/>
        <v>0</v>
      </c>
      <c r="J261" s="57"/>
      <c r="K261" s="16"/>
      <c r="L261" s="55"/>
      <c r="M261" s="75"/>
    </row>
    <row r="262" spans="1:13" x14ac:dyDescent="0.25">
      <c r="A262" s="4">
        <v>4</v>
      </c>
      <c r="B262" s="9" t="s">
        <v>56</v>
      </c>
      <c r="C262" s="26"/>
      <c r="D262" s="18">
        <f t="shared" si="22"/>
        <v>4</v>
      </c>
      <c r="E262" s="55">
        <v>1</v>
      </c>
      <c r="F262" s="17"/>
      <c r="G262" s="55">
        <v>3</v>
      </c>
      <c r="H262" s="17"/>
      <c r="I262" s="22">
        <f t="shared" si="23"/>
        <v>5</v>
      </c>
      <c r="J262" s="57"/>
      <c r="K262" s="16"/>
      <c r="L262" s="55">
        <v>5</v>
      </c>
      <c r="M262" s="75"/>
    </row>
    <row r="263" spans="1:13" x14ac:dyDescent="0.25">
      <c r="A263" s="4">
        <v>5</v>
      </c>
      <c r="B263" s="9" t="s">
        <v>57</v>
      </c>
      <c r="C263" s="26"/>
      <c r="D263" s="18">
        <f t="shared" si="22"/>
        <v>18</v>
      </c>
      <c r="E263" s="55">
        <v>18</v>
      </c>
      <c r="F263" s="17"/>
      <c r="G263" s="55"/>
      <c r="H263" s="17"/>
      <c r="I263" s="22">
        <f t="shared" si="23"/>
        <v>5</v>
      </c>
      <c r="J263" s="57">
        <v>5</v>
      </c>
      <c r="K263" s="16"/>
      <c r="L263" s="55"/>
      <c r="M263" s="75"/>
    </row>
    <row r="264" spans="1:13" x14ac:dyDescent="0.25">
      <c r="A264" s="4">
        <v>6</v>
      </c>
      <c r="B264" s="9" t="s">
        <v>58</v>
      </c>
      <c r="C264" s="26"/>
      <c r="D264" s="18">
        <f t="shared" si="22"/>
        <v>66</v>
      </c>
      <c r="E264" s="55">
        <v>56</v>
      </c>
      <c r="F264" s="17">
        <v>1</v>
      </c>
      <c r="G264" s="55">
        <v>9</v>
      </c>
      <c r="H264" s="17"/>
      <c r="I264" s="22">
        <f t="shared" si="23"/>
        <v>7</v>
      </c>
      <c r="J264" s="57">
        <v>2</v>
      </c>
      <c r="K264" s="16"/>
      <c r="L264" s="55">
        <v>5</v>
      </c>
      <c r="M264" s="75"/>
    </row>
    <row r="265" spans="1:13" x14ac:dyDescent="0.25">
      <c r="A265" s="4">
        <v>7</v>
      </c>
      <c r="B265" s="9" t="s">
        <v>59</v>
      </c>
      <c r="C265" s="26"/>
      <c r="D265" s="18">
        <f t="shared" si="22"/>
        <v>0</v>
      </c>
      <c r="E265" s="55"/>
      <c r="F265" s="17"/>
      <c r="G265" s="55"/>
      <c r="H265" s="17"/>
      <c r="I265" s="22">
        <f t="shared" si="23"/>
        <v>0</v>
      </c>
      <c r="J265" s="57"/>
      <c r="K265" s="16"/>
      <c r="L265" s="55"/>
      <c r="M265" s="75"/>
    </row>
    <row r="266" spans="1:13" x14ac:dyDescent="0.25">
      <c r="A266" s="4">
        <v>8</v>
      </c>
      <c r="B266" s="9" t="s">
        <v>60</v>
      </c>
      <c r="C266" s="26"/>
      <c r="D266" s="18">
        <f t="shared" si="22"/>
        <v>35</v>
      </c>
      <c r="E266" s="55">
        <v>33</v>
      </c>
      <c r="F266" s="17"/>
      <c r="G266" s="55">
        <v>2</v>
      </c>
      <c r="H266" s="17"/>
      <c r="I266" s="22">
        <f t="shared" si="23"/>
        <v>73</v>
      </c>
      <c r="J266" s="57">
        <v>73</v>
      </c>
      <c r="K266" s="16"/>
      <c r="L266" s="55"/>
      <c r="M266" s="75"/>
    </row>
    <row r="267" spans="1:13" x14ac:dyDescent="0.25">
      <c r="A267" s="4">
        <v>9</v>
      </c>
      <c r="B267" s="9" t="s">
        <v>61</v>
      </c>
      <c r="C267" s="26"/>
      <c r="D267" s="18">
        <f t="shared" si="22"/>
        <v>349</v>
      </c>
      <c r="E267" s="55">
        <v>329</v>
      </c>
      <c r="F267" s="17"/>
      <c r="G267" s="55">
        <v>20</v>
      </c>
      <c r="H267" s="17"/>
      <c r="I267" s="22">
        <f t="shared" si="23"/>
        <v>109</v>
      </c>
      <c r="J267" s="57">
        <v>99</v>
      </c>
      <c r="K267" s="16"/>
      <c r="L267" s="55">
        <v>10</v>
      </c>
      <c r="M267" s="75"/>
    </row>
    <row r="268" spans="1:13" x14ac:dyDescent="0.25">
      <c r="A268" s="4">
        <v>10</v>
      </c>
      <c r="B268" s="9" t="s">
        <v>62</v>
      </c>
      <c r="C268" s="26"/>
      <c r="D268" s="18">
        <f t="shared" si="22"/>
        <v>656</v>
      </c>
      <c r="E268" s="55">
        <v>540</v>
      </c>
      <c r="F268" s="17"/>
      <c r="G268" s="55">
        <v>116</v>
      </c>
      <c r="H268" s="17"/>
      <c r="I268" s="22">
        <f t="shared" si="23"/>
        <v>127</v>
      </c>
      <c r="J268" s="57">
        <v>86</v>
      </c>
      <c r="K268" s="16"/>
      <c r="L268" s="55">
        <v>41</v>
      </c>
      <c r="M268" s="75"/>
    </row>
    <row r="269" spans="1:13" x14ac:dyDescent="0.25">
      <c r="A269" s="4">
        <v>11</v>
      </c>
      <c r="B269" s="9" t="s">
        <v>63</v>
      </c>
      <c r="C269" s="26"/>
      <c r="D269" s="18">
        <f t="shared" si="22"/>
        <v>155</v>
      </c>
      <c r="E269" s="55">
        <v>92</v>
      </c>
      <c r="F269" s="17"/>
      <c r="G269" s="55">
        <v>63</v>
      </c>
      <c r="H269" s="17"/>
      <c r="I269" s="22">
        <f t="shared" si="23"/>
        <v>22</v>
      </c>
      <c r="J269" s="57">
        <v>15</v>
      </c>
      <c r="K269" s="16"/>
      <c r="L269" s="55">
        <v>7</v>
      </c>
      <c r="M269" s="75"/>
    </row>
    <row r="270" spans="1:13" x14ac:dyDescent="0.25">
      <c r="A270" s="4">
        <v>12</v>
      </c>
      <c r="B270" s="9" t="s">
        <v>64</v>
      </c>
      <c r="C270" s="26"/>
      <c r="D270" s="18">
        <f t="shared" si="22"/>
        <v>248</v>
      </c>
      <c r="E270" s="55">
        <v>186</v>
      </c>
      <c r="F270" s="17">
        <v>7</v>
      </c>
      <c r="G270" s="55">
        <v>54</v>
      </c>
      <c r="H270" s="17">
        <v>1</v>
      </c>
      <c r="I270" s="22">
        <f t="shared" si="23"/>
        <v>17</v>
      </c>
      <c r="J270" s="57">
        <v>8</v>
      </c>
      <c r="K270" s="16"/>
      <c r="L270" s="55">
        <v>9</v>
      </c>
      <c r="M270" s="75"/>
    </row>
    <row r="271" spans="1:13" x14ac:dyDescent="0.25">
      <c r="A271" s="4">
        <v>13</v>
      </c>
      <c r="B271" s="9" t="s">
        <v>65</v>
      </c>
      <c r="C271" s="26"/>
      <c r="D271" s="18">
        <f t="shared" si="22"/>
        <v>19</v>
      </c>
      <c r="E271" s="55">
        <v>17</v>
      </c>
      <c r="F271" s="17"/>
      <c r="G271" s="55">
        <v>2</v>
      </c>
      <c r="H271" s="17"/>
      <c r="I271" s="22">
        <f t="shared" si="23"/>
        <v>44</v>
      </c>
      <c r="J271" s="57">
        <v>5</v>
      </c>
      <c r="K271" s="16"/>
      <c r="L271" s="55">
        <v>38</v>
      </c>
      <c r="M271" s="75">
        <v>1</v>
      </c>
    </row>
    <row r="272" spans="1:13" x14ac:dyDescent="0.25">
      <c r="A272" s="5" t="s">
        <v>66</v>
      </c>
      <c r="B272" s="9"/>
      <c r="C272" s="26"/>
      <c r="D272" s="18"/>
      <c r="E272" s="55"/>
      <c r="F272" s="17"/>
      <c r="G272" s="55"/>
      <c r="H272" s="17"/>
      <c r="I272" s="22"/>
      <c r="J272" s="57"/>
      <c r="K272" s="16"/>
      <c r="L272" s="55"/>
      <c r="M272" s="75"/>
    </row>
    <row r="273" spans="1:13" x14ac:dyDescent="0.25">
      <c r="A273" s="4">
        <v>1</v>
      </c>
      <c r="B273" s="9" t="s">
        <v>67</v>
      </c>
      <c r="C273" s="26"/>
      <c r="D273" s="18">
        <f>SUM(E273:H273)</f>
        <v>3217</v>
      </c>
      <c r="E273" s="55">
        <v>407</v>
      </c>
      <c r="F273" s="17">
        <v>1</v>
      </c>
      <c r="G273" s="55">
        <v>2809</v>
      </c>
      <c r="H273" s="17"/>
      <c r="I273" s="22">
        <f>SUM(J273:M273)</f>
        <v>1756</v>
      </c>
      <c r="J273" s="57">
        <v>232</v>
      </c>
      <c r="K273" s="16"/>
      <c r="L273" s="55">
        <v>1524</v>
      </c>
      <c r="M273" s="75"/>
    </row>
    <row r="274" spans="1:13" x14ac:dyDescent="0.25">
      <c r="A274" s="4">
        <v>2</v>
      </c>
      <c r="B274" s="9" t="s">
        <v>68</v>
      </c>
      <c r="C274" s="26"/>
      <c r="D274" s="18">
        <f>SUM(E274:H274)</f>
        <v>4083</v>
      </c>
      <c r="E274" s="55">
        <v>1955</v>
      </c>
      <c r="F274" s="17">
        <v>1</v>
      </c>
      <c r="G274" s="55">
        <v>2126</v>
      </c>
      <c r="H274" s="17">
        <v>1</v>
      </c>
      <c r="I274" s="22">
        <f>SUM(J274:M274)</f>
        <v>2048</v>
      </c>
      <c r="J274" s="57">
        <v>620</v>
      </c>
      <c r="K274" s="16"/>
      <c r="L274" s="55">
        <v>1428</v>
      </c>
      <c r="M274" s="75"/>
    </row>
    <row r="275" spans="1:13" x14ac:dyDescent="0.25">
      <c r="A275" s="4">
        <v>3</v>
      </c>
      <c r="B275" s="9" t="s">
        <v>69</v>
      </c>
      <c r="C275" s="26"/>
      <c r="D275" s="18">
        <f>SUM(E275:H275)</f>
        <v>4</v>
      </c>
      <c r="E275" s="55">
        <v>4</v>
      </c>
      <c r="F275" s="17"/>
      <c r="G275" s="55"/>
      <c r="H275" s="17"/>
      <c r="I275" s="22">
        <f>SUM(J275:M275)</f>
        <v>47</v>
      </c>
      <c r="J275" s="57"/>
      <c r="K275" s="16"/>
      <c r="L275" s="55">
        <v>47</v>
      </c>
      <c r="M275" s="75"/>
    </row>
    <row r="276" spans="1:13" x14ac:dyDescent="0.25">
      <c r="A276" s="4">
        <v>4</v>
      </c>
      <c r="B276" s="9" t="s">
        <v>70</v>
      </c>
      <c r="C276" s="26"/>
      <c r="D276" s="18">
        <f>SUM(E276:H276)</f>
        <v>98</v>
      </c>
      <c r="E276" s="55">
        <v>46</v>
      </c>
      <c r="F276" s="17">
        <v>1</v>
      </c>
      <c r="G276" s="55">
        <v>50</v>
      </c>
      <c r="H276" s="17">
        <v>1</v>
      </c>
      <c r="I276" s="22">
        <f>SUM(J276:M276)</f>
        <v>13</v>
      </c>
      <c r="J276" s="57">
        <v>2</v>
      </c>
      <c r="K276" s="16"/>
      <c r="L276" s="55">
        <v>11</v>
      </c>
      <c r="M276" s="75"/>
    </row>
    <row r="277" spans="1:13" x14ac:dyDescent="0.25">
      <c r="A277" s="5" t="s">
        <v>71</v>
      </c>
      <c r="B277" s="9"/>
      <c r="C277" s="26"/>
      <c r="D277" s="18"/>
      <c r="E277" s="55"/>
      <c r="F277" s="17"/>
      <c r="G277" s="55"/>
      <c r="H277" s="17"/>
      <c r="I277" s="22"/>
      <c r="J277" s="57"/>
      <c r="K277" s="16"/>
      <c r="L277" s="55"/>
      <c r="M277" s="75"/>
    </row>
    <row r="278" spans="1:13" x14ac:dyDescent="0.25">
      <c r="A278" s="4">
        <v>1</v>
      </c>
      <c r="B278" s="9" t="s">
        <v>72</v>
      </c>
      <c r="C278" s="26"/>
      <c r="D278" s="18">
        <f>SUM(E278:H278)</f>
        <v>444</v>
      </c>
      <c r="E278" s="55">
        <v>221</v>
      </c>
      <c r="F278" s="17">
        <v>187</v>
      </c>
      <c r="G278" s="55">
        <v>34</v>
      </c>
      <c r="H278" s="17">
        <v>2</v>
      </c>
      <c r="I278" s="22">
        <f>SUM(J278:M278)</f>
        <v>40</v>
      </c>
      <c r="J278" s="57">
        <v>11</v>
      </c>
      <c r="K278" s="16">
        <v>15</v>
      </c>
      <c r="L278" s="55">
        <v>14</v>
      </c>
      <c r="M278" s="75"/>
    </row>
    <row r="279" spans="1:13" x14ac:dyDescent="0.25">
      <c r="A279" s="4">
        <v>2</v>
      </c>
      <c r="B279" s="9" t="s">
        <v>73</v>
      </c>
      <c r="C279" s="26"/>
      <c r="D279" s="18">
        <f>SUM(E279:H279)</f>
        <v>1444</v>
      </c>
      <c r="E279" s="55">
        <v>381</v>
      </c>
      <c r="F279" s="17">
        <v>597</v>
      </c>
      <c r="G279" s="55">
        <v>355</v>
      </c>
      <c r="H279" s="17">
        <v>111</v>
      </c>
      <c r="I279" s="22">
        <f>SUM(J279:M279)</f>
        <v>244</v>
      </c>
      <c r="J279" s="57">
        <v>48</v>
      </c>
      <c r="K279" s="16">
        <v>73</v>
      </c>
      <c r="L279" s="55">
        <v>69</v>
      </c>
      <c r="M279" s="75">
        <v>54</v>
      </c>
    </row>
    <row r="280" spans="1:13" x14ac:dyDescent="0.25">
      <c r="A280" s="4">
        <v>3</v>
      </c>
      <c r="B280" s="9" t="s">
        <v>74</v>
      </c>
      <c r="C280" s="26"/>
      <c r="D280" s="18">
        <f>SUM(E280:H280)</f>
        <v>8</v>
      </c>
      <c r="E280" s="55">
        <v>4</v>
      </c>
      <c r="F280" s="17"/>
      <c r="G280" s="55">
        <v>2</v>
      </c>
      <c r="H280" s="17">
        <v>2</v>
      </c>
      <c r="I280" s="22">
        <f>SUM(J280:M280)</f>
        <v>4</v>
      </c>
      <c r="J280" s="57">
        <v>2</v>
      </c>
      <c r="K280" s="16"/>
      <c r="L280" s="55">
        <v>2</v>
      </c>
      <c r="M280" s="75"/>
    </row>
    <row r="281" spans="1:13" x14ac:dyDescent="0.25">
      <c r="A281" s="5" t="s">
        <v>75</v>
      </c>
      <c r="B281" s="9"/>
      <c r="C281" s="77" t="s">
        <v>116</v>
      </c>
      <c r="D281" s="18"/>
      <c r="E281" s="55"/>
      <c r="F281" s="17"/>
      <c r="G281" s="55"/>
      <c r="H281" s="17"/>
      <c r="I281" s="22"/>
      <c r="J281" s="57"/>
      <c r="K281" s="16"/>
      <c r="L281" s="55"/>
      <c r="M281" s="75"/>
    </row>
    <row r="282" spans="1:13" x14ac:dyDescent="0.25">
      <c r="A282" s="4">
        <v>1</v>
      </c>
      <c r="B282" s="9" t="s">
        <v>77</v>
      </c>
      <c r="C282" s="26"/>
      <c r="D282" s="18">
        <f>SUM(E282:H282)</f>
        <v>784</v>
      </c>
      <c r="E282" s="55">
        <v>286</v>
      </c>
      <c r="F282" s="17">
        <v>9</v>
      </c>
      <c r="G282" s="55">
        <v>481</v>
      </c>
      <c r="H282" s="17">
        <v>8</v>
      </c>
      <c r="I282" s="22">
        <f>SUM(J282:M282)</f>
        <v>227</v>
      </c>
      <c r="J282" s="57">
        <v>84</v>
      </c>
      <c r="K282" s="16">
        <v>2</v>
      </c>
      <c r="L282" s="55">
        <v>137</v>
      </c>
      <c r="M282" s="75">
        <v>4</v>
      </c>
    </row>
    <row r="283" spans="1:13" x14ac:dyDescent="0.25">
      <c r="A283" s="4">
        <v>2</v>
      </c>
      <c r="B283" s="9" t="s">
        <v>78</v>
      </c>
      <c r="C283" s="26"/>
      <c r="D283" s="18">
        <f>SUM(E283:H283)</f>
        <v>1390</v>
      </c>
      <c r="E283" s="55">
        <v>497</v>
      </c>
      <c r="F283" s="17">
        <v>44</v>
      </c>
      <c r="G283" s="55">
        <v>792</v>
      </c>
      <c r="H283" s="17">
        <v>57</v>
      </c>
      <c r="I283" s="22">
        <f>SUM(J283:M283)</f>
        <v>308</v>
      </c>
      <c r="J283" s="57">
        <v>78</v>
      </c>
      <c r="K283" s="16">
        <v>3</v>
      </c>
      <c r="L283" s="55">
        <v>217</v>
      </c>
      <c r="M283" s="75">
        <v>10</v>
      </c>
    </row>
    <row r="284" spans="1:13" x14ac:dyDescent="0.25">
      <c r="A284" s="4">
        <v>3</v>
      </c>
      <c r="B284" s="9" t="s">
        <v>79</v>
      </c>
      <c r="C284" s="26"/>
      <c r="D284" s="18">
        <f>SUM(E284:H284)</f>
        <v>718</v>
      </c>
      <c r="E284" s="55">
        <v>299</v>
      </c>
      <c r="F284" s="17">
        <v>40</v>
      </c>
      <c r="G284" s="55">
        <v>365</v>
      </c>
      <c r="H284" s="17">
        <v>14</v>
      </c>
      <c r="I284" s="22">
        <f>SUM(J284:M284)</f>
        <v>88</v>
      </c>
      <c r="J284" s="57">
        <v>24</v>
      </c>
      <c r="K284" s="16"/>
      <c r="L284" s="55">
        <v>58</v>
      </c>
      <c r="M284" s="75">
        <v>6</v>
      </c>
    </row>
    <row r="285" spans="1:13" x14ac:dyDescent="0.25">
      <c r="A285" s="5" t="s">
        <v>80</v>
      </c>
      <c r="B285" s="9"/>
      <c r="C285" s="26"/>
      <c r="D285" s="18"/>
      <c r="E285" s="55"/>
      <c r="F285" s="17"/>
      <c r="G285" s="55"/>
      <c r="H285" s="17"/>
      <c r="I285" s="22"/>
      <c r="J285" s="57"/>
      <c r="K285" s="16"/>
      <c r="L285" s="55"/>
      <c r="M285" s="75"/>
    </row>
    <row r="286" spans="1:13" x14ac:dyDescent="0.25">
      <c r="A286" s="4">
        <v>1</v>
      </c>
      <c r="B286" s="9" t="s">
        <v>81</v>
      </c>
      <c r="C286" s="26"/>
      <c r="D286" s="18">
        <f>SUM(E286:H286)</f>
        <v>157</v>
      </c>
      <c r="E286" s="55">
        <v>62</v>
      </c>
      <c r="F286" s="17">
        <v>27</v>
      </c>
      <c r="G286" s="55">
        <v>66</v>
      </c>
      <c r="H286" s="17">
        <v>2</v>
      </c>
      <c r="I286" s="22">
        <f>SUM(J286:M286)</f>
        <v>9</v>
      </c>
      <c r="J286" s="57">
        <v>4</v>
      </c>
      <c r="K286" s="16"/>
      <c r="L286" s="55">
        <v>5</v>
      </c>
      <c r="M286" s="75"/>
    </row>
    <row r="287" spans="1:13" x14ac:dyDescent="0.25">
      <c r="A287" s="4">
        <v>2</v>
      </c>
      <c r="B287" s="9" t="s">
        <v>82</v>
      </c>
      <c r="C287" s="26"/>
      <c r="D287" s="18">
        <f>SUM(E287:H287)</f>
        <v>430</v>
      </c>
      <c r="E287" s="55">
        <v>131</v>
      </c>
      <c r="F287" s="17">
        <v>4</v>
      </c>
      <c r="G287" s="55">
        <v>263</v>
      </c>
      <c r="H287" s="17">
        <v>32</v>
      </c>
      <c r="I287" s="22">
        <f>SUM(J287:M287)</f>
        <v>81</v>
      </c>
      <c r="J287" s="57">
        <v>36</v>
      </c>
      <c r="K287" s="16"/>
      <c r="L287" s="55">
        <v>42</v>
      </c>
      <c r="M287" s="75">
        <v>3</v>
      </c>
    </row>
    <row r="288" spans="1:13" x14ac:dyDescent="0.25">
      <c r="A288" s="5" t="s">
        <v>83</v>
      </c>
      <c r="B288" s="9"/>
      <c r="C288" s="26"/>
      <c r="D288" s="18"/>
      <c r="E288" s="55"/>
      <c r="F288" s="17"/>
      <c r="G288" s="55"/>
      <c r="H288" s="17"/>
      <c r="I288" s="22"/>
      <c r="J288" s="57"/>
      <c r="K288" s="16"/>
      <c r="L288" s="55"/>
      <c r="M288" s="75"/>
    </row>
    <row r="289" spans="1:13" x14ac:dyDescent="0.25">
      <c r="A289" s="4">
        <v>1</v>
      </c>
      <c r="B289" s="9" t="s">
        <v>84</v>
      </c>
      <c r="C289" s="26"/>
      <c r="D289" s="18">
        <f t="shared" ref="D289:D295" si="24">SUM(E289:H289)</f>
        <v>586</v>
      </c>
      <c r="E289" s="55">
        <v>172</v>
      </c>
      <c r="F289" s="17"/>
      <c r="G289" s="55">
        <v>414</v>
      </c>
      <c r="H289" s="17"/>
      <c r="I289" s="22">
        <f t="shared" ref="I289:I295" si="25">SUM(J289:M289)</f>
        <v>8840</v>
      </c>
      <c r="J289" s="57">
        <v>419</v>
      </c>
      <c r="K289" s="16"/>
      <c r="L289" s="55">
        <v>8374</v>
      </c>
      <c r="M289" s="75">
        <v>47</v>
      </c>
    </row>
    <row r="290" spans="1:13" x14ac:dyDescent="0.25">
      <c r="A290" s="4">
        <v>2</v>
      </c>
      <c r="B290" s="9" t="s">
        <v>85</v>
      </c>
      <c r="C290" s="26"/>
      <c r="D290" s="18">
        <f t="shared" si="24"/>
        <v>401</v>
      </c>
      <c r="E290" s="55">
        <v>257</v>
      </c>
      <c r="F290" s="17">
        <v>29</v>
      </c>
      <c r="G290" s="55">
        <v>92</v>
      </c>
      <c r="H290" s="17">
        <v>23</v>
      </c>
      <c r="I290" s="22">
        <f t="shared" si="25"/>
        <v>49</v>
      </c>
      <c r="J290" s="57">
        <v>45</v>
      </c>
      <c r="K290" s="16"/>
      <c r="L290" s="55">
        <v>4</v>
      </c>
      <c r="M290" s="75"/>
    </row>
    <row r="291" spans="1:13" x14ac:dyDescent="0.25">
      <c r="A291" s="4">
        <v>3</v>
      </c>
      <c r="B291" s="9" t="s">
        <v>86</v>
      </c>
      <c r="C291" s="26"/>
      <c r="D291" s="18">
        <f t="shared" si="24"/>
        <v>374</v>
      </c>
      <c r="E291" s="55">
        <v>53</v>
      </c>
      <c r="F291" s="17"/>
      <c r="G291" s="55">
        <v>321</v>
      </c>
      <c r="H291" s="17"/>
      <c r="I291" s="22">
        <f t="shared" si="25"/>
        <v>159</v>
      </c>
      <c r="J291" s="57">
        <v>20</v>
      </c>
      <c r="K291" s="16"/>
      <c r="L291" s="55">
        <v>139</v>
      </c>
      <c r="M291" s="75"/>
    </row>
    <row r="292" spans="1:13" x14ac:dyDescent="0.25">
      <c r="A292" s="4">
        <v>4</v>
      </c>
      <c r="B292" s="9" t="s">
        <v>87</v>
      </c>
      <c r="C292" s="26"/>
      <c r="D292" s="18">
        <f t="shared" si="24"/>
        <v>0</v>
      </c>
      <c r="E292" s="55"/>
      <c r="F292" s="17"/>
      <c r="G292" s="55"/>
      <c r="H292" s="17"/>
      <c r="I292" s="22">
        <f t="shared" si="25"/>
        <v>0</v>
      </c>
      <c r="J292" s="57"/>
      <c r="K292" s="16"/>
      <c r="L292" s="55"/>
      <c r="M292" s="75"/>
    </row>
    <row r="293" spans="1:13" x14ac:dyDescent="0.25">
      <c r="A293" s="4">
        <v>5</v>
      </c>
      <c r="B293" s="9" t="s">
        <v>88</v>
      </c>
      <c r="C293" s="26"/>
      <c r="D293" s="18">
        <f t="shared" si="24"/>
        <v>10</v>
      </c>
      <c r="E293" s="55">
        <v>4</v>
      </c>
      <c r="F293" s="17"/>
      <c r="G293" s="55">
        <v>6</v>
      </c>
      <c r="H293" s="17"/>
      <c r="I293" s="22">
        <f t="shared" si="25"/>
        <v>8</v>
      </c>
      <c r="J293" s="57">
        <v>1</v>
      </c>
      <c r="K293" s="16"/>
      <c r="L293" s="55">
        <v>7</v>
      </c>
      <c r="M293" s="75"/>
    </row>
    <row r="294" spans="1:13" x14ac:dyDescent="0.25">
      <c r="A294" s="4">
        <v>6</v>
      </c>
      <c r="B294" s="9" t="s">
        <v>89</v>
      </c>
      <c r="C294" s="26"/>
      <c r="D294" s="18">
        <f t="shared" si="24"/>
        <v>294</v>
      </c>
      <c r="E294" s="55">
        <v>75</v>
      </c>
      <c r="F294" s="17"/>
      <c r="G294" s="55">
        <v>218</v>
      </c>
      <c r="H294" s="17">
        <v>1</v>
      </c>
      <c r="I294" s="22">
        <f t="shared" si="25"/>
        <v>52</v>
      </c>
      <c r="J294" s="57"/>
      <c r="K294" s="16"/>
      <c r="L294" s="55">
        <v>52</v>
      </c>
      <c r="M294" s="75"/>
    </row>
    <row r="295" spans="1:13" x14ac:dyDescent="0.25">
      <c r="A295" s="4">
        <v>7</v>
      </c>
      <c r="B295" s="9" t="s">
        <v>90</v>
      </c>
      <c r="C295" s="26"/>
      <c r="D295" s="18">
        <f t="shared" si="24"/>
        <v>1315</v>
      </c>
      <c r="E295" s="55">
        <v>931</v>
      </c>
      <c r="F295" s="17">
        <v>1</v>
      </c>
      <c r="G295" s="55">
        <v>383</v>
      </c>
      <c r="H295" s="17"/>
      <c r="I295" s="22">
        <f t="shared" si="25"/>
        <v>308</v>
      </c>
      <c r="J295" s="57">
        <v>196</v>
      </c>
      <c r="K295" s="16"/>
      <c r="L295" s="55">
        <v>112</v>
      </c>
      <c r="M295" s="75"/>
    </row>
    <row r="296" spans="1:13" x14ac:dyDescent="0.25">
      <c r="A296" s="7" t="s">
        <v>91</v>
      </c>
      <c r="B296" s="9"/>
      <c r="C296" s="26"/>
      <c r="D296" s="18"/>
      <c r="E296" s="55"/>
      <c r="F296" s="17"/>
      <c r="G296" s="55"/>
      <c r="H296" s="17"/>
      <c r="I296" s="22"/>
      <c r="J296" s="57"/>
      <c r="K296" s="16"/>
      <c r="L296" s="55"/>
      <c r="M296" s="75"/>
    </row>
    <row r="297" spans="1:13" x14ac:dyDescent="0.25">
      <c r="A297" s="8">
        <v>1</v>
      </c>
      <c r="B297" s="9" t="s">
        <v>92</v>
      </c>
      <c r="C297" s="26"/>
      <c r="D297" s="18">
        <f>SUM(E297:H297)</f>
        <v>10286</v>
      </c>
      <c r="E297" s="55">
        <v>1131</v>
      </c>
      <c r="F297" s="17">
        <v>16</v>
      </c>
      <c r="G297" s="55">
        <v>8954</v>
      </c>
      <c r="H297" s="17">
        <v>185</v>
      </c>
      <c r="I297" s="22">
        <f>SUM(J297:M297)</f>
        <v>6447</v>
      </c>
      <c r="J297" s="57">
        <v>358</v>
      </c>
      <c r="K297" s="16">
        <v>2</v>
      </c>
      <c r="L297" s="55">
        <v>5700</v>
      </c>
      <c r="M297" s="75">
        <v>387</v>
      </c>
    </row>
    <row r="298" spans="1:13" x14ac:dyDescent="0.25">
      <c r="A298" s="6" t="s">
        <v>93</v>
      </c>
      <c r="B298" s="9"/>
      <c r="C298" s="26"/>
      <c r="D298" s="18"/>
      <c r="E298" s="55"/>
      <c r="F298" s="17"/>
      <c r="G298" s="55"/>
      <c r="H298" s="17"/>
      <c r="I298" s="22"/>
      <c r="J298" s="57"/>
      <c r="K298" s="16"/>
      <c r="L298" s="55"/>
      <c r="M298" s="75"/>
    </row>
    <row r="299" spans="1:13" x14ac:dyDescent="0.25">
      <c r="A299" s="7" t="s">
        <v>94</v>
      </c>
      <c r="B299" s="9"/>
      <c r="C299" s="26"/>
      <c r="D299" s="18"/>
      <c r="E299" s="55"/>
      <c r="F299" s="17"/>
      <c r="G299" s="55"/>
      <c r="H299" s="17"/>
      <c r="I299" s="22"/>
      <c r="J299" s="57"/>
      <c r="K299" s="16"/>
      <c r="L299" s="55"/>
      <c r="M299" s="75"/>
    </row>
    <row r="300" spans="1:13" x14ac:dyDescent="0.25">
      <c r="A300" s="4">
        <v>1</v>
      </c>
      <c r="B300" s="9" t="s">
        <v>95</v>
      </c>
      <c r="C300" s="26"/>
      <c r="D300" s="18">
        <f>SUM(E300:H300)</f>
        <v>338</v>
      </c>
      <c r="E300" s="55">
        <v>195</v>
      </c>
      <c r="F300" s="17">
        <v>111</v>
      </c>
      <c r="G300" s="55">
        <v>29</v>
      </c>
      <c r="H300" s="17">
        <v>3</v>
      </c>
      <c r="I300" s="22">
        <f>SUM(J300:M300)</f>
        <v>115</v>
      </c>
      <c r="J300" s="57">
        <v>78</v>
      </c>
      <c r="K300" s="16">
        <v>30</v>
      </c>
      <c r="L300" s="55">
        <v>4</v>
      </c>
      <c r="M300" s="75">
        <v>3</v>
      </c>
    </row>
    <row r="301" spans="1:13" x14ac:dyDescent="0.25">
      <c r="A301" s="4">
        <v>2</v>
      </c>
      <c r="B301" s="9" t="s">
        <v>96</v>
      </c>
      <c r="C301" s="26"/>
      <c r="D301" s="18">
        <f>SUM(E301:H301)</f>
        <v>1261</v>
      </c>
      <c r="E301" s="55">
        <v>90</v>
      </c>
      <c r="F301" s="17">
        <v>445</v>
      </c>
      <c r="G301" s="55">
        <v>124</v>
      </c>
      <c r="H301" s="17">
        <v>602</v>
      </c>
      <c r="I301" s="22">
        <f>SUM(J301:M301)</f>
        <v>883</v>
      </c>
      <c r="J301" s="57">
        <v>21</v>
      </c>
      <c r="K301" s="16">
        <v>261</v>
      </c>
      <c r="L301" s="55">
        <v>51</v>
      </c>
      <c r="M301" s="75">
        <v>550</v>
      </c>
    </row>
    <row r="302" spans="1:13" x14ac:dyDescent="0.25">
      <c r="A302" s="4">
        <v>3</v>
      </c>
      <c r="B302" s="9" t="s">
        <v>97</v>
      </c>
      <c r="C302" s="26"/>
      <c r="D302" s="18">
        <f>SUM(E302:H302)</f>
        <v>300</v>
      </c>
      <c r="E302" s="55">
        <v>121</v>
      </c>
      <c r="F302" s="17">
        <v>84</v>
      </c>
      <c r="G302" s="55">
        <v>86</v>
      </c>
      <c r="H302" s="17">
        <v>9</v>
      </c>
      <c r="I302" s="22">
        <f>SUM(J302:M302)</f>
        <v>129</v>
      </c>
      <c r="J302" s="57">
        <v>27</v>
      </c>
      <c r="K302" s="16">
        <v>29</v>
      </c>
      <c r="L302" s="55">
        <v>56</v>
      </c>
      <c r="M302" s="75">
        <v>17</v>
      </c>
    </row>
    <row r="303" spans="1:13" x14ac:dyDescent="0.25">
      <c r="A303" s="6" t="s">
        <v>98</v>
      </c>
      <c r="B303" s="9"/>
      <c r="C303" s="26"/>
      <c r="D303" s="18"/>
      <c r="E303" s="55"/>
      <c r="F303" s="17"/>
      <c r="G303" s="55"/>
      <c r="H303" s="17"/>
      <c r="I303" s="22"/>
      <c r="J303" s="57"/>
      <c r="K303" s="16"/>
      <c r="L303" s="55"/>
      <c r="M303" s="75"/>
    </row>
    <row r="304" spans="1:13" x14ac:dyDescent="0.25">
      <c r="A304" s="5" t="s">
        <v>99</v>
      </c>
      <c r="B304" s="9"/>
      <c r="C304" s="26"/>
      <c r="D304" s="18"/>
      <c r="E304" s="55"/>
      <c r="F304" s="17"/>
      <c r="G304" s="55"/>
      <c r="H304" s="17"/>
      <c r="I304" s="22"/>
      <c r="J304" s="57"/>
      <c r="K304" s="16"/>
      <c r="L304" s="55"/>
      <c r="M304" s="75"/>
    </row>
    <row r="305" spans="1:13" x14ac:dyDescent="0.25">
      <c r="A305" s="4">
        <v>1</v>
      </c>
      <c r="B305" s="9" t="s">
        <v>100</v>
      </c>
      <c r="C305" s="26"/>
      <c r="D305" s="18">
        <f>SUM(E305:H305)</f>
        <v>41372</v>
      </c>
      <c r="E305" s="55">
        <v>10066</v>
      </c>
      <c r="F305" s="17">
        <v>10917</v>
      </c>
      <c r="G305" s="55">
        <v>10497</v>
      </c>
      <c r="H305" s="17">
        <v>9892</v>
      </c>
      <c r="I305" s="22">
        <f>SUM(J305:M305)</f>
        <v>433784</v>
      </c>
      <c r="J305" s="57">
        <v>6550</v>
      </c>
      <c r="K305" s="16">
        <v>5994</v>
      </c>
      <c r="L305" s="55">
        <v>205667</v>
      </c>
      <c r="M305" s="75">
        <v>215573</v>
      </c>
    </row>
    <row r="306" spans="1:13" x14ac:dyDescent="0.25">
      <c r="A306" s="5" t="s">
        <v>101</v>
      </c>
      <c r="B306" s="9"/>
      <c r="C306" s="26"/>
      <c r="D306" s="18"/>
      <c r="E306" s="55"/>
      <c r="F306" s="17"/>
      <c r="G306" s="55"/>
      <c r="H306" s="17"/>
      <c r="I306" s="22"/>
      <c r="J306" s="57"/>
      <c r="K306" s="16"/>
      <c r="L306" s="55"/>
      <c r="M306" s="75"/>
    </row>
    <row r="307" spans="1:13" x14ac:dyDescent="0.25">
      <c r="A307" s="4">
        <v>1</v>
      </c>
      <c r="B307" s="9" t="s">
        <v>102</v>
      </c>
      <c r="C307" s="26"/>
      <c r="D307" s="18">
        <f>SUM(E307:H307)</f>
        <v>157</v>
      </c>
      <c r="E307" s="55">
        <v>13</v>
      </c>
      <c r="F307" s="17">
        <v>47</v>
      </c>
      <c r="G307" s="55">
        <v>75</v>
      </c>
      <c r="H307" s="17">
        <v>22</v>
      </c>
      <c r="I307" s="22">
        <f>SUM(J307:M307)</f>
        <v>127</v>
      </c>
      <c r="J307" s="57">
        <v>8</v>
      </c>
      <c r="K307" s="16"/>
      <c r="L307" s="55">
        <v>91</v>
      </c>
      <c r="M307" s="75">
        <v>28</v>
      </c>
    </row>
    <row r="308" spans="1:13" x14ac:dyDescent="0.25">
      <c r="A308" s="4">
        <v>2</v>
      </c>
      <c r="B308" s="9" t="s">
        <v>103</v>
      </c>
      <c r="C308" s="26"/>
      <c r="D308" s="18">
        <f>SUM(E308:H308)</f>
        <v>1825</v>
      </c>
      <c r="E308" s="55">
        <v>39</v>
      </c>
      <c r="F308" s="17">
        <v>4</v>
      </c>
      <c r="G308" s="55">
        <v>1644</v>
      </c>
      <c r="H308" s="17">
        <v>138</v>
      </c>
      <c r="I308" s="22">
        <f>SUM(J308:M308)</f>
        <v>315</v>
      </c>
      <c r="J308" s="57"/>
      <c r="K308" s="16"/>
      <c r="L308" s="55">
        <v>295</v>
      </c>
      <c r="M308" s="75">
        <v>20</v>
      </c>
    </row>
    <row r="309" spans="1:13" x14ac:dyDescent="0.25">
      <c r="A309" s="6" t="s">
        <v>104</v>
      </c>
      <c r="B309" s="9"/>
      <c r="C309" s="26"/>
      <c r="D309" s="18"/>
      <c r="E309" s="55"/>
      <c r="F309" s="17"/>
      <c r="G309" s="55"/>
      <c r="H309" s="17"/>
      <c r="I309" s="22"/>
      <c r="J309" s="57"/>
      <c r="K309" s="16"/>
      <c r="L309" s="55"/>
      <c r="M309" s="75"/>
    </row>
    <row r="310" spans="1:13" x14ac:dyDescent="0.25">
      <c r="A310" s="5" t="s">
        <v>105</v>
      </c>
      <c r="B310" s="9"/>
      <c r="C310" s="26"/>
      <c r="D310" s="18"/>
      <c r="E310" s="55"/>
      <c r="F310" s="17"/>
      <c r="G310" s="55"/>
      <c r="H310" s="17"/>
      <c r="I310" s="22"/>
      <c r="J310" s="57"/>
      <c r="K310" s="16"/>
      <c r="L310" s="55"/>
      <c r="M310" s="75"/>
    </row>
    <row r="311" spans="1:13" x14ac:dyDescent="0.25">
      <c r="A311" s="4">
        <v>1</v>
      </c>
      <c r="B311" s="9" t="s">
        <v>106</v>
      </c>
      <c r="C311" s="26"/>
      <c r="D311" s="18">
        <f>SUM(E311:H311)</f>
        <v>990</v>
      </c>
      <c r="E311" s="55">
        <v>275</v>
      </c>
      <c r="F311" s="17">
        <v>193</v>
      </c>
      <c r="G311" s="55">
        <v>372</v>
      </c>
      <c r="H311" s="17">
        <v>150</v>
      </c>
      <c r="I311" s="22">
        <f>SUM(J311:M311)</f>
        <v>1203</v>
      </c>
      <c r="J311" s="57">
        <v>151</v>
      </c>
      <c r="K311" s="16">
        <v>138</v>
      </c>
      <c r="L311" s="55">
        <v>585</v>
      </c>
      <c r="M311" s="75">
        <v>329</v>
      </c>
    </row>
    <row r="312" spans="1:13" ht="15.75" thickBot="1" x14ac:dyDescent="0.3">
      <c r="A312" s="4"/>
      <c r="B312" s="9"/>
      <c r="C312" s="26"/>
      <c r="D312" s="18"/>
      <c r="E312" s="55"/>
      <c r="F312" s="17"/>
      <c r="G312" s="55"/>
      <c r="H312" s="17"/>
      <c r="I312" s="126"/>
      <c r="J312" s="57"/>
      <c r="K312" s="16"/>
      <c r="L312" s="55"/>
      <c r="M312" s="75"/>
    </row>
    <row r="313" spans="1:13" ht="15.75" thickTop="1" x14ac:dyDescent="0.25">
      <c r="A313" s="79"/>
      <c r="B313" s="80"/>
      <c r="C313" s="81"/>
      <c r="D313" s="15"/>
      <c r="E313" s="82"/>
      <c r="F313" s="14"/>
      <c r="G313" s="82"/>
      <c r="H313" s="14"/>
      <c r="I313" s="108"/>
      <c r="J313" s="15"/>
      <c r="K313" s="13"/>
      <c r="L313" s="82"/>
      <c r="M313" s="109"/>
    </row>
    <row r="314" spans="1:13" x14ac:dyDescent="0.25">
      <c r="A314" s="86" t="s">
        <v>117</v>
      </c>
      <c r="B314" s="9"/>
      <c r="C314" s="54"/>
      <c r="D314" s="12">
        <f t="shared" ref="D314:M314" si="26">SUM(D220:D312)</f>
        <v>152988</v>
      </c>
      <c r="E314" s="127">
        <f t="shared" si="26"/>
        <v>33051</v>
      </c>
      <c r="F314" s="128">
        <f t="shared" si="26"/>
        <v>29681</v>
      </c>
      <c r="G314" s="127">
        <f t="shared" si="26"/>
        <v>63721</v>
      </c>
      <c r="H314" s="128">
        <f t="shared" si="26"/>
        <v>26535</v>
      </c>
      <c r="I314" s="12">
        <f t="shared" si="26"/>
        <v>1040302</v>
      </c>
      <c r="J314" s="127">
        <f t="shared" si="26"/>
        <v>19230</v>
      </c>
      <c r="K314" s="128">
        <f t="shared" si="26"/>
        <v>15884</v>
      </c>
      <c r="L314" s="12">
        <f t="shared" si="26"/>
        <v>447995</v>
      </c>
      <c r="M314" s="112">
        <f t="shared" si="26"/>
        <v>557193</v>
      </c>
    </row>
    <row r="315" spans="1:13" ht="15.75" thickBot="1" x14ac:dyDescent="0.3">
      <c r="A315" s="89"/>
      <c r="B315" s="90"/>
      <c r="C315" s="91"/>
      <c r="D315" s="113"/>
      <c r="E315" s="114"/>
      <c r="F315" s="10"/>
      <c r="G315" s="115"/>
      <c r="H315" s="116"/>
      <c r="I315" s="117"/>
      <c r="J315" s="118"/>
      <c r="K315" s="119"/>
      <c r="L315" s="115"/>
      <c r="M315" s="129"/>
    </row>
    <row r="316" spans="1:13" ht="15.75" thickTop="1" x14ac:dyDescent="0.25"/>
    <row r="318" spans="1:13" ht="15.75" thickBot="1" x14ac:dyDescent="0.3"/>
    <row r="319" spans="1:13" ht="16.5" thickTop="1" x14ac:dyDescent="0.25">
      <c r="A319" s="27"/>
      <c r="B319" s="28"/>
      <c r="C319" s="245" t="s">
        <v>0</v>
      </c>
      <c r="D319" s="245" t="s">
        <v>1</v>
      </c>
      <c r="E319" s="248" t="s">
        <v>2</v>
      </c>
      <c r="F319" s="249"/>
      <c r="G319" s="249"/>
      <c r="H319" s="249"/>
      <c r="I319" s="245" t="s">
        <v>1</v>
      </c>
      <c r="J319" s="248" t="s">
        <v>3</v>
      </c>
      <c r="K319" s="249"/>
      <c r="L319" s="249"/>
      <c r="M319" s="250"/>
    </row>
    <row r="320" spans="1:13" ht="15.75" x14ac:dyDescent="0.25">
      <c r="A320" s="29" t="s">
        <v>118</v>
      </c>
      <c r="B320" s="30"/>
      <c r="C320" s="246"/>
      <c r="D320" s="246"/>
      <c r="E320" s="251" t="s">
        <v>5</v>
      </c>
      <c r="F320" s="252"/>
      <c r="G320" s="251" t="s">
        <v>6</v>
      </c>
      <c r="H320" s="253"/>
      <c r="I320" s="246"/>
      <c r="J320" s="251" t="s">
        <v>5</v>
      </c>
      <c r="K320" s="252"/>
      <c r="L320" s="251" t="s">
        <v>6</v>
      </c>
      <c r="M320" s="254"/>
    </row>
    <row r="321" spans="1:13" ht="15.75" x14ac:dyDescent="0.25">
      <c r="A321" s="31"/>
      <c r="B321" s="30"/>
      <c r="C321" s="246"/>
      <c r="D321" s="246"/>
      <c r="E321" s="235" t="s">
        <v>7</v>
      </c>
      <c r="F321" s="239" t="s">
        <v>8</v>
      </c>
      <c r="G321" s="235" t="s">
        <v>7</v>
      </c>
      <c r="H321" s="237" t="s">
        <v>8</v>
      </c>
      <c r="I321" s="246"/>
      <c r="J321" s="235" t="s">
        <v>7</v>
      </c>
      <c r="K321" s="239" t="s">
        <v>8</v>
      </c>
      <c r="L321" s="241" t="s">
        <v>7</v>
      </c>
      <c r="M321" s="243" t="s">
        <v>8</v>
      </c>
    </row>
    <row r="322" spans="1:13" x14ac:dyDescent="0.25">
      <c r="A322" s="32"/>
      <c r="B322" s="26"/>
      <c r="C322" s="247"/>
      <c r="D322" s="247"/>
      <c r="E322" s="236"/>
      <c r="F322" s="240"/>
      <c r="G322" s="236"/>
      <c r="H322" s="238"/>
      <c r="I322" s="247"/>
      <c r="J322" s="236"/>
      <c r="K322" s="240"/>
      <c r="L322" s="242"/>
      <c r="M322" s="244"/>
    </row>
    <row r="323" spans="1:13" ht="16.5" thickBot="1" x14ac:dyDescent="0.3">
      <c r="A323" s="33" t="s">
        <v>9</v>
      </c>
      <c r="B323" s="34"/>
      <c r="C323" s="35"/>
      <c r="D323" s="36"/>
      <c r="E323" s="37"/>
      <c r="F323" s="38"/>
      <c r="G323" s="39"/>
      <c r="H323" s="40"/>
      <c r="I323" s="122"/>
      <c r="J323" s="39"/>
      <c r="K323" s="42"/>
      <c r="L323" s="39"/>
      <c r="M323" s="43"/>
    </row>
    <row r="324" spans="1:13" x14ac:dyDescent="0.25">
      <c r="A324" s="44" t="s">
        <v>10</v>
      </c>
      <c r="B324" s="45"/>
      <c r="C324" s="46" t="s">
        <v>119</v>
      </c>
      <c r="D324" s="47"/>
      <c r="E324" s="48"/>
      <c r="F324" s="49"/>
      <c r="G324" s="50"/>
      <c r="H324" s="51"/>
      <c r="I324" s="123"/>
      <c r="J324" s="50"/>
      <c r="K324" s="52"/>
      <c r="L324" s="50"/>
      <c r="M324" s="53"/>
    </row>
    <row r="325" spans="1:13" x14ac:dyDescent="0.25">
      <c r="A325" s="5" t="s">
        <v>12</v>
      </c>
      <c r="B325" s="9"/>
      <c r="C325" s="54"/>
      <c r="D325" s="18"/>
      <c r="E325" s="55"/>
      <c r="F325" s="56"/>
      <c r="G325" s="57"/>
      <c r="H325" s="58"/>
      <c r="I325" s="125"/>
      <c r="J325" s="57"/>
      <c r="K325" s="60"/>
      <c r="L325" s="57"/>
      <c r="M325" s="61"/>
    </row>
    <row r="326" spans="1:13" x14ac:dyDescent="0.25">
      <c r="A326" s="4">
        <v>1</v>
      </c>
      <c r="B326" s="62" t="s">
        <v>13</v>
      </c>
      <c r="C326" s="63"/>
      <c r="D326" s="18">
        <f>SUM(E326:H326)</f>
        <v>4761</v>
      </c>
      <c r="E326" s="64">
        <v>3443</v>
      </c>
      <c r="F326" s="65">
        <v>99</v>
      </c>
      <c r="G326" s="66">
        <v>1219</v>
      </c>
      <c r="H326" s="67"/>
      <c r="I326" s="22">
        <f>SUM(J326:M326)</f>
        <v>1271</v>
      </c>
      <c r="J326" s="66">
        <v>640</v>
      </c>
      <c r="K326" s="68">
        <v>2</v>
      </c>
      <c r="L326" s="66">
        <v>629</v>
      </c>
      <c r="M326" s="69"/>
    </row>
    <row r="327" spans="1:13" x14ac:dyDescent="0.25">
      <c r="A327" s="4">
        <v>2</v>
      </c>
      <c r="B327" s="9" t="s">
        <v>14</v>
      </c>
      <c r="C327" s="54"/>
      <c r="D327" s="18">
        <f>SUM(E327:H327)</f>
        <v>756</v>
      </c>
      <c r="E327" s="70">
        <v>723</v>
      </c>
      <c r="F327" s="56">
        <v>5</v>
      </c>
      <c r="G327" s="18">
        <v>28</v>
      </c>
      <c r="H327" s="58"/>
      <c r="I327" s="22">
        <f>SUM(J327:M327)</f>
        <v>14</v>
      </c>
      <c r="J327" s="18">
        <v>13</v>
      </c>
      <c r="K327" s="60"/>
      <c r="L327" s="18">
        <v>1</v>
      </c>
      <c r="M327" s="61"/>
    </row>
    <row r="328" spans="1:13" x14ac:dyDescent="0.25">
      <c r="A328" s="4">
        <v>3</v>
      </c>
      <c r="B328" s="9" t="s">
        <v>15</v>
      </c>
      <c r="C328" s="54"/>
      <c r="D328" s="18">
        <f>SUM(E328:H328)</f>
        <v>5141</v>
      </c>
      <c r="E328" s="70">
        <v>5137</v>
      </c>
      <c r="F328" s="17"/>
      <c r="G328" s="18">
        <v>4</v>
      </c>
      <c r="H328" s="71"/>
      <c r="I328" s="22">
        <f>SUM(J328:M328)</f>
        <v>1</v>
      </c>
      <c r="J328" s="18">
        <v>1</v>
      </c>
      <c r="K328" s="16"/>
      <c r="L328" s="18"/>
      <c r="M328" s="72"/>
    </row>
    <row r="329" spans="1:13" x14ac:dyDescent="0.25">
      <c r="A329" s="4">
        <v>4</v>
      </c>
      <c r="B329" s="9" t="s">
        <v>16</v>
      </c>
      <c r="C329" s="54"/>
      <c r="D329" s="18">
        <f>SUM(E329:H329)</f>
        <v>27</v>
      </c>
      <c r="E329" s="70">
        <v>26</v>
      </c>
      <c r="F329" s="17">
        <v>1</v>
      </c>
      <c r="G329" s="18"/>
      <c r="H329" s="71"/>
      <c r="I329" s="22">
        <f>SUM(J329:M329)</f>
        <v>0</v>
      </c>
      <c r="J329" s="18"/>
      <c r="K329" s="16"/>
      <c r="L329" s="18"/>
      <c r="M329" s="72"/>
    </row>
    <row r="330" spans="1:13" x14ac:dyDescent="0.25">
      <c r="A330" s="7" t="s">
        <v>17</v>
      </c>
      <c r="B330" s="9"/>
      <c r="C330" s="54"/>
      <c r="D330" s="18"/>
      <c r="E330" s="70"/>
      <c r="F330" s="17"/>
      <c r="G330" s="18"/>
      <c r="H330" s="71"/>
      <c r="I330" s="22"/>
      <c r="J330" s="18"/>
      <c r="K330" s="16"/>
      <c r="L330" s="18"/>
      <c r="M330" s="72"/>
    </row>
    <row r="331" spans="1:13" x14ac:dyDescent="0.25">
      <c r="A331" s="8">
        <v>1</v>
      </c>
      <c r="B331" s="9" t="s">
        <v>18</v>
      </c>
      <c r="C331" s="54"/>
      <c r="D331" s="18">
        <f t="shared" ref="D331:D340" si="27">SUM(E331:H331)</f>
        <v>706</v>
      </c>
      <c r="E331" s="70">
        <v>400</v>
      </c>
      <c r="F331" s="17">
        <v>121</v>
      </c>
      <c r="G331" s="18">
        <v>184</v>
      </c>
      <c r="H331" s="71">
        <v>1</v>
      </c>
      <c r="I331" s="22">
        <f t="shared" ref="I331:I340" si="28">SUM(J331:M331)</f>
        <v>307</v>
      </c>
      <c r="J331" s="18">
        <v>117</v>
      </c>
      <c r="K331" s="16">
        <v>23</v>
      </c>
      <c r="L331" s="18">
        <v>165</v>
      </c>
      <c r="M331" s="72">
        <v>2</v>
      </c>
    </row>
    <row r="332" spans="1:13" x14ac:dyDescent="0.25">
      <c r="A332" s="4">
        <v>2</v>
      </c>
      <c r="B332" s="9" t="s">
        <v>19</v>
      </c>
      <c r="C332" s="54"/>
      <c r="D332" s="18">
        <f t="shared" si="27"/>
        <v>1132</v>
      </c>
      <c r="E332" s="70">
        <v>1084</v>
      </c>
      <c r="F332" s="17">
        <v>20</v>
      </c>
      <c r="G332" s="18">
        <v>28</v>
      </c>
      <c r="H332" s="71"/>
      <c r="I332" s="22">
        <f t="shared" si="28"/>
        <v>62</v>
      </c>
      <c r="J332" s="18">
        <v>57</v>
      </c>
      <c r="K332" s="16"/>
      <c r="L332" s="18">
        <v>5</v>
      </c>
      <c r="M332" s="72"/>
    </row>
    <row r="333" spans="1:13" x14ac:dyDescent="0.25">
      <c r="A333" s="4">
        <v>3</v>
      </c>
      <c r="B333" s="9" t="s">
        <v>20</v>
      </c>
      <c r="C333" s="54"/>
      <c r="D333" s="18">
        <f t="shared" si="27"/>
        <v>2325</v>
      </c>
      <c r="E333" s="70">
        <v>924</v>
      </c>
      <c r="F333" s="17">
        <v>1000</v>
      </c>
      <c r="G333" s="18">
        <v>370</v>
      </c>
      <c r="H333" s="71">
        <v>31</v>
      </c>
      <c r="I333" s="22">
        <f t="shared" si="28"/>
        <v>271</v>
      </c>
      <c r="J333" s="18">
        <v>64</v>
      </c>
      <c r="K333" s="16">
        <v>96</v>
      </c>
      <c r="L333" s="18">
        <v>101</v>
      </c>
      <c r="M333" s="72">
        <v>10</v>
      </c>
    </row>
    <row r="334" spans="1:13" x14ac:dyDescent="0.25">
      <c r="A334" s="4">
        <v>4</v>
      </c>
      <c r="B334" s="9" t="s">
        <v>21</v>
      </c>
      <c r="C334" s="54"/>
      <c r="D334" s="18">
        <f t="shared" si="27"/>
        <v>280</v>
      </c>
      <c r="E334" s="70">
        <v>189</v>
      </c>
      <c r="F334" s="17">
        <v>91</v>
      </c>
      <c r="G334" s="18"/>
      <c r="H334" s="71"/>
      <c r="I334" s="22">
        <f t="shared" si="28"/>
        <v>6</v>
      </c>
      <c r="J334" s="18">
        <v>3</v>
      </c>
      <c r="K334" s="16">
        <v>2</v>
      </c>
      <c r="L334" s="18">
        <v>1</v>
      </c>
      <c r="M334" s="72"/>
    </row>
    <row r="335" spans="1:13" x14ac:dyDescent="0.25">
      <c r="A335" s="4">
        <v>5</v>
      </c>
      <c r="B335" s="9" t="s">
        <v>22</v>
      </c>
      <c r="C335" s="54"/>
      <c r="D335" s="18">
        <f t="shared" si="27"/>
        <v>160</v>
      </c>
      <c r="E335" s="70">
        <v>155</v>
      </c>
      <c r="F335" s="17">
        <v>5</v>
      </c>
      <c r="G335" s="18"/>
      <c r="H335" s="71"/>
      <c r="I335" s="22">
        <f t="shared" si="28"/>
        <v>25</v>
      </c>
      <c r="J335" s="18">
        <v>25</v>
      </c>
      <c r="K335" s="16"/>
      <c r="L335" s="18"/>
      <c r="M335" s="72"/>
    </row>
    <row r="336" spans="1:13" x14ac:dyDescent="0.25">
      <c r="A336" s="4">
        <v>6</v>
      </c>
      <c r="B336" s="9" t="s">
        <v>23</v>
      </c>
      <c r="C336" s="54"/>
      <c r="D336" s="18">
        <f t="shared" si="27"/>
        <v>657</v>
      </c>
      <c r="E336" s="70">
        <v>656</v>
      </c>
      <c r="F336" s="17"/>
      <c r="G336" s="18">
        <v>1</v>
      </c>
      <c r="H336" s="71"/>
      <c r="I336" s="22">
        <f t="shared" si="28"/>
        <v>64</v>
      </c>
      <c r="J336" s="18">
        <v>63</v>
      </c>
      <c r="K336" s="16"/>
      <c r="L336" s="18">
        <v>1</v>
      </c>
      <c r="M336" s="72"/>
    </row>
    <row r="337" spans="1:13" x14ac:dyDescent="0.25">
      <c r="A337" s="4">
        <v>7</v>
      </c>
      <c r="B337" s="9" t="s">
        <v>24</v>
      </c>
      <c r="C337" s="54"/>
      <c r="D337" s="18">
        <f t="shared" si="27"/>
        <v>2014</v>
      </c>
      <c r="E337" s="70">
        <v>643</v>
      </c>
      <c r="F337" s="17">
        <v>1224</v>
      </c>
      <c r="G337" s="18">
        <v>106</v>
      </c>
      <c r="H337" s="71">
        <v>41</v>
      </c>
      <c r="I337" s="22">
        <f t="shared" si="28"/>
        <v>1562</v>
      </c>
      <c r="J337" s="18">
        <v>704</v>
      </c>
      <c r="K337" s="16">
        <v>397</v>
      </c>
      <c r="L337" s="18">
        <v>403</v>
      </c>
      <c r="M337" s="72">
        <v>58</v>
      </c>
    </row>
    <row r="338" spans="1:13" x14ac:dyDescent="0.25">
      <c r="A338" s="4">
        <v>8</v>
      </c>
      <c r="B338" s="9" t="s">
        <v>25</v>
      </c>
      <c r="C338" s="54"/>
      <c r="D338" s="18">
        <f t="shared" si="27"/>
        <v>362</v>
      </c>
      <c r="E338" s="70">
        <v>274</v>
      </c>
      <c r="F338" s="17">
        <v>77</v>
      </c>
      <c r="G338" s="18">
        <v>11</v>
      </c>
      <c r="H338" s="71"/>
      <c r="I338" s="22">
        <f t="shared" si="28"/>
        <v>29</v>
      </c>
      <c r="J338" s="18">
        <v>24</v>
      </c>
      <c r="K338" s="16">
        <v>5</v>
      </c>
      <c r="L338" s="18"/>
      <c r="M338" s="72"/>
    </row>
    <row r="339" spans="1:13" x14ac:dyDescent="0.25">
      <c r="A339" s="4">
        <v>9</v>
      </c>
      <c r="B339" s="9" t="s">
        <v>26</v>
      </c>
      <c r="C339" s="54"/>
      <c r="D339" s="18">
        <f t="shared" si="27"/>
        <v>523</v>
      </c>
      <c r="E339" s="70">
        <v>226</v>
      </c>
      <c r="F339" s="17">
        <v>289</v>
      </c>
      <c r="G339" s="18">
        <v>7</v>
      </c>
      <c r="H339" s="71">
        <v>1</v>
      </c>
      <c r="I339" s="22">
        <f t="shared" si="28"/>
        <v>24</v>
      </c>
      <c r="J339" s="18">
        <v>5</v>
      </c>
      <c r="K339" s="16">
        <v>19</v>
      </c>
      <c r="L339" s="18"/>
      <c r="M339" s="72"/>
    </row>
    <row r="340" spans="1:13" x14ac:dyDescent="0.25">
      <c r="A340" s="4">
        <v>10</v>
      </c>
      <c r="B340" s="9" t="s">
        <v>27</v>
      </c>
      <c r="C340" s="54"/>
      <c r="D340" s="18">
        <f t="shared" si="27"/>
        <v>543</v>
      </c>
      <c r="E340" s="70">
        <v>408</v>
      </c>
      <c r="F340" s="17">
        <v>97</v>
      </c>
      <c r="G340" s="18">
        <v>37</v>
      </c>
      <c r="H340" s="71">
        <v>1</v>
      </c>
      <c r="I340" s="22">
        <f t="shared" si="28"/>
        <v>20</v>
      </c>
      <c r="J340" s="18">
        <v>15</v>
      </c>
      <c r="K340" s="16">
        <v>2</v>
      </c>
      <c r="L340" s="18">
        <v>3</v>
      </c>
      <c r="M340" s="72"/>
    </row>
    <row r="341" spans="1:13" x14ac:dyDescent="0.25">
      <c r="A341" s="6" t="s">
        <v>28</v>
      </c>
      <c r="B341" s="9"/>
      <c r="C341" s="54"/>
      <c r="D341" s="18"/>
      <c r="E341" s="70"/>
      <c r="F341" s="17"/>
      <c r="G341" s="18"/>
      <c r="H341" s="71"/>
      <c r="I341" s="22"/>
      <c r="J341" s="18"/>
      <c r="K341" s="16"/>
      <c r="L341" s="18"/>
      <c r="M341" s="72"/>
    </row>
    <row r="342" spans="1:13" x14ac:dyDescent="0.25">
      <c r="A342" s="5" t="s">
        <v>29</v>
      </c>
      <c r="B342" s="9"/>
      <c r="C342" s="54"/>
      <c r="D342" s="18"/>
      <c r="E342" s="70"/>
      <c r="F342" s="17"/>
      <c r="G342" s="18"/>
      <c r="H342" s="71"/>
      <c r="I342" s="22"/>
      <c r="J342" s="18"/>
      <c r="K342" s="16"/>
      <c r="L342" s="18"/>
      <c r="M342" s="72"/>
    </row>
    <row r="343" spans="1:13" x14ac:dyDescent="0.25">
      <c r="A343" s="4">
        <v>1</v>
      </c>
      <c r="B343" s="73" t="s">
        <v>30</v>
      </c>
      <c r="C343" s="54"/>
      <c r="D343" s="18">
        <f>SUM(E343:H343)</f>
        <v>60600</v>
      </c>
      <c r="E343" s="70">
        <v>7</v>
      </c>
      <c r="F343" s="17">
        <v>51475</v>
      </c>
      <c r="G343" s="18">
        <v>4</v>
      </c>
      <c r="H343" s="71">
        <v>9114</v>
      </c>
      <c r="I343" s="22">
        <f>SUM(J343:M343)</f>
        <v>41184</v>
      </c>
      <c r="J343" s="18">
        <v>12</v>
      </c>
      <c r="K343" s="16">
        <v>28864</v>
      </c>
      <c r="L343" s="18">
        <v>7</v>
      </c>
      <c r="M343" s="72">
        <v>12301</v>
      </c>
    </row>
    <row r="344" spans="1:13" x14ac:dyDescent="0.25">
      <c r="A344" s="5" t="s">
        <v>31</v>
      </c>
      <c r="B344" s="9"/>
      <c r="C344" s="54"/>
      <c r="D344" s="18"/>
      <c r="E344" s="70"/>
      <c r="F344" s="17"/>
      <c r="G344" s="18"/>
      <c r="H344" s="71"/>
      <c r="I344" s="22"/>
      <c r="J344" s="18"/>
      <c r="K344" s="16"/>
      <c r="L344" s="18"/>
      <c r="M344" s="72"/>
    </row>
    <row r="345" spans="1:13" x14ac:dyDescent="0.25">
      <c r="A345" s="4">
        <v>1</v>
      </c>
      <c r="B345" s="9" t="s">
        <v>32</v>
      </c>
      <c r="C345" s="54"/>
      <c r="D345" s="18">
        <f>SUM(E345:H345)</f>
        <v>1640</v>
      </c>
      <c r="E345" s="70">
        <v>933</v>
      </c>
      <c r="F345" s="17">
        <v>658</v>
      </c>
      <c r="G345" s="18">
        <v>39</v>
      </c>
      <c r="H345" s="71">
        <v>10</v>
      </c>
      <c r="I345" s="22">
        <f>SUM(J345:M345)</f>
        <v>150</v>
      </c>
      <c r="J345" s="18">
        <v>105</v>
      </c>
      <c r="K345" s="16">
        <v>43</v>
      </c>
      <c r="L345" s="18">
        <v>2</v>
      </c>
      <c r="M345" s="72"/>
    </row>
    <row r="346" spans="1:13" x14ac:dyDescent="0.25">
      <c r="A346" s="4">
        <v>2</v>
      </c>
      <c r="B346" s="9" t="s">
        <v>33</v>
      </c>
      <c r="C346" s="54"/>
      <c r="D346" s="18">
        <f>SUM(E346:H346)</f>
        <v>48948</v>
      </c>
      <c r="E346" s="55">
        <v>2524</v>
      </c>
      <c r="F346" s="17">
        <v>3949</v>
      </c>
      <c r="G346" s="57">
        <v>32081</v>
      </c>
      <c r="H346" s="71">
        <v>10394</v>
      </c>
      <c r="I346" s="22">
        <f>SUM(J346:M346)</f>
        <v>26378</v>
      </c>
      <c r="J346" s="57">
        <v>258</v>
      </c>
      <c r="K346" s="16">
        <v>456</v>
      </c>
      <c r="L346" s="57">
        <v>14308</v>
      </c>
      <c r="M346" s="72">
        <v>11356</v>
      </c>
    </row>
    <row r="347" spans="1:13" x14ac:dyDescent="0.25">
      <c r="A347" s="6" t="s">
        <v>34</v>
      </c>
      <c r="B347" s="9"/>
      <c r="C347" s="54"/>
      <c r="D347" s="18"/>
      <c r="E347" s="55"/>
      <c r="F347" s="17"/>
      <c r="G347" s="57"/>
      <c r="H347" s="71"/>
      <c r="I347" s="22"/>
      <c r="J347" s="57"/>
      <c r="K347" s="16"/>
      <c r="L347" s="57"/>
      <c r="M347" s="72"/>
    </row>
    <row r="348" spans="1:13" x14ac:dyDescent="0.25">
      <c r="A348" s="74" t="s">
        <v>35</v>
      </c>
      <c r="B348" s="9"/>
      <c r="C348" s="26"/>
      <c r="D348" s="18"/>
      <c r="E348" s="55"/>
      <c r="F348" s="17"/>
      <c r="G348" s="55"/>
      <c r="H348" s="17"/>
      <c r="I348" s="22"/>
      <c r="J348" s="57"/>
      <c r="K348" s="16"/>
      <c r="L348" s="55"/>
      <c r="M348" s="75"/>
    </row>
    <row r="349" spans="1:13" x14ac:dyDescent="0.25">
      <c r="A349" s="8">
        <v>1</v>
      </c>
      <c r="B349" s="9" t="s">
        <v>36</v>
      </c>
      <c r="C349" s="26"/>
      <c r="D349" s="18">
        <f>SUM(E349:H349)</f>
        <v>22377</v>
      </c>
      <c r="E349" s="55">
        <v>13701</v>
      </c>
      <c r="F349" s="17">
        <v>1869</v>
      </c>
      <c r="G349" s="55">
        <v>6763</v>
      </c>
      <c r="H349" s="17">
        <v>44</v>
      </c>
      <c r="I349" s="22">
        <f>SUM(J349:M349)</f>
        <v>2794</v>
      </c>
      <c r="J349" s="57">
        <v>1948</v>
      </c>
      <c r="K349" s="16">
        <v>61</v>
      </c>
      <c r="L349" s="55">
        <v>781</v>
      </c>
      <c r="M349" s="75">
        <v>4</v>
      </c>
    </row>
    <row r="350" spans="1:13" x14ac:dyDescent="0.25">
      <c r="A350" s="7" t="s">
        <v>37</v>
      </c>
      <c r="B350" s="9"/>
      <c r="C350" s="26"/>
      <c r="D350" s="18"/>
      <c r="E350" s="55"/>
      <c r="F350" s="17"/>
      <c r="G350" s="55"/>
      <c r="H350" s="17"/>
      <c r="I350" s="22"/>
      <c r="J350" s="57"/>
      <c r="K350" s="16"/>
      <c r="L350" s="55"/>
      <c r="M350" s="75"/>
    </row>
    <row r="351" spans="1:13" x14ac:dyDescent="0.25">
      <c r="A351" s="8">
        <v>1</v>
      </c>
      <c r="B351" s="9" t="s">
        <v>38</v>
      </c>
      <c r="C351" s="26"/>
      <c r="D351" s="18">
        <f t="shared" ref="D351:D356" si="29">SUM(E351:H351)</f>
        <v>3736</v>
      </c>
      <c r="E351" s="55">
        <v>3590</v>
      </c>
      <c r="F351" s="17">
        <v>30</v>
      </c>
      <c r="G351" s="55">
        <v>116</v>
      </c>
      <c r="H351" s="17"/>
      <c r="I351" s="22">
        <f t="shared" ref="I351:I356" si="30">SUM(J351:M351)</f>
        <v>616</v>
      </c>
      <c r="J351" s="57">
        <v>559</v>
      </c>
      <c r="K351" s="16">
        <v>1</v>
      </c>
      <c r="L351" s="55">
        <v>56</v>
      </c>
      <c r="M351" s="75"/>
    </row>
    <row r="352" spans="1:13" x14ac:dyDescent="0.25">
      <c r="A352" s="4">
        <v>2</v>
      </c>
      <c r="B352" s="9" t="s">
        <v>39</v>
      </c>
      <c r="C352" s="26"/>
      <c r="D352" s="18">
        <f t="shared" si="29"/>
        <v>6935</v>
      </c>
      <c r="E352" s="55">
        <v>2400</v>
      </c>
      <c r="F352" s="17">
        <v>8</v>
      </c>
      <c r="G352" s="107">
        <v>4525</v>
      </c>
      <c r="H352" s="17">
        <v>2</v>
      </c>
      <c r="I352" s="22">
        <f t="shared" si="30"/>
        <v>1204</v>
      </c>
      <c r="J352" s="57">
        <v>413</v>
      </c>
      <c r="K352" s="16">
        <v>1</v>
      </c>
      <c r="L352" s="55">
        <v>789</v>
      </c>
      <c r="M352" s="75">
        <v>1</v>
      </c>
    </row>
    <row r="353" spans="1:13" x14ac:dyDescent="0.25">
      <c r="A353" s="4">
        <v>3</v>
      </c>
      <c r="B353" s="9" t="s">
        <v>40</v>
      </c>
      <c r="C353" s="26"/>
      <c r="D353" s="18">
        <f t="shared" si="29"/>
        <v>46</v>
      </c>
      <c r="E353" s="55">
        <v>46</v>
      </c>
      <c r="F353" s="17"/>
      <c r="G353" s="55"/>
      <c r="H353" s="17"/>
      <c r="I353" s="22">
        <f t="shared" si="30"/>
        <v>7</v>
      </c>
      <c r="J353" s="57">
        <v>7</v>
      </c>
      <c r="K353" s="16"/>
      <c r="L353" s="55"/>
      <c r="M353" s="75"/>
    </row>
    <row r="354" spans="1:13" x14ac:dyDescent="0.25">
      <c r="A354" s="4">
        <v>4</v>
      </c>
      <c r="B354" s="9" t="s">
        <v>41</v>
      </c>
      <c r="C354" s="26"/>
      <c r="D354" s="18">
        <f t="shared" si="29"/>
        <v>19</v>
      </c>
      <c r="E354" s="55">
        <v>11</v>
      </c>
      <c r="F354" s="17"/>
      <c r="G354" s="55">
        <v>8</v>
      </c>
      <c r="H354" s="17"/>
      <c r="I354" s="22">
        <f t="shared" si="30"/>
        <v>2</v>
      </c>
      <c r="J354" s="57">
        <v>2</v>
      </c>
      <c r="K354" s="16"/>
      <c r="L354" s="55"/>
      <c r="M354" s="75"/>
    </row>
    <row r="355" spans="1:13" x14ac:dyDescent="0.25">
      <c r="A355" s="4">
        <v>5</v>
      </c>
      <c r="B355" s="9" t="s">
        <v>42</v>
      </c>
      <c r="C355" s="26"/>
      <c r="D355" s="18">
        <f t="shared" si="29"/>
        <v>1602</v>
      </c>
      <c r="E355" s="55">
        <v>1205</v>
      </c>
      <c r="F355" s="17">
        <v>168</v>
      </c>
      <c r="G355" s="55">
        <v>228</v>
      </c>
      <c r="H355" s="17">
        <v>1</v>
      </c>
      <c r="I355" s="22">
        <f t="shared" si="30"/>
        <v>221</v>
      </c>
      <c r="J355" s="57">
        <v>101</v>
      </c>
      <c r="K355" s="16">
        <v>17</v>
      </c>
      <c r="L355" s="55">
        <v>103</v>
      </c>
      <c r="M355" s="75"/>
    </row>
    <row r="356" spans="1:13" x14ac:dyDescent="0.25">
      <c r="A356" s="4">
        <v>6</v>
      </c>
      <c r="B356" s="9" t="s">
        <v>43</v>
      </c>
      <c r="C356" s="26"/>
      <c r="D356" s="18">
        <f t="shared" si="29"/>
        <v>754</v>
      </c>
      <c r="E356" s="55">
        <v>461</v>
      </c>
      <c r="F356" s="17">
        <v>2</v>
      </c>
      <c r="G356" s="55">
        <v>291</v>
      </c>
      <c r="H356" s="17"/>
      <c r="I356" s="22">
        <f t="shared" si="30"/>
        <v>52</v>
      </c>
      <c r="J356" s="57">
        <v>11</v>
      </c>
      <c r="K356" s="16"/>
      <c r="L356" s="55">
        <v>41</v>
      </c>
      <c r="M356" s="75"/>
    </row>
    <row r="357" spans="1:13" x14ac:dyDescent="0.25">
      <c r="A357" s="76" t="s">
        <v>44</v>
      </c>
      <c r="B357" s="9"/>
      <c r="C357" s="26"/>
      <c r="D357" s="18"/>
      <c r="E357" s="55"/>
      <c r="F357" s="17"/>
      <c r="G357" s="55"/>
      <c r="H357" s="17"/>
      <c r="I357" s="22"/>
      <c r="J357" s="57"/>
      <c r="K357" s="16"/>
      <c r="L357" s="55"/>
      <c r="M357" s="75"/>
    </row>
    <row r="358" spans="1:13" x14ac:dyDescent="0.25">
      <c r="A358" s="78" t="s">
        <v>46</v>
      </c>
      <c r="B358" s="9"/>
      <c r="C358" s="26"/>
      <c r="D358" s="18"/>
      <c r="E358" s="55"/>
      <c r="F358" s="17"/>
      <c r="G358" s="55"/>
      <c r="H358" s="17"/>
      <c r="I358" s="22"/>
      <c r="J358" s="57"/>
      <c r="K358" s="16"/>
      <c r="L358" s="55"/>
      <c r="M358" s="75"/>
    </row>
    <row r="359" spans="1:13" x14ac:dyDescent="0.25">
      <c r="A359" s="4">
        <v>1</v>
      </c>
      <c r="B359" s="9" t="s">
        <v>47</v>
      </c>
      <c r="C359" s="77" t="s">
        <v>120</v>
      </c>
      <c r="D359" s="18">
        <f>SUM(E359:H359)</f>
        <v>13716</v>
      </c>
      <c r="E359" s="55">
        <v>3400</v>
      </c>
      <c r="F359" s="17">
        <v>378</v>
      </c>
      <c r="G359" s="55">
        <v>5910</v>
      </c>
      <c r="H359" s="17">
        <v>4028</v>
      </c>
      <c r="I359" s="22">
        <f>SUM(J359:M359)</f>
        <v>483853</v>
      </c>
      <c r="J359" s="57">
        <v>39628</v>
      </c>
      <c r="K359" s="16">
        <v>10542</v>
      </c>
      <c r="L359" s="55">
        <v>169416</v>
      </c>
      <c r="M359" s="75">
        <v>264267</v>
      </c>
    </row>
    <row r="360" spans="1:13" x14ac:dyDescent="0.25">
      <c r="A360" s="4">
        <v>2</v>
      </c>
      <c r="B360" s="9" t="s">
        <v>48</v>
      </c>
      <c r="C360" s="26"/>
      <c r="D360" s="18">
        <f>SUM(E360:H360)</f>
        <v>47</v>
      </c>
      <c r="E360" s="55">
        <v>28</v>
      </c>
      <c r="F360" s="17">
        <v>1</v>
      </c>
      <c r="G360" s="55">
        <v>18</v>
      </c>
      <c r="H360" s="17"/>
      <c r="I360" s="22">
        <f>SUM(J360:M360)</f>
        <v>116</v>
      </c>
      <c r="J360" s="57">
        <v>45</v>
      </c>
      <c r="K360" s="16"/>
      <c r="L360" s="55">
        <v>70</v>
      </c>
      <c r="M360" s="75">
        <v>1</v>
      </c>
    </row>
    <row r="361" spans="1:13" x14ac:dyDescent="0.25">
      <c r="A361" s="4">
        <v>3</v>
      </c>
      <c r="B361" s="9" t="s">
        <v>49</v>
      </c>
      <c r="C361" s="26"/>
      <c r="D361" s="18">
        <f>SUM(E361:H361)</f>
        <v>3</v>
      </c>
      <c r="E361" s="55"/>
      <c r="F361" s="17"/>
      <c r="G361" s="55">
        <v>3</v>
      </c>
      <c r="H361" s="17"/>
      <c r="I361" s="22">
        <f>SUM(J361:M361)</f>
        <v>0</v>
      </c>
      <c r="J361" s="57"/>
      <c r="K361" s="16"/>
      <c r="L361" s="55"/>
      <c r="M361" s="75"/>
    </row>
    <row r="362" spans="1:13" x14ac:dyDescent="0.25">
      <c r="A362" s="4">
        <v>4</v>
      </c>
      <c r="B362" s="9" t="s">
        <v>50</v>
      </c>
      <c r="C362" s="26"/>
      <c r="D362" s="18">
        <f>SUM(E362:H362)</f>
        <v>945</v>
      </c>
      <c r="E362" s="55">
        <v>576</v>
      </c>
      <c r="F362" s="17">
        <v>2</v>
      </c>
      <c r="G362" s="55">
        <v>367</v>
      </c>
      <c r="H362" s="17"/>
      <c r="I362" s="22">
        <f>SUM(J362:M362)</f>
        <v>141</v>
      </c>
      <c r="J362" s="57">
        <v>60</v>
      </c>
      <c r="K362" s="16"/>
      <c r="L362" s="55">
        <v>81</v>
      </c>
      <c r="M362" s="75"/>
    </row>
    <row r="363" spans="1:13" x14ac:dyDescent="0.25">
      <c r="A363" s="76" t="s">
        <v>51</v>
      </c>
      <c r="B363" s="9"/>
      <c r="C363" s="26"/>
      <c r="D363" s="18"/>
      <c r="E363" s="55"/>
      <c r="F363" s="17"/>
      <c r="G363" s="55"/>
      <c r="H363" s="17"/>
      <c r="I363" s="22"/>
      <c r="J363" s="57"/>
      <c r="K363" s="16"/>
      <c r="L363" s="55"/>
      <c r="M363" s="75"/>
    </row>
    <row r="364" spans="1:13" x14ac:dyDescent="0.25">
      <c r="A364" s="78" t="s">
        <v>52</v>
      </c>
      <c r="B364" s="9"/>
      <c r="C364" s="26"/>
      <c r="D364" s="18"/>
      <c r="E364" s="55"/>
      <c r="F364" s="17"/>
      <c r="G364" s="55"/>
      <c r="H364" s="17"/>
      <c r="I364" s="22"/>
      <c r="J364" s="57"/>
      <c r="K364" s="16"/>
      <c r="L364" s="55"/>
      <c r="M364" s="75"/>
    </row>
    <row r="365" spans="1:13" x14ac:dyDescent="0.25">
      <c r="A365" s="4">
        <v>1</v>
      </c>
      <c r="B365" s="9" t="s">
        <v>53</v>
      </c>
      <c r="C365" s="26"/>
      <c r="D365" s="18">
        <f t="shared" ref="D365:D377" si="31">SUM(E365:H365)</f>
        <v>1825</v>
      </c>
      <c r="E365" s="55">
        <v>1308</v>
      </c>
      <c r="F365" s="17">
        <v>227</v>
      </c>
      <c r="G365" s="55">
        <v>287</v>
      </c>
      <c r="H365" s="17">
        <v>3</v>
      </c>
      <c r="I365" s="22">
        <f t="shared" ref="I365:I377" si="32">SUM(J365:M365)</f>
        <v>20</v>
      </c>
      <c r="J365" s="57">
        <v>17</v>
      </c>
      <c r="K365" s="16">
        <v>1</v>
      </c>
      <c r="L365" s="55">
        <v>2</v>
      </c>
      <c r="M365" s="75"/>
    </row>
    <row r="366" spans="1:13" x14ac:dyDescent="0.25">
      <c r="A366" s="4">
        <v>2</v>
      </c>
      <c r="B366" s="9" t="s">
        <v>54</v>
      </c>
      <c r="C366" s="26"/>
      <c r="D366" s="18">
        <f t="shared" si="31"/>
        <v>64</v>
      </c>
      <c r="E366" s="55">
        <v>62</v>
      </c>
      <c r="F366" s="17">
        <v>2</v>
      </c>
      <c r="G366" s="55"/>
      <c r="H366" s="17"/>
      <c r="I366" s="22">
        <f t="shared" si="32"/>
        <v>2</v>
      </c>
      <c r="J366" s="57">
        <v>2</v>
      </c>
      <c r="K366" s="16"/>
      <c r="L366" s="55"/>
      <c r="M366" s="75"/>
    </row>
    <row r="367" spans="1:13" x14ac:dyDescent="0.25">
      <c r="A367" s="4">
        <v>3</v>
      </c>
      <c r="B367" s="9" t="s">
        <v>55</v>
      </c>
      <c r="C367" s="26"/>
      <c r="D367" s="18">
        <f t="shared" si="31"/>
        <v>31</v>
      </c>
      <c r="E367" s="55">
        <v>30</v>
      </c>
      <c r="F367" s="17"/>
      <c r="G367" s="55">
        <v>1</v>
      </c>
      <c r="H367" s="17"/>
      <c r="I367" s="22">
        <f t="shared" si="32"/>
        <v>1</v>
      </c>
      <c r="J367" s="57"/>
      <c r="K367" s="16">
        <v>1</v>
      </c>
      <c r="L367" s="55"/>
      <c r="M367" s="75"/>
    </row>
    <row r="368" spans="1:13" x14ac:dyDescent="0.25">
      <c r="A368" s="4">
        <v>4</v>
      </c>
      <c r="B368" s="9" t="s">
        <v>56</v>
      </c>
      <c r="C368" s="26"/>
      <c r="D368" s="18">
        <f t="shared" si="31"/>
        <v>19</v>
      </c>
      <c r="E368" s="55">
        <v>18</v>
      </c>
      <c r="F368" s="17"/>
      <c r="G368" s="55"/>
      <c r="H368" s="17">
        <v>1</v>
      </c>
      <c r="I368" s="22">
        <f t="shared" si="32"/>
        <v>0</v>
      </c>
      <c r="J368" s="57"/>
      <c r="K368" s="16"/>
      <c r="L368" s="55"/>
      <c r="M368" s="75"/>
    </row>
    <row r="369" spans="1:13" x14ac:dyDescent="0.25">
      <c r="A369" s="4">
        <v>5</v>
      </c>
      <c r="B369" s="9" t="s">
        <v>57</v>
      </c>
      <c r="C369" s="26"/>
      <c r="D369" s="18">
        <f t="shared" si="31"/>
        <v>66</v>
      </c>
      <c r="E369" s="55">
        <v>65</v>
      </c>
      <c r="F369" s="17">
        <v>1</v>
      </c>
      <c r="G369" s="55"/>
      <c r="H369" s="17"/>
      <c r="I369" s="22">
        <f t="shared" si="32"/>
        <v>0</v>
      </c>
      <c r="J369" s="57"/>
      <c r="K369" s="16"/>
      <c r="L369" s="55"/>
      <c r="M369" s="75"/>
    </row>
    <row r="370" spans="1:13" x14ac:dyDescent="0.25">
      <c r="A370" s="4">
        <v>6</v>
      </c>
      <c r="B370" s="9" t="s">
        <v>58</v>
      </c>
      <c r="C370" s="26"/>
      <c r="D370" s="18">
        <f t="shared" si="31"/>
        <v>222</v>
      </c>
      <c r="E370" s="55">
        <v>219</v>
      </c>
      <c r="F370" s="17"/>
      <c r="G370" s="55">
        <v>3</v>
      </c>
      <c r="H370" s="17"/>
      <c r="I370" s="22">
        <f t="shared" si="32"/>
        <v>7</v>
      </c>
      <c r="J370" s="57">
        <v>7</v>
      </c>
      <c r="K370" s="16"/>
      <c r="L370" s="55"/>
      <c r="M370" s="75"/>
    </row>
    <row r="371" spans="1:13" x14ac:dyDescent="0.25">
      <c r="A371" s="4">
        <v>7</v>
      </c>
      <c r="B371" s="9" t="s">
        <v>59</v>
      </c>
      <c r="C371" s="26"/>
      <c r="D371" s="18">
        <f t="shared" si="31"/>
        <v>8</v>
      </c>
      <c r="E371" s="55">
        <v>8</v>
      </c>
      <c r="F371" s="17"/>
      <c r="G371" s="55"/>
      <c r="H371" s="17"/>
      <c r="I371" s="22">
        <f t="shared" si="32"/>
        <v>0</v>
      </c>
      <c r="J371" s="57"/>
      <c r="K371" s="16"/>
      <c r="L371" s="55"/>
      <c r="M371" s="75"/>
    </row>
    <row r="372" spans="1:13" x14ac:dyDescent="0.25">
      <c r="A372" s="4">
        <v>8</v>
      </c>
      <c r="B372" s="9" t="s">
        <v>60</v>
      </c>
      <c r="C372" s="26"/>
      <c r="D372" s="18">
        <f t="shared" si="31"/>
        <v>21</v>
      </c>
      <c r="E372" s="55">
        <v>20</v>
      </c>
      <c r="F372" s="17">
        <v>1</v>
      </c>
      <c r="G372" s="55"/>
      <c r="H372" s="17"/>
      <c r="I372" s="22">
        <f t="shared" si="32"/>
        <v>918</v>
      </c>
      <c r="J372" s="57">
        <v>105</v>
      </c>
      <c r="K372" s="16">
        <v>6</v>
      </c>
      <c r="L372" s="55">
        <v>807</v>
      </c>
      <c r="M372" s="75"/>
    </row>
    <row r="373" spans="1:13" x14ac:dyDescent="0.25">
      <c r="A373" s="4">
        <v>9</v>
      </c>
      <c r="B373" s="9" t="s">
        <v>61</v>
      </c>
      <c r="C373" s="26"/>
      <c r="D373" s="18">
        <f t="shared" si="31"/>
        <v>1052</v>
      </c>
      <c r="E373" s="55">
        <v>1049</v>
      </c>
      <c r="F373" s="17">
        <v>1</v>
      </c>
      <c r="G373" s="55">
        <v>2</v>
      </c>
      <c r="H373" s="17"/>
      <c r="I373" s="22">
        <f t="shared" si="32"/>
        <v>107</v>
      </c>
      <c r="J373" s="57">
        <v>106</v>
      </c>
      <c r="K373" s="16"/>
      <c r="L373" s="55">
        <v>1</v>
      </c>
      <c r="M373" s="75"/>
    </row>
    <row r="374" spans="1:13" x14ac:dyDescent="0.25">
      <c r="A374" s="4">
        <v>10</v>
      </c>
      <c r="B374" s="9" t="s">
        <v>62</v>
      </c>
      <c r="C374" s="26"/>
      <c r="D374" s="18">
        <f t="shared" si="31"/>
        <v>1331</v>
      </c>
      <c r="E374" s="55">
        <v>1161</v>
      </c>
      <c r="F374" s="17">
        <v>3</v>
      </c>
      <c r="G374" s="55">
        <v>167</v>
      </c>
      <c r="H374" s="17"/>
      <c r="I374" s="22">
        <f t="shared" si="32"/>
        <v>110</v>
      </c>
      <c r="J374" s="57">
        <v>102</v>
      </c>
      <c r="K374" s="16"/>
      <c r="L374" s="55">
        <v>8</v>
      </c>
      <c r="M374" s="75"/>
    </row>
    <row r="375" spans="1:13" x14ac:dyDescent="0.25">
      <c r="A375" s="4">
        <v>11</v>
      </c>
      <c r="B375" s="9" t="s">
        <v>63</v>
      </c>
      <c r="C375" s="26"/>
      <c r="D375" s="18">
        <f t="shared" si="31"/>
        <v>51</v>
      </c>
      <c r="E375" s="55">
        <v>45</v>
      </c>
      <c r="F375" s="17">
        <v>4</v>
      </c>
      <c r="G375" s="55">
        <v>2</v>
      </c>
      <c r="H375" s="17"/>
      <c r="I375" s="22">
        <f t="shared" si="32"/>
        <v>2</v>
      </c>
      <c r="J375" s="57">
        <v>2</v>
      </c>
      <c r="K375" s="16"/>
      <c r="L375" s="55"/>
      <c r="M375" s="75"/>
    </row>
    <row r="376" spans="1:13" x14ac:dyDescent="0.25">
      <c r="A376" s="4">
        <v>12</v>
      </c>
      <c r="B376" s="9" t="s">
        <v>64</v>
      </c>
      <c r="C376" s="26"/>
      <c r="D376" s="18">
        <f t="shared" si="31"/>
        <v>661</v>
      </c>
      <c r="E376" s="55">
        <v>605</v>
      </c>
      <c r="F376" s="17">
        <v>18</v>
      </c>
      <c r="G376" s="55">
        <v>38</v>
      </c>
      <c r="H376" s="17"/>
      <c r="I376" s="22">
        <f t="shared" si="32"/>
        <v>17</v>
      </c>
      <c r="J376" s="57">
        <v>17</v>
      </c>
      <c r="K376" s="16"/>
      <c r="L376" s="55"/>
      <c r="M376" s="75"/>
    </row>
    <row r="377" spans="1:13" x14ac:dyDescent="0.25">
      <c r="A377" s="4">
        <v>13</v>
      </c>
      <c r="B377" s="9" t="s">
        <v>65</v>
      </c>
      <c r="C377" s="26"/>
      <c r="D377" s="18">
        <f t="shared" si="31"/>
        <v>240</v>
      </c>
      <c r="E377" s="55">
        <v>14</v>
      </c>
      <c r="F377" s="17">
        <v>3</v>
      </c>
      <c r="G377" s="55">
        <v>223</v>
      </c>
      <c r="H377" s="17"/>
      <c r="I377" s="22">
        <f t="shared" si="32"/>
        <v>0</v>
      </c>
      <c r="J377" s="57"/>
      <c r="K377" s="16"/>
      <c r="L377" s="55"/>
      <c r="M377" s="75"/>
    </row>
    <row r="378" spans="1:13" x14ac:dyDescent="0.25">
      <c r="A378" s="5" t="s">
        <v>66</v>
      </c>
      <c r="B378" s="9"/>
      <c r="C378" s="26"/>
      <c r="D378" s="18"/>
      <c r="E378" s="55"/>
      <c r="F378" s="17"/>
      <c r="G378" s="55"/>
      <c r="H378" s="17"/>
      <c r="I378" s="22"/>
      <c r="J378" s="57"/>
      <c r="K378" s="16"/>
      <c r="L378" s="55"/>
      <c r="M378" s="75"/>
    </row>
    <row r="379" spans="1:13" x14ac:dyDescent="0.25">
      <c r="A379" s="4">
        <v>1</v>
      </c>
      <c r="B379" s="9" t="s">
        <v>67</v>
      </c>
      <c r="C379" s="26"/>
      <c r="D379" s="18">
        <f>SUM(E379:H379)</f>
        <v>5006</v>
      </c>
      <c r="E379" s="55">
        <v>1133</v>
      </c>
      <c r="F379" s="17">
        <v>3</v>
      </c>
      <c r="G379" s="55">
        <v>3870</v>
      </c>
      <c r="H379" s="17"/>
      <c r="I379" s="22">
        <f>SUM(J379:M379)</f>
        <v>5343</v>
      </c>
      <c r="J379" s="57">
        <v>1386</v>
      </c>
      <c r="K379" s="16"/>
      <c r="L379" s="55">
        <v>3957</v>
      </c>
      <c r="M379" s="75"/>
    </row>
    <row r="380" spans="1:13" x14ac:dyDescent="0.25">
      <c r="A380" s="4">
        <v>2</v>
      </c>
      <c r="B380" s="9" t="s">
        <v>68</v>
      </c>
      <c r="C380" s="26"/>
      <c r="D380" s="18">
        <f>SUM(E380:H380)</f>
        <v>16269</v>
      </c>
      <c r="E380" s="55">
        <v>10148</v>
      </c>
      <c r="F380" s="17">
        <v>11</v>
      </c>
      <c r="G380" s="55">
        <v>6110</v>
      </c>
      <c r="H380" s="17"/>
      <c r="I380" s="22">
        <f>SUM(J380:M380)</f>
        <v>2214</v>
      </c>
      <c r="J380" s="57">
        <v>1331</v>
      </c>
      <c r="K380" s="16"/>
      <c r="L380" s="55">
        <v>883</v>
      </c>
      <c r="M380" s="75"/>
    </row>
    <row r="381" spans="1:13" x14ac:dyDescent="0.25">
      <c r="A381" s="4">
        <v>3</v>
      </c>
      <c r="B381" s="9" t="s">
        <v>69</v>
      </c>
      <c r="C381" s="26"/>
      <c r="D381" s="18">
        <f>SUM(E381:H381)</f>
        <v>101</v>
      </c>
      <c r="E381" s="55">
        <v>69</v>
      </c>
      <c r="F381" s="17"/>
      <c r="G381" s="55">
        <v>32</v>
      </c>
      <c r="H381" s="17"/>
      <c r="I381" s="22">
        <f>SUM(J381:M381)</f>
        <v>56</v>
      </c>
      <c r="J381" s="57">
        <v>45</v>
      </c>
      <c r="K381" s="16"/>
      <c r="L381" s="55">
        <v>11</v>
      </c>
      <c r="M381" s="75"/>
    </row>
    <row r="382" spans="1:13" x14ac:dyDescent="0.25">
      <c r="A382" s="4">
        <v>4</v>
      </c>
      <c r="B382" s="9" t="s">
        <v>70</v>
      </c>
      <c r="C382" s="26"/>
      <c r="D382" s="18">
        <f>SUM(E382:H382)</f>
        <v>1398</v>
      </c>
      <c r="E382" s="55">
        <v>239</v>
      </c>
      <c r="F382" s="17">
        <v>1</v>
      </c>
      <c r="G382" s="55">
        <v>1158</v>
      </c>
      <c r="H382" s="17"/>
      <c r="I382" s="22">
        <f>SUM(J382:M382)</f>
        <v>5</v>
      </c>
      <c r="J382" s="57">
        <v>3</v>
      </c>
      <c r="K382" s="16"/>
      <c r="L382" s="55">
        <v>2</v>
      </c>
      <c r="M382" s="75"/>
    </row>
    <row r="383" spans="1:13" x14ac:dyDescent="0.25">
      <c r="A383" s="5" t="s">
        <v>71</v>
      </c>
      <c r="B383" s="9"/>
      <c r="C383" s="26"/>
      <c r="D383" s="18"/>
      <c r="E383" s="55"/>
      <c r="F383" s="17"/>
      <c r="G383" s="55"/>
      <c r="H383" s="17"/>
      <c r="I383" s="22"/>
      <c r="J383" s="57"/>
      <c r="K383" s="16"/>
      <c r="L383" s="55"/>
      <c r="M383" s="75"/>
    </row>
    <row r="384" spans="1:13" x14ac:dyDescent="0.25">
      <c r="A384" s="4">
        <v>1</v>
      </c>
      <c r="B384" s="9" t="s">
        <v>72</v>
      </c>
      <c r="C384" s="26"/>
      <c r="D384" s="18">
        <f>SUM(E384:H384)</f>
        <v>1613</v>
      </c>
      <c r="E384" s="55">
        <v>834</v>
      </c>
      <c r="F384" s="17">
        <v>675</v>
      </c>
      <c r="G384" s="55">
        <v>104</v>
      </c>
      <c r="H384" s="17"/>
      <c r="I384" s="22">
        <f>SUM(J384:M384)</f>
        <v>44</v>
      </c>
      <c r="J384" s="57">
        <v>34</v>
      </c>
      <c r="K384" s="16">
        <v>10</v>
      </c>
      <c r="L384" s="55"/>
      <c r="M384" s="75"/>
    </row>
    <row r="385" spans="1:13" x14ac:dyDescent="0.25">
      <c r="A385" s="4">
        <v>2</v>
      </c>
      <c r="B385" s="9" t="s">
        <v>73</v>
      </c>
      <c r="C385" s="26"/>
      <c r="D385" s="18">
        <f>SUM(E385:H385)</f>
        <v>4826</v>
      </c>
      <c r="E385" s="55">
        <v>2316</v>
      </c>
      <c r="F385" s="17">
        <v>2039</v>
      </c>
      <c r="G385" s="55">
        <v>395</v>
      </c>
      <c r="H385" s="17">
        <v>76</v>
      </c>
      <c r="I385" s="22">
        <f>SUM(J385:M385)</f>
        <v>131</v>
      </c>
      <c r="J385" s="57">
        <v>60</v>
      </c>
      <c r="K385" s="16">
        <v>55</v>
      </c>
      <c r="L385" s="55">
        <v>16</v>
      </c>
      <c r="M385" s="75"/>
    </row>
    <row r="386" spans="1:13" x14ac:dyDescent="0.25">
      <c r="A386" s="4">
        <v>3</v>
      </c>
      <c r="B386" s="9" t="s">
        <v>74</v>
      </c>
      <c r="C386" s="26"/>
      <c r="D386" s="18">
        <f>SUM(E386:H386)</f>
        <v>43</v>
      </c>
      <c r="E386" s="55">
        <v>33</v>
      </c>
      <c r="F386" s="17">
        <v>3</v>
      </c>
      <c r="G386" s="55">
        <v>7</v>
      </c>
      <c r="H386" s="17"/>
      <c r="I386" s="22">
        <f>SUM(J386:M386)</f>
        <v>2</v>
      </c>
      <c r="J386" s="57">
        <v>2</v>
      </c>
      <c r="K386" s="16"/>
      <c r="L386" s="55"/>
      <c r="M386" s="75"/>
    </row>
    <row r="387" spans="1:13" x14ac:dyDescent="0.25">
      <c r="A387" s="5" t="s">
        <v>75</v>
      </c>
      <c r="B387" s="9"/>
      <c r="C387" s="26"/>
      <c r="D387" s="18"/>
      <c r="E387" s="55"/>
      <c r="F387" s="17"/>
      <c r="G387" s="55"/>
      <c r="H387" s="17"/>
      <c r="I387" s="22"/>
      <c r="J387" s="57"/>
      <c r="K387" s="16"/>
      <c r="L387" s="55"/>
      <c r="M387" s="75"/>
    </row>
    <row r="388" spans="1:13" x14ac:dyDescent="0.25">
      <c r="A388" s="4">
        <v>1</v>
      </c>
      <c r="B388" s="9" t="s">
        <v>77</v>
      </c>
      <c r="C388" s="77" t="s">
        <v>121</v>
      </c>
      <c r="D388" s="18">
        <f>SUM(E388:H388)</f>
        <v>2351</v>
      </c>
      <c r="E388" s="55">
        <v>1740</v>
      </c>
      <c r="F388" s="17">
        <v>40</v>
      </c>
      <c r="G388" s="55">
        <v>571</v>
      </c>
      <c r="H388" s="17"/>
      <c r="I388" s="22">
        <f>SUM(J388:M388)</f>
        <v>202</v>
      </c>
      <c r="J388" s="57">
        <v>132</v>
      </c>
      <c r="K388" s="16">
        <v>3</v>
      </c>
      <c r="L388" s="55">
        <v>67</v>
      </c>
      <c r="M388" s="75"/>
    </row>
    <row r="389" spans="1:13" x14ac:dyDescent="0.25">
      <c r="A389" s="4">
        <v>2</v>
      </c>
      <c r="B389" s="9" t="s">
        <v>78</v>
      </c>
      <c r="C389" s="26"/>
      <c r="D389" s="18">
        <f>SUM(E389:H389)</f>
        <v>2824</v>
      </c>
      <c r="E389" s="55">
        <v>2059</v>
      </c>
      <c r="F389" s="17">
        <v>130</v>
      </c>
      <c r="G389" s="55">
        <v>625</v>
      </c>
      <c r="H389" s="17">
        <v>10</v>
      </c>
      <c r="I389" s="22">
        <f>SUM(J389:M389)</f>
        <v>181</v>
      </c>
      <c r="J389" s="57">
        <v>140</v>
      </c>
      <c r="K389" s="16">
        <v>2</v>
      </c>
      <c r="L389" s="55">
        <v>39</v>
      </c>
      <c r="M389" s="75"/>
    </row>
    <row r="390" spans="1:13" x14ac:dyDescent="0.25">
      <c r="A390" s="4">
        <v>3</v>
      </c>
      <c r="B390" s="9" t="s">
        <v>79</v>
      </c>
      <c r="C390" s="26"/>
      <c r="D390" s="18">
        <f>SUM(E390:H390)</f>
        <v>2051</v>
      </c>
      <c r="E390" s="55">
        <v>1277</v>
      </c>
      <c r="F390" s="17">
        <v>62</v>
      </c>
      <c r="G390" s="55">
        <v>698</v>
      </c>
      <c r="H390" s="17">
        <v>14</v>
      </c>
      <c r="I390" s="22">
        <f>SUM(J390:M390)</f>
        <v>44</v>
      </c>
      <c r="J390" s="57">
        <v>40</v>
      </c>
      <c r="K390" s="16">
        <v>1</v>
      </c>
      <c r="L390" s="55"/>
      <c r="M390" s="75">
        <v>3</v>
      </c>
    </row>
    <row r="391" spans="1:13" x14ac:dyDescent="0.25">
      <c r="A391" s="5" t="s">
        <v>80</v>
      </c>
      <c r="B391" s="9"/>
      <c r="C391" s="26"/>
      <c r="D391" s="18"/>
      <c r="E391" s="55"/>
      <c r="F391" s="17"/>
      <c r="G391" s="55"/>
      <c r="H391" s="17"/>
      <c r="I391" s="22"/>
      <c r="J391" s="57"/>
      <c r="K391" s="16"/>
      <c r="L391" s="55"/>
      <c r="M391" s="75"/>
    </row>
    <row r="392" spans="1:13" x14ac:dyDescent="0.25">
      <c r="A392" s="4">
        <v>1</v>
      </c>
      <c r="B392" s="9" t="s">
        <v>81</v>
      </c>
      <c r="C392" s="26"/>
      <c r="D392" s="18">
        <f>SUM(E392:H392)</f>
        <v>163</v>
      </c>
      <c r="E392" s="55">
        <v>95</v>
      </c>
      <c r="F392" s="17">
        <v>27</v>
      </c>
      <c r="G392" s="55">
        <v>38</v>
      </c>
      <c r="H392" s="17">
        <v>3</v>
      </c>
      <c r="I392" s="22">
        <f>SUM(J392:M392)</f>
        <v>12</v>
      </c>
      <c r="J392" s="57">
        <v>6</v>
      </c>
      <c r="K392" s="16"/>
      <c r="L392" s="55">
        <v>6</v>
      </c>
      <c r="M392" s="75"/>
    </row>
    <row r="393" spans="1:13" x14ac:dyDescent="0.25">
      <c r="A393" s="4">
        <v>2</v>
      </c>
      <c r="B393" s="9" t="s">
        <v>82</v>
      </c>
      <c r="C393" s="26"/>
      <c r="D393" s="18">
        <f>SUM(E393:H393)</f>
        <v>708</v>
      </c>
      <c r="E393" s="55">
        <v>357</v>
      </c>
      <c r="F393" s="17">
        <v>9</v>
      </c>
      <c r="G393" s="55">
        <v>341</v>
      </c>
      <c r="H393" s="17">
        <v>1</v>
      </c>
      <c r="I393" s="22">
        <f>SUM(J393:M393)</f>
        <v>315</v>
      </c>
      <c r="J393" s="57">
        <v>44</v>
      </c>
      <c r="K393" s="16"/>
      <c r="L393" s="55">
        <v>271</v>
      </c>
      <c r="M393" s="75"/>
    </row>
    <row r="394" spans="1:13" x14ac:dyDescent="0.25">
      <c r="A394" s="5" t="s">
        <v>83</v>
      </c>
      <c r="B394" s="9"/>
      <c r="C394" s="26"/>
      <c r="D394" s="18"/>
      <c r="E394" s="55"/>
      <c r="F394" s="17"/>
      <c r="G394" s="55"/>
      <c r="H394" s="17"/>
      <c r="I394" s="22"/>
      <c r="J394" s="57"/>
      <c r="K394" s="16"/>
      <c r="L394" s="55"/>
      <c r="M394" s="75"/>
    </row>
    <row r="395" spans="1:13" x14ac:dyDescent="0.25">
      <c r="A395" s="4">
        <v>1</v>
      </c>
      <c r="B395" s="9" t="s">
        <v>84</v>
      </c>
      <c r="C395" s="26"/>
      <c r="D395" s="18">
        <f t="shared" ref="D395:D401" si="33">SUM(E395:H395)</f>
        <v>237094</v>
      </c>
      <c r="E395" s="55">
        <v>23944</v>
      </c>
      <c r="F395" s="17">
        <v>11</v>
      </c>
      <c r="G395" s="55">
        <v>213139</v>
      </c>
      <c r="H395" s="17"/>
      <c r="I395" s="22">
        <f t="shared" ref="I395:I401" si="34">SUM(J395:M395)</f>
        <v>26187</v>
      </c>
      <c r="J395" s="57">
        <v>3236</v>
      </c>
      <c r="K395" s="16">
        <v>1</v>
      </c>
      <c r="L395" s="55">
        <v>22950</v>
      </c>
      <c r="M395" s="75"/>
    </row>
    <row r="396" spans="1:13" x14ac:dyDescent="0.25">
      <c r="A396" s="4">
        <v>2</v>
      </c>
      <c r="B396" s="9" t="s">
        <v>85</v>
      </c>
      <c r="C396" s="26"/>
      <c r="D396" s="18">
        <f t="shared" si="33"/>
        <v>1598</v>
      </c>
      <c r="E396" s="55">
        <v>1392</v>
      </c>
      <c r="F396" s="17">
        <v>1</v>
      </c>
      <c r="G396" s="55">
        <v>205</v>
      </c>
      <c r="H396" s="17"/>
      <c r="I396" s="22">
        <f t="shared" si="34"/>
        <v>308</v>
      </c>
      <c r="J396" s="57">
        <v>91</v>
      </c>
      <c r="K396" s="16"/>
      <c r="L396" s="55">
        <v>217</v>
      </c>
      <c r="M396" s="75"/>
    </row>
    <row r="397" spans="1:13" x14ac:dyDescent="0.25">
      <c r="A397" s="4">
        <v>3</v>
      </c>
      <c r="B397" s="9" t="s">
        <v>86</v>
      </c>
      <c r="C397" s="26"/>
      <c r="D397" s="18">
        <f t="shared" si="33"/>
        <v>3124</v>
      </c>
      <c r="E397" s="55">
        <v>567</v>
      </c>
      <c r="F397" s="17">
        <v>2</v>
      </c>
      <c r="G397" s="55">
        <v>2555</v>
      </c>
      <c r="H397" s="17"/>
      <c r="I397" s="22">
        <f t="shared" si="34"/>
        <v>1616</v>
      </c>
      <c r="J397" s="57">
        <v>194</v>
      </c>
      <c r="K397" s="16">
        <v>2</v>
      </c>
      <c r="L397" s="55">
        <v>1420</v>
      </c>
      <c r="M397" s="75"/>
    </row>
    <row r="398" spans="1:13" x14ac:dyDescent="0.25">
      <c r="A398" s="4">
        <v>4</v>
      </c>
      <c r="B398" s="9" t="s">
        <v>87</v>
      </c>
      <c r="C398" s="26"/>
      <c r="D398" s="18">
        <f t="shared" si="33"/>
        <v>1</v>
      </c>
      <c r="E398" s="55">
        <v>1</v>
      </c>
      <c r="F398" s="17"/>
      <c r="G398" s="55"/>
      <c r="H398" s="17"/>
      <c r="I398" s="22">
        <f t="shared" si="34"/>
        <v>19</v>
      </c>
      <c r="J398" s="57">
        <v>13</v>
      </c>
      <c r="K398" s="16"/>
      <c r="L398" s="55">
        <v>5</v>
      </c>
      <c r="M398" s="75">
        <v>1</v>
      </c>
    </row>
    <row r="399" spans="1:13" x14ac:dyDescent="0.25">
      <c r="A399" s="4">
        <v>5</v>
      </c>
      <c r="B399" s="9" t="s">
        <v>88</v>
      </c>
      <c r="C399" s="26"/>
      <c r="D399" s="18">
        <f t="shared" si="33"/>
        <v>47</v>
      </c>
      <c r="E399" s="55">
        <v>30</v>
      </c>
      <c r="F399" s="17">
        <v>2</v>
      </c>
      <c r="G399" s="55">
        <v>15</v>
      </c>
      <c r="H399" s="17"/>
      <c r="I399" s="22">
        <f t="shared" si="34"/>
        <v>21</v>
      </c>
      <c r="J399" s="57">
        <v>21</v>
      </c>
      <c r="K399" s="16"/>
      <c r="L399" s="55"/>
      <c r="M399" s="75"/>
    </row>
    <row r="400" spans="1:13" x14ac:dyDescent="0.25">
      <c r="A400" s="4">
        <v>6</v>
      </c>
      <c r="B400" s="9" t="s">
        <v>89</v>
      </c>
      <c r="C400" s="26"/>
      <c r="D400" s="18">
        <f t="shared" si="33"/>
        <v>247</v>
      </c>
      <c r="E400" s="55">
        <v>227</v>
      </c>
      <c r="F400" s="17">
        <v>3</v>
      </c>
      <c r="G400" s="55">
        <v>17</v>
      </c>
      <c r="H400" s="17"/>
      <c r="I400" s="22">
        <f t="shared" si="34"/>
        <v>2</v>
      </c>
      <c r="J400" s="57">
        <v>2</v>
      </c>
      <c r="K400" s="16"/>
      <c r="L400" s="55"/>
      <c r="M400" s="75"/>
    </row>
    <row r="401" spans="1:13" x14ac:dyDescent="0.25">
      <c r="A401" s="4">
        <v>7</v>
      </c>
      <c r="B401" s="9" t="s">
        <v>90</v>
      </c>
      <c r="C401" s="26"/>
      <c r="D401" s="18">
        <f t="shared" si="33"/>
        <v>4085</v>
      </c>
      <c r="E401" s="55">
        <v>3415</v>
      </c>
      <c r="F401" s="17">
        <v>11</v>
      </c>
      <c r="G401" s="55">
        <v>659</v>
      </c>
      <c r="H401" s="17"/>
      <c r="I401" s="22">
        <f t="shared" si="34"/>
        <v>511</v>
      </c>
      <c r="J401" s="57">
        <v>474</v>
      </c>
      <c r="K401" s="16"/>
      <c r="L401" s="55">
        <v>37</v>
      </c>
      <c r="M401" s="75"/>
    </row>
    <row r="402" spans="1:13" x14ac:dyDescent="0.25">
      <c r="A402" s="7" t="s">
        <v>91</v>
      </c>
      <c r="B402" s="9"/>
      <c r="C402" s="26"/>
      <c r="D402" s="18"/>
      <c r="E402" s="55"/>
      <c r="F402" s="17"/>
      <c r="G402" s="55"/>
      <c r="H402" s="17"/>
      <c r="I402" s="22"/>
      <c r="J402" s="57"/>
      <c r="K402" s="16"/>
      <c r="L402" s="55"/>
      <c r="M402" s="75"/>
    </row>
    <row r="403" spans="1:13" x14ac:dyDescent="0.25">
      <c r="A403" s="8">
        <v>1</v>
      </c>
      <c r="B403" s="9" t="s">
        <v>92</v>
      </c>
      <c r="C403" s="26"/>
      <c r="D403" s="18">
        <f>SUM(E403:H403)</f>
        <v>16232</v>
      </c>
      <c r="E403" s="55">
        <v>3978</v>
      </c>
      <c r="F403" s="17">
        <v>5</v>
      </c>
      <c r="G403" s="55">
        <v>12249</v>
      </c>
      <c r="H403" s="17"/>
      <c r="I403" s="22">
        <f>SUM(J403:M403)</f>
        <v>6417</v>
      </c>
      <c r="J403" s="57">
        <v>778</v>
      </c>
      <c r="K403" s="16"/>
      <c r="L403" s="55">
        <v>5637</v>
      </c>
      <c r="M403" s="75">
        <v>2</v>
      </c>
    </row>
    <row r="404" spans="1:13" x14ac:dyDescent="0.25">
      <c r="A404" s="6" t="s">
        <v>93</v>
      </c>
      <c r="B404" s="9"/>
      <c r="C404" s="26"/>
      <c r="D404" s="18"/>
      <c r="E404" s="55"/>
      <c r="F404" s="17"/>
      <c r="G404" s="55"/>
      <c r="H404" s="17"/>
      <c r="I404" s="22"/>
      <c r="J404" s="57"/>
      <c r="K404" s="16"/>
      <c r="L404" s="55"/>
      <c r="M404" s="75"/>
    </row>
    <row r="405" spans="1:13" x14ac:dyDescent="0.25">
      <c r="A405" s="7" t="s">
        <v>94</v>
      </c>
      <c r="B405" s="9"/>
      <c r="C405" s="26"/>
      <c r="D405" s="18"/>
      <c r="E405" s="55"/>
      <c r="F405" s="17"/>
      <c r="G405" s="55"/>
      <c r="H405" s="17"/>
      <c r="I405" s="22"/>
      <c r="J405" s="57"/>
      <c r="K405" s="16"/>
      <c r="L405" s="55"/>
      <c r="M405" s="75"/>
    </row>
    <row r="406" spans="1:13" x14ac:dyDescent="0.25">
      <c r="A406" s="4">
        <v>1</v>
      </c>
      <c r="B406" s="9" t="s">
        <v>95</v>
      </c>
      <c r="C406" s="26"/>
      <c r="D406" s="18">
        <f>SUM(E406:H406)</f>
        <v>644</v>
      </c>
      <c r="E406" s="55">
        <v>417</v>
      </c>
      <c r="F406" s="17">
        <v>215</v>
      </c>
      <c r="G406" s="55">
        <v>12</v>
      </c>
      <c r="H406" s="17"/>
      <c r="I406" s="22">
        <f>SUM(J406:M406)</f>
        <v>102</v>
      </c>
      <c r="J406" s="57">
        <v>45</v>
      </c>
      <c r="K406" s="16">
        <v>51</v>
      </c>
      <c r="L406" s="55">
        <v>6</v>
      </c>
      <c r="M406" s="75"/>
    </row>
    <row r="407" spans="1:13" x14ac:dyDescent="0.25">
      <c r="A407" s="4">
        <v>2</v>
      </c>
      <c r="B407" s="9" t="s">
        <v>96</v>
      </c>
      <c r="C407" s="26"/>
      <c r="D407" s="18">
        <f>SUM(E407:H407)</f>
        <v>1249</v>
      </c>
      <c r="E407" s="55">
        <v>233</v>
      </c>
      <c r="F407" s="17">
        <v>737</v>
      </c>
      <c r="G407" s="55">
        <v>47</v>
      </c>
      <c r="H407" s="17">
        <v>232</v>
      </c>
      <c r="I407" s="22">
        <f>SUM(J407:M407)</f>
        <v>1162</v>
      </c>
      <c r="J407" s="57">
        <v>78</v>
      </c>
      <c r="K407" s="16">
        <v>579</v>
      </c>
      <c r="L407" s="55">
        <v>56</v>
      </c>
      <c r="M407" s="75">
        <v>449</v>
      </c>
    </row>
    <row r="408" spans="1:13" x14ac:dyDescent="0.25">
      <c r="A408" s="4">
        <v>3</v>
      </c>
      <c r="B408" s="9" t="s">
        <v>97</v>
      </c>
      <c r="C408" s="26"/>
      <c r="D408" s="18">
        <f>SUM(E408:H408)</f>
        <v>272</v>
      </c>
      <c r="E408" s="55">
        <v>147</v>
      </c>
      <c r="F408" s="17">
        <v>85</v>
      </c>
      <c r="G408" s="55">
        <v>25</v>
      </c>
      <c r="H408" s="17">
        <v>15</v>
      </c>
      <c r="I408" s="22">
        <f>SUM(J408:M408)</f>
        <v>786</v>
      </c>
      <c r="J408" s="57">
        <v>134</v>
      </c>
      <c r="K408" s="16">
        <v>103</v>
      </c>
      <c r="L408" s="55">
        <v>305</v>
      </c>
      <c r="M408" s="75">
        <v>244</v>
      </c>
    </row>
    <row r="409" spans="1:13" x14ac:dyDescent="0.25">
      <c r="A409" s="6" t="s">
        <v>98</v>
      </c>
      <c r="B409" s="9"/>
      <c r="C409" s="26"/>
      <c r="D409" s="18"/>
      <c r="E409" s="55"/>
      <c r="F409" s="17"/>
      <c r="G409" s="55"/>
      <c r="H409" s="17"/>
      <c r="I409" s="22"/>
      <c r="J409" s="57"/>
      <c r="K409" s="16"/>
      <c r="L409" s="55"/>
      <c r="M409" s="75"/>
    </row>
    <row r="410" spans="1:13" x14ac:dyDescent="0.25">
      <c r="A410" s="5" t="s">
        <v>99</v>
      </c>
      <c r="B410" s="9"/>
      <c r="C410" s="26"/>
      <c r="D410" s="18"/>
      <c r="E410" s="55"/>
      <c r="F410" s="17"/>
      <c r="G410" s="55"/>
      <c r="H410" s="17"/>
      <c r="I410" s="22"/>
      <c r="J410" s="57"/>
      <c r="K410" s="16"/>
      <c r="L410" s="55"/>
      <c r="M410" s="75"/>
    </row>
    <row r="411" spans="1:13" x14ac:dyDescent="0.25">
      <c r="A411" s="4">
        <v>1</v>
      </c>
      <c r="B411" s="9" t="s">
        <v>100</v>
      </c>
      <c r="C411" s="26"/>
      <c r="D411" s="18">
        <f>SUM(E411:H411)</f>
        <v>102807</v>
      </c>
      <c r="E411" s="55">
        <v>40595</v>
      </c>
      <c r="F411" s="17">
        <v>40417</v>
      </c>
      <c r="G411" s="55">
        <v>10670</v>
      </c>
      <c r="H411" s="17">
        <v>11125</v>
      </c>
      <c r="I411" s="22">
        <f>SUM(J411:M411)</f>
        <v>475098</v>
      </c>
      <c r="J411" s="57">
        <v>37572</v>
      </c>
      <c r="K411" s="16">
        <v>35102</v>
      </c>
      <c r="L411" s="55">
        <v>196818</v>
      </c>
      <c r="M411" s="75">
        <v>205606</v>
      </c>
    </row>
    <row r="412" spans="1:13" x14ac:dyDescent="0.25">
      <c r="A412" s="5" t="s">
        <v>101</v>
      </c>
      <c r="B412" s="9"/>
      <c r="C412" s="26"/>
      <c r="D412" s="18"/>
      <c r="E412" s="55"/>
      <c r="F412" s="17"/>
      <c r="G412" s="55"/>
      <c r="H412" s="17"/>
      <c r="I412" s="22"/>
      <c r="J412" s="57"/>
      <c r="K412" s="16"/>
      <c r="L412" s="55"/>
      <c r="M412" s="75"/>
    </row>
    <row r="413" spans="1:13" x14ac:dyDescent="0.25">
      <c r="A413" s="4">
        <v>1</v>
      </c>
      <c r="B413" s="9" t="s">
        <v>102</v>
      </c>
      <c r="C413" s="26"/>
      <c r="D413" s="18">
        <f>SUM(E413:H413)</f>
        <v>2140</v>
      </c>
      <c r="E413" s="55">
        <v>311</v>
      </c>
      <c r="F413" s="17">
        <v>210</v>
      </c>
      <c r="G413" s="55">
        <v>1328</v>
      </c>
      <c r="H413" s="17">
        <v>291</v>
      </c>
      <c r="I413" s="22">
        <f>SUM(J413:M413)</f>
        <v>234</v>
      </c>
      <c r="J413" s="57">
        <v>22</v>
      </c>
      <c r="K413" s="16">
        <v>22</v>
      </c>
      <c r="L413" s="55">
        <v>130</v>
      </c>
      <c r="M413" s="75">
        <v>60</v>
      </c>
    </row>
    <row r="414" spans="1:13" x14ac:dyDescent="0.25">
      <c r="A414" s="4">
        <v>2</v>
      </c>
      <c r="B414" s="9" t="s">
        <v>103</v>
      </c>
      <c r="C414" s="26"/>
      <c r="D414" s="18">
        <f>SUM(E414:H414)</f>
        <v>5025</v>
      </c>
      <c r="E414" s="55">
        <v>841</v>
      </c>
      <c r="F414" s="17">
        <v>32</v>
      </c>
      <c r="G414" s="55">
        <v>3871</v>
      </c>
      <c r="H414" s="17">
        <v>281</v>
      </c>
      <c r="I414" s="22">
        <f>SUM(J414:M414)</f>
        <v>704</v>
      </c>
      <c r="J414" s="57">
        <v>64</v>
      </c>
      <c r="K414" s="16"/>
      <c r="L414" s="55">
        <v>630</v>
      </c>
      <c r="M414" s="75">
        <v>10</v>
      </c>
    </row>
    <row r="415" spans="1:13" x14ac:dyDescent="0.25">
      <c r="A415" s="6" t="s">
        <v>104</v>
      </c>
      <c r="B415" s="9"/>
      <c r="C415" s="26"/>
      <c r="D415" s="18"/>
      <c r="E415" s="55"/>
      <c r="F415" s="17"/>
      <c r="G415" s="55"/>
      <c r="H415" s="17"/>
      <c r="I415" s="22"/>
      <c r="J415" s="57"/>
      <c r="K415" s="16"/>
      <c r="L415" s="55"/>
      <c r="M415" s="75"/>
    </row>
    <row r="416" spans="1:13" x14ac:dyDescent="0.25">
      <c r="A416" s="5" t="s">
        <v>105</v>
      </c>
      <c r="B416" s="9"/>
      <c r="C416" s="26"/>
      <c r="D416" s="18"/>
      <c r="E416" s="55"/>
      <c r="F416" s="17"/>
      <c r="G416" s="55"/>
      <c r="H416" s="17"/>
      <c r="I416" s="22"/>
      <c r="J416" s="57"/>
      <c r="K416" s="16"/>
      <c r="L416" s="55"/>
      <c r="M416" s="75"/>
    </row>
    <row r="417" spans="1:13" x14ac:dyDescent="0.25">
      <c r="A417" s="4">
        <v>1</v>
      </c>
      <c r="B417" s="9" t="s">
        <v>106</v>
      </c>
      <c r="C417" s="26"/>
      <c r="D417" s="18">
        <f>SUM(E417:H417)</f>
        <v>1244</v>
      </c>
      <c r="E417" s="55">
        <v>512</v>
      </c>
      <c r="F417" s="17">
        <v>224</v>
      </c>
      <c r="G417" s="55">
        <v>354</v>
      </c>
      <c r="H417" s="17">
        <v>154</v>
      </c>
      <c r="I417" s="22">
        <f>SUM(J417:M417)</f>
        <v>2252</v>
      </c>
      <c r="J417" s="57">
        <v>471</v>
      </c>
      <c r="K417" s="16">
        <v>280</v>
      </c>
      <c r="L417" s="55">
        <v>777</v>
      </c>
      <c r="M417" s="75">
        <v>724</v>
      </c>
    </row>
    <row r="418" spans="1:13" ht="15.75" thickBot="1" x14ac:dyDescent="0.3">
      <c r="A418" s="4"/>
      <c r="B418" s="9"/>
      <c r="C418" s="26"/>
      <c r="D418" s="18"/>
      <c r="E418" s="55"/>
      <c r="F418" s="17"/>
      <c r="G418" s="55"/>
      <c r="H418" s="17"/>
      <c r="I418" s="126"/>
      <c r="J418" s="57"/>
      <c r="K418" s="16"/>
      <c r="L418" s="55"/>
      <c r="M418" s="75"/>
    </row>
    <row r="419" spans="1:13" ht="15.75" thickTop="1" x14ac:dyDescent="0.25">
      <c r="A419" s="79"/>
      <c r="B419" s="80"/>
      <c r="C419" s="81"/>
      <c r="D419" s="15"/>
      <c r="E419" s="82"/>
      <c r="F419" s="14"/>
      <c r="G419" s="82"/>
      <c r="H419" s="14"/>
      <c r="I419" s="108"/>
      <c r="J419" s="15"/>
      <c r="K419" s="13"/>
      <c r="L419" s="82"/>
      <c r="M419" s="109"/>
    </row>
    <row r="420" spans="1:13" x14ac:dyDescent="0.25">
      <c r="A420" s="86" t="s">
        <v>122</v>
      </c>
      <c r="B420" s="9"/>
      <c r="C420" s="54"/>
      <c r="D420" s="130">
        <f t="shared" ref="D420:M420" si="35">SUM(D326:D417)</f>
        <v>599508</v>
      </c>
      <c r="E420" s="12">
        <f t="shared" si="35"/>
        <v>144684</v>
      </c>
      <c r="F420" s="11">
        <f t="shared" si="35"/>
        <v>106784</v>
      </c>
      <c r="G420" s="12">
        <f t="shared" si="35"/>
        <v>312166</v>
      </c>
      <c r="H420" s="131">
        <f t="shared" si="35"/>
        <v>35874</v>
      </c>
      <c r="I420" s="12">
        <f t="shared" si="35"/>
        <v>1085526</v>
      </c>
      <c r="J420" s="12">
        <f t="shared" si="35"/>
        <v>91656</v>
      </c>
      <c r="K420" s="11">
        <f t="shared" si="35"/>
        <v>76750</v>
      </c>
      <c r="L420" s="12">
        <f t="shared" si="35"/>
        <v>422021</v>
      </c>
      <c r="M420" s="112">
        <f t="shared" si="35"/>
        <v>495099</v>
      </c>
    </row>
    <row r="421" spans="1:13" ht="15.75" thickBot="1" x14ac:dyDescent="0.3">
      <c r="A421" s="89"/>
      <c r="B421" s="90"/>
      <c r="C421" s="91"/>
      <c r="D421" s="113"/>
      <c r="E421" s="114"/>
      <c r="F421" s="10"/>
      <c r="G421" s="115"/>
      <c r="H421" s="116"/>
      <c r="I421" s="117"/>
      <c r="J421" s="118"/>
      <c r="K421" s="119"/>
      <c r="L421" s="115"/>
      <c r="M421" s="120"/>
    </row>
    <row r="422" spans="1:13" ht="15.75" thickTop="1" x14ac:dyDescent="0.25"/>
    <row r="424" spans="1:13" ht="15.75" thickBot="1" x14ac:dyDescent="0.3"/>
    <row r="425" spans="1:13" ht="16.5" thickTop="1" x14ac:dyDescent="0.25">
      <c r="A425" s="27"/>
      <c r="B425" s="28"/>
      <c r="C425" s="245" t="s">
        <v>0</v>
      </c>
      <c r="D425" s="245" t="s">
        <v>1</v>
      </c>
      <c r="E425" s="248" t="s">
        <v>2</v>
      </c>
      <c r="F425" s="249"/>
      <c r="G425" s="249"/>
      <c r="H425" s="249"/>
      <c r="I425" s="245" t="s">
        <v>1</v>
      </c>
      <c r="J425" s="248" t="s">
        <v>3</v>
      </c>
      <c r="K425" s="249"/>
      <c r="L425" s="249"/>
      <c r="M425" s="250"/>
    </row>
    <row r="426" spans="1:13" ht="15.75" x14ac:dyDescent="0.25">
      <c r="A426" s="29" t="s">
        <v>123</v>
      </c>
      <c r="B426" s="30"/>
      <c r="C426" s="246"/>
      <c r="D426" s="246"/>
      <c r="E426" s="251" t="s">
        <v>5</v>
      </c>
      <c r="F426" s="252"/>
      <c r="G426" s="251" t="s">
        <v>6</v>
      </c>
      <c r="H426" s="253"/>
      <c r="I426" s="246"/>
      <c r="J426" s="251" t="s">
        <v>5</v>
      </c>
      <c r="K426" s="252"/>
      <c r="L426" s="251" t="s">
        <v>6</v>
      </c>
      <c r="M426" s="254"/>
    </row>
    <row r="427" spans="1:13" ht="15.75" x14ac:dyDescent="0.25">
      <c r="A427" s="31"/>
      <c r="B427" s="30"/>
      <c r="C427" s="246"/>
      <c r="D427" s="246"/>
      <c r="E427" s="241" t="s">
        <v>7</v>
      </c>
      <c r="F427" s="239" t="s">
        <v>8</v>
      </c>
      <c r="G427" s="241" t="s">
        <v>7</v>
      </c>
      <c r="H427" s="255" t="s">
        <v>8</v>
      </c>
      <c r="I427" s="246"/>
      <c r="J427" s="241" t="s">
        <v>7</v>
      </c>
      <c r="K427" s="239" t="s">
        <v>8</v>
      </c>
      <c r="L427" s="241" t="s">
        <v>7</v>
      </c>
      <c r="M427" s="243" t="s">
        <v>8</v>
      </c>
    </row>
    <row r="428" spans="1:13" x14ac:dyDescent="0.25">
      <c r="A428" s="32"/>
      <c r="B428" s="26"/>
      <c r="C428" s="247"/>
      <c r="D428" s="247"/>
      <c r="E428" s="242"/>
      <c r="F428" s="240"/>
      <c r="G428" s="242"/>
      <c r="H428" s="256"/>
      <c r="I428" s="247"/>
      <c r="J428" s="242"/>
      <c r="K428" s="240"/>
      <c r="L428" s="242"/>
      <c r="M428" s="244"/>
    </row>
    <row r="429" spans="1:13" ht="16.5" thickBot="1" x14ac:dyDescent="0.3">
      <c r="A429" s="33" t="s">
        <v>9</v>
      </c>
      <c r="B429" s="34"/>
      <c r="C429" s="35"/>
      <c r="D429" s="36"/>
      <c r="E429" s="37"/>
      <c r="F429" s="38"/>
      <c r="G429" s="39"/>
      <c r="H429" s="40"/>
      <c r="I429" s="122"/>
      <c r="J429" s="39"/>
      <c r="K429" s="42"/>
      <c r="L429" s="39"/>
      <c r="M429" s="43"/>
    </row>
    <row r="430" spans="1:13" x14ac:dyDescent="0.25">
      <c r="A430" s="44" t="s">
        <v>10</v>
      </c>
      <c r="B430" s="45"/>
      <c r="C430" s="46"/>
      <c r="D430" s="47"/>
      <c r="E430" s="48"/>
      <c r="F430" s="49"/>
      <c r="G430" s="50"/>
      <c r="H430" s="51"/>
      <c r="I430" s="123"/>
      <c r="J430" s="50"/>
      <c r="K430" s="52"/>
      <c r="L430" s="50"/>
      <c r="M430" s="53"/>
    </row>
    <row r="431" spans="1:13" x14ac:dyDescent="0.25">
      <c r="A431" s="5" t="s">
        <v>12</v>
      </c>
      <c r="B431" s="9"/>
      <c r="C431" s="124" t="s">
        <v>124</v>
      </c>
      <c r="D431" s="18"/>
      <c r="E431" s="55"/>
      <c r="F431" s="56"/>
      <c r="G431" s="57"/>
      <c r="H431" s="58"/>
      <c r="I431" s="125"/>
      <c r="J431" s="57"/>
      <c r="K431" s="60"/>
      <c r="L431" s="57"/>
      <c r="M431" s="61"/>
    </row>
    <row r="432" spans="1:13" x14ac:dyDescent="0.25">
      <c r="A432" s="4">
        <v>1</v>
      </c>
      <c r="B432" s="62" t="s">
        <v>13</v>
      </c>
      <c r="C432" s="63"/>
      <c r="D432" s="18">
        <f>SUM(E432:H432)</f>
        <v>806</v>
      </c>
      <c r="E432" s="64">
        <v>562</v>
      </c>
      <c r="F432" s="65">
        <v>11</v>
      </c>
      <c r="G432" s="66">
        <v>233</v>
      </c>
      <c r="H432" s="67"/>
      <c r="I432" s="22">
        <f>SUM(J432:M432)</f>
        <v>303</v>
      </c>
      <c r="J432" s="66">
        <v>225</v>
      </c>
      <c r="K432" s="68"/>
      <c r="L432" s="66">
        <v>78</v>
      </c>
      <c r="M432" s="69"/>
    </row>
    <row r="433" spans="1:13" x14ac:dyDescent="0.25">
      <c r="A433" s="4">
        <v>2</v>
      </c>
      <c r="B433" s="9" t="s">
        <v>14</v>
      </c>
      <c r="C433" s="54"/>
      <c r="D433" s="18">
        <f>SUM(E433:H433)</f>
        <v>154</v>
      </c>
      <c r="E433" s="70">
        <v>148</v>
      </c>
      <c r="F433" s="56"/>
      <c r="G433" s="18">
        <v>6</v>
      </c>
      <c r="H433" s="58"/>
      <c r="I433" s="22">
        <f>SUM(J433:M433)</f>
        <v>2</v>
      </c>
      <c r="J433" s="18">
        <v>2</v>
      </c>
      <c r="K433" s="60"/>
      <c r="L433" s="18"/>
      <c r="M433" s="61"/>
    </row>
    <row r="434" spans="1:13" x14ac:dyDescent="0.25">
      <c r="A434" s="4">
        <v>3</v>
      </c>
      <c r="B434" s="9" t="s">
        <v>15</v>
      </c>
      <c r="C434" s="54"/>
      <c r="D434" s="18">
        <f>SUM(E434:H434)</f>
        <v>4051</v>
      </c>
      <c r="E434" s="70">
        <v>4049</v>
      </c>
      <c r="F434" s="17"/>
      <c r="G434" s="18">
        <v>2</v>
      </c>
      <c r="H434" s="71"/>
      <c r="I434" s="22">
        <f>SUM(J434:M434)</f>
        <v>12</v>
      </c>
      <c r="J434" s="18">
        <v>12</v>
      </c>
      <c r="K434" s="16"/>
      <c r="L434" s="18"/>
      <c r="M434" s="72"/>
    </row>
    <row r="435" spans="1:13" x14ac:dyDescent="0.25">
      <c r="A435" s="4">
        <v>4</v>
      </c>
      <c r="B435" s="9" t="s">
        <v>16</v>
      </c>
      <c r="C435" s="54"/>
      <c r="D435" s="18">
        <f>SUM(E435:H435)</f>
        <v>0</v>
      </c>
      <c r="E435" s="70"/>
      <c r="F435" s="17"/>
      <c r="G435" s="18"/>
      <c r="H435" s="71"/>
      <c r="I435" s="22">
        <f>SUM(J435:M435)</f>
        <v>0</v>
      </c>
      <c r="J435" s="18"/>
      <c r="K435" s="16"/>
      <c r="L435" s="18"/>
      <c r="M435" s="72"/>
    </row>
    <row r="436" spans="1:13" x14ac:dyDescent="0.25">
      <c r="A436" s="7" t="s">
        <v>17</v>
      </c>
      <c r="B436" s="9"/>
      <c r="C436" s="54"/>
      <c r="D436" s="18"/>
      <c r="E436" s="70"/>
      <c r="F436" s="17"/>
      <c r="G436" s="18"/>
      <c r="H436" s="71"/>
      <c r="I436" s="22"/>
      <c r="J436" s="18"/>
      <c r="K436" s="16"/>
      <c r="L436" s="18"/>
      <c r="M436" s="72"/>
    </row>
    <row r="437" spans="1:13" x14ac:dyDescent="0.25">
      <c r="A437" s="8">
        <v>1</v>
      </c>
      <c r="B437" s="9" t="s">
        <v>18</v>
      </c>
      <c r="C437" s="54"/>
      <c r="D437" s="18">
        <f t="shared" ref="D437:D446" si="36">SUM(E437:H437)</f>
        <v>331</v>
      </c>
      <c r="E437" s="70">
        <v>183</v>
      </c>
      <c r="F437" s="17">
        <v>37</v>
      </c>
      <c r="G437" s="18">
        <v>111</v>
      </c>
      <c r="H437" s="71"/>
      <c r="I437" s="22">
        <f t="shared" ref="I437:I446" si="37">SUM(J437:M437)</f>
        <v>105</v>
      </c>
      <c r="J437" s="18">
        <v>20</v>
      </c>
      <c r="K437" s="16">
        <v>1</v>
      </c>
      <c r="L437" s="18">
        <v>84</v>
      </c>
      <c r="M437" s="72"/>
    </row>
    <row r="438" spans="1:13" x14ac:dyDescent="0.25">
      <c r="A438" s="4">
        <v>2</v>
      </c>
      <c r="B438" s="9" t="s">
        <v>19</v>
      </c>
      <c r="C438" s="54"/>
      <c r="D438" s="18">
        <f t="shared" si="36"/>
        <v>385</v>
      </c>
      <c r="E438" s="70">
        <v>362</v>
      </c>
      <c r="F438" s="17">
        <v>2</v>
      </c>
      <c r="G438" s="18">
        <v>21</v>
      </c>
      <c r="H438" s="71"/>
      <c r="I438" s="22">
        <f t="shared" si="37"/>
        <v>26</v>
      </c>
      <c r="J438" s="18">
        <v>25</v>
      </c>
      <c r="K438" s="16"/>
      <c r="L438" s="18">
        <v>1</v>
      </c>
      <c r="M438" s="72"/>
    </row>
    <row r="439" spans="1:13" x14ac:dyDescent="0.25">
      <c r="A439" s="4">
        <v>3</v>
      </c>
      <c r="B439" s="9" t="s">
        <v>20</v>
      </c>
      <c r="C439" s="54"/>
      <c r="D439" s="18">
        <f t="shared" si="36"/>
        <v>391</v>
      </c>
      <c r="E439" s="70">
        <v>208</v>
      </c>
      <c r="F439" s="17">
        <v>149</v>
      </c>
      <c r="G439" s="18">
        <v>26</v>
      </c>
      <c r="H439" s="71">
        <v>8</v>
      </c>
      <c r="I439" s="22">
        <f t="shared" si="37"/>
        <v>74</v>
      </c>
      <c r="J439" s="18">
        <v>30</v>
      </c>
      <c r="K439" s="16">
        <v>28</v>
      </c>
      <c r="L439" s="18">
        <v>8</v>
      </c>
      <c r="M439" s="72">
        <v>8</v>
      </c>
    </row>
    <row r="440" spans="1:13" x14ac:dyDescent="0.25">
      <c r="A440" s="4">
        <v>4</v>
      </c>
      <c r="B440" s="9" t="s">
        <v>21</v>
      </c>
      <c r="C440" s="54"/>
      <c r="D440" s="18">
        <f t="shared" si="36"/>
        <v>34</v>
      </c>
      <c r="E440" s="70">
        <v>24</v>
      </c>
      <c r="F440" s="17">
        <v>10</v>
      </c>
      <c r="G440" s="18"/>
      <c r="H440" s="71"/>
      <c r="I440" s="22">
        <f t="shared" si="37"/>
        <v>1</v>
      </c>
      <c r="J440" s="18">
        <v>1</v>
      </c>
      <c r="K440" s="16"/>
      <c r="L440" s="18"/>
      <c r="M440" s="72"/>
    </row>
    <row r="441" spans="1:13" x14ac:dyDescent="0.25">
      <c r="A441" s="4">
        <v>5</v>
      </c>
      <c r="B441" s="9" t="s">
        <v>22</v>
      </c>
      <c r="C441" s="54"/>
      <c r="D441" s="18">
        <f t="shared" si="36"/>
        <v>7</v>
      </c>
      <c r="E441" s="70">
        <v>7</v>
      </c>
      <c r="F441" s="17"/>
      <c r="G441" s="18"/>
      <c r="H441" s="71"/>
      <c r="I441" s="22">
        <f t="shared" si="37"/>
        <v>0</v>
      </c>
      <c r="J441" s="18"/>
      <c r="K441" s="16"/>
      <c r="L441" s="18"/>
      <c r="M441" s="72"/>
    </row>
    <row r="442" spans="1:13" x14ac:dyDescent="0.25">
      <c r="A442" s="4">
        <v>6</v>
      </c>
      <c r="B442" s="9" t="s">
        <v>23</v>
      </c>
      <c r="C442" s="54"/>
      <c r="D442" s="18">
        <f t="shared" si="36"/>
        <v>45</v>
      </c>
      <c r="E442" s="70">
        <v>45</v>
      </c>
      <c r="F442" s="17"/>
      <c r="G442" s="18"/>
      <c r="H442" s="71"/>
      <c r="I442" s="22">
        <f t="shared" si="37"/>
        <v>19</v>
      </c>
      <c r="J442" s="18">
        <v>19</v>
      </c>
      <c r="K442" s="16"/>
      <c r="L442" s="18"/>
      <c r="M442" s="72"/>
    </row>
    <row r="443" spans="1:13" x14ac:dyDescent="0.25">
      <c r="A443" s="4">
        <v>7</v>
      </c>
      <c r="B443" s="9" t="s">
        <v>24</v>
      </c>
      <c r="C443" s="54"/>
      <c r="D443" s="18">
        <f t="shared" si="36"/>
        <v>765</v>
      </c>
      <c r="E443" s="70">
        <v>231</v>
      </c>
      <c r="F443" s="17">
        <v>429</v>
      </c>
      <c r="G443" s="18">
        <v>77</v>
      </c>
      <c r="H443" s="71">
        <v>28</v>
      </c>
      <c r="I443" s="22">
        <f t="shared" si="37"/>
        <v>1178</v>
      </c>
      <c r="J443" s="18">
        <v>397</v>
      </c>
      <c r="K443" s="16">
        <v>641</v>
      </c>
      <c r="L443" s="18">
        <v>96</v>
      </c>
      <c r="M443" s="72">
        <v>44</v>
      </c>
    </row>
    <row r="444" spans="1:13" x14ac:dyDescent="0.25">
      <c r="A444" s="4">
        <v>8</v>
      </c>
      <c r="B444" s="9" t="s">
        <v>25</v>
      </c>
      <c r="C444" s="54"/>
      <c r="D444" s="18">
        <f t="shared" si="36"/>
        <v>64</v>
      </c>
      <c r="E444" s="70">
        <v>54</v>
      </c>
      <c r="F444" s="17">
        <v>8</v>
      </c>
      <c r="G444" s="18">
        <v>1</v>
      </c>
      <c r="H444" s="71">
        <v>1</v>
      </c>
      <c r="I444" s="22">
        <f t="shared" si="37"/>
        <v>17</v>
      </c>
      <c r="J444" s="18">
        <v>16</v>
      </c>
      <c r="K444" s="16"/>
      <c r="L444" s="18">
        <v>1</v>
      </c>
      <c r="M444" s="72"/>
    </row>
    <row r="445" spans="1:13" x14ac:dyDescent="0.25">
      <c r="A445" s="4">
        <v>9</v>
      </c>
      <c r="B445" s="9" t="s">
        <v>26</v>
      </c>
      <c r="C445" s="54"/>
      <c r="D445" s="18">
        <f t="shared" si="36"/>
        <v>94</v>
      </c>
      <c r="E445" s="70">
        <v>17</v>
      </c>
      <c r="F445" s="17">
        <v>70</v>
      </c>
      <c r="G445" s="18">
        <v>7</v>
      </c>
      <c r="H445" s="71"/>
      <c r="I445" s="22">
        <f t="shared" si="37"/>
        <v>6</v>
      </c>
      <c r="J445" s="18">
        <v>2</v>
      </c>
      <c r="K445" s="16">
        <v>4</v>
      </c>
      <c r="L445" s="18"/>
      <c r="M445" s="72"/>
    </row>
    <row r="446" spans="1:13" x14ac:dyDescent="0.25">
      <c r="A446" s="4">
        <v>10</v>
      </c>
      <c r="B446" s="9" t="s">
        <v>27</v>
      </c>
      <c r="C446" s="54"/>
      <c r="D446" s="18">
        <f t="shared" si="36"/>
        <v>47</v>
      </c>
      <c r="E446" s="70">
        <v>40</v>
      </c>
      <c r="F446" s="17">
        <v>7</v>
      </c>
      <c r="G446" s="18"/>
      <c r="H446" s="71"/>
      <c r="I446" s="22">
        <f t="shared" si="37"/>
        <v>1</v>
      </c>
      <c r="J446" s="18">
        <v>1</v>
      </c>
      <c r="K446" s="16"/>
      <c r="L446" s="18"/>
      <c r="M446" s="72"/>
    </row>
    <row r="447" spans="1:13" x14ac:dyDescent="0.25">
      <c r="A447" s="6" t="s">
        <v>28</v>
      </c>
      <c r="B447" s="9"/>
      <c r="C447" s="54"/>
      <c r="D447" s="18"/>
      <c r="E447" s="70"/>
      <c r="F447" s="17"/>
      <c r="G447" s="18"/>
      <c r="H447" s="71"/>
      <c r="I447" s="22"/>
      <c r="J447" s="18"/>
      <c r="K447" s="16"/>
      <c r="L447" s="18"/>
      <c r="M447" s="72"/>
    </row>
    <row r="448" spans="1:13" x14ac:dyDescent="0.25">
      <c r="A448" s="5" t="s">
        <v>29</v>
      </c>
      <c r="B448" s="9"/>
      <c r="C448" s="54"/>
      <c r="D448" s="18"/>
      <c r="E448" s="70"/>
      <c r="F448" s="17"/>
      <c r="G448" s="18"/>
      <c r="H448" s="71"/>
      <c r="I448" s="22"/>
      <c r="J448" s="18"/>
      <c r="K448" s="16"/>
      <c r="L448" s="18"/>
      <c r="M448" s="72"/>
    </row>
    <row r="449" spans="1:13" x14ac:dyDescent="0.25">
      <c r="A449" s="4">
        <v>1</v>
      </c>
      <c r="B449" s="73" t="s">
        <v>30</v>
      </c>
      <c r="C449" s="54"/>
      <c r="D449" s="18">
        <f>SUM(E449:H449)</f>
        <v>14186</v>
      </c>
      <c r="E449" s="70">
        <v>1</v>
      </c>
      <c r="F449" s="17">
        <v>11076</v>
      </c>
      <c r="G449" s="18"/>
      <c r="H449" s="71">
        <v>3109</v>
      </c>
      <c r="I449" s="22">
        <f>SUM(J449:M449)</f>
        <v>38181</v>
      </c>
      <c r="J449" s="18">
        <v>6</v>
      </c>
      <c r="K449" s="16">
        <v>23525</v>
      </c>
      <c r="L449" s="18">
        <v>2</v>
      </c>
      <c r="M449" s="72">
        <v>14648</v>
      </c>
    </row>
    <row r="450" spans="1:13" x14ac:dyDescent="0.25">
      <c r="A450" s="5" t="s">
        <v>31</v>
      </c>
      <c r="B450" s="9"/>
      <c r="C450" s="54"/>
      <c r="D450" s="18"/>
      <c r="E450" s="70"/>
      <c r="F450" s="17"/>
      <c r="G450" s="18"/>
      <c r="H450" s="71"/>
      <c r="I450" s="22"/>
      <c r="J450" s="18"/>
      <c r="K450" s="16"/>
      <c r="L450" s="18"/>
      <c r="M450" s="72"/>
    </row>
    <row r="451" spans="1:13" x14ac:dyDescent="0.25">
      <c r="A451" s="4">
        <v>1</v>
      </c>
      <c r="B451" s="9" t="s">
        <v>32</v>
      </c>
      <c r="C451" s="54"/>
      <c r="D451" s="18">
        <f>SUM(E451:H451)</f>
        <v>287</v>
      </c>
      <c r="E451" s="70">
        <v>175</v>
      </c>
      <c r="F451" s="17">
        <v>109</v>
      </c>
      <c r="G451" s="18">
        <v>2</v>
      </c>
      <c r="H451" s="71">
        <v>1</v>
      </c>
      <c r="I451" s="22">
        <f>SUM(J451:M451)</f>
        <v>21</v>
      </c>
      <c r="J451" s="18">
        <v>11</v>
      </c>
      <c r="K451" s="16">
        <v>9</v>
      </c>
      <c r="L451" s="18">
        <v>1</v>
      </c>
      <c r="M451" s="72"/>
    </row>
    <row r="452" spans="1:13" x14ac:dyDescent="0.25">
      <c r="A452" s="4">
        <v>2</v>
      </c>
      <c r="B452" s="9" t="s">
        <v>33</v>
      </c>
      <c r="C452" s="54"/>
      <c r="D452" s="18">
        <f>SUM(E452:H452)</f>
        <v>11415</v>
      </c>
      <c r="E452" s="55">
        <v>288</v>
      </c>
      <c r="F452" s="17">
        <v>515</v>
      </c>
      <c r="G452" s="57">
        <v>5496</v>
      </c>
      <c r="H452" s="71">
        <v>5116</v>
      </c>
      <c r="I452" s="22">
        <f>SUM(J452:M452)</f>
        <v>38299</v>
      </c>
      <c r="J452" s="57">
        <v>284</v>
      </c>
      <c r="K452" s="16">
        <v>425</v>
      </c>
      <c r="L452" s="57">
        <v>15478</v>
      </c>
      <c r="M452" s="72">
        <v>22112</v>
      </c>
    </row>
    <row r="453" spans="1:13" x14ac:dyDescent="0.25">
      <c r="A453" s="6" t="s">
        <v>34</v>
      </c>
      <c r="B453" s="9"/>
      <c r="C453" s="54"/>
      <c r="D453" s="18"/>
      <c r="E453" s="55"/>
      <c r="F453" s="17"/>
      <c r="G453" s="57"/>
      <c r="H453" s="71"/>
      <c r="I453" s="22"/>
      <c r="J453" s="57"/>
      <c r="K453" s="16"/>
      <c r="L453" s="57"/>
      <c r="M453" s="72"/>
    </row>
    <row r="454" spans="1:13" x14ac:dyDescent="0.25">
      <c r="A454" s="74" t="s">
        <v>35</v>
      </c>
      <c r="B454" s="9"/>
      <c r="C454" s="26"/>
      <c r="D454" s="18"/>
      <c r="E454" s="55"/>
      <c r="F454" s="17"/>
      <c r="G454" s="55"/>
      <c r="H454" s="17"/>
      <c r="I454" s="22"/>
      <c r="J454" s="57"/>
      <c r="K454" s="16"/>
      <c r="L454" s="55"/>
      <c r="M454" s="75"/>
    </row>
    <row r="455" spans="1:13" x14ac:dyDescent="0.25">
      <c r="A455" s="8">
        <v>1</v>
      </c>
      <c r="B455" s="9" t="s">
        <v>36</v>
      </c>
      <c r="C455" s="26"/>
      <c r="D455" s="18">
        <f>SUM(E455:H455)</f>
        <v>3743</v>
      </c>
      <c r="E455" s="55">
        <v>2977</v>
      </c>
      <c r="F455" s="17">
        <v>330</v>
      </c>
      <c r="G455" s="55">
        <v>436</v>
      </c>
      <c r="H455" s="17"/>
      <c r="I455" s="22">
        <f>SUM(J455:M455)</f>
        <v>1080</v>
      </c>
      <c r="J455" s="57">
        <v>906</v>
      </c>
      <c r="K455" s="16">
        <v>28</v>
      </c>
      <c r="L455" s="55">
        <v>146</v>
      </c>
      <c r="M455" s="75"/>
    </row>
    <row r="456" spans="1:13" x14ac:dyDescent="0.25">
      <c r="A456" s="7" t="s">
        <v>37</v>
      </c>
      <c r="B456" s="9"/>
      <c r="C456" s="26"/>
      <c r="D456" s="18"/>
      <c r="E456" s="55"/>
      <c r="F456" s="17"/>
      <c r="G456" s="55"/>
      <c r="H456" s="17"/>
      <c r="I456" s="22"/>
      <c r="J456" s="57"/>
      <c r="K456" s="16"/>
      <c r="L456" s="55"/>
      <c r="M456" s="75"/>
    </row>
    <row r="457" spans="1:13" x14ac:dyDescent="0.25">
      <c r="A457" s="8">
        <v>1</v>
      </c>
      <c r="B457" s="9" t="s">
        <v>38</v>
      </c>
      <c r="C457" s="26"/>
      <c r="D457" s="18">
        <f t="shared" ref="D457:D462" si="38">SUM(E457:H457)</f>
        <v>622</v>
      </c>
      <c r="E457" s="55">
        <v>583</v>
      </c>
      <c r="F457" s="17">
        <v>2</v>
      </c>
      <c r="G457" s="55">
        <v>36</v>
      </c>
      <c r="H457" s="17">
        <v>1</v>
      </c>
      <c r="I457" s="22">
        <f t="shared" ref="I457:I462" si="39">SUM(J457:M457)</f>
        <v>217</v>
      </c>
      <c r="J457" s="57">
        <v>186</v>
      </c>
      <c r="K457" s="16"/>
      <c r="L457" s="55">
        <v>31</v>
      </c>
      <c r="M457" s="75"/>
    </row>
    <row r="458" spans="1:13" x14ac:dyDescent="0.25">
      <c r="A458" s="4">
        <v>2</v>
      </c>
      <c r="B458" s="9" t="s">
        <v>39</v>
      </c>
      <c r="C458" s="26"/>
      <c r="D458" s="18">
        <f t="shared" si="38"/>
        <v>849</v>
      </c>
      <c r="E458" s="55">
        <v>480</v>
      </c>
      <c r="F458" s="17">
        <v>2</v>
      </c>
      <c r="G458" s="55">
        <v>367</v>
      </c>
      <c r="H458" s="17"/>
      <c r="I458" s="22">
        <f t="shared" si="39"/>
        <v>465</v>
      </c>
      <c r="J458" s="57">
        <v>163</v>
      </c>
      <c r="K458" s="16"/>
      <c r="L458" s="55">
        <v>302</v>
      </c>
      <c r="M458" s="75"/>
    </row>
    <row r="459" spans="1:13" x14ac:dyDescent="0.25">
      <c r="A459" s="4">
        <v>3</v>
      </c>
      <c r="B459" s="9" t="s">
        <v>40</v>
      </c>
      <c r="C459" s="26"/>
      <c r="D459" s="18">
        <f t="shared" si="38"/>
        <v>3</v>
      </c>
      <c r="E459" s="55">
        <v>3</v>
      </c>
      <c r="F459" s="17"/>
      <c r="G459" s="55"/>
      <c r="H459" s="17"/>
      <c r="I459" s="22">
        <f t="shared" si="39"/>
        <v>3</v>
      </c>
      <c r="J459" s="57">
        <v>2</v>
      </c>
      <c r="K459" s="16"/>
      <c r="L459" s="55">
        <v>1</v>
      </c>
      <c r="M459" s="75"/>
    </row>
    <row r="460" spans="1:13" x14ac:dyDescent="0.25">
      <c r="A460" s="4">
        <v>4</v>
      </c>
      <c r="B460" s="9" t="s">
        <v>41</v>
      </c>
      <c r="C460" s="26"/>
      <c r="D460" s="18">
        <f t="shared" si="38"/>
        <v>0</v>
      </c>
      <c r="E460" s="55"/>
      <c r="F460" s="17"/>
      <c r="G460" s="55"/>
      <c r="H460" s="17"/>
      <c r="I460" s="22">
        <f t="shared" si="39"/>
        <v>0</v>
      </c>
      <c r="J460" s="57"/>
      <c r="K460" s="16"/>
      <c r="L460" s="55"/>
      <c r="M460" s="75"/>
    </row>
    <row r="461" spans="1:13" x14ac:dyDescent="0.25">
      <c r="A461" s="4">
        <v>5</v>
      </c>
      <c r="B461" s="9" t="s">
        <v>42</v>
      </c>
      <c r="C461" s="26"/>
      <c r="D461" s="18">
        <f t="shared" si="38"/>
        <v>325</v>
      </c>
      <c r="E461" s="55">
        <v>263</v>
      </c>
      <c r="F461" s="17">
        <v>14</v>
      </c>
      <c r="G461" s="55">
        <v>48</v>
      </c>
      <c r="H461" s="17"/>
      <c r="I461" s="22">
        <f t="shared" si="39"/>
        <v>38</v>
      </c>
      <c r="J461" s="57">
        <v>26</v>
      </c>
      <c r="K461" s="16">
        <v>2</v>
      </c>
      <c r="L461" s="55">
        <v>10</v>
      </c>
      <c r="M461" s="75"/>
    </row>
    <row r="462" spans="1:13" x14ac:dyDescent="0.25">
      <c r="A462" s="4">
        <v>6</v>
      </c>
      <c r="B462" s="9" t="s">
        <v>43</v>
      </c>
      <c r="C462" s="26"/>
      <c r="D462" s="18">
        <f t="shared" si="38"/>
        <v>74</v>
      </c>
      <c r="E462" s="55">
        <v>16</v>
      </c>
      <c r="F462" s="17">
        <v>1</v>
      </c>
      <c r="G462" s="55">
        <v>57</v>
      </c>
      <c r="H462" s="17"/>
      <c r="I462" s="22">
        <f t="shared" si="39"/>
        <v>10</v>
      </c>
      <c r="J462" s="57">
        <v>2</v>
      </c>
      <c r="K462" s="16"/>
      <c r="L462" s="55">
        <v>8</v>
      </c>
      <c r="M462" s="75"/>
    </row>
    <row r="463" spans="1:13" x14ac:dyDescent="0.25">
      <c r="A463" s="76" t="s">
        <v>44</v>
      </c>
      <c r="B463" s="9"/>
      <c r="C463" s="26"/>
      <c r="D463" s="18"/>
      <c r="E463" s="55"/>
      <c r="F463" s="17"/>
      <c r="G463" s="55"/>
      <c r="H463" s="17"/>
      <c r="I463" s="22"/>
      <c r="J463" s="57"/>
      <c r="K463" s="16"/>
      <c r="L463" s="55"/>
      <c r="M463" s="75"/>
    </row>
    <row r="464" spans="1:13" x14ac:dyDescent="0.25">
      <c r="A464" s="78" t="s">
        <v>46</v>
      </c>
      <c r="B464" s="9"/>
      <c r="C464" s="77" t="s">
        <v>125</v>
      </c>
      <c r="D464" s="18"/>
      <c r="E464" s="55"/>
      <c r="F464" s="17"/>
      <c r="G464" s="55"/>
      <c r="H464" s="17"/>
      <c r="I464" s="22"/>
      <c r="J464" s="57"/>
      <c r="K464" s="16"/>
      <c r="L464" s="55"/>
      <c r="M464" s="75"/>
    </row>
    <row r="465" spans="1:13" x14ac:dyDescent="0.25">
      <c r="A465" s="4">
        <v>1</v>
      </c>
      <c r="B465" s="9" t="s">
        <v>47</v>
      </c>
      <c r="C465" s="26"/>
      <c r="D465" s="18">
        <f>SUM(E465:H465)</f>
        <v>11845</v>
      </c>
      <c r="E465" s="55">
        <v>1982</v>
      </c>
      <c r="F465" s="17">
        <v>171</v>
      </c>
      <c r="G465" s="55">
        <v>4458</v>
      </c>
      <c r="H465" s="17">
        <v>5234</v>
      </c>
      <c r="I465" s="22">
        <f>SUM(J465:M465)</f>
        <v>149388</v>
      </c>
      <c r="J465" s="57">
        <v>32009</v>
      </c>
      <c r="K465" s="16">
        <v>5098</v>
      </c>
      <c r="L465" s="55">
        <v>64751</v>
      </c>
      <c r="M465" s="75">
        <v>47530</v>
      </c>
    </row>
    <row r="466" spans="1:13" x14ac:dyDescent="0.25">
      <c r="A466" s="4">
        <v>2</v>
      </c>
      <c r="B466" s="9" t="s">
        <v>48</v>
      </c>
      <c r="C466" s="26"/>
      <c r="D466" s="18">
        <f>SUM(E466:H466)</f>
        <v>14</v>
      </c>
      <c r="E466" s="55">
        <v>14</v>
      </c>
      <c r="F466" s="17"/>
      <c r="G466" s="55"/>
      <c r="H466" s="17"/>
      <c r="I466" s="22">
        <f>SUM(J466:M466)</f>
        <v>9</v>
      </c>
      <c r="J466" s="57">
        <v>9</v>
      </c>
      <c r="K466" s="16"/>
      <c r="L466" s="55"/>
      <c r="M466" s="75"/>
    </row>
    <row r="467" spans="1:13" x14ac:dyDescent="0.25">
      <c r="A467" s="4">
        <v>3</v>
      </c>
      <c r="B467" s="9" t="s">
        <v>49</v>
      </c>
      <c r="C467" s="26"/>
      <c r="D467" s="18">
        <f>SUM(E467:H467)</f>
        <v>0</v>
      </c>
      <c r="E467" s="55"/>
      <c r="F467" s="17"/>
      <c r="G467" s="55"/>
      <c r="H467" s="17"/>
      <c r="I467" s="22">
        <f>SUM(J467:M467)</f>
        <v>3</v>
      </c>
      <c r="J467" s="57">
        <v>1</v>
      </c>
      <c r="K467" s="16"/>
      <c r="L467" s="55">
        <v>2</v>
      </c>
      <c r="M467" s="75"/>
    </row>
    <row r="468" spans="1:13" x14ac:dyDescent="0.25">
      <c r="A468" s="4">
        <v>4</v>
      </c>
      <c r="B468" s="9" t="s">
        <v>50</v>
      </c>
      <c r="C468" s="26"/>
      <c r="D468" s="18">
        <f>SUM(E468:H468)</f>
        <v>126</v>
      </c>
      <c r="E468" s="55">
        <v>73</v>
      </c>
      <c r="F468" s="17"/>
      <c r="G468" s="55">
        <v>53</v>
      </c>
      <c r="H468" s="17"/>
      <c r="I468" s="22">
        <f>SUM(J468:M468)</f>
        <v>62</v>
      </c>
      <c r="J468" s="57">
        <v>28</v>
      </c>
      <c r="K468" s="16"/>
      <c r="L468" s="55">
        <v>34</v>
      </c>
      <c r="M468" s="75"/>
    </row>
    <row r="469" spans="1:13" x14ac:dyDescent="0.25">
      <c r="A469" s="76" t="s">
        <v>51</v>
      </c>
      <c r="B469" s="9"/>
      <c r="C469" s="26"/>
      <c r="D469" s="18"/>
      <c r="E469" s="55"/>
      <c r="F469" s="17"/>
      <c r="G469" s="55"/>
      <c r="H469" s="17"/>
      <c r="I469" s="22"/>
      <c r="J469" s="57"/>
      <c r="K469" s="16"/>
      <c r="L469" s="55"/>
      <c r="M469" s="75"/>
    </row>
    <row r="470" spans="1:13" x14ac:dyDescent="0.25">
      <c r="A470" s="78" t="s">
        <v>52</v>
      </c>
      <c r="B470" s="9"/>
      <c r="C470" s="26"/>
      <c r="D470" s="18"/>
      <c r="E470" s="55"/>
      <c r="F470" s="17"/>
      <c r="G470" s="55"/>
      <c r="H470" s="17"/>
      <c r="I470" s="22"/>
      <c r="J470" s="57"/>
      <c r="K470" s="16"/>
      <c r="L470" s="55"/>
      <c r="M470" s="75"/>
    </row>
    <row r="471" spans="1:13" x14ac:dyDescent="0.25">
      <c r="A471" s="4">
        <v>1</v>
      </c>
      <c r="B471" s="9" t="s">
        <v>53</v>
      </c>
      <c r="C471" s="26"/>
      <c r="D471" s="18">
        <f t="shared" ref="D471:D483" si="40">SUM(E471:H471)</f>
        <v>178</v>
      </c>
      <c r="E471" s="55">
        <v>154</v>
      </c>
      <c r="F471" s="17">
        <v>21</v>
      </c>
      <c r="G471" s="55">
        <v>3</v>
      </c>
      <c r="H471" s="17"/>
      <c r="I471" s="22">
        <f t="shared" ref="I471:I483" si="41">SUM(J471:M471)</f>
        <v>9</v>
      </c>
      <c r="J471" s="57">
        <v>3</v>
      </c>
      <c r="K471" s="16"/>
      <c r="L471" s="55">
        <v>6</v>
      </c>
      <c r="M471" s="75"/>
    </row>
    <row r="472" spans="1:13" x14ac:dyDescent="0.25">
      <c r="A472" s="4">
        <v>2</v>
      </c>
      <c r="B472" s="9" t="s">
        <v>54</v>
      </c>
      <c r="C472" s="26"/>
      <c r="D472" s="18">
        <f t="shared" si="40"/>
        <v>11</v>
      </c>
      <c r="E472" s="55">
        <v>11</v>
      </c>
      <c r="F472" s="17"/>
      <c r="G472" s="55"/>
      <c r="H472" s="17"/>
      <c r="I472" s="22">
        <f t="shared" si="41"/>
        <v>2</v>
      </c>
      <c r="J472" s="57">
        <v>1</v>
      </c>
      <c r="K472" s="16"/>
      <c r="L472" s="55">
        <v>1</v>
      </c>
      <c r="M472" s="75"/>
    </row>
    <row r="473" spans="1:13" x14ac:dyDescent="0.25">
      <c r="A473" s="4">
        <v>3</v>
      </c>
      <c r="B473" s="9" t="s">
        <v>55</v>
      </c>
      <c r="C473" s="26"/>
      <c r="D473" s="18">
        <f t="shared" si="40"/>
        <v>1</v>
      </c>
      <c r="E473" s="55">
        <v>1</v>
      </c>
      <c r="F473" s="17"/>
      <c r="G473" s="55"/>
      <c r="H473" s="17"/>
      <c r="I473" s="22">
        <f t="shared" si="41"/>
        <v>0</v>
      </c>
      <c r="J473" s="57"/>
      <c r="K473" s="16"/>
      <c r="L473" s="55"/>
      <c r="M473" s="75"/>
    </row>
    <row r="474" spans="1:13" x14ac:dyDescent="0.25">
      <c r="A474" s="4">
        <v>4</v>
      </c>
      <c r="B474" s="9" t="s">
        <v>56</v>
      </c>
      <c r="C474" s="26"/>
      <c r="D474" s="18">
        <f t="shared" si="40"/>
        <v>0</v>
      </c>
      <c r="E474" s="55"/>
      <c r="F474" s="17"/>
      <c r="G474" s="55"/>
      <c r="H474" s="17"/>
      <c r="I474" s="22">
        <f t="shared" si="41"/>
        <v>0</v>
      </c>
      <c r="J474" s="57"/>
      <c r="K474" s="16"/>
      <c r="L474" s="55"/>
      <c r="M474" s="75"/>
    </row>
    <row r="475" spans="1:13" x14ac:dyDescent="0.25">
      <c r="A475" s="4">
        <v>5</v>
      </c>
      <c r="B475" s="9" t="s">
        <v>57</v>
      </c>
      <c r="C475" s="26"/>
      <c r="D475" s="18">
        <f t="shared" si="40"/>
        <v>2</v>
      </c>
      <c r="E475" s="55">
        <v>2</v>
      </c>
      <c r="F475" s="17"/>
      <c r="G475" s="55"/>
      <c r="H475" s="17"/>
      <c r="I475" s="22">
        <f t="shared" si="41"/>
        <v>0</v>
      </c>
      <c r="J475" s="57"/>
      <c r="K475" s="16"/>
      <c r="L475" s="55"/>
      <c r="M475" s="75"/>
    </row>
    <row r="476" spans="1:13" x14ac:dyDescent="0.25">
      <c r="A476" s="4">
        <v>6</v>
      </c>
      <c r="B476" s="9" t="s">
        <v>58</v>
      </c>
      <c r="C476" s="26"/>
      <c r="D476" s="18">
        <f t="shared" si="40"/>
        <v>49</v>
      </c>
      <c r="E476" s="55">
        <v>49</v>
      </c>
      <c r="F476" s="17"/>
      <c r="G476" s="55"/>
      <c r="H476" s="17"/>
      <c r="I476" s="22">
        <f t="shared" si="41"/>
        <v>1</v>
      </c>
      <c r="J476" s="57">
        <v>1</v>
      </c>
      <c r="K476" s="16"/>
      <c r="L476" s="55"/>
      <c r="M476" s="75"/>
    </row>
    <row r="477" spans="1:13" x14ac:dyDescent="0.25">
      <c r="A477" s="4">
        <v>7</v>
      </c>
      <c r="B477" s="9" t="s">
        <v>59</v>
      </c>
      <c r="C477" s="26"/>
      <c r="D477" s="18">
        <f t="shared" si="40"/>
        <v>0</v>
      </c>
      <c r="E477" s="55"/>
      <c r="F477" s="17"/>
      <c r="G477" s="55"/>
      <c r="H477" s="17"/>
      <c r="I477" s="22">
        <f t="shared" si="41"/>
        <v>0</v>
      </c>
      <c r="J477" s="57"/>
      <c r="K477" s="16"/>
      <c r="L477" s="55"/>
      <c r="M477" s="75"/>
    </row>
    <row r="478" spans="1:13" x14ac:dyDescent="0.25">
      <c r="A478" s="4">
        <v>8</v>
      </c>
      <c r="B478" s="9" t="s">
        <v>60</v>
      </c>
      <c r="C478" s="26"/>
      <c r="D478" s="18">
        <f t="shared" si="40"/>
        <v>2</v>
      </c>
      <c r="E478" s="55">
        <v>2</v>
      </c>
      <c r="F478" s="17"/>
      <c r="G478" s="55"/>
      <c r="H478" s="17"/>
      <c r="I478" s="22">
        <f t="shared" si="41"/>
        <v>0</v>
      </c>
      <c r="J478" s="57"/>
      <c r="K478" s="16"/>
      <c r="L478" s="55"/>
      <c r="M478" s="75"/>
    </row>
    <row r="479" spans="1:13" x14ac:dyDescent="0.25">
      <c r="A479" s="4">
        <v>9</v>
      </c>
      <c r="B479" s="9" t="s">
        <v>61</v>
      </c>
      <c r="C479" s="26"/>
      <c r="D479" s="18">
        <f t="shared" si="40"/>
        <v>74</v>
      </c>
      <c r="E479" s="55">
        <v>74</v>
      </c>
      <c r="F479" s="17"/>
      <c r="G479" s="55"/>
      <c r="H479" s="17"/>
      <c r="I479" s="22">
        <f t="shared" si="41"/>
        <v>34</v>
      </c>
      <c r="J479" s="57">
        <v>33</v>
      </c>
      <c r="K479" s="16"/>
      <c r="L479" s="55">
        <v>1</v>
      </c>
      <c r="M479" s="75"/>
    </row>
    <row r="480" spans="1:13" x14ac:dyDescent="0.25">
      <c r="A480" s="4">
        <v>10</v>
      </c>
      <c r="B480" s="9" t="s">
        <v>62</v>
      </c>
      <c r="C480" s="26"/>
      <c r="D480" s="18">
        <f t="shared" si="40"/>
        <v>292</v>
      </c>
      <c r="E480" s="55">
        <v>267</v>
      </c>
      <c r="F480" s="17"/>
      <c r="G480" s="55">
        <v>25</v>
      </c>
      <c r="H480" s="17"/>
      <c r="I480" s="22">
        <f t="shared" si="41"/>
        <v>54</v>
      </c>
      <c r="J480" s="57">
        <v>49</v>
      </c>
      <c r="K480" s="16"/>
      <c r="L480" s="55">
        <v>5</v>
      </c>
      <c r="M480" s="75"/>
    </row>
    <row r="481" spans="1:13" x14ac:dyDescent="0.25">
      <c r="A481" s="4">
        <v>11</v>
      </c>
      <c r="B481" s="9" t="s">
        <v>63</v>
      </c>
      <c r="C481" s="26"/>
      <c r="D481" s="18">
        <f t="shared" si="40"/>
        <v>0</v>
      </c>
      <c r="E481" s="55"/>
      <c r="F481" s="17"/>
      <c r="G481" s="55"/>
      <c r="H481" s="17"/>
      <c r="I481" s="22">
        <f t="shared" si="41"/>
        <v>0</v>
      </c>
      <c r="J481" s="57"/>
      <c r="K481" s="16"/>
      <c r="L481" s="55"/>
      <c r="M481" s="75"/>
    </row>
    <row r="482" spans="1:13" x14ac:dyDescent="0.25">
      <c r="A482" s="4">
        <v>12</v>
      </c>
      <c r="B482" s="9" t="s">
        <v>64</v>
      </c>
      <c r="C482" s="26"/>
      <c r="D482" s="18">
        <f t="shared" si="40"/>
        <v>43</v>
      </c>
      <c r="E482" s="55">
        <v>42</v>
      </c>
      <c r="F482" s="17"/>
      <c r="G482" s="55"/>
      <c r="H482" s="17">
        <v>1</v>
      </c>
      <c r="I482" s="22">
        <f t="shared" si="41"/>
        <v>7</v>
      </c>
      <c r="J482" s="57">
        <v>7</v>
      </c>
      <c r="K482" s="16"/>
      <c r="L482" s="55"/>
      <c r="M482" s="75"/>
    </row>
    <row r="483" spans="1:13" x14ac:dyDescent="0.25">
      <c r="A483" s="4">
        <v>13</v>
      </c>
      <c r="B483" s="9" t="s">
        <v>65</v>
      </c>
      <c r="C483" s="26"/>
      <c r="D483" s="18">
        <f t="shared" si="40"/>
        <v>3</v>
      </c>
      <c r="E483" s="55">
        <v>3</v>
      </c>
      <c r="F483" s="17"/>
      <c r="G483" s="55"/>
      <c r="H483" s="17"/>
      <c r="I483" s="22">
        <f t="shared" si="41"/>
        <v>0</v>
      </c>
      <c r="J483" s="57"/>
      <c r="K483" s="16"/>
      <c r="L483" s="55"/>
      <c r="M483" s="75"/>
    </row>
    <row r="484" spans="1:13" x14ac:dyDescent="0.25">
      <c r="A484" s="5" t="s">
        <v>66</v>
      </c>
      <c r="B484" s="9"/>
      <c r="C484" s="26"/>
      <c r="D484" s="18"/>
      <c r="E484" s="55"/>
      <c r="F484" s="17"/>
      <c r="G484" s="55"/>
      <c r="H484" s="17"/>
      <c r="I484" s="22"/>
      <c r="J484" s="57"/>
      <c r="K484" s="16"/>
      <c r="L484" s="55"/>
      <c r="M484" s="75"/>
    </row>
    <row r="485" spans="1:13" x14ac:dyDescent="0.25">
      <c r="A485" s="4">
        <v>1</v>
      </c>
      <c r="B485" s="9" t="s">
        <v>67</v>
      </c>
      <c r="C485" s="26"/>
      <c r="D485" s="18">
        <f>SUM(E485:H485)</f>
        <v>1057</v>
      </c>
      <c r="E485" s="55">
        <v>322</v>
      </c>
      <c r="F485" s="17"/>
      <c r="G485" s="55">
        <v>735</v>
      </c>
      <c r="H485" s="17"/>
      <c r="I485" s="22">
        <f>SUM(J485:M485)</f>
        <v>1468</v>
      </c>
      <c r="J485" s="57">
        <v>649</v>
      </c>
      <c r="K485" s="16"/>
      <c r="L485" s="55">
        <v>819</v>
      </c>
      <c r="M485" s="75"/>
    </row>
    <row r="486" spans="1:13" x14ac:dyDescent="0.25">
      <c r="A486" s="4">
        <v>2</v>
      </c>
      <c r="B486" s="9" t="s">
        <v>68</v>
      </c>
      <c r="C486" s="26"/>
      <c r="D486" s="18">
        <f>SUM(E486:H486)</f>
        <v>2202</v>
      </c>
      <c r="E486" s="55">
        <v>1856</v>
      </c>
      <c r="F486" s="17"/>
      <c r="G486" s="55">
        <v>346</v>
      </c>
      <c r="H486" s="17"/>
      <c r="I486" s="22">
        <f>SUM(J486:M486)</f>
        <v>1086</v>
      </c>
      <c r="J486" s="57">
        <v>810</v>
      </c>
      <c r="K486" s="16"/>
      <c r="L486" s="55">
        <v>276</v>
      </c>
      <c r="M486" s="75"/>
    </row>
    <row r="487" spans="1:13" x14ac:dyDescent="0.25">
      <c r="A487" s="4">
        <v>3</v>
      </c>
      <c r="B487" s="9" t="s">
        <v>69</v>
      </c>
      <c r="C487" s="26"/>
      <c r="D487" s="18">
        <f>SUM(E487:H487)</f>
        <v>52</v>
      </c>
      <c r="E487" s="55">
        <v>46</v>
      </c>
      <c r="F487" s="17"/>
      <c r="G487" s="55">
        <v>6</v>
      </c>
      <c r="H487" s="17"/>
      <c r="I487" s="22">
        <f>SUM(J487:M487)</f>
        <v>252</v>
      </c>
      <c r="J487" s="57">
        <v>183</v>
      </c>
      <c r="K487" s="16"/>
      <c r="L487" s="55">
        <v>69</v>
      </c>
      <c r="M487" s="75"/>
    </row>
    <row r="488" spans="1:13" x14ac:dyDescent="0.25">
      <c r="A488" s="4">
        <v>4</v>
      </c>
      <c r="B488" s="9" t="s">
        <v>70</v>
      </c>
      <c r="C488" s="26"/>
      <c r="D488" s="18">
        <f>SUM(E488:H488)</f>
        <v>43</v>
      </c>
      <c r="E488" s="55">
        <v>40</v>
      </c>
      <c r="F488" s="17">
        <v>1</v>
      </c>
      <c r="G488" s="55">
        <v>2</v>
      </c>
      <c r="H488" s="17"/>
      <c r="I488" s="22">
        <f>SUM(J488:M488)</f>
        <v>8</v>
      </c>
      <c r="J488" s="57">
        <v>4</v>
      </c>
      <c r="K488" s="16"/>
      <c r="L488" s="55">
        <v>4</v>
      </c>
      <c r="M488" s="75"/>
    </row>
    <row r="489" spans="1:13" x14ac:dyDescent="0.25">
      <c r="A489" s="5" t="s">
        <v>71</v>
      </c>
      <c r="B489" s="9"/>
      <c r="C489" s="26"/>
      <c r="D489" s="18"/>
      <c r="E489" s="55"/>
      <c r="F489" s="17"/>
      <c r="G489" s="55"/>
      <c r="H489" s="17"/>
      <c r="I489" s="22"/>
      <c r="J489" s="57"/>
      <c r="K489" s="16"/>
      <c r="L489" s="55"/>
      <c r="M489" s="75"/>
    </row>
    <row r="490" spans="1:13" x14ac:dyDescent="0.25">
      <c r="A490" s="4">
        <v>1</v>
      </c>
      <c r="B490" s="9" t="s">
        <v>72</v>
      </c>
      <c r="C490" s="26"/>
      <c r="D490" s="18">
        <f>SUM(E490:H490)</f>
        <v>333</v>
      </c>
      <c r="E490" s="55">
        <v>161</v>
      </c>
      <c r="F490" s="17">
        <v>166</v>
      </c>
      <c r="G490" s="55">
        <v>6</v>
      </c>
      <c r="H490" s="17"/>
      <c r="I490" s="22">
        <f>SUM(J490:M490)</f>
        <v>28</v>
      </c>
      <c r="J490" s="57">
        <v>20</v>
      </c>
      <c r="K490" s="16">
        <v>8</v>
      </c>
      <c r="L490" s="55"/>
      <c r="M490" s="75"/>
    </row>
    <row r="491" spans="1:13" x14ac:dyDescent="0.25">
      <c r="A491" s="4">
        <v>2</v>
      </c>
      <c r="B491" s="9" t="s">
        <v>73</v>
      </c>
      <c r="C491" s="26"/>
      <c r="D491" s="18">
        <f>SUM(E491:H491)</f>
        <v>839</v>
      </c>
      <c r="E491" s="55">
        <v>331</v>
      </c>
      <c r="F491" s="17">
        <v>454</v>
      </c>
      <c r="G491" s="55">
        <v>49</v>
      </c>
      <c r="H491" s="17">
        <v>5</v>
      </c>
      <c r="I491" s="22">
        <f>SUM(J491:M491)</f>
        <v>90</v>
      </c>
      <c r="J491" s="57">
        <v>27</v>
      </c>
      <c r="K491" s="16">
        <v>52</v>
      </c>
      <c r="L491" s="55">
        <v>9</v>
      </c>
      <c r="M491" s="75">
        <v>2</v>
      </c>
    </row>
    <row r="492" spans="1:13" x14ac:dyDescent="0.25">
      <c r="A492" s="4">
        <v>3</v>
      </c>
      <c r="B492" s="9" t="s">
        <v>74</v>
      </c>
      <c r="C492" s="26"/>
      <c r="D492" s="18">
        <f>SUM(E492:H492)</f>
        <v>4</v>
      </c>
      <c r="E492" s="55">
        <v>4</v>
      </c>
      <c r="F492" s="17"/>
      <c r="G492" s="55"/>
      <c r="H492" s="17"/>
      <c r="I492" s="22">
        <f>SUM(J492:M492)</f>
        <v>2</v>
      </c>
      <c r="J492" s="57">
        <v>1</v>
      </c>
      <c r="K492" s="16">
        <v>1</v>
      </c>
      <c r="L492" s="55"/>
      <c r="M492" s="75"/>
    </row>
    <row r="493" spans="1:13" x14ac:dyDescent="0.25">
      <c r="A493" s="5" t="s">
        <v>75</v>
      </c>
      <c r="B493" s="9"/>
      <c r="C493" s="77" t="s">
        <v>126</v>
      </c>
      <c r="D493" s="18"/>
      <c r="E493" s="55"/>
      <c r="F493" s="17"/>
      <c r="G493" s="55"/>
      <c r="H493" s="17"/>
      <c r="I493" s="22"/>
      <c r="J493" s="57"/>
      <c r="K493" s="16"/>
      <c r="L493" s="55"/>
      <c r="M493" s="75"/>
    </row>
    <row r="494" spans="1:13" x14ac:dyDescent="0.25">
      <c r="A494" s="4">
        <v>1</v>
      </c>
      <c r="B494" s="9" t="s">
        <v>77</v>
      </c>
      <c r="C494" s="26"/>
      <c r="D494" s="18">
        <f>SUM(E494:H494)</f>
        <v>310</v>
      </c>
      <c r="E494" s="55">
        <v>241</v>
      </c>
      <c r="F494" s="17">
        <v>8</v>
      </c>
      <c r="G494" s="55">
        <v>61</v>
      </c>
      <c r="H494" s="17"/>
      <c r="I494" s="22">
        <f>SUM(J494:M494)</f>
        <v>155</v>
      </c>
      <c r="J494" s="57">
        <v>26</v>
      </c>
      <c r="K494" s="16">
        <v>6</v>
      </c>
      <c r="L494" s="55">
        <v>120</v>
      </c>
      <c r="M494" s="75">
        <v>3</v>
      </c>
    </row>
    <row r="495" spans="1:13" x14ac:dyDescent="0.25">
      <c r="A495" s="4">
        <v>2</v>
      </c>
      <c r="B495" s="9" t="s">
        <v>78</v>
      </c>
      <c r="C495" s="26"/>
      <c r="D495" s="18">
        <f>SUM(E495:H495)</f>
        <v>340</v>
      </c>
      <c r="E495" s="55">
        <v>260</v>
      </c>
      <c r="F495" s="17">
        <v>10</v>
      </c>
      <c r="G495" s="55">
        <v>69</v>
      </c>
      <c r="H495" s="17">
        <v>1</v>
      </c>
      <c r="I495" s="22">
        <f>SUM(J495:M495)</f>
        <v>69</v>
      </c>
      <c r="J495" s="57">
        <v>42</v>
      </c>
      <c r="K495" s="16">
        <v>1</v>
      </c>
      <c r="L495" s="55">
        <v>26</v>
      </c>
      <c r="M495" s="75"/>
    </row>
    <row r="496" spans="1:13" x14ac:dyDescent="0.25">
      <c r="A496" s="4">
        <v>3</v>
      </c>
      <c r="B496" s="9" t="s">
        <v>79</v>
      </c>
      <c r="C496" s="26"/>
      <c r="D496" s="18">
        <f>SUM(E496:H496)</f>
        <v>169</v>
      </c>
      <c r="E496" s="55">
        <v>160</v>
      </c>
      <c r="F496" s="17">
        <v>3</v>
      </c>
      <c r="G496" s="55">
        <v>6</v>
      </c>
      <c r="H496" s="17"/>
      <c r="I496" s="22">
        <f>SUM(J496:M496)</f>
        <v>4</v>
      </c>
      <c r="J496" s="57">
        <v>4</v>
      </c>
      <c r="K496" s="16"/>
      <c r="L496" s="55"/>
      <c r="M496" s="75"/>
    </row>
    <row r="497" spans="1:13" x14ac:dyDescent="0.25">
      <c r="A497" s="5" t="s">
        <v>80</v>
      </c>
      <c r="B497" s="9"/>
      <c r="C497" s="26"/>
      <c r="D497" s="18"/>
      <c r="E497" s="55"/>
      <c r="F497" s="17"/>
      <c r="G497" s="55"/>
      <c r="H497" s="17"/>
      <c r="I497" s="22"/>
      <c r="J497" s="57"/>
      <c r="K497" s="16"/>
      <c r="L497" s="55"/>
      <c r="M497" s="75"/>
    </row>
    <row r="498" spans="1:13" x14ac:dyDescent="0.25">
      <c r="A498" s="4">
        <v>1</v>
      </c>
      <c r="B498" s="9" t="s">
        <v>81</v>
      </c>
      <c r="C498" s="26"/>
      <c r="D498" s="18">
        <f>SUM(E498:H498)</f>
        <v>13</v>
      </c>
      <c r="E498" s="55">
        <v>12</v>
      </c>
      <c r="F498" s="17"/>
      <c r="G498" s="55">
        <v>1</v>
      </c>
      <c r="H498" s="17"/>
      <c r="I498" s="22">
        <f>SUM(J498:M498)</f>
        <v>5</v>
      </c>
      <c r="J498" s="57">
        <v>2</v>
      </c>
      <c r="K498" s="16"/>
      <c r="L498" s="55">
        <v>3</v>
      </c>
      <c r="M498" s="75"/>
    </row>
    <row r="499" spans="1:13" x14ac:dyDescent="0.25">
      <c r="A499" s="4">
        <v>2</v>
      </c>
      <c r="B499" s="9" t="s">
        <v>82</v>
      </c>
      <c r="C499" s="26"/>
      <c r="D499" s="18">
        <f>SUM(E499:H499)</f>
        <v>28</v>
      </c>
      <c r="E499" s="55">
        <v>27</v>
      </c>
      <c r="F499" s="17">
        <v>1</v>
      </c>
      <c r="G499" s="55"/>
      <c r="H499" s="17"/>
      <c r="I499" s="22">
        <f>SUM(J499:M499)</f>
        <v>8</v>
      </c>
      <c r="J499" s="57">
        <v>3</v>
      </c>
      <c r="K499" s="16"/>
      <c r="L499" s="55">
        <v>5</v>
      </c>
      <c r="M499" s="75"/>
    </row>
    <row r="500" spans="1:13" x14ac:dyDescent="0.25">
      <c r="A500" s="5" t="s">
        <v>83</v>
      </c>
      <c r="B500" s="9"/>
      <c r="C500" s="26"/>
      <c r="D500" s="18"/>
      <c r="E500" s="55"/>
      <c r="F500" s="17"/>
      <c r="G500" s="55"/>
      <c r="H500" s="17"/>
      <c r="I500" s="22"/>
      <c r="J500" s="57"/>
      <c r="K500" s="16"/>
      <c r="L500" s="55"/>
      <c r="M500" s="75"/>
    </row>
    <row r="501" spans="1:13" x14ac:dyDescent="0.25">
      <c r="A501" s="4">
        <v>1</v>
      </c>
      <c r="B501" s="9" t="s">
        <v>84</v>
      </c>
      <c r="C501" s="26"/>
      <c r="D501" s="18">
        <f t="shared" ref="D501:D507" si="42">SUM(E501:H501)</f>
        <v>7585</v>
      </c>
      <c r="E501" s="55">
        <v>652</v>
      </c>
      <c r="F501" s="17">
        <v>2</v>
      </c>
      <c r="G501" s="55">
        <v>6931</v>
      </c>
      <c r="H501" s="17"/>
      <c r="I501" s="22">
        <f t="shared" ref="I501:I507" si="43">SUM(J501:M501)</f>
        <v>5322</v>
      </c>
      <c r="J501" s="57">
        <v>442</v>
      </c>
      <c r="K501" s="16"/>
      <c r="L501" s="55">
        <v>4880</v>
      </c>
      <c r="M501" s="75"/>
    </row>
    <row r="502" spans="1:13" x14ac:dyDescent="0.25">
      <c r="A502" s="4">
        <v>2</v>
      </c>
      <c r="B502" s="9" t="s">
        <v>85</v>
      </c>
      <c r="C502" s="26"/>
      <c r="D502" s="18">
        <f t="shared" si="42"/>
        <v>68</v>
      </c>
      <c r="E502" s="55">
        <v>68</v>
      </c>
      <c r="F502" s="17"/>
      <c r="G502" s="55"/>
      <c r="H502" s="17"/>
      <c r="I502" s="22">
        <f t="shared" si="43"/>
        <v>17</v>
      </c>
      <c r="J502" s="57">
        <v>17</v>
      </c>
      <c r="K502" s="16"/>
      <c r="L502" s="55"/>
      <c r="M502" s="75"/>
    </row>
    <row r="503" spans="1:13" x14ac:dyDescent="0.25">
      <c r="A503" s="4">
        <v>3</v>
      </c>
      <c r="B503" s="9" t="s">
        <v>86</v>
      </c>
      <c r="C503" s="26"/>
      <c r="D503" s="18">
        <f t="shared" si="42"/>
        <v>502</v>
      </c>
      <c r="E503" s="55">
        <v>279</v>
      </c>
      <c r="F503" s="17"/>
      <c r="G503" s="55">
        <v>223</v>
      </c>
      <c r="H503" s="17"/>
      <c r="I503" s="22">
        <f t="shared" si="43"/>
        <v>526</v>
      </c>
      <c r="J503" s="57">
        <v>79</v>
      </c>
      <c r="K503" s="16"/>
      <c r="L503" s="55">
        <v>447</v>
      </c>
      <c r="M503" s="75"/>
    </row>
    <row r="504" spans="1:13" x14ac:dyDescent="0.25">
      <c r="A504" s="4">
        <v>4</v>
      </c>
      <c r="B504" s="9" t="s">
        <v>87</v>
      </c>
      <c r="C504" s="26"/>
      <c r="D504" s="18">
        <f t="shared" si="42"/>
        <v>1</v>
      </c>
      <c r="E504" s="55">
        <v>1</v>
      </c>
      <c r="F504" s="17"/>
      <c r="G504" s="55"/>
      <c r="H504" s="17"/>
      <c r="I504" s="22">
        <f t="shared" si="43"/>
        <v>116</v>
      </c>
      <c r="J504" s="57">
        <v>86</v>
      </c>
      <c r="K504" s="16"/>
      <c r="L504" s="107">
        <v>30</v>
      </c>
      <c r="M504" s="75"/>
    </row>
    <row r="505" spans="1:13" x14ac:dyDescent="0.25">
      <c r="A505" s="4">
        <v>5</v>
      </c>
      <c r="B505" s="9" t="s">
        <v>88</v>
      </c>
      <c r="C505" s="26"/>
      <c r="D505" s="18">
        <f t="shared" si="42"/>
        <v>6</v>
      </c>
      <c r="E505" s="55">
        <v>6</v>
      </c>
      <c r="F505" s="17"/>
      <c r="G505" s="55"/>
      <c r="H505" s="17"/>
      <c r="I505" s="22">
        <f t="shared" si="43"/>
        <v>3</v>
      </c>
      <c r="J505" s="57">
        <v>3</v>
      </c>
      <c r="K505" s="16"/>
      <c r="L505" s="55"/>
      <c r="M505" s="75"/>
    </row>
    <row r="506" spans="1:13" x14ac:dyDescent="0.25">
      <c r="A506" s="4">
        <v>6</v>
      </c>
      <c r="B506" s="9" t="s">
        <v>89</v>
      </c>
      <c r="C506" s="26"/>
      <c r="D506" s="18">
        <f t="shared" si="42"/>
        <v>19</v>
      </c>
      <c r="E506" s="55">
        <v>18</v>
      </c>
      <c r="F506" s="17">
        <v>1</v>
      </c>
      <c r="G506" s="55"/>
      <c r="H506" s="17"/>
      <c r="I506" s="22">
        <f t="shared" si="43"/>
        <v>0</v>
      </c>
      <c r="J506" s="57"/>
      <c r="K506" s="16"/>
      <c r="L506" s="55"/>
      <c r="M506" s="75"/>
    </row>
    <row r="507" spans="1:13" x14ac:dyDescent="0.25">
      <c r="A507" s="4">
        <v>7</v>
      </c>
      <c r="B507" s="9" t="s">
        <v>90</v>
      </c>
      <c r="C507" s="26"/>
      <c r="D507" s="18">
        <f t="shared" si="42"/>
        <v>538</v>
      </c>
      <c r="E507" s="55">
        <v>487</v>
      </c>
      <c r="F507" s="17"/>
      <c r="G507" s="55">
        <v>51</v>
      </c>
      <c r="H507" s="17"/>
      <c r="I507" s="22">
        <f t="shared" si="43"/>
        <v>194</v>
      </c>
      <c r="J507" s="57">
        <v>165</v>
      </c>
      <c r="K507" s="16"/>
      <c r="L507" s="55">
        <v>29</v>
      </c>
      <c r="M507" s="75"/>
    </row>
    <row r="508" spans="1:13" x14ac:dyDescent="0.25">
      <c r="A508" s="7" t="s">
        <v>91</v>
      </c>
      <c r="B508" s="9"/>
      <c r="C508" s="26"/>
      <c r="D508" s="18"/>
      <c r="E508" s="55"/>
      <c r="F508" s="17"/>
      <c r="G508" s="55"/>
      <c r="H508" s="17"/>
      <c r="I508" s="22"/>
      <c r="J508" s="57"/>
      <c r="K508" s="16"/>
      <c r="L508" s="55"/>
      <c r="M508" s="75"/>
    </row>
    <row r="509" spans="1:13" x14ac:dyDescent="0.25">
      <c r="A509" s="8">
        <v>1</v>
      </c>
      <c r="B509" s="9" t="s">
        <v>92</v>
      </c>
      <c r="C509" s="26"/>
      <c r="D509" s="18">
        <f>SUM(E509:H509)</f>
        <v>4039</v>
      </c>
      <c r="E509" s="55">
        <v>835</v>
      </c>
      <c r="F509" s="17">
        <v>2</v>
      </c>
      <c r="G509" s="55">
        <v>3202</v>
      </c>
      <c r="H509" s="17"/>
      <c r="I509" s="22">
        <f>SUM(J509:M509)</f>
        <v>4123</v>
      </c>
      <c r="J509" s="57">
        <v>675</v>
      </c>
      <c r="K509" s="16"/>
      <c r="L509" s="55">
        <v>3448</v>
      </c>
      <c r="M509" s="75"/>
    </row>
    <row r="510" spans="1:13" x14ac:dyDescent="0.25">
      <c r="A510" s="6" t="s">
        <v>93</v>
      </c>
      <c r="B510" s="9"/>
      <c r="C510" s="26"/>
      <c r="D510" s="18"/>
      <c r="E510" s="55"/>
      <c r="F510" s="17"/>
      <c r="G510" s="55"/>
      <c r="H510" s="17"/>
      <c r="I510" s="22"/>
      <c r="J510" s="57"/>
      <c r="K510" s="16"/>
      <c r="L510" s="55"/>
      <c r="M510" s="75"/>
    </row>
    <row r="511" spans="1:13" x14ac:dyDescent="0.25">
      <c r="A511" s="7" t="s">
        <v>94</v>
      </c>
      <c r="B511" s="9"/>
      <c r="C511" s="26"/>
      <c r="D511" s="18"/>
      <c r="E511" s="55"/>
      <c r="F511" s="17"/>
      <c r="G511" s="55"/>
      <c r="H511" s="17"/>
      <c r="I511" s="22"/>
      <c r="J511" s="57"/>
      <c r="K511" s="16"/>
      <c r="L511" s="55"/>
      <c r="M511" s="75"/>
    </row>
    <row r="512" spans="1:13" x14ac:dyDescent="0.25">
      <c r="A512" s="4">
        <v>1</v>
      </c>
      <c r="B512" s="9" t="s">
        <v>95</v>
      </c>
      <c r="C512" s="26"/>
      <c r="D512" s="18">
        <f>SUM(E512:H512)</f>
        <v>123</v>
      </c>
      <c r="E512" s="55">
        <v>93</v>
      </c>
      <c r="F512" s="17">
        <v>29</v>
      </c>
      <c r="G512" s="55"/>
      <c r="H512" s="17">
        <v>1</v>
      </c>
      <c r="I512" s="22">
        <f>SUM(J512:M512)</f>
        <v>44</v>
      </c>
      <c r="J512" s="57">
        <v>27</v>
      </c>
      <c r="K512" s="16">
        <v>15</v>
      </c>
      <c r="L512" s="55">
        <v>2</v>
      </c>
      <c r="M512" s="75"/>
    </row>
    <row r="513" spans="1:13" x14ac:dyDescent="0.25">
      <c r="A513" s="4">
        <v>2</v>
      </c>
      <c r="B513" s="9" t="s">
        <v>96</v>
      </c>
      <c r="C513" s="26"/>
      <c r="D513" s="18">
        <f>SUM(E513:H513)</f>
        <v>460</v>
      </c>
      <c r="E513" s="55">
        <v>35</v>
      </c>
      <c r="F513" s="17">
        <v>332</v>
      </c>
      <c r="G513" s="55">
        <v>11</v>
      </c>
      <c r="H513" s="17">
        <v>82</v>
      </c>
      <c r="I513" s="22">
        <f>SUM(J513:M513)</f>
        <v>2569</v>
      </c>
      <c r="J513" s="57">
        <v>56</v>
      </c>
      <c r="K513" s="16">
        <v>942</v>
      </c>
      <c r="L513" s="55">
        <v>54</v>
      </c>
      <c r="M513" s="75">
        <v>1517</v>
      </c>
    </row>
    <row r="514" spans="1:13" x14ac:dyDescent="0.25">
      <c r="A514" s="4">
        <v>3</v>
      </c>
      <c r="B514" s="9" t="s">
        <v>97</v>
      </c>
      <c r="C514" s="26"/>
      <c r="D514" s="18">
        <f>SUM(E514:H514)</f>
        <v>156</v>
      </c>
      <c r="E514" s="55">
        <v>82</v>
      </c>
      <c r="F514" s="17">
        <v>41</v>
      </c>
      <c r="G514" s="55">
        <v>28</v>
      </c>
      <c r="H514" s="17">
        <v>5</v>
      </c>
      <c r="I514" s="22">
        <f>SUM(J514:M514)</f>
        <v>1039</v>
      </c>
      <c r="J514" s="57">
        <v>141</v>
      </c>
      <c r="K514" s="16">
        <v>128</v>
      </c>
      <c r="L514" s="55">
        <v>381</v>
      </c>
      <c r="M514" s="75">
        <v>389</v>
      </c>
    </row>
    <row r="515" spans="1:13" x14ac:dyDescent="0.25">
      <c r="A515" s="6" t="s">
        <v>98</v>
      </c>
      <c r="B515" s="9"/>
      <c r="C515" s="26"/>
      <c r="D515" s="18"/>
      <c r="E515" s="55"/>
      <c r="F515" s="17"/>
      <c r="G515" s="55"/>
      <c r="H515" s="17"/>
      <c r="I515" s="22"/>
      <c r="J515" s="57"/>
      <c r="K515" s="16"/>
      <c r="L515" s="55"/>
      <c r="M515" s="75"/>
    </row>
    <row r="516" spans="1:13" x14ac:dyDescent="0.25">
      <c r="A516" s="5" t="s">
        <v>99</v>
      </c>
      <c r="B516" s="9"/>
      <c r="C516" s="26"/>
      <c r="D516" s="18"/>
      <c r="E516" s="55"/>
      <c r="F516" s="17"/>
      <c r="G516" s="55"/>
      <c r="H516" s="17"/>
      <c r="I516" s="22"/>
      <c r="J516" s="57"/>
      <c r="K516" s="16"/>
      <c r="L516" s="55"/>
      <c r="M516" s="75"/>
    </row>
    <row r="517" spans="1:13" x14ac:dyDescent="0.25">
      <c r="A517" s="4">
        <v>1</v>
      </c>
      <c r="B517" s="9" t="s">
        <v>100</v>
      </c>
      <c r="C517" s="26"/>
      <c r="D517" s="18">
        <f>SUM(E517:H517)</f>
        <v>34151</v>
      </c>
      <c r="E517" s="55">
        <v>10425</v>
      </c>
      <c r="F517" s="17">
        <v>10613</v>
      </c>
      <c r="G517" s="55">
        <v>6088</v>
      </c>
      <c r="H517" s="17">
        <v>7025</v>
      </c>
      <c r="I517" s="22">
        <f>SUM(J517:M517)</f>
        <v>171744</v>
      </c>
      <c r="J517" s="57">
        <v>25499</v>
      </c>
      <c r="K517" s="16">
        <v>24501</v>
      </c>
      <c r="L517" s="55">
        <v>59813</v>
      </c>
      <c r="M517" s="75">
        <v>61931</v>
      </c>
    </row>
    <row r="518" spans="1:13" x14ac:dyDescent="0.25">
      <c r="A518" s="5" t="s">
        <v>101</v>
      </c>
      <c r="B518" s="9"/>
      <c r="C518" s="26"/>
      <c r="D518" s="18"/>
      <c r="E518" s="55"/>
      <c r="F518" s="17"/>
      <c r="G518" s="55"/>
      <c r="H518" s="17"/>
      <c r="I518" s="22"/>
      <c r="J518" s="57"/>
      <c r="K518" s="16"/>
      <c r="L518" s="55"/>
      <c r="M518" s="75"/>
    </row>
    <row r="519" spans="1:13" x14ac:dyDescent="0.25">
      <c r="A519" s="4">
        <v>1</v>
      </c>
      <c r="B519" s="9" t="s">
        <v>102</v>
      </c>
      <c r="C519" s="26"/>
      <c r="D519" s="18">
        <f>SUM(E519:H519)</f>
        <v>71</v>
      </c>
      <c r="E519" s="55">
        <v>34</v>
      </c>
      <c r="F519" s="17">
        <v>26</v>
      </c>
      <c r="G519" s="55">
        <v>9</v>
      </c>
      <c r="H519" s="17">
        <v>2</v>
      </c>
      <c r="I519" s="22">
        <f>SUM(J519:M519)</f>
        <v>239</v>
      </c>
      <c r="J519" s="57">
        <v>13</v>
      </c>
      <c r="K519" s="16"/>
      <c r="L519" s="55">
        <v>125</v>
      </c>
      <c r="M519" s="75">
        <v>101</v>
      </c>
    </row>
    <row r="520" spans="1:13" x14ac:dyDescent="0.25">
      <c r="A520" s="4">
        <v>2</v>
      </c>
      <c r="B520" s="9" t="s">
        <v>103</v>
      </c>
      <c r="C520" s="26"/>
      <c r="D520" s="18">
        <f>SUM(E520:H520)</f>
        <v>758</v>
      </c>
      <c r="E520" s="55">
        <v>90</v>
      </c>
      <c r="F520" s="17">
        <v>3</v>
      </c>
      <c r="G520" s="55">
        <v>634</v>
      </c>
      <c r="H520" s="17">
        <v>31</v>
      </c>
      <c r="I520" s="22">
        <f>SUM(J520:M520)</f>
        <v>49</v>
      </c>
      <c r="J520" s="57">
        <v>1</v>
      </c>
      <c r="K520" s="16"/>
      <c r="L520" s="55">
        <v>48</v>
      </c>
      <c r="M520" s="75"/>
    </row>
    <row r="521" spans="1:13" x14ac:dyDescent="0.25">
      <c r="A521" s="6" t="s">
        <v>104</v>
      </c>
      <c r="B521" s="9"/>
      <c r="C521" s="26"/>
      <c r="D521" s="18"/>
      <c r="E521" s="55"/>
      <c r="F521" s="17"/>
      <c r="G521" s="55"/>
      <c r="H521" s="17"/>
      <c r="I521" s="22"/>
      <c r="J521" s="57"/>
      <c r="K521" s="16"/>
      <c r="L521" s="55"/>
      <c r="M521" s="75"/>
    </row>
    <row r="522" spans="1:13" x14ac:dyDescent="0.25">
      <c r="A522" s="5" t="s">
        <v>105</v>
      </c>
      <c r="B522" s="9"/>
      <c r="C522" s="26"/>
      <c r="D522" s="18"/>
      <c r="E522" s="55"/>
      <c r="F522" s="17"/>
      <c r="G522" s="55"/>
      <c r="H522" s="17"/>
      <c r="I522" s="22"/>
      <c r="J522" s="57"/>
      <c r="K522" s="16"/>
      <c r="L522" s="55"/>
      <c r="M522" s="75"/>
    </row>
    <row r="523" spans="1:13" x14ac:dyDescent="0.25">
      <c r="A523" s="4">
        <v>1</v>
      </c>
      <c r="B523" s="9" t="s">
        <v>106</v>
      </c>
      <c r="C523" s="26"/>
      <c r="D523" s="18">
        <f>SUM(E523:H523)</f>
        <v>609</v>
      </c>
      <c r="E523" s="55">
        <v>215</v>
      </c>
      <c r="F523" s="17">
        <v>153</v>
      </c>
      <c r="G523" s="55">
        <v>124</v>
      </c>
      <c r="H523" s="17">
        <v>117</v>
      </c>
      <c r="I523" s="22">
        <f>SUM(J523:M523)</f>
        <v>2669</v>
      </c>
      <c r="J523" s="57">
        <v>563</v>
      </c>
      <c r="K523" s="16">
        <v>414</v>
      </c>
      <c r="L523" s="55">
        <v>821</v>
      </c>
      <c r="M523" s="75">
        <v>871</v>
      </c>
    </row>
    <row r="524" spans="1:13" ht="15.75" thickBot="1" x14ac:dyDescent="0.3">
      <c r="A524" s="4"/>
      <c r="B524" s="9"/>
      <c r="C524" s="26"/>
      <c r="D524" s="18"/>
      <c r="E524" s="55"/>
      <c r="F524" s="17"/>
      <c r="G524" s="55"/>
      <c r="H524" s="17"/>
      <c r="I524" s="126"/>
      <c r="J524" s="57"/>
      <c r="K524" s="16"/>
      <c r="L524" s="55"/>
      <c r="M524" s="75"/>
    </row>
    <row r="525" spans="1:13" ht="15.75" thickTop="1" x14ac:dyDescent="0.25">
      <c r="A525" s="79"/>
      <c r="B525" s="80"/>
      <c r="C525" s="81"/>
      <c r="D525" s="15"/>
      <c r="E525" s="82"/>
      <c r="F525" s="14"/>
      <c r="G525" s="82"/>
      <c r="H525" s="14"/>
      <c r="I525" s="108"/>
      <c r="J525" s="15"/>
      <c r="K525" s="13"/>
      <c r="L525" s="82"/>
      <c r="M525" s="109"/>
    </row>
    <row r="526" spans="1:13" x14ac:dyDescent="0.25">
      <c r="A526" s="86" t="s">
        <v>127</v>
      </c>
      <c r="B526" s="9"/>
      <c r="C526" s="54"/>
      <c r="D526" s="12">
        <f t="shared" ref="D526:M526" si="44">SUM(D432:D523)</f>
        <v>105794</v>
      </c>
      <c r="E526" s="127">
        <f t="shared" si="44"/>
        <v>30170</v>
      </c>
      <c r="F526" s="128">
        <f t="shared" si="44"/>
        <v>24809</v>
      </c>
      <c r="G526" s="12">
        <f t="shared" si="44"/>
        <v>30047</v>
      </c>
      <c r="H526" s="11">
        <f t="shared" si="44"/>
        <v>20768</v>
      </c>
      <c r="I526" s="12">
        <f t="shared" si="44"/>
        <v>421456</v>
      </c>
      <c r="J526" s="12">
        <f t="shared" si="44"/>
        <v>64015</v>
      </c>
      <c r="K526" s="11">
        <f t="shared" si="44"/>
        <v>55829</v>
      </c>
      <c r="L526" s="12">
        <f t="shared" si="44"/>
        <v>152456</v>
      </c>
      <c r="M526" s="112">
        <f t="shared" si="44"/>
        <v>149156</v>
      </c>
    </row>
    <row r="527" spans="1:13" ht="15.75" thickBot="1" x14ac:dyDescent="0.3">
      <c r="A527" s="89"/>
      <c r="B527" s="90"/>
      <c r="C527" s="91"/>
      <c r="D527" s="113"/>
      <c r="E527" s="114"/>
      <c r="F527" s="10"/>
      <c r="G527" s="115"/>
      <c r="H527" s="116"/>
      <c r="I527" s="117"/>
      <c r="J527" s="118"/>
      <c r="K527" s="119"/>
      <c r="L527" s="115"/>
      <c r="M527" s="120"/>
    </row>
    <row r="528" spans="1:13" ht="15.75" thickTop="1" x14ac:dyDescent="0.25"/>
  </sheetData>
  <mergeCells count="89">
    <mergeCell ref="C425:C428"/>
    <mergeCell ref="D425:D428"/>
    <mergeCell ref="E425:H425"/>
    <mergeCell ref="C1:C4"/>
    <mergeCell ref="D1:D4"/>
    <mergeCell ref="E426:F426"/>
    <mergeCell ref="G426:H426"/>
    <mergeCell ref="J426:K426"/>
    <mergeCell ref="L426:M426"/>
    <mergeCell ref="E427:E428"/>
    <mergeCell ref="F427:F428"/>
    <mergeCell ref="G427:G428"/>
    <mergeCell ref="H427:H428"/>
    <mergeCell ref="J427:J428"/>
    <mergeCell ref="I425:I428"/>
    <mergeCell ref="M427:M428"/>
    <mergeCell ref="J1:M1"/>
    <mergeCell ref="J2:K2"/>
    <mergeCell ref="L2:M2"/>
    <mergeCell ref="J3:J4"/>
    <mergeCell ref="L3:L4"/>
    <mergeCell ref="M3:M4"/>
    <mergeCell ref="J425:M425"/>
    <mergeCell ref="K3:K4"/>
    <mergeCell ref="G3:G4"/>
    <mergeCell ref="H3:H4"/>
    <mergeCell ref="K427:K428"/>
    <mergeCell ref="L427:L428"/>
    <mergeCell ref="I1:I4"/>
    <mergeCell ref="I107:I110"/>
    <mergeCell ref="I319:I322"/>
    <mergeCell ref="I213:I216"/>
    <mergeCell ref="E2:F2"/>
    <mergeCell ref="G2:H2"/>
    <mergeCell ref="E3:E4"/>
    <mergeCell ref="F3:F4"/>
    <mergeCell ref="E1:H1"/>
    <mergeCell ref="M109:M110"/>
    <mergeCell ref="C107:C110"/>
    <mergeCell ref="D107:D110"/>
    <mergeCell ref="E107:H107"/>
    <mergeCell ref="J107:M107"/>
    <mergeCell ref="E108:F108"/>
    <mergeCell ref="G108:H108"/>
    <mergeCell ref="J108:K108"/>
    <mergeCell ref="L108:M108"/>
    <mergeCell ref="E109:E110"/>
    <mergeCell ref="F109:F110"/>
    <mergeCell ref="G109:G110"/>
    <mergeCell ref="H109:H110"/>
    <mergeCell ref="J109:J110"/>
    <mergeCell ref="K109:K110"/>
    <mergeCell ref="L109:L110"/>
    <mergeCell ref="C213:C216"/>
    <mergeCell ref="D213:D216"/>
    <mergeCell ref="E213:H213"/>
    <mergeCell ref="J213:M213"/>
    <mergeCell ref="E214:F214"/>
    <mergeCell ref="G214:H214"/>
    <mergeCell ref="J214:K214"/>
    <mergeCell ref="L214:M214"/>
    <mergeCell ref="E215:E216"/>
    <mergeCell ref="F215:F216"/>
    <mergeCell ref="C319:C322"/>
    <mergeCell ref="D319:D322"/>
    <mergeCell ref="E319:H319"/>
    <mergeCell ref="J319:M319"/>
    <mergeCell ref="E320:F320"/>
    <mergeCell ref="G320:H320"/>
    <mergeCell ref="J320:K320"/>
    <mergeCell ref="L320:M320"/>
    <mergeCell ref="E321:E322"/>
    <mergeCell ref="F321:F322"/>
    <mergeCell ref="Q2:R2"/>
    <mergeCell ref="P1:S1"/>
    <mergeCell ref="Q11:R11"/>
    <mergeCell ref="P10:R10"/>
    <mergeCell ref="G321:G322"/>
    <mergeCell ref="H321:H322"/>
    <mergeCell ref="J321:J322"/>
    <mergeCell ref="K321:K322"/>
    <mergeCell ref="L321:L322"/>
    <mergeCell ref="M321:M322"/>
    <mergeCell ref="G215:G216"/>
    <mergeCell ref="H215:H216"/>
    <mergeCell ref="J215:J216"/>
    <mergeCell ref="K215:K216"/>
    <mergeCell ref="L215:L216"/>
    <mergeCell ref="M215:M21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Occupations Sub-Orders</vt:lpstr>
    </vt:vector>
  </TitlesOfParts>
  <Company>LDC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Cilliers</dc:creator>
  <cp:lastModifiedBy>Jeanne Cilliers</cp:lastModifiedBy>
  <dcterms:created xsi:type="dcterms:W3CDTF">2016-09-07T11:22:15Z</dcterms:created>
  <dcterms:modified xsi:type="dcterms:W3CDTF">2016-09-08T14:20:09Z</dcterms:modified>
</cp:coreProperties>
</file>